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cnxmail-my.sharepoint.com/personal/bongbeen_kim_concentrix_com/Documents/Documents/ICS/SEO/"/>
    </mc:Choice>
  </mc:AlternateContent>
  <xr:revisionPtr revIDLastSave="703" documentId="8_{CC0CC52C-6F92-46E8-8EF0-5A2BAE6EB272}" xr6:coauthVersionLast="47" xr6:coauthVersionMax="47" xr10:uidLastSave="{A432F974-5BDD-46CC-BCC9-EBC81E8C3142}"/>
  <bookViews>
    <workbookView xWindow="28680" yWindow="-120" windowWidth="29040" windowHeight="15720" firstSheet="2" activeTab="3" xr2:uid="{F94183D4-3B7B-4CF4-9D0E-89C893EB2363}"/>
  </bookViews>
  <sheets>
    <sheet name="Summary (New)" sheetId="3" state="hidden" r:id="rId1"/>
    <sheet name="Raw (New)" sheetId="4" state="hidden" r:id="rId2"/>
    <sheet name="Summary" sheetId="2" r:id="rId3"/>
    <sheet name="Raw" sheetId="1" r:id="rId4"/>
    <sheet name="raw-sheet" sheetId="5" state="hidden" r:id="rId5"/>
    <sheet name="raw-schema" sheetId="6" state="hidden" r:id="rId6"/>
  </sheets>
  <definedNames>
    <definedName name="_xlnm._FilterDatabase" localSheetId="3" hidden="1">Raw!$A$1:$AG$64</definedName>
    <definedName name="_xlnm._FilterDatabase" localSheetId="1" hidden="1">'Raw (New)'!$A$1:$AF$56</definedName>
    <definedName name="_xlnm._FilterDatabase" localSheetId="4" hidden="1">'raw-sheet'!$A$1:$BY$58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1" i="3" l="1"/>
  <c r="I31" i="3"/>
  <c r="G31" i="3"/>
  <c r="E31" i="3"/>
  <c r="K30" i="3"/>
  <c r="I30" i="3"/>
  <c r="G30" i="3"/>
  <c r="E30" i="3"/>
  <c r="K28" i="3"/>
  <c r="I28" i="3"/>
  <c r="G28" i="3"/>
  <c r="E28" i="3"/>
  <c r="K27" i="3"/>
  <c r="I27" i="3"/>
  <c r="G27" i="3"/>
  <c r="E27" i="3"/>
  <c r="K25" i="3"/>
  <c r="I25" i="3"/>
  <c r="G25" i="3"/>
  <c r="E25" i="3"/>
  <c r="K24" i="3"/>
  <c r="I24" i="3"/>
  <c r="G24" i="3"/>
  <c r="E24" i="3"/>
  <c r="K22" i="3"/>
  <c r="I22" i="3"/>
  <c r="G22" i="3"/>
  <c r="E22" i="3"/>
  <c r="K21" i="3"/>
  <c r="I21" i="3"/>
  <c r="G21" i="3"/>
  <c r="E21" i="3"/>
  <c r="K19" i="3"/>
  <c r="I19" i="3"/>
  <c r="G19" i="3"/>
  <c r="E19" i="3"/>
  <c r="K18" i="3"/>
  <c r="I18" i="3"/>
  <c r="G18" i="3"/>
  <c r="E18" i="3"/>
  <c r="K16" i="3"/>
  <c r="I16" i="3"/>
  <c r="G16" i="3"/>
  <c r="E16" i="3"/>
  <c r="K15" i="3"/>
  <c r="I15" i="3"/>
  <c r="G15" i="3"/>
  <c r="E15" i="3"/>
  <c r="K13" i="3"/>
  <c r="I13" i="3"/>
  <c r="G13" i="3"/>
  <c r="E13" i="3"/>
  <c r="K12" i="3"/>
  <c r="I12" i="3"/>
  <c r="G12" i="3"/>
  <c r="E12" i="3"/>
  <c r="K10" i="3"/>
  <c r="I10" i="3"/>
  <c r="G10" i="3"/>
  <c r="E10" i="3"/>
  <c r="K13" i="2" l="1"/>
  <c r="I13" i="2"/>
  <c r="G13" i="2"/>
  <c r="E13" i="2"/>
  <c r="K12" i="2"/>
  <c r="I12" i="2"/>
  <c r="G12" i="2"/>
  <c r="E12" i="2"/>
  <c r="E19" i="2"/>
  <c r="I34" i="2"/>
  <c r="I10" i="2"/>
  <c r="G34" i="2"/>
  <c r="G31" i="2"/>
  <c r="G28" i="2"/>
  <c r="G25" i="2"/>
  <c r="G22" i="2"/>
  <c r="G19" i="2"/>
  <c r="G16" i="2"/>
  <c r="G10" i="2"/>
  <c r="I28" i="2"/>
  <c r="E34" i="2"/>
  <c r="E31" i="2"/>
  <c r="E28" i="2"/>
  <c r="E25" i="2"/>
  <c r="E22" i="2"/>
  <c r="E16" i="2"/>
  <c r="E10" i="2"/>
  <c r="I31" i="2"/>
  <c r="K33" i="2"/>
  <c r="K30" i="2"/>
  <c r="K27" i="2"/>
  <c r="K24" i="2"/>
  <c r="K21" i="2"/>
  <c r="K18" i="2"/>
  <c r="K15" i="2"/>
  <c r="K22" i="2"/>
  <c r="I19" i="2"/>
  <c r="I33" i="2"/>
  <c r="I30" i="2"/>
  <c r="I27" i="2"/>
  <c r="I24" i="2"/>
  <c r="I21" i="2"/>
  <c r="I18" i="2"/>
  <c r="I15" i="2"/>
  <c r="E15" i="2"/>
  <c r="K28" i="2"/>
  <c r="K16" i="2"/>
  <c r="I25" i="2"/>
  <c r="G33" i="2"/>
  <c r="G30" i="2"/>
  <c r="G27" i="2"/>
  <c r="G24" i="2"/>
  <c r="G21" i="2"/>
  <c r="G18" i="2"/>
  <c r="G15" i="2"/>
  <c r="K34" i="2"/>
  <c r="C34" i="2" s="1"/>
  <c r="K25" i="2"/>
  <c r="K10" i="2"/>
  <c r="I16" i="2"/>
  <c r="E33" i="2"/>
  <c r="E30" i="2"/>
  <c r="E27" i="2"/>
  <c r="E24" i="2"/>
  <c r="E21" i="2"/>
  <c r="E18" i="2"/>
  <c r="K31" i="2"/>
  <c r="K19" i="2"/>
  <c r="I22" i="2"/>
  <c r="C31" i="3"/>
  <c r="F15" i="3"/>
  <c r="J12" i="3"/>
  <c r="F12" i="3"/>
  <c r="J33" i="2"/>
  <c r="L12" i="2" l="1"/>
  <c r="L13" i="2"/>
  <c r="F13" i="2"/>
  <c r="H12" i="2"/>
  <c r="J12" i="2"/>
  <c r="C12" i="2"/>
  <c r="C13" i="2"/>
  <c r="F12" i="2"/>
  <c r="H13" i="2"/>
  <c r="J13" i="2"/>
  <c r="L34" i="2"/>
  <c r="C33" i="2"/>
  <c r="H13" i="3"/>
  <c r="J13" i="3"/>
  <c r="J16" i="3"/>
  <c r="J19" i="3"/>
  <c r="F18" i="3"/>
  <c r="H15" i="3"/>
  <c r="H18" i="3"/>
  <c r="J15" i="3"/>
  <c r="H21" i="3"/>
  <c r="H24" i="3"/>
  <c r="H27" i="3"/>
  <c r="H30" i="3"/>
  <c r="H12" i="3"/>
  <c r="J18" i="3"/>
  <c r="J21" i="3"/>
  <c r="J24" i="3"/>
  <c r="J27" i="3"/>
  <c r="J30" i="3"/>
  <c r="L15" i="3"/>
  <c r="L18" i="3"/>
  <c r="L21" i="3"/>
  <c r="L24" i="3"/>
  <c r="L27" i="3"/>
  <c r="L30" i="3"/>
  <c r="L12" i="3"/>
  <c r="F16" i="3"/>
  <c r="F19" i="3"/>
  <c r="F22" i="3"/>
  <c r="C25" i="3"/>
  <c r="F28" i="3"/>
  <c r="C10" i="3"/>
  <c r="D31" i="3" s="1"/>
  <c r="H16" i="3"/>
  <c r="C19" i="3"/>
  <c r="H22" i="3"/>
  <c r="H25" i="3"/>
  <c r="H28" i="3"/>
  <c r="H31" i="3"/>
  <c r="J22" i="3"/>
  <c r="J25" i="3"/>
  <c r="J28" i="3"/>
  <c r="J31" i="3"/>
  <c r="L13" i="3"/>
  <c r="L16" i="3"/>
  <c r="L19" i="3"/>
  <c r="L22" i="3"/>
  <c r="L25" i="3"/>
  <c r="L28" i="3"/>
  <c r="L31" i="3"/>
  <c r="F21" i="3"/>
  <c r="F24" i="3"/>
  <c r="F27" i="3"/>
  <c r="F30" i="3"/>
  <c r="F13" i="3"/>
  <c r="C13" i="3"/>
  <c r="C15" i="3"/>
  <c r="C21" i="3"/>
  <c r="C27" i="3"/>
  <c r="F25" i="3"/>
  <c r="F31" i="3"/>
  <c r="C28" i="3"/>
  <c r="C16" i="3"/>
  <c r="C22" i="3"/>
  <c r="H19" i="3"/>
  <c r="C12" i="3"/>
  <c r="C18" i="3"/>
  <c r="C24" i="3"/>
  <c r="C30" i="3"/>
  <c r="H15" i="2"/>
  <c r="C28" i="2"/>
  <c r="H25" i="2"/>
  <c r="C22" i="2"/>
  <c r="J15" i="2"/>
  <c r="F19" i="2"/>
  <c r="H16" i="2"/>
  <c r="H24" i="2"/>
  <c r="F33" i="2"/>
  <c r="F24" i="2"/>
  <c r="H19" i="2"/>
  <c r="F27" i="2"/>
  <c r="H27" i="2"/>
  <c r="L16" i="2"/>
  <c r="F18" i="2"/>
  <c r="H28" i="2"/>
  <c r="F31" i="2"/>
  <c r="H31" i="2"/>
  <c r="F15" i="2"/>
  <c r="H18" i="2"/>
  <c r="L27" i="2"/>
  <c r="H22" i="2"/>
  <c r="F30" i="2"/>
  <c r="J16" i="2"/>
  <c r="F21" i="2"/>
  <c r="F25" i="2"/>
  <c r="H30" i="2"/>
  <c r="H34" i="2"/>
  <c r="H21" i="2"/>
  <c r="L30" i="2"/>
  <c r="L15" i="2"/>
  <c r="J18" i="2"/>
  <c r="L18" i="2"/>
  <c r="L33" i="2"/>
  <c r="L24" i="2"/>
  <c r="L21" i="2"/>
  <c r="C16" i="2"/>
  <c r="J19" i="2"/>
  <c r="J22" i="2"/>
  <c r="J25" i="2"/>
  <c r="J28" i="2"/>
  <c r="J31" i="2"/>
  <c r="J34" i="2"/>
  <c r="L19" i="2"/>
  <c r="L22" i="2"/>
  <c r="L25" i="2"/>
  <c r="L28" i="2"/>
  <c r="L31" i="2"/>
  <c r="C10" i="2"/>
  <c r="J21" i="2"/>
  <c r="J24" i="2"/>
  <c r="J27" i="2"/>
  <c r="J30" i="2"/>
  <c r="C24" i="2"/>
  <c r="C30" i="2"/>
  <c r="F16" i="2"/>
  <c r="F22" i="2"/>
  <c r="F28" i="2"/>
  <c r="H33" i="2"/>
  <c r="F34" i="2"/>
  <c r="C18" i="2"/>
  <c r="C19" i="2"/>
  <c r="C25" i="2"/>
  <c r="C31" i="2"/>
  <c r="C15" i="2"/>
  <c r="C21" i="2"/>
  <c r="C27" i="2"/>
  <c r="D12" i="2" l="1"/>
  <c r="D13" i="2"/>
  <c r="D22" i="3"/>
  <c r="D16" i="3"/>
  <c r="D28" i="3"/>
  <c r="D12" i="3"/>
  <c r="D25" i="3"/>
  <c r="D21" i="3"/>
  <c r="D30" i="3"/>
  <c r="D13" i="3"/>
  <c r="D24" i="3"/>
  <c r="D18" i="3"/>
  <c r="D19" i="3"/>
  <c r="D27" i="3"/>
  <c r="D15" i="3"/>
  <c r="D22" i="2"/>
  <c r="D24" i="2"/>
  <c r="D16" i="2"/>
  <c r="D31" i="2"/>
  <c r="D30" i="2"/>
  <c r="D18" i="2"/>
  <c r="D34" i="2"/>
  <c r="D27" i="2"/>
  <c r="D19" i="2"/>
  <c r="D21" i="2"/>
  <c r="D25" i="2"/>
  <c r="D28" i="2"/>
  <c r="D15" i="2"/>
  <c r="D33" i="2"/>
  <c r="C6" i="2" l="1"/>
  <c r="C6" i="3"/>
</calcChain>
</file>

<file path=xl/sharedStrings.xml><?xml version="1.0" encoding="utf-8"?>
<sst xmlns="http://schemas.openxmlformats.org/spreadsheetml/2006/main" count="5516" uniqueCount="817">
  <si>
    <t>Segments</t>
  </si>
  <si>
    <t>Status Code</t>
  </si>
  <si>
    <t>Title 1</t>
  </si>
  <si>
    <t>Meta Description 1</t>
  </si>
  <si>
    <t>H1-1</t>
  </si>
  <si>
    <t>Canonical Link Element 1</t>
  </si>
  <si>
    <t>og title 1</t>
  </si>
  <si>
    <t>og description 1</t>
  </si>
  <si>
    <t>og sitename 1</t>
  </si>
  <si>
    <t>og image 2</t>
  </si>
  <si>
    <t>og url 1</t>
  </si>
  <si>
    <t>twitter title 1</t>
  </si>
  <si>
    <t>twitter description 1</t>
  </si>
  <si>
    <t>twitter card 1</t>
  </si>
  <si>
    <t>https://mamonde-int.myshopify.com/</t>
  </si>
  <si>
    <t>Page (No PLP / PDP)</t>
  </si>
  <si>
    <t>Cosmetics, Skincare &amp; Beauty Products Inspired by Flower | Mamonde International</t>
  </si>
  <si>
    <t>Discover Your Beauty with Mamonde. Check out our new products, best-selling products, and our brand stories</t>
  </si>
  <si>
    <t>website</t>
  </si>
  <si>
    <t>Mamonde International</t>
  </si>
  <si>
    <t>summary_large_image</t>
  </si>
  <si>
    <t>https://mamonde-int.myshopify.com/products/flora-glow-rose-liquid-mask</t>
  </si>
  <si>
    <t>Product Detail</t>
  </si>
  <si>
    <t>Flora Glow Rose Liquid Mask | Mamonde International</t>
  </si>
  <si>
    <t>Liquid mask revealing dewy glow skin with the synergy of Rose Peptide &amp; 10% PHA - Flora Glow Rose Liquid Mask</t>
  </si>
  <si>
    <t>Flora Glow Rose Liquid Mask</t>
  </si>
  <si>
    <t>product</t>
  </si>
  <si>
    <t>http://mamonde-int.myshopify.com/cdn/shop/files/pdp_mig_2025-01-08-250107_final_KR_flora-glow-rose-liquid-mask_pdp_thumbnail_10_1.jpg?v=1751594939</t>
  </si>
  <si>
    <t>https://mamonde-int.myshopify.com/cdn/shop/files/pdp_mig_2025-01-08-250107_final_KR_flora-glow-rose-liquid-mask_pdp_thumbnail_10_1.jpg?v=1751594939</t>
  </si>
  <si>
    <t>https://mamonde-int.myshopify.com/products/calming-shot-azulene-ampoule</t>
  </si>
  <si>
    <t>Calming Shot Azulene Ampoule | Mamonde International</t>
  </si>
  <si>
    <t>Hydrating shot- Soothing shot- Calming Shot clears blemish spots! - Calming Shot Azulene Ampoule</t>
  </si>
  <si>
    <t>Calming Shot Azulene Ampoule</t>
  </si>
  <si>
    <t>http://mamonde-int.myshopify.com/cdn/shop/files/pdp_mig_2025-02-25-250225_final_KR_01_Calming_Shot_Azulene_Ampoule_thumbnail_1.jpg?v=1751595041</t>
  </si>
  <si>
    <t>https://mamonde-int.myshopify.com/cdn/shop/files/pdp_mig_2025-02-25-250225_final_KR_01_Calming_Shot_Azulene_Ampoule_thumbnail_1.jpg?v=1751595041</t>
  </si>
  <si>
    <t>https://mamonde-int.myshopify.com/products/pore-shrinker-bakuchiol-serum</t>
  </si>
  <si>
    <t>Pore Shrinker Bakuchiol Serum | Mamonde International</t>
  </si>
  <si>
    <t>Shrinking Deep Pores with 300M Bakuchiol Retinol Capsules - Pore Shrinker Bakuchiol Serum</t>
  </si>
  <si>
    <t>Pore Shrinker Bakuchiol Serum</t>
  </si>
  <si>
    <t>http://mamonde-int.myshopify.com/cdn/shop/files/pdp_mig_2024-02-01-240131_final_KR_Pore-Shrinker-Bakuchiol-Serum_pdp_thumbnail_1_1.jpg?v=1751594926</t>
  </si>
  <si>
    <t>https://mamonde-int.myshopify.com/cdn/shop/files/pdp_mig_2024-02-01-240131_final_KR_Pore-Shrinker-Bakuchiol-Serum_pdp_thumbnail_1_1.jpg?v=1751594926</t>
  </si>
  <si>
    <t>https://mamonde-int.myshopify.com/collections/all</t>
  </si>
  <si>
    <t>Product List</t>
  </si>
  <si>
    <t>Products | Mamonde International</t>
  </si>
  <si>
    <t>Products</t>
  </si>
  <si>
    <t>https://mamonde-int.myshopify.com/collections/products</t>
  </si>
  <si>
    <t>http://mamonde-int.myshopify.com/cdn/shop/collections/250210_final_KR_product_PLP-banner_1920_300.jpg?v=1749446980</t>
  </si>
  <si>
    <t>https://mamonde-int.myshopify.com/cdn/shop/collections/250210_final_KR_product_PLP-banner_1920_300.jpg?v=1749446980</t>
  </si>
  <si>
    <t>https://mamonde-int.myshopify.com/pages/contents</t>
  </si>
  <si>
    <t>You can watch all Mamonde video clips from all around world. Come and discover how brilliant Mamonde products can make you more beautiful</t>
  </si>
  <si>
    <t>Contents</t>
  </si>
  <si>
    <t>https://mamonde-int.myshopify.com/collections/mask</t>
  </si>
  <si>
    <t>https://mamonde-int.myshopify.com/search?q=PoreShrinker</t>
  </si>
  <si>
    <t>https://mamonde-int.myshopify.com/collections/moisturizing</t>
  </si>
  <si>
    <t>https://mamonde-int.myshopify.com/products/amazing-deep-mint-cleansing-foam</t>
  </si>
  <si>
    <t>Amazing Deep Mint Cleansing Foam | Mamonde International</t>
  </si>
  <si>
    <t>Mildly alkaline foam cleanser with mint for complete removal of pore-clogging sebum - Amazing Deep Mint Cleansing Foam</t>
  </si>
  <si>
    <t>Amazing Deep Mint Cleansing Foam</t>
  </si>
  <si>
    <t>http://mamonde-int.myshopify.com/cdn/shop/files/pdp_mig_2024-01-16-20240116_final_KR-Amazing-Deep-Mint-Cleansing-Foam_pdp_thumbnail_1_1.jpg?v=1751594907</t>
  </si>
  <si>
    <t>https://mamonde-int.myshopify.com/cdn/shop/files/pdp_mig_2024-01-16-20240116_final_KR-Amazing-Deep-Mint-Cleansing-Foam_pdp_thumbnail_1_1.jpg?v=1751594907</t>
  </si>
  <si>
    <t>https://mamonde-int.myshopify.com/search?q=RoseMask</t>
  </si>
  <si>
    <t>https://mamonde-int.myshopify.com/pages/best</t>
  </si>
  <si>
    <t>BEST SELLER</t>
  </si>
  <si>
    <t>https://mamonde-int.myshopify.com/collections/exfoliating</t>
  </si>
  <si>
    <t>https://mamonde-int.myshopify.com/collections/skin</t>
  </si>
  <si>
    <t>https://mamonde-int.myshopify.com/collections/anti-aging</t>
  </si>
  <si>
    <t>http://mamonde-int.myshopify.com/cdn/shop/collections/upscale-PLP-banner-1920.jpg?v=1749446895</t>
  </si>
  <si>
    <t>https://mamonde-int.myshopify.com/cdn/shop/collections/upscale-PLP-banner-1920.jpg?v=1749446895</t>
  </si>
  <si>
    <t>https://mamonde-int.myshopify.com/collections/essence</t>
  </si>
  <si>
    <t>https://mamonde-int.myshopify.com/cart</t>
  </si>
  <si>
    <t>https://mamonde-int.myshopify.com/search?q=AzuleneAmpoule</t>
  </si>
  <si>
    <t>https://mamonde-int.myshopify.com/collections/cleansing</t>
  </si>
  <si>
    <t>https://mamonde-int.myshopify.com/search?q=CleansingBalm</t>
  </si>
  <si>
    <t>https://mamonde-int.myshopify.com/policies/terms-of-service</t>
  </si>
  <si>
    <t>https://mamonde-int.myshopify.com/products/pore-shrinker-bakuchiol-cream</t>
  </si>
  <si>
    <t>http://mamonde-int.myshopify.com/cdn/shop/files/pdp_mig_2023-09-27-20230927_final_PORE-SHRINKER-BAKUCHIOL-CREAM_pdp_thumbnail_pc_1_1.jpg?v=1751594894</t>
  </si>
  <si>
    <t>https://mamonde-int.myshopify.com/cdn/shop/files/pdp_mig_2023-09-27-20230927_final_PORE-SHRINKER-BAKUCHIOL-CREAM_pdp_thumbnail_pc_1_1.jpg?v=1751594894</t>
  </si>
  <si>
    <t>https://mamonde-int.myshopify.com/products/pore-shrinker-bakuchiol-pad</t>
  </si>
  <si>
    <t>http://mamonde-int.myshopify.com/cdn/shop/files/pdp_mig_2024-01-05-20240105_final_KR-PORE_SHRINKER_BAKUCHIOL_PAD_pdp_thumbnail_1_1.jpg?v=1751594924</t>
  </si>
  <si>
    <t>https://mamonde-int.myshopify.com/cdn/shop/files/pdp_mig_2024-01-05-20240105_final_KR-PORE_SHRINKER_BAKUCHIOL_PAD_pdp_thumbnail_1_1.jpg?v=1751594924</t>
  </si>
  <si>
    <t>https://mamonde-int.myshopify.com/products/amazing-deep-mint-clenasing-balm</t>
  </si>
  <si>
    <t>http://mamonde-int.myshopify.com/cdn/shop/files/pdp_mig_2023-12-01-20231110_final_AMAZING-DEEP-MINT-CLENASING-BALM_pdp_thumbnail_pc_1_1.jpg?v=1751594898</t>
  </si>
  <si>
    <t>https://mamonde-int.myshopify.com/cdn/shop/files/pdp_mig_2023-12-01-20231110_final_AMAZING-DEEP-MINT-CLENASING-BALM_pdp_thumbnail_pc_1_1.jpg?v=1751594898</t>
  </si>
  <si>
    <t>https://mamonde-int.myshopify.com/collections/cream</t>
  </si>
  <si>
    <t>https://mamonde-int.myshopify.com/products/flora-glow-rose-smoothing-cream</t>
  </si>
  <si>
    <t>Flora Glow Rose Smoothing Cream | Mamonde International</t>
  </si>
  <si>
    <t>Smoothing cream for a lasting fine glow - Flora Glow Rose Smoothing Cream</t>
  </si>
  <si>
    <t>Flora Glow Rose Smoothing Cream</t>
  </si>
  <si>
    <t>http://mamonde-int.myshopify.com/cdn/shop/files/pdp_mig_2024-03-26-240322_final_KR_flora-glow-rose-smoothing-cream_pdp_thumbnail_01_1.jpg?v=1751594932</t>
  </si>
  <si>
    <t>https://mamonde-int.myshopify.com/cdn/shop/files/pdp_mig_2024-03-26-240322_final_KR_flora-glow-rose-smoothing-cream_pdp_thumbnail_01_1.jpg?v=1751594932</t>
  </si>
  <si>
    <t>https://mamonde-int.myshopify.com/pages/brand-story</t>
  </si>
  <si>
    <t>Inspired by Flowers Mamonde Brand Story - Inspired by flowers | Mamonde International</t>
  </si>
  <si>
    <t>Learn more about Mamonde, that accentuates a woman’s beauty. Mamonde Garden, Mamonde History, and Mamonde Boutique information</t>
  </si>
  <si>
    <t>Brand Story</t>
  </si>
  <si>
    <t>https://mamonde-int.myshopify.com/collections/oil-control</t>
  </si>
  <si>
    <t>https://mamonde-int.myshopify.com/pages/new</t>
  </si>
  <si>
    <t>NEW</t>
  </si>
  <si>
    <t>https://mamonde-int.myshopify.com/products/flora-glow-rose-marble-mask</t>
  </si>
  <si>
    <t>Flora Glow Rose Marble Mask | Mamonde International</t>
  </si>
  <si>
    <t>Plump! Smooth! Marbled hydrogel mask for radiant skin - Flora Glow Rose Marble Mask</t>
  </si>
  <si>
    <t>Flora Glow Rose Marble Mask</t>
  </si>
  <si>
    <t>http://mamonde-int.myshopify.com/cdn/shop/files/pdp_mig_2024-04-17-240415_final_KR_flora-glow-rose-marble-mask_pdp_thumbnail_01_1.jpg?v=1751594925</t>
  </si>
  <si>
    <t>https://mamonde-int.myshopify.com/cdn/shop/files/pdp_mig_2024-04-17-240415_final_KR_flora-glow-rose-marble-mask_pdp_thumbnail_01_1.jpg?v=1751594925</t>
  </si>
  <si>
    <t>https://mamonde-int.myshopify.com/products/probiotics-ceramide-ampoule-mask</t>
  </si>
  <si>
    <t>Probiotics Ceramide Ampoule Mask | Mamonde International</t>
  </si>
  <si>
    <t>Moisturizing ampoule mask to hydrate and firm your moisture barrier - Probiotics Ceramide Ampoule Mask</t>
  </si>
  <si>
    <t>Probiotics Ceramide Ampoule Mask</t>
  </si>
  <si>
    <t>http://mamonde-int.myshopify.com/cdn/shop/files/pdp_mig_2024-03-18-240311_final_KR_probiotics-ceramide-ampoule-mask_pdp_thumbnail_01_1.jpg?v=1751594942</t>
  </si>
  <si>
    <t>https://mamonde-int.myshopify.com/cdn/shop/files/pdp_mig_2024-03-18-240311_final_KR_probiotics-ceramide-ampoule-mask_pdp_thumbnail_01_1.jpg?v=1751594942</t>
  </si>
  <si>
    <t>https://mamonde-int.myshopify.com/products/ceramide-emulsion</t>
  </si>
  <si>
    <t>Probiotics Ceramide Emulsion | Mamonde International</t>
  </si>
  <si>
    <t>Mild moisture barrier emulsion with Ceramide - Probiotics Ceramide Emulsion</t>
  </si>
  <si>
    <t>Probiotics Ceramide Emulsion</t>
  </si>
  <si>
    <t>http://mamonde-int.myshopify.com/cdn/shop/files/pdp_mig_2024-03-18-240312_final_KR_probiotics-ceramide-emulsion_pdp_thumbnail_01_1.jpg?v=1751594951</t>
  </si>
  <si>
    <t>https://mamonde-int.myshopify.com/cdn/shop/files/pdp_mig_2024-03-18-240312_final_KR_probiotics-ceramide-emulsion_pdp_thumbnail_01_1.jpg?v=1751594951</t>
  </si>
  <si>
    <t>https://mamonde-int.myshopify.com/products/ceramide-skin-softner</t>
  </si>
  <si>
    <t>Probiotics Ceramide Skin Softener | Mamonde International</t>
  </si>
  <si>
    <t>Mild moisture barrier toner with Ceramide - Probiotics Ceramide Skin Softener</t>
  </si>
  <si>
    <t>Probiotics Ceramide Skin Softener</t>
  </si>
  <si>
    <t>http://mamonde-int.myshopify.com/cdn/shop/files/pdp_mig_2024-03-18-240312_final_KR_probiotics-ceramide-skin-softener_pdp_thumbnail_01_1.jpg?v=1751594951</t>
  </si>
  <si>
    <t>https://mamonde-int.myshopify.com/cdn/shop/files/pdp_mig_2024-03-18-240312_final_KR_probiotics-ceramide-skin-softener_pdp_thumbnail_01_1.jpg?v=1751594951</t>
  </si>
  <si>
    <t>https://mamonde-int.myshopify.com/products/ceramide-amino-foam</t>
  </si>
  <si>
    <t>Ceramide Amino Foam | Mamonde International</t>
  </si>
  <si>
    <t>Mild and pH-balanced amino acid cleansing foam - Ceramide Amino Foam</t>
  </si>
  <si>
    <t>Ceramide Amino Foam</t>
  </si>
  <si>
    <t>http://mamonde-int.myshopify.com/cdn/shop/files/pdp_mig_2024-03-18-240311_final_KR_ceramide-amino-Foam_pdp_thumbnail_01_1.jpg?v=1751594945</t>
  </si>
  <si>
    <t>https://mamonde-int.myshopify.com/cdn/shop/files/pdp_mig_2024-03-18-240311_final_KR_ceramide-amino-Foam_pdp_thumbnail_01_1.jpg?v=1751594945</t>
  </si>
  <si>
    <t>https://mamonde-int.myshopify.com/products/ceramide-intense-cream</t>
  </si>
  <si>
    <t>Probiotics Ceramide Intense Cream | Mamonde International</t>
  </si>
  <si>
    <t>100h intensive moisturizing cream with 7 layers of skin-friendly ceramide - Probiotics Ceramide Intense Cream</t>
  </si>
  <si>
    <t>Probiotics Ceramide Intense Cream</t>
  </si>
  <si>
    <t>http://mamonde-int.myshopify.com/cdn/shop/files/pdp_mig_2024-03-18-240312_final_KR_probiotics-ceramide-intense-cream_pdp_thumbnail_01_1.jpg?v=1751594951</t>
  </si>
  <si>
    <t>https://mamonde-int.myshopify.com/cdn/shop/files/pdp_mig_2024-03-18-240312_final_KR_probiotics-ceramide-intense-cream_pdp_thumbnail_01_1.jpg?v=1751594951</t>
  </si>
  <si>
    <t>https://mamonde-int.myshopify.com/products/flora-glow-rose-ampoule-mask</t>
  </si>
  <si>
    <t>Flora Glow Rose Ampoule Mask | Mamonde International</t>
  </si>
  <si>
    <t>Bright and fresh skin by moisture! A Sheet mask for Hydrating and brightening at one-go - Flora Glow Rose Ampoule Mask</t>
  </si>
  <si>
    <t>Flora Glow Rose Ampoule Mask</t>
  </si>
  <si>
    <t>http://mamonde-int.myshopify.com/cdn/shop/files/pdp_mig_2024-11-01-241101_final_KR_rose_mask_PDP_thumbnail_05_1.jpg?v=1751594999</t>
  </si>
  <si>
    <t>https://mamonde-int.myshopify.com/cdn/shop/files/pdp_mig_2024-11-01-241101_final_KR_rose_mask_PDP_thumbnail_05_1.jpg?v=1751594999</t>
  </si>
  <si>
    <t>https://mamonde-int.myshopify.com/products/men-recharging-all-in-one-fluid</t>
  </si>
  <si>
    <t>Men Recharging All In One Fluid | Mamonde International</t>
  </si>
  <si>
    <t>Skin revitalizing all in one essence for moisturizing with the synergy of Dandelion Taurine &amp; Caffeine &amp; Vitamin E - Men Recharging All In One Fluid</t>
  </si>
  <si>
    <t>Men Recharging All In One Fluid</t>
  </si>
  <si>
    <t>http://mamonde-int.myshopify.com/cdn/shop/files/pdp_mig_2025-02-21-250221_final_KR__men_recharging_fluid__PDP_thumbnail01_1.jpg?v=1751595005</t>
  </si>
  <si>
    <t>https://mamonde-int.myshopify.com/cdn/shop/files/pdp_mig_2025-02-21-250221_final_KR__men_recharging_fluid__PDP_thumbnail01_1.jpg?v=1751595005</t>
  </si>
  <si>
    <t>https://mamonde-int.myshopify.com/products/men-recharging-lotion</t>
  </si>
  <si>
    <t>Men Recharging Lotion | Mamonde International</t>
  </si>
  <si>
    <t>Skin revitalizing lotion for moisturizing and smooth finish with the synergy of Dandelion Taurine &amp; Caffeine &amp; Vitamin E - Men Recharging Lotion</t>
  </si>
  <si>
    <t>Men Recharging Lotion</t>
  </si>
  <si>
    <t>http://mamonde-int.myshopify.com/cdn/shop/files/pdp_mig_2025-02-21-250221_final_KR_men_recharging_lotion_PDP_thumbnail01_1.jpg?v=1751595009</t>
  </si>
  <si>
    <t>https://mamonde-int.myshopify.com/cdn/shop/files/pdp_mig_2025-02-21-250221_final_KR_men_recharging_lotion_PDP_thumbnail01_1.jpg?v=1751595009</t>
  </si>
  <si>
    <t>https://mamonde-int.myshopify.com/products/flora-glow-rose-water-toner</t>
  </si>
  <si>
    <t>Flora Glow Rose Water Toner | Mamonde International</t>
  </si>
  <si>
    <t>90% Real rose water! Dewy glow toner with Rose Peptide and 8 types of hyaluronic acid - Flora Glow Rose Water Toner</t>
  </si>
  <si>
    <t>Flora Glow Rose Water Toner</t>
  </si>
  <si>
    <t>http://mamonde-int.myshopify.com/cdn/shop/files/pdp_mig_2025-02-21-250221_final_KR_flora_glow_rosewater_toner_PDP_thumbnail01_1.jpg?v=1751595027</t>
  </si>
  <si>
    <t>https://mamonde-int.myshopify.com/cdn/shop/files/pdp_mig_2025-02-21-250221_final_KR_flora_glow_rosewater_toner_PDP_thumbnail01_1.jpg?v=1751595027</t>
  </si>
  <si>
    <t>https://mamonde-int.myshopify.com/products/flora-glow-rose-tinted-sun-serum</t>
  </si>
  <si>
    <t>Flora Glow Rose Tinted Sun Serum SPF50+ PA+++ | Mamonde International</t>
  </si>
  <si>
    <t>Smooth and dewy glowing-from-within skin! Makeup-ready dewy glow sun serum - Flora Glow Rose Tinted Sun Serum SPF50+ PA+++</t>
  </si>
  <si>
    <t>Flora Glow Rose Tinted Sun Serum SPF50+ PA+++</t>
  </si>
  <si>
    <t>http://mamonde-int.myshopify.com/cdn/shop/files/pdp_mig_2025-03-14-250313_final_KR_flora_glow_rose_tinted_sun_serum_thumbnail08_1.jpg?v=1751595029</t>
  </si>
  <si>
    <t>https://mamonde-int.myshopify.com/cdn/shop/files/pdp_mig_2025-03-14-250313_final_KR_flora_glow_rose_tinted_sun_serum_thumbnail08_1.jpg?v=1751595029</t>
  </si>
  <si>
    <t>https://mamonde-int.myshopify.com/products/men-recharging-toner</t>
  </si>
  <si>
    <t>Men Recharging Toner | Mamonde International</t>
  </si>
  <si>
    <t>Skin revitalizing toner for moisturizing and refreshing finish with the synergy of Dandelion Taurine &amp; Caffeine &amp; Vitamin E - Men Recharging Toner</t>
  </si>
  <si>
    <t>Men Recharging Toner</t>
  </si>
  <si>
    <t>http://mamonde-int.myshopify.com/cdn/shop/files/pdp_mig_2025-02-21-250221_final_KR_men_recharging_toner_PDP_thumbnail01_1.jpg?v=1751595004</t>
  </si>
  <si>
    <t>https://mamonde-int.myshopify.com/cdn/shop/files/pdp_mig_2025-02-21-250221_final_KR_men_recharging_toner_PDP_thumbnail01_1.jpg?v=1751595004</t>
  </si>
  <si>
    <t>https://mamonde-int.myshopify.com/products/pore-shrinker-bakuchiol-retinol-toner</t>
  </si>
  <si>
    <t>Pore Shrinker Bakuchiol Retinol toner | Mamonde International</t>
  </si>
  <si>
    <t>Moisturizing and firming essence water for improving inner-skin hydration from the first step - Pore Shrinker Bakuchiol Retinol toner</t>
  </si>
  <si>
    <t>Pore Shrinker Bakuchiol Retinol toner</t>
  </si>
  <si>
    <t>http://mamonde-int.myshopify.com/cdn/shop/files/pdp_mig_2024-12-11-241211_final_KR_1_shrinker_bakuchiol_retinol_toner_thumbnail_1.jpg?v=1751595006</t>
  </si>
  <si>
    <t>https://mamonde-int.myshopify.com/cdn/shop/files/pdp_mig_2024-12-11-241211_final_KR_1_shrinker_bakuchiol_retinol_toner_thumbnail_1.jpg?v=1751595006</t>
  </si>
  <si>
    <t>https://mamonde-int.myshopify.com/products/calming-shot-azulene-toner</t>
  </si>
  <si>
    <t>Calming Shot Azulene Toner | Mamonde International</t>
  </si>
  <si>
    <t>Relieves skin heat and washes down sebum. Hydrating, soothing and cooling toner, a welcome rain for skin - Calming Shot Azulene Toner</t>
  </si>
  <si>
    <t>Calming Shot Azulene Toner</t>
  </si>
  <si>
    <t>http://mamonde-int.myshopify.com/cdn/shop/files/pdp_mig_2025-02-25-250225_final_KR_01_calming_shot_azulene_toner_thumbnail_1.jpg?v=1751595042</t>
  </si>
  <si>
    <t>https://mamonde-int.myshopify.com/cdn/shop/files/pdp_mig_2025-02-25-250225_final_KR_01_calming_shot_azulene_toner_thumbnail_1.jpg?v=1751595042</t>
  </si>
  <si>
    <t>https://mamonde-int.myshopify.com/products/calming-shot-azulene-cream</t>
  </si>
  <si>
    <t>Calming Shot Azulene Cream | Mamonde International</t>
  </si>
  <si>
    <t>2-week blemish spot relief. Moisture shot reaching 20th layer of the stratum corneum! - Calming Shot Azulene Cream</t>
  </si>
  <si>
    <t>Calming Shot Azulene Cream</t>
  </si>
  <si>
    <t>http://mamonde-int.myshopify.com/cdn/shop/files/pdp_mig_2025-02-25-250225_final_KR_01_calming_shot_azulene_cream_thumbnail_1.jpg?v=1751595031</t>
  </si>
  <si>
    <t>https://mamonde-int.myshopify.com/cdn/shop/files/pdp_mig_2025-02-25-250225_final_KR_01_calming_shot_azulene_cream_thumbnail_1.jpg?v=1751595031</t>
  </si>
  <si>
    <t>https://mamonde-int.myshopify.com/products/calming-shot-azulene-ampoule-mask</t>
  </si>
  <si>
    <t>Calming Shot Azulene Ampoule Mask | Mamonde International</t>
  </si>
  <si>
    <t>Powerful soothing and effective antioxidation with azulene &amp; niacinamide - Calming Shot Azulene Ampoule Mask</t>
  </si>
  <si>
    <t>Calming Shot Azulene Ampoule Mask</t>
  </si>
  <si>
    <t>http://mamonde-int.myshopify.com/cdn/shop/files/pdp_mig_2024-05-30-240529_final_KR_calming-shot-azulene-ampoule-mask_pdp_thumbnail_01_1.jpg?v=1751594965</t>
  </si>
  <si>
    <t>https://mamonde-int.myshopify.com/cdn/shop/files/pdp_mig_2024-05-30-240529_final_KR_calming-shot-azulene-ampoule-mask_pdp_thumbnail_01_1.jpg?v=1751594965</t>
  </si>
  <si>
    <t>https://mamonde-int.myshopify.com/products/age-control-camellia-cream</t>
  </si>
  <si>
    <t>Age Control Camellia Cream | Mamonde International</t>
  </si>
  <si>
    <t>Ultimate firming and nourishing cream, verified to have 5 benefits for slow aging in 4 weeks - Age Control Camellia Cream</t>
  </si>
  <si>
    <t>Age Control Camellia Cream</t>
  </si>
  <si>
    <t>http://mamonde-int.myshopify.com/cdn/shop/files/pdp_mig_2024-10-21-241018_final_KR_agecontrol_cream_PDP_thumbnail_01_1.jpg?v=1751594987</t>
  </si>
  <si>
    <t>https://mamonde-int.myshopify.com/cdn/shop/files/pdp_mig_2024-10-21-241018_final_KR_agecontrol_cream_PDP_thumbnail_01_1.jpg?v=1751594987</t>
  </si>
  <si>
    <t>https://mamonde-int.myshopify.com/products/calming-shot-azulene-suncream</t>
  </si>
  <si>
    <t>Calming Shot Azulene Suncream SPF50+PA++++ | Mamonde International</t>
  </si>
  <si>
    <t>Watery moistness！Mild moisturizing sunscreen with azulene！ - Calming Shot Azulene Suncream SPF50+PA++++</t>
  </si>
  <si>
    <t>Calming Shot Azulene Suncream SPF50+PA++++</t>
  </si>
  <si>
    <t>http://mamonde-int.myshopify.com/cdn/shop/files/pdp_mig_2024-05-30-240528_final_KR_calming-shot-azulene-suncream-SPF50_pdp_thumbnail_01_1.jpg?v=1751594964</t>
  </si>
  <si>
    <t>https://mamonde-int.myshopify.com/cdn/shop/files/pdp_mig_2024-05-30-240528_final_KR_calming-shot-azulene-suncream-SPF50_pdp_thumbnail_01_1.jpg?v=1751594964</t>
  </si>
  <si>
    <t>https://mamonde-int.myshopify.com/products/age-control-camellia-ampoule-mask</t>
  </si>
  <si>
    <t>Age Control Camellia Ampoule Mask | Mamonde International</t>
  </si>
  <si>
    <t>Simultaneous firming, radiance-boost and antioxidation! Slow aging mask for daily dose of nutrients and bounciness - Age Control Camellia Ampoule Mask</t>
  </si>
  <si>
    <t>Age Control Camellia Ampoule Mask</t>
  </si>
  <si>
    <t>http://mamonde-int.myshopify.com/cdn/shop/files/pdp_mig_2024-10-21-241018_final_KR_agecontrol_mask_PDP_thumbnail_01_1.jpg?v=1751594967</t>
  </si>
  <si>
    <t>https://mamonde-int.myshopify.com/cdn/shop/files/pdp_mig_2024-10-21-241018_final_KR_agecontrol_mask_PDP_thumbnail_01_1.jpg?v=1751594967</t>
  </si>
  <si>
    <t>https://mamonde-int.myshopify.com/products/age-control-camellia-emulsion</t>
  </si>
  <si>
    <t>Age Control Camellia Emulsion | Mamonde International</t>
  </si>
  <si>
    <t>Moisturizing and firming emulsion, a gentle oil-moisture balancing action for enhanced firmness - Age Control Camellia Emulsion</t>
  </si>
  <si>
    <t>Age Control Camellia Emulsion</t>
  </si>
  <si>
    <t>http://mamonde-int.myshopify.com/cdn/shop/files/pdp_mig_2024-10-21-241018_final_KR_agecontrol_emulsion_PDP_thumbnail_01_1.jpg?v=1751594981</t>
  </si>
  <si>
    <t>https://mamonde-int.myshopify.com/cdn/shop/files/pdp_mig_2024-10-21-241018_final_KR_agecontrol_emulsion_PDP_thumbnail_01_1.jpg?v=1751594981</t>
  </si>
  <si>
    <t>https://mamonde-int.myshopify.com/products/age-control-camellia-serum</t>
  </si>
  <si>
    <t>Age Control Camellia Serum | Mamonde International</t>
  </si>
  <si>
    <t>Ultimate firming serum, verified to have 5 benefits for slow aging in 4 weeks - Age Control Camellia Serum</t>
  </si>
  <si>
    <t>Age Control Camellia Serum</t>
  </si>
  <si>
    <t>http://mamonde-int.myshopify.com/cdn/shop/files/pdp_mig_2024-10-21-241018_final_KR_agecontrol_serum_PDP_thumbnail_01_1.jpg?v=1751594992</t>
  </si>
  <si>
    <t>https://mamonde-int.myshopify.com/cdn/shop/files/pdp_mig_2024-10-21-241018_final_KR_agecontrol_serum_PDP_thumbnail_01_1.jpg?v=1751594992</t>
  </si>
  <si>
    <t>https://mamonde-int.myshopify.com/products/age-control-camellia-essence-water</t>
  </si>
  <si>
    <t>Age Control Camellia Essence Water | Mamonde International</t>
  </si>
  <si>
    <t>Moisturizing and firming essence water for improving inner-skin hydration from the first step - Age Control Camellia Essence Water</t>
  </si>
  <si>
    <t>Age Control Camellia Essence Water</t>
  </si>
  <si>
    <t>http://mamonde-int.myshopify.com/cdn/shop/files/pdp_mig_2024-10-21-241018_final_KR_agecontrol_essence_PDP_thumbnail_01_1.jpg?v=1751594975</t>
  </si>
  <si>
    <t>https://mamonde-int.myshopify.com/cdn/shop/files/pdp_mig_2024-10-21-241018_final_KR_agecontrol_essence_PDP_thumbnail_01_1.jpg?v=1751594975</t>
  </si>
  <si>
    <t>https://mamonde-int.myshopify.com/collections/sunscreen</t>
  </si>
  <si>
    <t>https://mamonde-int.myshopify.com/blogs/news</t>
  </si>
  <si>
    <t>Blog Page</t>
  </si>
  <si>
    <t>News | Mamonde International</t>
  </si>
  <si>
    <t>News</t>
  </si>
  <si>
    <t>Expected Launch Date</t>
    <phoneticPr fontId="6" type="noConversion"/>
  </si>
  <si>
    <t>QA Date</t>
    <phoneticPr fontId="6" type="noConversion"/>
  </si>
  <si>
    <t>Pass Rate</t>
    <phoneticPr fontId="6" type="noConversion"/>
  </si>
  <si>
    <t>QA Elements</t>
  </si>
  <si>
    <t>All Page</t>
  </si>
  <si>
    <t>Product Detail</t>
    <phoneticPr fontId="6" type="noConversion"/>
  </si>
  <si>
    <t>Product List</t>
    <phoneticPr fontId="6" type="noConversion"/>
  </si>
  <si>
    <t>Blog Page</t>
    <phoneticPr fontId="6" type="noConversion"/>
  </si>
  <si>
    <t>Total</t>
    <phoneticPr fontId="6" type="noConversion"/>
  </si>
  <si>
    <t>Status Code</t>
    <phoneticPr fontId="6" type="noConversion"/>
  </si>
  <si>
    <t>Pass</t>
    <phoneticPr fontId="6" type="noConversion"/>
  </si>
  <si>
    <t>has issues (301, 302, 404)</t>
  </si>
  <si>
    <t>Title</t>
  </si>
  <si>
    <t>has issues (separator, typo, space)</t>
  </si>
  <si>
    <t>Meta Description</t>
  </si>
  <si>
    <t>has issues (missing, duplicate)</t>
  </si>
  <si>
    <t>H1</t>
  </si>
  <si>
    <t>has issues (missing)</t>
    <phoneticPr fontId="6" type="noConversion"/>
  </si>
  <si>
    <t>Canonical</t>
  </si>
  <si>
    <t>has issues</t>
  </si>
  <si>
    <t>Social Tag</t>
    <phoneticPr fontId="6" type="noConversion"/>
  </si>
  <si>
    <t>has issues (duplicate, need check)</t>
    <phoneticPr fontId="6" type="noConversion"/>
  </si>
  <si>
    <t>Schema</t>
    <phoneticPr fontId="6" type="noConversion"/>
  </si>
  <si>
    <t>MMD INT QA Result</t>
    <phoneticPr fontId="6" type="noConversion"/>
  </si>
  <si>
    <t>URL</t>
    <phoneticPr fontId="6" type="noConversion"/>
  </si>
  <si>
    <t>Status QA</t>
    <phoneticPr fontId="6" type="noConversion"/>
  </si>
  <si>
    <t>Title QA</t>
    <phoneticPr fontId="6" type="noConversion"/>
  </si>
  <si>
    <t>Meta Description QA</t>
    <phoneticPr fontId="6" type="noConversion"/>
  </si>
  <si>
    <t>H1 Count</t>
    <phoneticPr fontId="6" type="noConversion"/>
  </si>
  <si>
    <t>H1 QA</t>
    <phoneticPr fontId="6" type="noConversion"/>
  </si>
  <si>
    <t>Canonical QA</t>
    <phoneticPr fontId="6" type="noConversion"/>
  </si>
  <si>
    <t>og type 1</t>
    <phoneticPr fontId="6" type="noConversion"/>
  </si>
  <si>
    <t>Social QA</t>
    <phoneticPr fontId="6" type="noConversion"/>
  </si>
  <si>
    <t>Schema 1</t>
    <phoneticPr fontId="6" type="noConversion"/>
  </si>
  <si>
    <t>Schema 2</t>
  </si>
  <si>
    <t>Schema 3</t>
  </si>
  <si>
    <t>Schema QA</t>
    <phoneticPr fontId="6" type="noConversion"/>
  </si>
  <si>
    <t>BreadcrumbList</t>
  </si>
  <si>
    <t>ListItem</t>
  </si>
  <si>
    <t>Organization</t>
  </si>
  <si>
    <t>Brand</t>
  </si>
  <si>
    <t>ImageObject</t>
  </si>
  <si>
    <t>2025.07.16</t>
    <phoneticPr fontId="6" type="noConversion"/>
  </si>
  <si>
    <t>need check
(blocked by robots.txt)</t>
    <phoneticPr fontId="6" type="noConversion"/>
  </si>
  <si>
    <t>missing</t>
    <phoneticPr fontId="6" type="noConversion"/>
  </si>
  <si>
    <t>multiple</t>
    <phoneticPr fontId="6" type="noConversion"/>
  </si>
  <si>
    <t>og image 1</t>
    <phoneticPr fontId="2" type="noConversion"/>
  </si>
  <si>
    <t>duplicate
(check red marked cells)</t>
    <phoneticPr fontId="6" type="noConversion"/>
  </si>
  <si>
    <t>https://mamonde-int.myshopify.com/cdn/shop/files/20240123_final_KR-maminde-BI_OG_img.jpg?v=1752043424</t>
  </si>
  <si>
    <t>http://mamonde-int.myshopify.com/cdn/shop/files/20240123_final_KR-maminde-BI_OG_img.jpg?v=1752043424</t>
  </si>
  <si>
    <t>Mamonde - Skin Care Anti-aging All Product List | Mamonde</t>
  </si>
  <si>
    <t>Anti-aging | Mamonde International</t>
  </si>
  <si>
    <t>Anti-aging</t>
  </si>
  <si>
    <t>Mamonde - Skin Care Cleansing All Product List | Mamonde</t>
  </si>
  <si>
    <t>Cleansing | Mamonde International</t>
  </si>
  <si>
    <t>Cleansing</t>
  </si>
  <si>
    <t>Mamonde - Skin Care Cream All Product List | Mamonde</t>
  </si>
  <si>
    <t>Cream | Mamonde International</t>
  </si>
  <si>
    <t>Cream</t>
  </si>
  <si>
    <t>Mamonde - Skin Care Essence/Ampoule/Serum All Product List | Mamonde</t>
  </si>
  <si>
    <t>Essence/Ampoule/Serum | Mamonde International</t>
  </si>
  <si>
    <t>Essence/Ampoule/Serum</t>
  </si>
  <si>
    <t>Mamonde - Skin Care Exfoliating All Product List | Mamonde</t>
  </si>
  <si>
    <t>Exfoliating | Mamonde International</t>
  </si>
  <si>
    <t>Exfoliating</t>
  </si>
  <si>
    <t>Mamonde - Skin Care Mask All Product List | Mamonde</t>
  </si>
  <si>
    <t>Mask | Mamonde International</t>
  </si>
  <si>
    <t>Mask</t>
  </si>
  <si>
    <t>Mamonde - Skin Care Moisturizing All Product List | Mamonde</t>
  </si>
  <si>
    <t>Moisturizing | Mamonde International</t>
  </si>
  <si>
    <t>Moisturizing</t>
  </si>
  <si>
    <t>Mamonde - Skin Care Oil-control All Product List | Mamonde</t>
  </si>
  <si>
    <t>Oil-control | Mamonde International</t>
  </si>
  <si>
    <t>Oil-control</t>
  </si>
  <si>
    <t>Mamonde - Skin Care All All Product List | Mamonde</t>
  </si>
  <si>
    <t>Skin Care | Mamonde International</t>
  </si>
  <si>
    <t>Skin Care</t>
  </si>
  <si>
    <t>Mamonde - Skin Care Skin/Lotion All Product List | Mamonde</t>
  </si>
  <si>
    <t>Skin/Lotion | Mamonde International</t>
  </si>
  <si>
    <t>Skin/Lotion</t>
  </si>
  <si>
    <t>Mamonde - Skin Care Sunscreen All Product List | Mamonde</t>
  </si>
  <si>
    <t>Sunscreen | Mamonde International</t>
  </si>
  <si>
    <t>Sunscreen</t>
  </si>
  <si>
    <t>Mamonde Best - All Product List</t>
  </si>
  <si>
    <t>Mamonde - Best Product List | Mamonde International</t>
  </si>
  <si>
    <t>YouTube - Mamonde Contents | Mamonde International</t>
  </si>
  <si>
    <t>Mamonde New - All Product List</t>
  </si>
  <si>
    <t>Mamonde - New Product List | Mamonde International</t>
  </si>
  <si>
    <t>Pore care, exfoliation, sebum control, and soothing! A deep cleansing balm crafted with three super ingredients and AHA, BHA, PHA, aiming to soften sebum and effectively eliminate blackheads and heavy makeup. - Amazing Deep Mint Cleansing Balm</t>
  </si>
  <si>
    <t>Amazing Deep Mint Cleansing Balm | Mamonde International</t>
  </si>
  <si>
    <t>Amazing Deep Mint Cleansing Balm</t>
  </si>
  <si>
    <t>Shrink your pores with a cream - Pore Shrinker Bakuchiol Cream</t>
  </si>
  <si>
    <t>Pore Shrinker Bakuchiol Cream | Mamonde International</t>
  </si>
  <si>
    <t>Pore Shrinker Bakuchiol Cream</t>
  </si>
  <si>
    <t>Shrinking pores of the butterfly zone with elastic pad - Pore Shrinker Bakuchiol Pad</t>
  </si>
  <si>
    <t>Pore Shrinker Bakuchiol Pad | Mamonde International</t>
  </si>
  <si>
    <t>Pore Shrinker Bakuchiol Pad</t>
  </si>
  <si>
    <t>Schema 4</t>
  </si>
  <si>
    <t>Schema 5</t>
  </si>
  <si>
    <t>Schema 6</t>
  </si>
  <si>
    <t>Schema 7</t>
  </si>
  <si>
    <t>Offer</t>
  </si>
  <si>
    <t>Product</t>
  </si>
  <si>
    <t>SearchAction</t>
  </si>
  <si>
    <t>WebSite</t>
  </si>
  <si>
    <t>https://mamonde-int.myshopify.com/collections/products?sort_by=best-selling</t>
    <phoneticPr fontId="2" type="noConversion"/>
  </si>
  <si>
    <t>2025.07.14</t>
    <phoneticPr fontId="6" type="noConversion"/>
  </si>
  <si>
    <t>multiple</t>
  </si>
  <si>
    <t>Blocked by robots.txt</t>
  </si>
  <si>
    <t>Non-Indexable</t>
  </si>
  <si>
    <t>1</t>
  </si>
  <si>
    <t>1.1</t>
  </si>
  <si>
    <t>Indexable</t>
  </si>
  <si>
    <t>OK</t>
  </si>
  <si>
    <t>text/html; charset=utf-8</t>
  </si>
  <si>
    <t>Client Error</t>
  </si>
  <si>
    <t>Not Found</t>
  </si>
  <si>
    <t>2</t>
  </si>
  <si>
    <t>Crawl Timestamp</t>
  </si>
  <si>
    <t>URL Encoded Address</t>
  </si>
  <si>
    <t>H1 Count 1</t>
  </si>
  <si>
    <t>og image 4</t>
  </si>
  <si>
    <t>og image 3</t>
  </si>
  <si>
    <t>og image 1</t>
  </si>
  <si>
    <t>og type 1</t>
  </si>
  <si>
    <t>HTTP Version</t>
  </si>
  <si>
    <t>Cookies</t>
  </si>
  <si>
    <t>Redirect Type</t>
  </si>
  <si>
    <t>Redirect URL</t>
  </si>
  <si>
    <t>Last Modified</t>
  </si>
  <si>
    <t>Response Time</t>
  </si>
  <si>
    <t>Hash</t>
  </si>
  <si>
    <t>Grammar Errors</t>
  </si>
  <si>
    <t>Spelling Errors</t>
  </si>
  <si>
    <t>No. Near Duplicates</t>
  </si>
  <si>
    <t>Closest Similarity Match</t>
  </si>
  <si>
    <t>Unique External JS Outlinks</t>
  </si>
  <si>
    <t>Unique External Outlinks</t>
  </si>
  <si>
    <t>External Outlinks</t>
  </si>
  <si>
    <t>Unique JS Outlinks</t>
  </si>
  <si>
    <t>Unique Outlinks</t>
  </si>
  <si>
    <t>Outlinks</t>
  </si>
  <si>
    <t>% of Total</t>
  </si>
  <si>
    <t>Unique JS Inlinks</t>
  </si>
  <si>
    <t>Unique Inlinks</t>
  </si>
  <si>
    <t>Inlinks</t>
  </si>
  <si>
    <t>Link Score</t>
  </si>
  <si>
    <t>Folder Depth</t>
  </si>
  <si>
    <t>Crawl Depth</t>
  </si>
  <si>
    <t>Text Ratio</t>
  </si>
  <si>
    <t>Readability</t>
  </si>
  <si>
    <t>Flesch Reading Ease Score</t>
  </si>
  <si>
    <t>Average Words Per Sentence</t>
  </si>
  <si>
    <t>Sentence Count</t>
  </si>
  <si>
    <t>Word Count</t>
  </si>
  <si>
    <t>Transferred (bytes)</t>
  </si>
  <si>
    <t>Size (bytes)</t>
  </si>
  <si>
    <t>amphtml Link Element</t>
  </si>
  <si>
    <t>HTTP rel="prev" 1</t>
  </si>
  <si>
    <t>HTTP rel="next" 1</t>
  </si>
  <si>
    <t>rel="prev" 1</t>
  </si>
  <si>
    <t>rel="next" 1</t>
  </si>
  <si>
    <t>Meta Refresh 1</t>
  </si>
  <si>
    <t>X-Robots-Tag 1</t>
  </si>
  <si>
    <t>Meta Robots 1</t>
  </si>
  <si>
    <t>H2-1 Length</t>
  </si>
  <si>
    <t>H2-1</t>
  </si>
  <si>
    <t>H1-2 Length</t>
  </si>
  <si>
    <t>H1-2</t>
  </si>
  <si>
    <t>H1-1 Length</t>
  </si>
  <si>
    <t>Meta Keywords 1 Length</t>
  </si>
  <si>
    <t>Meta Keywords 1</t>
  </si>
  <si>
    <t>Meta Description 1 Pixel Width</t>
  </si>
  <si>
    <t>Meta Description 1 Length</t>
  </si>
  <si>
    <t>Title 1 Pixel Width</t>
  </si>
  <si>
    <t>Title 1 Length</t>
  </si>
  <si>
    <t>Indexability Status</t>
  </si>
  <si>
    <t>Indexability</t>
  </si>
  <si>
    <t>Status</t>
  </si>
  <si>
    <t>Content Type</t>
  </si>
  <si>
    <t>Address</t>
  </si>
  <si>
    <t>Address</t>
    <phoneticPr fontId="6" type="noConversion"/>
  </si>
  <si>
    <t>H1 Count 1</t>
    <phoneticPr fontId="6" type="noConversion"/>
  </si>
  <si>
    <t>Thing</t>
  </si>
  <si>
    <t>https://www.mamonde.com/int/en/product/amazing-deep-mint-cleansing-foam.html</t>
  </si>
  <si>
    <t>https://www.mamonde.com/int/en/product/ceramide-skin-softner.html</t>
  </si>
  <si>
    <t>https://www.mamonde.com/int/en/product/skincare/category/skin/index.html</t>
  </si>
  <si>
    <t>https://www.mamonde.com/int/en/product/age-control-camellia-cream.html</t>
  </si>
  <si>
    <t>https://www.mamonde.com/int/en/brand/mamonde-garden/index.html</t>
  </si>
  <si>
    <t>https://www.mamonde.com/int/en/product/flora-glow-rose-marble-mask.html</t>
  </si>
  <si>
    <t>https://www.mamonde.com/int/en/lines/flowers/eveningprimrose/index.html</t>
  </si>
  <si>
    <t>https://www.mamonde.com/int/en/product/makeup/category/all/index.html</t>
  </si>
  <si>
    <t>https://www.mamonde.com/int/en/product/age-control-camellia-emulsion.html</t>
  </si>
  <si>
    <t>https://www.mamonde.com/int/en/index.html</t>
  </si>
  <si>
    <t>Canonicalised</t>
  </si>
  <si>
    <t>https://www.mamonde.com/int/en/product/skincare/category/all/index.html?conc=exfoliating</t>
  </si>
  <si>
    <t>https://www.mamonde.com/int/en/product/skincare/category/essence/index.html</t>
  </si>
  <si>
    <t>https://www.mamonde.com/int/en/product/probiotics-ceramide-ampoule-mask.html</t>
  </si>
  <si>
    <t>https://www.mamonde.com/int/en/product/skincare/category/cream/index.html</t>
  </si>
  <si>
    <t>https://www.mamonde.com/int/en/product/age-control-camellia-serum.html</t>
  </si>
  <si>
    <t>https://www.mamonde.com/int/en/lines/flowers/rose/index.html</t>
  </si>
  <si>
    <t>https://www.mamonde.com/int/en/product/skincare/category/sunscreen/index.html</t>
  </si>
  <si>
    <t>https://www.mamonde.com/int/en/lines/flowers/blossomingenergy/index.html</t>
  </si>
  <si>
    <t>https://www.mamonde.com/int/en/product/calming-shot-azulene-ampoule.html</t>
  </si>
  <si>
    <t>https://www.mamonde.com/int/en/product/skincare/category/all/index.html?conc=moisturizing</t>
  </si>
  <si>
    <t>https://www.mamonde.com/int/en/product/blue-azulene-cloud-toner.html</t>
  </si>
  <si>
    <t>https://www.mamonde.com/int/en/product/men-recharging-toner.html</t>
  </si>
  <si>
    <t>https://www.mamonde.com/int/en/product/ceramide-amino-foam.html</t>
  </si>
  <si>
    <t>https://www.mamonde.com/int/en/util/notice/notice.html</t>
  </si>
  <si>
    <t>https://www.mamonde.com/int/en/product/skincare/category/body/index.html</t>
  </si>
  <si>
    <t>https://www.mamonde.com/int/en/product/pore-shrinker-bakuchiol-retinol-toner.html</t>
  </si>
  <si>
    <t>https://www.mamonde.com/int/en/product/ceramide-intense-cream.html</t>
  </si>
  <si>
    <t>https://www.mamonde.com/int/en/product/ceramide-emulsion.html</t>
  </si>
  <si>
    <t>https://www.mamonde.com/int/en/brand/lounge/youtube/index.html</t>
  </si>
  <si>
    <t>https://www.mamonde.com/int/en/product/skincare/category/all/index.html</t>
  </si>
  <si>
    <t>https://www.mamonde.com/int/en/product/flora-glow-rose-water-toner.html</t>
  </si>
  <si>
    <t>https://www.mamonde.com/int/en/brand/brand-story/index.html</t>
  </si>
  <si>
    <t>https://www.mamonde.com/int/en/product/bestnew/index.html</t>
  </si>
  <si>
    <t>https://www.mamonde.com/int/en/product/age-control-camellia-ampoule-mask.html</t>
  </si>
  <si>
    <t>https://www.mamonde.com/int/en/lines/flowers/bitterorangeflower/index.html</t>
  </si>
  <si>
    <t>https://www.mamonde.com/int/en/product/skincare/category/cleansing/index.html</t>
  </si>
  <si>
    <t>https://www.mamonde.com/int/en/product/men/category/all/index.html</t>
  </si>
  <si>
    <t>https://www.mamonde.com/int/en/product/skincare/category/all/index.html?conc=oil-control</t>
  </si>
  <si>
    <t>https://www.mamonde.com/int/en/product/pore-shrinker-bakuchiol-cream.html</t>
  </si>
  <si>
    <t>https://www.mamonde.com/int/en/product/flora-glow-rose-tinted-sun-serum.html</t>
  </si>
  <si>
    <t>https://www.mamonde.com/int/en/brand/lounge/sns/index.html</t>
  </si>
  <si>
    <t>https://www.mamonde.com/int/en/layout/menu/menu.html</t>
  </si>
  <si>
    <t>Type-5</t>
  </si>
  <si>
    <t>Type-4</t>
  </si>
  <si>
    <t>Type-3</t>
  </si>
  <si>
    <t>Type-2</t>
  </si>
  <si>
    <t>Type-1</t>
  </si>
  <si>
    <t>Unique Types</t>
  </si>
  <si>
    <t>Total Types</t>
  </si>
  <si>
    <t>Warnings</t>
  </si>
  <si>
    <t>Errors</t>
  </si>
  <si>
    <t>Type-1</t>
    <phoneticPr fontId="6" type="noConversion"/>
  </si>
  <si>
    <t>Type-6</t>
  </si>
  <si>
    <t>Status Code QA</t>
    <phoneticPr fontId="6" type="noConversion"/>
  </si>
  <si>
    <t>Social Tag QA</t>
    <phoneticPr fontId="6" type="noConversion"/>
  </si>
  <si>
    <t>RYO HK QA Result</t>
    <phoneticPr fontId="6" type="noConversion"/>
  </si>
  <si>
    <t>2025.07.30</t>
    <phoneticPr fontId="6" type="noConversion"/>
  </si>
  <si>
    <t>2025.07.21</t>
    <phoneticPr fontId="6" type="noConversion"/>
  </si>
  <si>
    <t>https://ryo-hk.myshopify.com/</t>
  </si>
  <si>
    <t>呂 RYO 官方網站 | RYO Hong Kong</t>
  </si>
  <si>
    <t>呂Ryo以獨有的「頭皮科學」研究經驗融合韓方成分進行產品研發，解決顧客的頭皮困擾、實現頭皮的最佳均衡狀態。</t>
  </si>
  <si>
    <t>RYO HK</t>
  </si>
  <si>
    <t>http://ryo-hk.myshopify.com/cdn/shop/files/ryo_og_image.jpg?v=1749606307</t>
  </si>
  <si>
    <t>https://ryo-hk.myshopify.com/cdn/shop/files/ryo_og_image.jpg?v=1749606307</t>
  </si>
  <si>
    <t>1920</t>
  </si>
  <si>
    <t>1110</t>
  </si>
  <si>
    <t>0</t>
  </si>
  <si>
    <t>https://ryo-hk.myshopify.com/policies/privacy-policy</t>
  </si>
  <si>
    <t>https://ryo-hk.myshopify.com/pages/product-map</t>
  </si>
  <si>
    <t>全系列產品 | RYO Hong Kong</t>
  </si>
  <si>
    <t>https://ryo-hk.myshopify.com/collections/essence</t>
  </si>
  <si>
    <t>防脫髮精華</t>
  </si>
  <si>
    <t>5</t>
  </si>
  <si>
    <t>https://ryo-hk.myshopify.com/collections/hair-cushion</t>
  </si>
  <si>
    <t>焗髮遮瑕氣墊棒</t>
  </si>
  <si>
    <t>https://ryo-hk.myshopify.com/products/hair-loss-expert-care-shampoo-for-dry-scalp</t>
  </si>
  <si>
    <t>呂 韓蔘滋養防脫髮洗髮液 (中乾性頭皮適用) 400毫升 | RYO Hong Kong</t>
  </si>
  <si>
    <t>【呂】經40年人蔘研究，以獨家Ginsen9EX™防脫專利技術，差壓提取法萃取高濃度韓國人蔘精華，揉合官方認證咖啡因防脫髮成分，修復受損頭皮，強韌保護髮根，有效解決掉髮現象，養護濃密秀髮。 集中護理脫髮症狀，保濕滋潤乾旱頭皮 7大無添加：動物性原料、礦物油 、聚丙烯酰胺、人工色素、尿素醛、三乙醇胺 、矽靈 - 呂 韓蔘滋養防脫髮洗髮液 (中乾性頭皮適用) 400毫升</t>
  </si>
  <si>
    <t>呂 韓蔘滋養防脫髮洗髮液 (中乾性頭皮適用) 400毫升</t>
  </si>
  <si>
    <t>http://ryo-hk.myshopify.com/cdn/shop/files/pdp_mig_2021-09-17-20210917_tw_final_dry_thumbnails_pc_02_1.png?v=1751933528</t>
  </si>
  <si>
    <t>https://ryo-hk.myshopify.com/cdn/shop/files/pdp_mig_2021-09-17-20210917_tw_final_dry_thumbnails_pc_02_1.png?v=1751933528</t>
  </si>
  <si>
    <t>500</t>
  </si>
  <si>
    <t>https://ryo-hk.myshopify.com/pages/ryo-award</t>
  </si>
  <si>
    <t>呂獲獎經歷 | RYO Hong Kong</t>
  </si>
  <si>
    <t>韓方高級護髮品牌呂RYO獲獎歷程</t>
  </si>
  <si>
    <t>https://ryo-hk.myshopify.com/products/hwayoon-program-scalp-essence</t>
  </si>
  <si>
    <t>呂 極蔘潤黑防脫髮精華療程 | RYO Hong Kong</t>
  </si>
  <si>
    <t>呂 極尊系列，韓國限售，首度香港公開發售。古法韓方預防落髮，潤黑髮色，毛髮蓬鬆，改善明顯薄髮問題。 配方含韓方水複合物8大精華成份：人蔘、茯苓、蜂蜜、綠茶、黑豆、山地黃、何首烏、當藥 不僅可改善薄髮症狀，還能鎮靜頭皮，增加頭髮蓬鬆度，潤澤髮絲等方面進行全面護理。 - 呂 極蔘潤黑防脫髮精華療程</t>
  </si>
  <si>
    <t>呂 極蔘潤黑防脫髮精華療程</t>
  </si>
  <si>
    <t>http://ryo-hk.myshopify.com/cdn/shop/files/pdp_mig_2022-05-17-2022051_hk_final_ampoule_container_thumb_pc_3.jpg?v=1751933590</t>
  </si>
  <si>
    <t>https://ryo-hk.myshopify.com/cdn/shop/files/pdp_mig_2022-05-17-2022051_hk_final_ampoule_container_thumb_pc_3.jpg?v=1751933590</t>
  </si>
  <si>
    <t>https://ryo-hk.myshopify.com/products/ginsengbo-super-revital-total-care-shampoo-dry</t>
  </si>
  <si>
    <t>呂 韓蔘靈芝亮澤強韌洗髮液 (中乾性頭皮適用) 400毫升 | RYO Hong Kong</t>
  </si>
  <si>
    <t>蘊含珍稀靈芝及5大韓蔘成分 防斷髮, 富予頭髮亮澤空氣感 改善隨年齡增長而出現的頭皮老化及缺乏光澤活力的髪絲 - 呂 韓蔘靈芝亮澤強韌洗髮液 (中乾性頭皮適用) 400毫升</t>
  </si>
  <si>
    <t>呂 韓蔘靈芝亮澤強韌洗髮液 (中乾性頭皮適用) 400毫升</t>
  </si>
  <si>
    <t>http://ryo-hk.myshopify.com/cdn/shop/files/pdp_mig_2022-05-25-20220525_hk_final_Ginsengbo_Total_Care_Shampoo_thumb_pc_1_1.jpg?v=1751933590</t>
  </si>
  <si>
    <t>https://ryo-hk.myshopify.com/cdn/shop/files/pdp_mig_2022-05-25-20220525_hk_final_Ginsengbo_Total_Care_Shampoo_thumb_pc_1_1.jpg?v=1751933590</t>
  </si>
  <si>
    <t>https://ryo-hk.myshopify.com/pages/brand-ryo</t>
  </si>
  <si>
    <t>呂的故事 | RYO Hong Kong</t>
  </si>
  <si>
    <t>呂的故事</t>
  </si>
  <si>
    <t>https://ryo-hk.myshopify.com/collections/conditioner-treatment</t>
  </si>
  <si>
    <t>護髮精華素及潤髮乳</t>
  </si>
  <si>
    <t>https://ryo-hk.myshopify.com/products/hair-loss-expert-care-shampoo-for-anti-dandruff</t>
  </si>
  <si>
    <t>呂 韓參滋養防脫髮洗髮液 (去屑止癢適用) 400毫升 | RYO Hong Kong</t>
  </si>
  <si>
    <t>【呂】經40年人蔘研究，以獨家Ginsen9EX™防脫專利技術，差壓提取法萃取高濃度韓國人蔘精華，揉合官方認證咖啡因防脫髮成分，修復受損頭皮，強韌保護髮根，有效解決掉髮現象，養護濃密秀髮。 集中護理脫髮症狀，清爽去屑，舒緩頭皮痕癢 7大無添加：動物性原料、礦物油 、尿素醛、三乙醇胺、人工色素、矽靈、皂鹼 - 呂 韓參滋養防脫髮洗髮液 (去屑止癢適用) 400毫升</t>
  </si>
  <si>
    <t>呂 韓參滋養防脫髮洗髮液 (去屑止癢適用) 400毫升</t>
  </si>
  <si>
    <t>http://ryo-hk.myshopify.com/cdn/shop/files/pdp_mig_2021-09-17-20210917_tw_final_weak-hair_thumbnails_pc_02_1.png?v=1751933559</t>
  </si>
  <si>
    <t>https://ryo-hk.myshopify.com/cdn/shop/files/pdp_mig_2021-09-17-20210917_tw_final_weak-hair_thumbnails_pc_02_1.png?v=1751933559</t>
  </si>
  <si>
    <t>https://ryo-hk.myshopify.com/collections/hair-loss-care</t>
  </si>
  <si>
    <t>防護早期脫髮</t>
  </si>
  <si>
    <t>https://ryo-hk.myshopify.com/products/hair-loss-expert-care-shampoo-for-sensitive-scalp</t>
  </si>
  <si>
    <t>呂 韓蔘滋養防脫髮洗髮液 (敏感性頭皮適用) 400毫升 | RYO Hong Kong</t>
  </si>
  <si>
    <t>【呂】經40年人蔘研究，以獨家Ginsen9EX™防脫專利技術，差壓提取法萃取高濃度韓國人蔘精華，揉合官方認證咖啡因防脫髮成分，修復受損頭皮，強韌保護髮根，有效解決掉髮現象，養護濃密秀髮。 集中護理脫髮症狀，溫和舒緩敏感脆弱頭皮 7大無添加：動物性原料、礦物油 、聚丙烯酰胺、人工色素、尿素醛、三乙醇胺 、矽靈 - 呂 韓蔘滋養防脫髮洗髮液 (敏感性頭皮適用) 400毫升</t>
  </si>
  <si>
    <t>呂 韓蔘滋養防脫髮洗髮液 (敏感性頭皮適用) 400毫升</t>
  </si>
  <si>
    <t>http://ryo-hk.myshopify.com/cdn/shop/files/pdp_mig_2021-09-17-20210917_tw_final_oily-and-dry_thumbnails_pc_03_1.png?v=1751933546</t>
  </si>
  <si>
    <t>https://ryo-hk.myshopify.com/cdn/shop/files/pdp_mig_2021-09-17-20210917_tw_final_oily-and-dry_thumbnails_pc_03_1.png?v=1751933546</t>
  </si>
  <si>
    <t>https://ryo-hk.myshopify.com/products/hair-loss-expert-care-shampoo-for-weak-hair</t>
  </si>
  <si>
    <t>呂 韓參滋養防脫髮洗髮液 (軟弱扁塌髮質適用) 400毫升 | RYO Hong Kong</t>
  </si>
  <si>
    <t>【呂】經40年人蔘研究，以獨家Ginsen9EX™防脫專利技術，差壓提取法萃取高濃度韓國人蔘精華，揉合官方認證咖啡因防脫髮成分，修復受損頭皮，強韌保護髮根，有效解決掉髮現象，養護濃密秀髮。 集中護理脫髮症狀，從髮根塑造濃密豐盈感 7大無添加：動物性原料、礦物油 、聚丙烯酰胺、人工色素、尿素醛、三乙醇胺 、矽靈 - 呂 韓參滋養防脫髮洗髮液 (軟弱扁塌髮質適用) 400毫升</t>
  </si>
  <si>
    <t>呂 韓參滋養防脫髮洗髮液 (軟弱扁塌髮質適用) 400毫升</t>
  </si>
  <si>
    <t>http://ryo-hk.myshopify.com/cdn/shop/files/pdp_mig_2021-09-17-20210917_tw_final_weak-hair_thumbnails_pc_01_1.png?v=1751933559</t>
  </si>
  <si>
    <t>https://ryo-hk.myshopify.com/cdn/shop/files/pdp_mig_2021-09-17-20210917_tw_final_weak-hair_thumbnails_pc_01_1.png?v=1751933559</t>
  </si>
  <si>
    <t>https://ryo-hk.myshopify.com/collections/super-revital</t>
  </si>
  <si>
    <t>改善易斷髮絲</t>
  </si>
  <si>
    <t>https://ryo-hk.myshopify.com/collections/scalp-deep-cleansing</t>
  </si>
  <si>
    <t>深層潔淨油性髮質</t>
  </si>
  <si>
    <t>https://ryo-hk.myshopify.com/blogs/brand-video/1316670_20719</t>
  </si>
  <si>
    <t>2021 NEW RYO 專屬於 #呂的頭皮科學 (全紀錄)</t>
  </si>
  <si>
    <t>article</t>
  </si>
  <si>
    <t>https://ryo-hk.myshopify.com/collections/damage-care</t>
  </si>
  <si>
    <t>修護受損髮質</t>
  </si>
  <si>
    <t>https://ryo-hk.myshopify.com/products/hair-loss-expert-care-treatment-deep-nutrition</t>
  </si>
  <si>
    <t>呂 韓蔘滋養防脫護髮精華素 (滋養髮絲適用) 330毫升 | RYO Hong Kong</t>
  </si>
  <si>
    <t>【呂】經40年人蔘研究，以獨家Ginsen9EX™防脫專利技術，差壓提取法萃取高濃度韓國人蔘精華，揉合官方認證咖啡因防脫髮成分，修復受損頭皮，強韌保護髮根，有效解決掉髮現象，養護濃密秀髮。 改善毛躁，髮絲回復彈性光澤，適合每日使用於頭皮及髮絲 7大無添加：動物性原料、礦物油 、聚丙烯酰胺、人工色素、尿素醛、三乙醇胺 、矽靈 - 呂 韓蔘滋養防脫護髮精華素 (滋養髮絲適用) 330毫升</t>
  </si>
  <si>
    <t>呂 韓蔘滋養防脫護髮精華素 (滋養髮絲適用) 330毫升</t>
  </si>
  <si>
    <t>http://ryo-hk.myshopify.com/cdn/shop/files/pdp_mig_2021-10-06-20210429_final_treatment_thumbnails_pc_02_1.png?v=1751933549</t>
  </si>
  <si>
    <t>https://ryo-hk.myshopify.com/cdn/shop/files/pdp_mig_2021-10-06-20210429_final_treatment_thumbnails_pc_02_1.png?v=1751933549</t>
  </si>
  <si>
    <t>https://ryo-hk.myshopify.com/products/hair-loss-expert-care-treatment-root-strength</t>
  </si>
  <si>
    <t>呂 韓蔘滋養防脫護髮精華素 (強化髮根適用) 330毫升 | RYO Hong Kong</t>
  </si>
  <si>
    <t>【呂】經40年人蔘研究，以獨家Ginsen9EX™防脫專利技術，差壓提取法萃取高濃度韓國人蔘精華，揉合官方認證咖啡因防脫髮成分，修復受損頭皮，強韌保護髮根，有效解決掉髮現象，養護濃密秀髮。 改善扁塌，髮根倍添豐盈強韌，適合每日使用於頭皮及髮絲 7大無添加：動物性原料、礦物油 、聚丙烯酰胺、人工色素、尿素醛、三乙醇胺 、矽靈 - 呂 韓蔘滋養防脫護髮精華素 (強化髮根適用) 330毫升</t>
  </si>
  <si>
    <t>呂 韓蔘滋養防脫護髮精華素 (強化髮根適用) 330毫升</t>
  </si>
  <si>
    <t>http://ryo-hk.myshopify.com/cdn/shop/files/pdp_mig_2021-10-06-20210429_final_treatment_thumbnails_pc_01_1.png?v=1751933546</t>
  </si>
  <si>
    <t>https://ryo-hk.myshopify.com/cdn/shop/files/pdp_mig_2021-10-06-20210429_final_treatment_thumbnails_pc_01_1.png?v=1751933546</t>
  </si>
  <si>
    <t>https://ryo-hk.myshopify.com/pages/sitemap</t>
  </si>
  <si>
    <t>网站地图 | RYO Hong Kong</t>
  </si>
  <si>
    <t>网站地图</t>
  </si>
  <si>
    <t>https://ryo-hk.myshopify.com/pages/ryo-story</t>
  </si>
  <si>
    <t>韓方 No.1 呂</t>
  </si>
  <si>
    <t>https://ryo-hk.myshopify.com/collections/beautiful-aging-care</t>
  </si>
  <si>
    <t>修復明顯脫髮</t>
  </si>
  <si>
    <t>https://ryo-hk.myshopify.com/pages/product-story-material</t>
  </si>
  <si>
    <t>韓方原料及產品成分 | RYO Hong Kong</t>
  </si>
  <si>
    <t>韓方原料及產品成分</t>
  </si>
  <si>
    <t>https://ryo-hk.myshopify.com/policies/terms-of-service</t>
  </si>
  <si>
    <t>https://ryo-hk.myshopify.com/collections/shampoo</t>
  </si>
  <si>
    <t>洗髮液</t>
  </si>
  <si>
    <t>古法韓方預防掉髮，蘊含高濃縮韓方珍貴草藥成分， 「蔘」入頭皮髮根，滋養頭皮毛孔，髮根強韌如蔘， 潤黑髮色，改善明顯脫髮問題</t>
  </si>
  <si>
    <t>http://ryo-hk.myshopify.com/cdn/shop/collections/ryo_og_image.jpg?v=1751259424</t>
  </si>
  <si>
    <t>https://ryo-hk.myshopify.com/cdn/shop/collections/ryo_og_image.jpg?v=1751259424</t>
  </si>
  <si>
    <t>https://ryo-hk.myshopify.com/products/hair-loss-expert-care-shampoo-for-oly-scalp</t>
  </si>
  <si>
    <t>呂 韓蔘滋養防脫髮洗髮液 (油性頭皮適用) 400毫升 | RYO Hong Kong</t>
  </si>
  <si>
    <t>【呂】經40年人蔘研究，以獨家Ginsen9EX™防脫專利技術，差壓提取法萃取高濃度韓國人蔘精華，揉合官方認證咖啡因防脫髮成分，修復受損頭皮，強韌保護髮根，有效解決掉髮現象，養護濃密秀髮。 集中護理脫髮症狀，保持頭皮清爽潔淨 7大無添加：動物性原料、礦物油 、聚丙烯酰胺、人工色素、尿素醛、三乙醇胺 、矽靈 - 呂 韓蔘滋養防脫髮洗髮液 (油性頭皮適用) 400毫升</t>
  </si>
  <si>
    <t>呂 韓蔘滋養防脫髮洗髮液 (油性頭皮適用) 400毫升</t>
  </si>
  <si>
    <t>http://ryo-hk.myshopify.com/cdn/shop/files/pdp_mig_2021-09-17-20210917_tw_final_oily_thumbnails_pc_01_1.png?v=1751933538</t>
  </si>
  <si>
    <t>https://ryo-hk.myshopify.com/cdn/shop/files/pdp_mig_2021-09-17-20210917_tw_final_oily_thumbnails_pc_01_1.png?v=1751933538</t>
  </si>
  <si>
    <t>https://ryo-hk.myshopify.com/products/damage-care-nourishing-shampoo</t>
  </si>
  <si>
    <t>呂 韓方修護洗髮液 (受損髮質適用) 550毫升 | RYO Hong Kong</t>
  </si>
  <si>
    <t>含100%濟州產發酵山茶花油，瞬間修復集中滋養，強健髮根，增加光澤。 山茶花油 - 改善髮絲分叉 五味子 - 滋養並強健髮根 石榴 - 潤澤髮絲彈力修護 5大無添加：人工色素、礦物油、聚丙烯酰胺、尿素醛、三乙醇胺 - 呂 韓方修護洗髮液 (受損髮質適用) 550毫升</t>
  </si>
  <si>
    <t>呂 韓方修護洗髮液 (受損髮質適用) 550毫升</t>
  </si>
  <si>
    <t>http://ryo-hk.myshopify.com/cdn/shop/files/pdp_mig_2025-05-16-250512_final_HK_RYO_pdp_thumbnail_Damage_Care_Nourishign_Shampoo_1.jpg?v=1751933528</t>
  </si>
  <si>
    <t>https://ryo-hk.myshopify.com/cdn/shop/files/pdp_mig_2025-05-16-250512_final_HK_RYO_pdp_thumbnail_Damage_Care_Nourishign_Shampoo_1.jpg?v=1751933528</t>
  </si>
  <si>
    <t>https://ryo-hk.myshopify.com/collections/hair-strengthen-volume</t>
  </si>
  <si>
    <t>豐盈幼弱扁塌髮質</t>
  </si>
  <si>
    <t>https://ryo-hk.myshopify.com/products/deep-cleansing-cooling-shampoo</t>
  </si>
  <si>
    <t>呂 韓方修護洗髮液 (油性髮質適用) 550毫升 | RYO Hong Kong</t>
  </si>
  <si>
    <t>含100%韓國產薄荷發酵液，99%去除頭皮髮絲污垢，淨化頭皮，深層清潔，調節皮脂。 發酵薄荷液 - 清潔頭皮過多油脂 松針 - 淨化並改善頭皮環境 綠茶 - 去屑止癢 5大無添加：矽靈、礦物油 、聚丙烯酰胺、尿素醛、焦油系色素 - 呂 韓方修護洗髮液 (油性髮質適用) 550毫升</t>
  </si>
  <si>
    <t>呂 韓方修護洗髮液 (油性髮質適用) 550毫升</t>
  </si>
  <si>
    <t>http://ryo-hk.myshopify.com/cdn/shop/files/pdp_mig_2025-05-16-250512_final_HK_RYO_pdp_thumbnail_Deep_Cleansing_Cooling_Shampoo_1.jpg?v=1751933518</t>
  </si>
  <si>
    <t>https://ryo-hk.myshopify.com/cdn/shop/files/pdp_mig_2025-05-16-250512_final_HK_RYO_pdp_thumbnail_Deep_Cleansing_Cooling_Shampoo_1.jpg?v=1751933518</t>
  </si>
  <si>
    <t>https://ryo-hk.myshopify.com/pages/product-story-design</t>
  </si>
  <si>
    <t>呂的設計 | RYO Hong Kong</t>
  </si>
  <si>
    <t>呂的設計</t>
  </si>
  <si>
    <t>https://ryo-hk.myshopify.com/blogs/brand-video/1237092_20719</t>
  </si>
  <si>
    <t>https://ryo-hk.myshopify.com/blogs/brand-video/1300369_20719</t>
  </si>
  <si>
    <t>https://ryo-hk.myshopify.com/blogs/brand-video/1237091_20719</t>
  </si>
  <si>
    <t>https://ryo-hk.myshopify.com/pages/brand-philosophy</t>
  </si>
  <si>
    <t>美的呂程 | RYO Hong Kong</t>
  </si>
  <si>
    <t>https://ryo-hk.myshopify.com/pages/brand-ginseng</t>
  </si>
  <si>
    <t>高麗人蔘 | RYO Hong Kong</t>
  </si>
  <si>
    <t>https://ryo-hk.myshopify.com/pages/brand-heukyun</t>
  </si>
  <si>
    <t>黑潤生氣 | RYO Hong Kong</t>
  </si>
  <si>
    <t>https://ryo-hk.myshopify.com/products/hwayoon-anti-hair-loss-pack</t>
  </si>
  <si>
    <t>呂 極蔘潤黑防脫護髮精華素 230毫升 | RYO Hong Kong</t>
  </si>
  <si>
    <t>呂 極尊系列，韓國限售，首度香港公開發售。古法韓方預防落髮，潤黑髮色，毛髮蓬鬆，改善明顯薄髮問題。 配方含韓方水複合物8大精華成份：人蔘、茯苓、蜂蜜、綠茶、黑豆、山地黃、何首烏、當藥 不僅可改善薄髮症狀，還能鎮靜頭皮，增加頭髮蓬鬆度，潤澤髮絲等方面進行全面護理。 - 呂 極蔘潤黑防脫護髮精華素 230毫升</t>
  </si>
  <si>
    <t>呂 極蔘潤黑防脫護髮精華素 230毫升</t>
  </si>
  <si>
    <t>http://ryo-hk.myshopify.com/cdn/shop/files/pdp_mig_2022-05-17-2022051_hk_final_hairpack_thumb_pc_1.jpg?v=1751933581</t>
  </si>
  <si>
    <t>https://ryo-hk.myshopify.com/cdn/shop/files/pdp_mig_2022-05-17-2022051_hk_final_hairpack_thumb_pc_1.jpg?v=1751933581</t>
  </si>
  <si>
    <t>https://ryo-hk.myshopify.com/products/hair-strengthen-volume-conditioner</t>
  </si>
  <si>
    <t>呂 韓方修護潤髪乳 (幼弱髮質適用) 480毫升 | RYO Hong Kong</t>
  </si>
  <si>
    <t>專利黑豆成分 - 強健髮根補充頭皮營養，改善細軟無力。啤酒酵母成分 - 增加頭皮及髮根彈性，保持豐盈蓬鬆。6大無添加：動物性原料、礦物油 、聚丙烯酰胺、人工色素、尿素醛、三乙醇胺。弱酸性及全素配方，溫和親膚。 - 呂 韓方修護潤髪乳 (幼弱髮質適用) 480毫升</t>
  </si>
  <si>
    <t>呂 韓方修護潤髪乳 (幼弱髮質適用) 480毫升</t>
  </si>
  <si>
    <t>http://ryo-hk.myshopify.com/cdn/shop/files/pdp_mig_2025-05-16-250512_final_HK_RYO_pdp_thumbnail_Hair_Strengthen_Volume_Conditioner_1.jpg?v=1751933598</t>
  </si>
  <si>
    <t>https://ryo-hk.myshopify.com/cdn/shop/files/pdp_mig_2025-05-16-250512_final_HK_RYO_pdp_thumbnail_Hair_Strengthen_Volume_Conditioner_1.jpg?v=1751933598</t>
  </si>
  <si>
    <t>https://ryo-hk.myshopify.com/products/hair-cushion-natural-brown</t>
  </si>
  <si>
    <t>呂 煥髮遮瑕氣墊棒5.0(自然啡) | RYO Hong Kong</t>
  </si>
  <si>
    <t>防汗水，洗髮時用洗髮水沖洗便可。為髮絲添上光澤感。氣墊質地輕柔易推開氣墊質地輕柔易推開。山茶花油為髮絲添上光澤，側柏萃取為頭皮添加養分，綠茶萃取有效強化髮根。 - 呂 煥髮遮瑕氣墊棒5.0(自然啡)</t>
  </si>
  <si>
    <t>呂 煥髮遮瑕氣墊棒5.0(自然啡)</t>
  </si>
  <si>
    <t>http://ryo-hk.myshopify.com/cdn/shop/files/pdp_mig_2025-05-16-250512_final_HK_RYO_pdp_thumbnail_Hair_Cushion_Pack_5.0_1.jpg?v=1751933605</t>
  </si>
  <si>
    <t>https://ryo-hk.myshopify.com/cdn/shop/files/pdp_mig_2025-05-16-250512_final_HK_RYO_pdp_thumbnail_Hair_Cushion_Pack_5.0_1.jpg?v=1751933605</t>
  </si>
  <si>
    <t>https://ryo-hk.myshopify.com/products/hambit-hair-strengthener-conditioner</t>
  </si>
  <si>
    <t>呂 韓方修護潤髪乳 (受損髮質適用) 550毫升 | RYO Hong Kong</t>
  </si>
  <si>
    <t>含100%濟州產發酵山茶花油，瞬間修復集中滋養，強健髮根，增加光澤。 山茶花油 - 改善髮絲分叉 五味子 - 滋養並強健髮根 石榴 - 潤澤髮絲彈力修護 5大無添加：人工色素、礦物油、聚丙烯酰胺、尿素醛、三乙醇胺 - 呂 韓方修護潤髪乳 (受損髮質適用) 550毫升</t>
  </si>
  <si>
    <t>呂 韓方修護潤髪乳 (受損髮質適用) 550毫升</t>
  </si>
  <si>
    <t>http://ryo-hk.myshopify.com/cdn/shop/files/pdp_mig_2025-05-16-250512_final_HK_RYO_pdp_thumbnail_Damage_Care_Nourishign_Conditioner_1.jpg?v=1751933519</t>
  </si>
  <si>
    <t>https://ryo-hk.myshopify.com/cdn/shop/files/pdp_mig_2025-05-16-250512_final_HK_RYO_pdp_thumbnail_Damage_Care_Nourishign_Conditioner_1.jpg?v=1751933519</t>
  </si>
  <si>
    <t>https://ryo-hk.myshopify.com/products/hwayoon-anti-hair-loss-shampoo</t>
  </si>
  <si>
    <t>呂 極蔘潤黑防脫髮洗髮液 350毫升 | RYO Hong Kong</t>
  </si>
  <si>
    <t>呂 極尊系列，韓國限售，首度香港公開發售。古法韓方預防落髮，潤黑髮色，毛髮蓬鬆，改善明顯薄髮問題。 配方含韓方水複合物8大精華成份：人蔘、茯苓、蜂蜜、綠茶、黑豆、山地黃、何首烏、當藥 不僅可改善薄髮症狀，還能鎮靜頭皮，增加頭髮蓬鬆度，潤澤髮絲等方面進行全面護理。 - 呂 極蔘潤黑防脫髮洗髮液 350毫升</t>
  </si>
  <si>
    <t>呂 極蔘潤黑防脫髮洗髮液 350毫升</t>
  </si>
  <si>
    <t>http://ryo-hk.myshopify.com/cdn/shop/files/pdp_mig_2022-05-17-2022051_hk_final_shampoo_thumb_pc_1.jpg?v=1751933580</t>
  </si>
  <si>
    <t>https://ryo-hk.myshopify.com/cdn/shop/files/pdp_mig_2022-05-17-2022051_hk_final_shampoo_thumb_pc_1.jpg?v=1751933580</t>
  </si>
  <si>
    <t>https://ryo-hk.myshopify.com/products/hair-cushion-dark-brown</t>
  </si>
  <si>
    <t>呂 煥髮遮瑕氣墊棒4.0(深啡) | RYO Hong Kong</t>
  </si>
  <si>
    <t>防汗水，洗髮時用洗髮水沖洗便可。為髮絲添上光澤感。氣墊質地輕柔易推開。山茶花油為髮絲添上光澤，側柏萃取為頭皮添加養分，綠茶萃取有效強化髮根。 - 呂 煥髮遮瑕氣墊棒4.0(深啡)</t>
  </si>
  <si>
    <t>呂 煥髮遮瑕氣墊棒4.0(深啡)</t>
  </si>
  <si>
    <t>http://ryo-hk.myshopify.com/cdn/shop/files/pdp_mig_2025-05-16-250512_final_HK_RYO_pdp_thumbnail_Hair_Cushion_Pack_4.0_1.jpg?v=1751933601</t>
  </si>
  <si>
    <t>https://ryo-hk.myshopify.com/cdn/shop/files/pdp_mig_2025-05-16-250512_final_HK_RYO_pdp_thumbnail_Hair_Cushion_Pack_4.0_1.jpg?v=1751933601</t>
  </si>
  <si>
    <t>https://ryo-hk.myshopify.com/products/damage-care-nourishing-treatment</t>
  </si>
  <si>
    <t>呂韓方修護精華素 (受損髮質適用) 300毫升 | RYO Hong Kong</t>
  </si>
  <si>
    <t>【呂】 專利山茶花油成分 - 改善髮絲乾旱分叉，修護燙染損傷。石榴精華 - 潤澤髮絲，彈力修護。6大無添加：動物性原料、礦物油 、聚丙烯酰胺、人工色素、尿素醛、三乙醇胺。弱酸性及全素配方，溫和親膚 - 呂韓方修護精華素 (受損髮質適用) 300毫升</t>
  </si>
  <si>
    <t>呂韓方修護精華素 (受損髮質適用) 300毫升</t>
  </si>
  <si>
    <t>http://ryo-hk.myshopify.com/cdn/shop/files/pdp_mig_2025-05-16-250512_final_HK_RYO_pdp_thumbnail_Damage_Care_Nourishign_Treatment_1.jpg?v=1751933590</t>
  </si>
  <si>
    <t>https://ryo-hk.myshopify.com/cdn/shop/files/pdp_mig_2025-05-16-250512_final_HK_RYO_pdp_thumbnail_Damage_Care_Nourishign_Treatment_1.jpg?v=1751933590</t>
  </si>
  <si>
    <t>https://ryo-hk.myshopify.com/products/hair-strengthen-volume-shampoo</t>
  </si>
  <si>
    <t>呂 韓方修護洗髮液 (幼弱髮質適用) 480毫升 | RYO Hong Kong</t>
  </si>
  <si>
    <t>專利黑豆成分 - 強健髮根補充頭皮營養，改善細軟無力。啤酒酵母成分 - 增加頭皮及髮根彈性，保持豐盈蓬鬆。8大無添加：動物性原料、礦物油 、聚丙烯酰胺、人工色素、尿素醛、三乙醇胺 、滑石、起泡劑。弱酸性及全素配方，溫和親膚。 - 呂 韓方修護洗髮液 (幼弱髮質適用) 480毫升</t>
  </si>
  <si>
    <t>呂 韓方修護洗髮液 (幼弱髮質適用) 480毫升</t>
  </si>
  <si>
    <t>http://ryo-hk.myshopify.com/cdn/shop/files/pdp_mig_2025-05-16-250512_final_HK_RYO_pdp_thumbnail_Hair_Strengthen_Volume_Shampoo_1.jpg?v=1751933594</t>
  </si>
  <si>
    <t>https://ryo-hk.myshopify.com/cdn/shop/files/pdp_mig_2025-05-16-250512_final_HK_RYO_pdp_thumbnail_Hair_Strengthen_Volume_Shampoo_1.jpg?v=1751933594</t>
  </si>
  <si>
    <t>https://ryo-hk.myshopify.com/blogs/brand-video</t>
  </si>
  <si>
    <t>品牌廣告片</t>
  </si>
  <si>
    <t>https://ryo-hk.myshopify.com/pages/contact</t>
  </si>
  <si>
    <t>Contact</t>
  </si>
  <si>
    <t>https://ryo-hk.myshopify.com/pages/ngbw-status</t>
  </si>
  <si>
    <t>NGBW 퍼블리싱 작업 현황판 - RYO</t>
  </si>
  <si>
    <t>RYO</t>
  </si>
  <si>
    <t>https://cdn.shopify.com/s/files/1/0927/1558/1747/files/ryo_og_image.jpg?v=1749606307</t>
  </si>
  <si>
    <t>https://ryo-hk.myshopify.com/blogs/news</t>
  </si>
  <si>
    <t>ASK AESTURA</t>
  </si>
  <si>
    <t>https://ryo-hk.myshopify.com/collections/hairloss_expert_line</t>
  </si>
  <si>
    <t>呂 韓參滋養防脫髮系列</t>
  </si>
  <si>
    <t>以獨家Ginsen9EX™防脫專利技術萃取高濃度韓國人蔘精華，修復受損頭皮，強韌保護髮根，養護濃密秀髮</t>
  </si>
  <si>
    <t>https://ryo-hk.myshopify.com/collections/products</t>
  </si>
  <si>
    <t>products</t>
  </si>
  <si>
    <t>https://ryo-hk.myshopify.com/collections/damage_care_line</t>
  </si>
  <si>
    <t>呂 韓方修護系列 受損髮質適用</t>
  </si>
  <si>
    <t>針對極度髮受損髮質，瞬間修復集中滋養，減少 38% 打結髮絲，重拾絲滑柔順，強健髮絲增加光澤</t>
  </si>
  <si>
    <t>https://ryo-hk.myshopify.com/collections/products?page=2&amp;phcursor=eyJhbGciOiJIUzI1NiJ9.eyJzayI6InBvc2l0aW9uIiwic3YiOjE1LCJkIjoiZiIsInVpZCI6NDEzNTk2NDkxNDUxMzksImwiOjE1LCJvIjowLCJyIjoiQ0RQIiwidiI6MSwicCI6Mn0.rtHD4YPc7kCpx06_UXQyjy18auQUtEq7bU5t-MRuKjc</t>
  </si>
  <si>
    <t>https://ryo-hk.myshopify.com/collections/products?page=2</t>
  </si>
  <si>
    <t>https://ryo-hk.myshopify.com/collections/products?page=1&amp;phcursor=eyJhbGciOiJIUzI1NiJ9.eyJzayI6InBvc2l0aW9uIiwic3YiOjE2LCJkIjoiYiIsInVpZCI6NDEzNTk2NDkwMTQwNjcsImwiOjE1LCJvIjowLCJyIjoiQ0RQIiwidiI6MSwicCI6MX0.qqFDldq0qbAz1nanETrPVUCJJ9XUVWUxSQZ2-UWqib0</t>
  </si>
  <si>
    <t>https://ryo-hk.myshopify.com/collections/呂-韓蔘靈芝亮澤強韌洗髮液</t>
  </si>
  <si>
    <t>呂 韓蔘靈芝亮澤強韌洗髮液</t>
  </si>
  <si>
    <t>https://ryo-hk.myshopify.com/collections/%e5%91%82-%e9%9f%93%e8%94%98%e9%9d%88%e8%8a%9d%e4%ba%ae%e6%be%a4%e5%bc%b7%e9%9f%8c%e6%b4%97%e9%ab%ae%e6%b6%b2</t>
  </si>
  <si>
    <t>https://ryo-hk.myshopify.com/collections/%E5%91%82-%E9%9F%93%E8%94%98%E9%9D%88%E8%8A%9D%E4%BA%AE%E6%BE%A4%E5%BC%B7%E9%9F%8C%E6%B4%97%E9%AB%AE%E6%B6%B2</t>
  </si>
  <si>
    <t>https://ryo-hk.myshopify.com/collections/呂-極蔘潤黑防脫髮系列</t>
  </si>
  <si>
    <t>呂 極蔘潤黑防脫髮系列</t>
  </si>
  <si>
    <t>https://ryo-hk.myshopify.com/collections/%e5%91%82-%e6%a5%b5%e8%94%98%e6%bd%a4%e9%bb%91%e9%98%b2%e8%84%ab%e9%ab%ae%e7%b3%bb%e5%88%97</t>
  </si>
  <si>
    <t>https://ryo-hk.myshopify.com/collections/%E5%91%82-%E6%A5%B5%E8%94%98%E6%BD%A4%E9%BB%91%E9%98%B2%E8%84%AB%E9%AB%AE%E7%B3%BB%E5%88%97</t>
  </si>
  <si>
    <t>https://ryo-hk.myshopify.com/collections/bestseller-item</t>
  </si>
  <si>
    <t>BEST SELLER ITEM l RYO HK</t>
  </si>
  <si>
    <t>给大家介绍一下厉的畅销单品</t>
  </si>
  <si>
    <t>https://ryo-hk.myshopify.com/collections/呂-韓方修護系列-受損髮質適用</t>
  </si>
  <si>
    <t>https://ryo-hk.myshopify.com/collections/%e5%91%82-%e9%9f%93%e6%96%b9%e4%bf%ae%e8%ad%b7%e7%b3%bb%e5%88%97-%e5%8f%97%e6%90%8d%e9%ab%ae%e8%b3%aa%e9%81%a9%e7%94%a8</t>
  </si>
  <si>
    <t>https://ryo-hk.myshopify.com/collections/%E5%91%82-%E9%9F%93%E6%96%B9%E4%BF%AE%E8%AD%B7%E7%B3%BB%E5%88%97-%E5%8F%97%E6%90%8D%E9%AB%AE%E8%B3%AA%E9%81%A9%E7%94%A8</t>
  </si>
  <si>
    <t>https://ryo-hk.myshopify.com/collections/呂-韓參滋養防脫髮系列</t>
  </si>
  <si>
    <t>https://ryo-hk.myshopify.com/collections/%e5%91%82-%e9%9f%93%e5%8f%83%e6%bb%8b%e9%a4%8a%e9%98%b2%e8%84%ab%e9%ab%ae%e7%b3%bb%e5%88%97</t>
  </si>
  <si>
    <t>https://ryo-hk.myshopify.com/collections/%E5%91%82-%E9%9F%93%E5%8F%83%E6%BB%8B%E9%A4%8A%E9%98%B2%E8%84%AB%E9%AB%AE%E7%B3%BB%E5%88%97</t>
  </si>
  <si>
    <t>https://ryo-hk.myshopify.com/collections/frontpage</t>
  </si>
  <si>
    <t>Home page</t>
  </si>
  <si>
    <t>https://ryo-hk.myshopify.com/collections/呂-韓方修護系列-油性髮質適用</t>
  </si>
  <si>
    <t>呂 韓方修護系列 油性髮質適用</t>
  </si>
  <si>
    <t>https://ryo-hk.myshopify.com/collections/%e5%91%82-%e9%9f%93%e6%96%b9%e4%bf%ae%e8%ad%b7%e7%b3%bb%e5%88%97-%e6%b2%b9%e6%80%a7%e9%ab%ae%e8%b3%aa%e9%81%a9%e7%94%a8</t>
  </si>
  <si>
    <t>https://ryo-hk.myshopify.com/collections/%E5%91%82-%E9%9F%93%E6%96%B9%E4%BF%AE%E8%AD%B7%E7%B3%BB%E5%88%97-%E6%B2%B9%E6%80%A7%E9%AB%AE%E8%B3%AA%E9%81%A9%E7%94%A8</t>
  </si>
  <si>
    <t>Type-7</t>
  </si>
  <si>
    <t>BlogPosting</t>
  </si>
  <si>
    <t>Person</t>
  </si>
  <si>
    <t>Type-7</t>
    <phoneticPr fontId="2" type="noConversion"/>
  </si>
  <si>
    <t>Privacy policy</t>
  </si>
  <si>
    <t>Terms of service</t>
  </si>
  <si>
    <t>https://ryo-hk.myshopify.com/hk/zh/util/privacy-policy/privacy-policy.html</t>
  </si>
  <si>
    <t>2025-07-21 15:12:05</t>
  </si>
  <si>
    <t>2025-07-21 15:12:06</t>
  </si>
  <si>
    <t>2025-07-21 15:12:07</t>
  </si>
  <si>
    <t>2025-07-21 15:12:08</t>
  </si>
  <si>
    <t>2025-07-21 15:12:09</t>
  </si>
  <si>
    <t>2025-07-21 15:12:10</t>
  </si>
  <si>
    <t>2025-07-21 15:12:11</t>
  </si>
  <si>
    <t>2025-07-21 15:12:13</t>
  </si>
  <si>
    <t>2025-07-21 15:12:14</t>
  </si>
  <si>
    <t>2025-07-21 15:12:16</t>
  </si>
  <si>
    <t>2025-07-21 15:12:17</t>
  </si>
  <si>
    <t>2025-07-21 15:12:18</t>
  </si>
  <si>
    <t>2025-07-21 15:12:19</t>
  </si>
  <si>
    <t>2025-07-21 15:12:20</t>
  </si>
  <si>
    <t>2025-07-21 15:12:21</t>
  </si>
  <si>
    <t>2025-07-21 15:12:22</t>
  </si>
  <si>
    <t>2025-07-21 15:12:23</t>
  </si>
  <si>
    <t>2025-07-21 15:12:24</t>
  </si>
  <si>
    <t>2025-07-21 15:12:25</t>
  </si>
  <si>
    <t>2025-07-21 15:12:26</t>
  </si>
  <si>
    <t>2025-07-21 15:12:27</t>
  </si>
  <si>
    <t>2025-07-21 15:12:28</t>
  </si>
  <si>
    <t>2025-07-21 15:12:29</t>
  </si>
  <si>
    <t>2025-07-21 15:12:30</t>
  </si>
  <si>
    <t>2025-07-21 15:12:31</t>
  </si>
  <si>
    <t>2025-07-21 15:12:32</t>
  </si>
  <si>
    <t>2025-07-21 15:12:33</t>
  </si>
  <si>
    <t>https://ryo-hk.myshopify.com/blogs/brand-video/1325601_24084</t>
  </si>
  <si>
    <t>呂RYO 全新升級｜領先科研防脫之旅</t>
  </si>
  <si>
    <t>2025-07-21 15:12:34</t>
  </si>
  <si>
    <t>2025-07-21 15:12:35</t>
  </si>
  <si>
    <t>2025-07-21 15:12:36</t>
  </si>
  <si>
    <t>2025-07-21 15:12:37</t>
  </si>
  <si>
    <t>2025-07-21 15:12:38</t>
  </si>
  <si>
    <t>2025-07-21 15:12:39</t>
  </si>
  <si>
    <t>2025-07-21 15:12:40</t>
  </si>
  <si>
    <t>2025-07-21 15:12:41</t>
  </si>
  <si>
    <r>
      <t>呂Ryo以獨有的「頭皮科學」</t>
    </r>
    <r>
      <rPr>
        <sz val="9"/>
        <color theme="1"/>
        <rFont val="맑은 고딕"/>
        <family val="2"/>
        <charset val="129"/>
        <scheme val="minor"/>
      </rPr>
      <t>研</t>
    </r>
    <r>
      <rPr>
        <sz val="9"/>
        <color theme="1"/>
        <rFont val="맑은 고딕"/>
        <family val="3"/>
        <charset val="129"/>
        <scheme val="minor"/>
      </rPr>
      <t>究經驗融合韓方成分進行</t>
    </r>
    <r>
      <rPr>
        <sz val="9"/>
        <color theme="1"/>
        <rFont val="맑은 고딕"/>
        <family val="2"/>
        <charset val="129"/>
        <scheme val="minor"/>
      </rPr>
      <t>產</t>
    </r>
    <r>
      <rPr>
        <sz val="9"/>
        <color theme="1"/>
        <rFont val="맑은 고딕"/>
        <family val="3"/>
        <charset val="129"/>
        <scheme val="minor"/>
      </rPr>
      <t>品</t>
    </r>
    <r>
      <rPr>
        <sz val="9"/>
        <color theme="1"/>
        <rFont val="맑은 고딕"/>
        <family val="2"/>
        <charset val="129"/>
        <scheme val="minor"/>
      </rPr>
      <t>研</t>
    </r>
    <r>
      <rPr>
        <sz val="9"/>
        <color theme="1"/>
        <rFont val="맑은 고딕"/>
        <family val="3"/>
        <charset val="129"/>
        <scheme val="minor"/>
      </rPr>
      <t>發，解決顧客的頭皮困擾、實現頭皮的最佳均衡狀態。</t>
    </r>
  </si>
  <si>
    <r>
      <t>呂 極尊系列，韓國限售，首度香港公開發售。古法韓方預防落髮，潤黑髮色，毛髮蓬鬆，改善明顯薄髮問題。 配方含韓方水複合物8大精華成</t>
    </r>
    <r>
      <rPr>
        <sz val="9"/>
        <color theme="1"/>
        <rFont val="맑은 고딕"/>
        <family val="2"/>
        <charset val="129"/>
        <scheme val="minor"/>
      </rPr>
      <t>份</t>
    </r>
    <r>
      <rPr>
        <sz val="9"/>
        <color theme="1"/>
        <rFont val="맑은 고딕"/>
        <family val="3"/>
        <charset val="129"/>
        <scheme val="minor"/>
      </rPr>
      <t>：人蔘、茯苓、蜂蜜、綠茶、黑豆、山地黃、何首烏、當藥 不僅可改善薄髮症狀，還能</t>
    </r>
    <r>
      <rPr>
        <sz val="9"/>
        <color theme="1"/>
        <rFont val="맑은 고딕"/>
        <family val="2"/>
        <charset val="129"/>
        <scheme val="minor"/>
      </rPr>
      <t>鎮</t>
    </r>
    <r>
      <rPr>
        <sz val="9"/>
        <color theme="1"/>
        <rFont val="맑은 고딕"/>
        <family val="3"/>
        <charset val="129"/>
        <scheme val="minor"/>
      </rPr>
      <t>靜頭皮，增加頭髮蓬鬆度，潤澤髮絲等方面進行全面護理。 - 呂 極蔘潤黑防脫護髮精華素 230毫升</t>
    </r>
  </si>
  <si>
    <r>
      <t>全系列</t>
    </r>
    <r>
      <rPr>
        <sz val="9"/>
        <color theme="1"/>
        <rFont val="맑은 고딕"/>
        <family val="2"/>
        <charset val="129"/>
        <scheme val="minor"/>
      </rPr>
      <t>產</t>
    </r>
    <r>
      <rPr>
        <sz val="9"/>
        <color theme="1"/>
        <rFont val="맑은 고딕"/>
        <family val="3"/>
        <charset val="129"/>
        <scheme val="minor"/>
      </rPr>
      <t>品 | RYO Hong Kong</t>
    </r>
  </si>
  <si>
    <r>
      <rPr>
        <sz val="9"/>
        <color theme="1"/>
        <rFont val="맑은 고딕"/>
        <family val="2"/>
        <charset val="129"/>
        <scheme val="minor"/>
      </rPr>
      <t>焗</t>
    </r>
    <r>
      <rPr>
        <sz val="9"/>
        <color theme="1"/>
        <rFont val="맑은 고딕"/>
        <family val="3"/>
        <charset val="129"/>
        <scheme val="minor"/>
      </rPr>
      <t>髮遮瑕氣墊棒</t>
    </r>
  </si>
  <si>
    <r>
      <rPr>
        <sz val="9"/>
        <color theme="1"/>
        <rFont val="맑은 고딕"/>
        <family val="2"/>
        <charset val="129"/>
        <scheme val="minor"/>
      </rPr>
      <t>网</t>
    </r>
    <r>
      <rPr>
        <sz val="9"/>
        <color theme="1"/>
        <rFont val="맑은 고딕"/>
        <family val="3"/>
        <charset val="129"/>
        <scheme val="minor"/>
      </rPr>
      <t>站地</t>
    </r>
    <r>
      <rPr>
        <sz val="9"/>
        <color theme="1"/>
        <rFont val="맑은 고딕"/>
        <family val="2"/>
        <charset val="129"/>
        <scheme val="minor"/>
      </rPr>
      <t>图</t>
    </r>
    <r>
      <rPr>
        <sz val="9"/>
        <color theme="1"/>
        <rFont val="맑은 고딕"/>
        <family val="3"/>
        <charset val="129"/>
        <scheme val="minor"/>
      </rPr>
      <t xml:space="preserve"> | RYO Hong Kong</t>
    </r>
  </si>
  <si>
    <r>
      <rPr>
        <sz val="9"/>
        <color theme="1"/>
        <rFont val="맑은 고딕"/>
        <family val="2"/>
        <charset val="129"/>
        <scheme val="minor"/>
      </rPr>
      <t>网</t>
    </r>
    <r>
      <rPr>
        <sz val="9"/>
        <color theme="1"/>
        <rFont val="맑은 고딕"/>
        <family val="3"/>
        <charset val="129"/>
        <scheme val="minor"/>
      </rPr>
      <t>站地</t>
    </r>
    <r>
      <rPr>
        <sz val="9"/>
        <color theme="1"/>
        <rFont val="맑은 고딕"/>
        <family val="2"/>
        <charset val="129"/>
        <scheme val="minor"/>
      </rPr>
      <t>图</t>
    </r>
  </si>
  <si>
    <r>
      <t>呂獲</t>
    </r>
    <r>
      <rPr>
        <sz val="9"/>
        <color theme="1"/>
        <rFont val="맑은 고딕"/>
        <family val="2"/>
        <charset val="129"/>
        <scheme val="minor"/>
      </rPr>
      <t>獎</t>
    </r>
    <r>
      <rPr>
        <sz val="9"/>
        <color theme="1"/>
        <rFont val="맑은 고딕"/>
        <family val="3"/>
        <charset val="129"/>
        <scheme val="minor"/>
      </rPr>
      <t>經歷 | RYO Hong Kong</t>
    </r>
  </si>
  <si>
    <r>
      <t>韓方高級護髮品牌呂RYO獲</t>
    </r>
    <r>
      <rPr>
        <sz val="9"/>
        <color theme="1"/>
        <rFont val="맑은 고딕"/>
        <family val="2"/>
        <charset val="129"/>
        <scheme val="minor"/>
      </rPr>
      <t>獎</t>
    </r>
    <r>
      <rPr>
        <sz val="9"/>
        <color theme="1"/>
        <rFont val="맑은 고딕"/>
        <family val="3"/>
        <charset val="129"/>
        <scheme val="minor"/>
      </rPr>
      <t>歷程</t>
    </r>
  </si>
  <si>
    <r>
      <t>韓方原料及</t>
    </r>
    <r>
      <rPr>
        <sz val="9"/>
        <color theme="1"/>
        <rFont val="맑은 고딕"/>
        <family val="2"/>
        <charset val="129"/>
        <scheme val="minor"/>
      </rPr>
      <t>產</t>
    </r>
    <r>
      <rPr>
        <sz val="9"/>
        <color theme="1"/>
        <rFont val="맑은 고딕"/>
        <family val="3"/>
        <charset val="129"/>
        <scheme val="minor"/>
      </rPr>
      <t>品成分 | RYO Hong Kong</t>
    </r>
  </si>
  <si>
    <r>
      <t>韓方原料及</t>
    </r>
    <r>
      <rPr>
        <sz val="9"/>
        <color theme="1"/>
        <rFont val="맑은 고딕"/>
        <family val="2"/>
        <charset val="129"/>
        <scheme val="minor"/>
      </rPr>
      <t>產</t>
    </r>
    <r>
      <rPr>
        <sz val="9"/>
        <color theme="1"/>
        <rFont val="맑은 고딕"/>
        <family val="3"/>
        <charset val="129"/>
        <scheme val="minor"/>
      </rPr>
      <t>品成分</t>
    </r>
  </si>
  <si>
    <r>
      <t>古法韓方預防掉髮，蘊含高濃縮韓方珍貴草藥成分， 「蔘」入頭皮髮根，滋養頭皮毛孔，髮根</t>
    </r>
    <r>
      <rPr>
        <sz val="9"/>
        <color theme="1"/>
        <rFont val="맑은 고딕"/>
        <family val="2"/>
        <charset val="129"/>
        <scheme val="minor"/>
      </rPr>
      <t>強韌</t>
    </r>
    <r>
      <rPr>
        <sz val="9"/>
        <color theme="1"/>
        <rFont val="맑은 고딕"/>
        <family val="3"/>
        <charset val="129"/>
        <scheme val="minor"/>
      </rPr>
      <t>如蔘， 潤黑髮色，改善明顯脫髮問題</t>
    </r>
  </si>
  <si>
    <r>
      <rPr>
        <sz val="9"/>
        <color theme="1"/>
        <rFont val="맑은 고딕"/>
        <family val="2"/>
        <charset val="129"/>
        <scheme val="minor"/>
      </rPr>
      <t>豐</t>
    </r>
    <r>
      <rPr>
        <sz val="9"/>
        <color theme="1"/>
        <rFont val="맑은 고딕"/>
        <family val="3"/>
        <charset val="129"/>
        <scheme val="minor"/>
      </rPr>
      <t>盈幼弱扁塌髮質</t>
    </r>
  </si>
  <si>
    <r>
      <t>【呂】經40年人蔘</t>
    </r>
    <r>
      <rPr>
        <sz val="9"/>
        <color theme="1"/>
        <rFont val="맑은 고딕"/>
        <family val="2"/>
        <charset val="129"/>
        <scheme val="minor"/>
      </rPr>
      <t>研</t>
    </r>
    <r>
      <rPr>
        <sz val="9"/>
        <color theme="1"/>
        <rFont val="맑은 고딕"/>
        <family val="3"/>
        <charset val="129"/>
        <scheme val="minor"/>
      </rPr>
      <t>究，以獨家Ginsen9EX™防脫專利技術，差壓提取法萃取高濃度韓國人蔘精華，揉合官方認證咖</t>
    </r>
    <r>
      <rPr>
        <sz val="9"/>
        <color theme="1"/>
        <rFont val="맑은 고딕"/>
        <family val="2"/>
        <charset val="129"/>
        <scheme val="minor"/>
      </rPr>
      <t>啡</t>
    </r>
    <r>
      <rPr>
        <sz val="9"/>
        <color theme="1"/>
        <rFont val="맑은 고딕"/>
        <family val="3"/>
        <charset val="129"/>
        <scheme val="minor"/>
      </rPr>
      <t>因防脫髮成分，修復受損頭皮，</t>
    </r>
    <r>
      <rPr>
        <sz val="9"/>
        <color theme="1"/>
        <rFont val="맑은 고딕"/>
        <family val="2"/>
        <charset val="129"/>
        <scheme val="minor"/>
      </rPr>
      <t>強韌</t>
    </r>
    <r>
      <rPr>
        <sz val="9"/>
        <color theme="1"/>
        <rFont val="맑은 고딕"/>
        <family val="3"/>
        <charset val="129"/>
        <scheme val="minor"/>
      </rPr>
      <t>保護髮根，有效解決掉髮現象，養護濃密秀髮。 集中護理脫髮症狀，從髮根塑造濃密</t>
    </r>
    <r>
      <rPr>
        <sz val="9"/>
        <color theme="1"/>
        <rFont val="맑은 고딕"/>
        <family val="2"/>
        <charset val="129"/>
        <scheme val="minor"/>
      </rPr>
      <t>豐</t>
    </r>
    <r>
      <rPr>
        <sz val="9"/>
        <color theme="1"/>
        <rFont val="맑은 고딕"/>
        <family val="3"/>
        <charset val="129"/>
        <scheme val="minor"/>
      </rPr>
      <t>盈感 7大無添加：動物性原料、</t>
    </r>
    <r>
      <rPr>
        <sz val="9"/>
        <color theme="1"/>
        <rFont val="맑은 고딕"/>
        <family val="2"/>
        <charset val="129"/>
        <scheme val="minor"/>
      </rPr>
      <t>礦</t>
    </r>
    <r>
      <rPr>
        <sz val="9"/>
        <color theme="1"/>
        <rFont val="맑은 고딕"/>
        <family val="3"/>
        <charset val="129"/>
        <scheme val="minor"/>
      </rPr>
      <t>物油 、聚丙</t>
    </r>
    <r>
      <rPr>
        <sz val="9"/>
        <color theme="1"/>
        <rFont val="맑은 고딕"/>
        <family val="2"/>
        <charset val="129"/>
        <scheme val="minor"/>
      </rPr>
      <t>烯酰胺</t>
    </r>
    <r>
      <rPr>
        <sz val="9"/>
        <color theme="1"/>
        <rFont val="맑은 고딕"/>
        <family val="3"/>
        <charset val="129"/>
        <scheme val="minor"/>
      </rPr>
      <t>、人工色素、尿素</t>
    </r>
    <r>
      <rPr>
        <sz val="9"/>
        <color theme="1"/>
        <rFont val="맑은 고딕"/>
        <family val="2"/>
        <charset val="129"/>
        <scheme val="minor"/>
      </rPr>
      <t>醛</t>
    </r>
    <r>
      <rPr>
        <sz val="9"/>
        <color theme="1"/>
        <rFont val="맑은 고딕"/>
        <family val="3"/>
        <charset val="129"/>
        <scheme val="minor"/>
      </rPr>
      <t>、三乙醇</t>
    </r>
    <r>
      <rPr>
        <sz val="9"/>
        <color theme="1"/>
        <rFont val="맑은 고딕"/>
        <family val="2"/>
        <charset val="129"/>
        <scheme val="minor"/>
      </rPr>
      <t>胺</t>
    </r>
    <r>
      <rPr>
        <sz val="9"/>
        <color theme="1"/>
        <rFont val="맑은 고딕"/>
        <family val="3"/>
        <charset val="129"/>
        <scheme val="minor"/>
      </rPr>
      <t xml:space="preserve"> 、矽靈 - 呂 韓參滋養防脫髮洗髮液 (軟弱扁塌髮質適用) 400毫升</t>
    </r>
  </si>
  <si>
    <r>
      <t>【呂】經40年人蔘</t>
    </r>
    <r>
      <rPr>
        <sz val="9"/>
        <color theme="1"/>
        <rFont val="맑은 고딕"/>
        <family val="2"/>
        <charset val="129"/>
        <scheme val="minor"/>
      </rPr>
      <t>研</t>
    </r>
    <r>
      <rPr>
        <sz val="9"/>
        <color theme="1"/>
        <rFont val="맑은 고딕"/>
        <family val="3"/>
        <charset val="129"/>
        <scheme val="minor"/>
      </rPr>
      <t>究，以獨家Ginsen9EX™防脫專利技術，差壓提取法萃取高濃度韓國人蔘精華，揉合官方認證咖</t>
    </r>
    <r>
      <rPr>
        <sz val="9"/>
        <color theme="1"/>
        <rFont val="맑은 고딕"/>
        <family val="2"/>
        <charset val="129"/>
        <scheme val="minor"/>
      </rPr>
      <t>啡</t>
    </r>
    <r>
      <rPr>
        <sz val="9"/>
        <color theme="1"/>
        <rFont val="맑은 고딕"/>
        <family val="3"/>
        <charset val="129"/>
        <scheme val="minor"/>
      </rPr>
      <t>因防脫髮成分，修復受損頭皮，</t>
    </r>
    <r>
      <rPr>
        <sz val="9"/>
        <color theme="1"/>
        <rFont val="맑은 고딕"/>
        <family val="2"/>
        <charset val="129"/>
        <scheme val="minor"/>
      </rPr>
      <t>強韌</t>
    </r>
    <r>
      <rPr>
        <sz val="9"/>
        <color theme="1"/>
        <rFont val="맑은 고딕"/>
        <family val="3"/>
        <charset val="129"/>
        <scheme val="minor"/>
      </rPr>
      <t>保護髮根，有效解決掉髮現象，養護濃密秀髮。 改善毛躁，髮絲回復彈性光澤，適合每日使用於頭皮及髮絲 7大無添加：動物性原料、</t>
    </r>
    <r>
      <rPr>
        <sz val="9"/>
        <color theme="1"/>
        <rFont val="맑은 고딕"/>
        <family val="2"/>
        <charset val="129"/>
        <scheme val="minor"/>
      </rPr>
      <t>礦</t>
    </r>
    <r>
      <rPr>
        <sz val="9"/>
        <color theme="1"/>
        <rFont val="맑은 고딕"/>
        <family val="3"/>
        <charset val="129"/>
        <scheme val="minor"/>
      </rPr>
      <t>物油 、聚丙</t>
    </r>
    <r>
      <rPr>
        <sz val="9"/>
        <color theme="1"/>
        <rFont val="맑은 고딕"/>
        <family val="2"/>
        <charset val="129"/>
        <scheme val="minor"/>
      </rPr>
      <t>烯酰胺</t>
    </r>
    <r>
      <rPr>
        <sz val="9"/>
        <color theme="1"/>
        <rFont val="맑은 고딕"/>
        <family val="3"/>
        <charset val="129"/>
        <scheme val="minor"/>
      </rPr>
      <t>、人工色素、尿素</t>
    </r>
    <r>
      <rPr>
        <sz val="9"/>
        <color theme="1"/>
        <rFont val="맑은 고딕"/>
        <family val="2"/>
        <charset val="129"/>
        <scheme val="minor"/>
      </rPr>
      <t>醛</t>
    </r>
    <r>
      <rPr>
        <sz val="9"/>
        <color theme="1"/>
        <rFont val="맑은 고딕"/>
        <family val="3"/>
        <charset val="129"/>
        <scheme val="minor"/>
      </rPr>
      <t>、三乙醇</t>
    </r>
    <r>
      <rPr>
        <sz val="9"/>
        <color theme="1"/>
        <rFont val="맑은 고딕"/>
        <family val="2"/>
        <charset val="129"/>
        <scheme val="minor"/>
      </rPr>
      <t>胺</t>
    </r>
    <r>
      <rPr>
        <sz val="9"/>
        <color theme="1"/>
        <rFont val="맑은 고딕"/>
        <family val="3"/>
        <charset val="129"/>
        <scheme val="minor"/>
      </rPr>
      <t xml:space="preserve"> 、矽靈 - 呂 韓蔘滋養防脫護髮精華素 (滋養髮絲適用) 330毫升</t>
    </r>
  </si>
  <si>
    <r>
      <t>呂 韓蔘滋養防脫護髮精華素 (</t>
    </r>
    <r>
      <rPr>
        <sz val="9"/>
        <color theme="1"/>
        <rFont val="맑은 고딕"/>
        <family val="2"/>
        <charset val="129"/>
        <scheme val="minor"/>
      </rPr>
      <t>強</t>
    </r>
    <r>
      <rPr>
        <sz val="9"/>
        <color theme="1"/>
        <rFont val="맑은 고딕"/>
        <family val="3"/>
        <charset val="129"/>
        <scheme val="minor"/>
      </rPr>
      <t>化髮根適用) 330毫升 | RYO Hong Kong</t>
    </r>
  </si>
  <si>
    <r>
      <t>【呂】經40年人蔘</t>
    </r>
    <r>
      <rPr>
        <sz val="9"/>
        <color theme="1"/>
        <rFont val="맑은 고딕"/>
        <family val="2"/>
        <charset val="129"/>
        <scheme val="minor"/>
      </rPr>
      <t>研</t>
    </r>
    <r>
      <rPr>
        <sz val="9"/>
        <color theme="1"/>
        <rFont val="맑은 고딕"/>
        <family val="3"/>
        <charset val="129"/>
        <scheme val="minor"/>
      </rPr>
      <t>究，以獨家Ginsen9EX™防脫專利技術，差壓提取法萃取高濃度韓國人蔘精華，揉合官方認證咖</t>
    </r>
    <r>
      <rPr>
        <sz val="9"/>
        <color theme="1"/>
        <rFont val="맑은 고딕"/>
        <family val="2"/>
        <charset val="129"/>
        <scheme val="minor"/>
      </rPr>
      <t>啡</t>
    </r>
    <r>
      <rPr>
        <sz val="9"/>
        <color theme="1"/>
        <rFont val="맑은 고딕"/>
        <family val="3"/>
        <charset val="129"/>
        <scheme val="minor"/>
      </rPr>
      <t>因防脫髮成分，修復受損頭皮，</t>
    </r>
    <r>
      <rPr>
        <sz val="9"/>
        <color theme="1"/>
        <rFont val="맑은 고딕"/>
        <family val="2"/>
        <charset val="129"/>
        <scheme val="minor"/>
      </rPr>
      <t>強韌</t>
    </r>
    <r>
      <rPr>
        <sz val="9"/>
        <color theme="1"/>
        <rFont val="맑은 고딕"/>
        <family val="3"/>
        <charset val="129"/>
        <scheme val="minor"/>
      </rPr>
      <t>保護髮根，有效解決掉髮現象，養護濃密秀髮。 改善扁塌，髮根倍添</t>
    </r>
    <r>
      <rPr>
        <sz val="9"/>
        <color theme="1"/>
        <rFont val="맑은 고딕"/>
        <family val="2"/>
        <charset val="129"/>
        <scheme val="minor"/>
      </rPr>
      <t>豐</t>
    </r>
    <r>
      <rPr>
        <sz val="9"/>
        <color theme="1"/>
        <rFont val="맑은 고딕"/>
        <family val="3"/>
        <charset val="129"/>
        <scheme val="minor"/>
      </rPr>
      <t>盈</t>
    </r>
    <r>
      <rPr>
        <sz val="9"/>
        <color theme="1"/>
        <rFont val="맑은 고딕"/>
        <family val="2"/>
        <charset val="129"/>
        <scheme val="minor"/>
      </rPr>
      <t>強韌</t>
    </r>
    <r>
      <rPr>
        <sz val="9"/>
        <color theme="1"/>
        <rFont val="맑은 고딕"/>
        <family val="3"/>
        <charset val="129"/>
        <scheme val="minor"/>
      </rPr>
      <t>，適合每日使用於頭皮及髮絲 7大無添加：動物性原料、</t>
    </r>
    <r>
      <rPr>
        <sz val="9"/>
        <color theme="1"/>
        <rFont val="맑은 고딕"/>
        <family val="2"/>
        <charset val="129"/>
        <scheme val="minor"/>
      </rPr>
      <t>礦</t>
    </r>
    <r>
      <rPr>
        <sz val="9"/>
        <color theme="1"/>
        <rFont val="맑은 고딕"/>
        <family val="3"/>
        <charset val="129"/>
        <scheme val="minor"/>
      </rPr>
      <t>物油 、聚丙</t>
    </r>
    <r>
      <rPr>
        <sz val="9"/>
        <color theme="1"/>
        <rFont val="맑은 고딕"/>
        <family val="2"/>
        <charset val="129"/>
        <scheme val="minor"/>
      </rPr>
      <t>烯酰胺</t>
    </r>
    <r>
      <rPr>
        <sz val="9"/>
        <color theme="1"/>
        <rFont val="맑은 고딕"/>
        <family val="3"/>
        <charset val="129"/>
        <scheme val="minor"/>
      </rPr>
      <t>、人工色素、尿素</t>
    </r>
    <r>
      <rPr>
        <sz val="9"/>
        <color theme="1"/>
        <rFont val="맑은 고딕"/>
        <family val="2"/>
        <charset val="129"/>
        <scheme val="minor"/>
      </rPr>
      <t>醛</t>
    </r>
    <r>
      <rPr>
        <sz val="9"/>
        <color theme="1"/>
        <rFont val="맑은 고딕"/>
        <family val="3"/>
        <charset val="129"/>
        <scheme val="minor"/>
      </rPr>
      <t>、三乙醇</t>
    </r>
    <r>
      <rPr>
        <sz val="9"/>
        <color theme="1"/>
        <rFont val="맑은 고딕"/>
        <family val="2"/>
        <charset val="129"/>
        <scheme val="minor"/>
      </rPr>
      <t>胺</t>
    </r>
    <r>
      <rPr>
        <sz val="9"/>
        <color theme="1"/>
        <rFont val="맑은 고딕"/>
        <family val="3"/>
        <charset val="129"/>
        <scheme val="minor"/>
      </rPr>
      <t xml:space="preserve"> 、矽靈 - 呂 韓蔘滋養防脫護髮精華素 (</t>
    </r>
    <r>
      <rPr>
        <sz val="9"/>
        <color theme="1"/>
        <rFont val="맑은 고딕"/>
        <family val="2"/>
        <charset val="129"/>
        <scheme val="minor"/>
      </rPr>
      <t>強</t>
    </r>
    <r>
      <rPr>
        <sz val="9"/>
        <color theme="1"/>
        <rFont val="맑은 고딕"/>
        <family val="3"/>
        <charset val="129"/>
        <scheme val="minor"/>
      </rPr>
      <t>化髮根適用) 330毫升</t>
    </r>
  </si>
  <si>
    <r>
      <t>呂 韓蔘滋養防脫護髮精華素 (</t>
    </r>
    <r>
      <rPr>
        <sz val="9"/>
        <color theme="1"/>
        <rFont val="맑은 고딕"/>
        <family val="2"/>
        <charset val="129"/>
        <scheme val="minor"/>
      </rPr>
      <t>強</t>
    </r>
    <r>
      <rPr>
        <sz val="9"/>
        <color theme="1"/>
        <rFont val="맑은 고딕"/>
        <family val="3"/>
        <charset val="129"/>
        <scheme val="minor"/>
      </rPr>
      <t>化髮根適用) 330毫升</t>
    </r>
  </si>
  <si>
    <r>
      <t>【呂】經40年人蔘</t>
    </r>
    <r>
      <rPr>
        <sz val="9"/>
        <color theme="1"/>
        <rFont val="맑은 고딕"/>
        <family val="2"/>
        <charset val="129"/>
        <scheme val="minor"/>
      </rPr>
      <t>研</t>
    </r>
    <r>
      <rPr>
        <sz val="9"/>
        <color theme="1"/>
        <rFont val="맑은 고딕"/>
        <family val="3"/>
        <charset val="129"/>
        <scheme val="minor"/>
      </rPr>
      <t>究，以獨家Ginsen9EX™防脫專利技術，差壓提取法萃取高濃度韓國人蔘精華，揉合官方認證咖</t>
    </r>
    <r>
      <rPr>
        <sz val="9"/>
        <color theme="1"/>
        <rFont val="맑은 고딕"/>
        <family val="2"/>
        <charset val="129"/>
        <scheme val="minor"/>
      </rPr>
      <t>啡</t>
    </r>
    <r>
      <rPr>
        <sz val="9"/>
        <color theme="1"/>
        <rFont val="맑은 고딕"/>
        <family val="3"/>
        <charset val="129"/>
        <scheme val="minor"/>
      </rPr>
      <t>因防脫髮成分，修復受損頭皮，</t>
    </r>
    <r>
      <rPr>
        <sz val="9"/>
        <color theme="1"/>
        <rFont val="맑은 고딕"/>
        <family val="2"/>
        <charset val="129"/>
        <scheme val="minor"/>
      </rPr>
      <t>強韌</t>
    </r>
    <r>
      <rPr>
        <sz val="9"/>
        <color theme="1"/>
        <rFont val="맑은 고딕"/>
        <family val="3"/>
        <charset val="129"/>
        <scheme val="minor"/>
      </rPr>
      <t>保護髮根，有效解決掉髮現象，養護濃密秀髮。 集中護理脫髮症狀，保濕滋潤乾旱頭皮 7大無添加：動物性原料、</t>
    </r>
    <r>
      <rPr>
        <sz val="9"/>
        <color theme="1"/>
        <rFont val="맑은 고딕"/>
        <family val="2"/>
        <charset val="129"/>
        <scheme val="minor"/>
      </rPr>
      <t>礦</t>
    </r>
    <r>
      <rPr>
        <sz val="9"/>
        <color theme="1"/>
        <rFont val="맑은 고딕"/>
        <family val="3"/>
        <charset val="129"/>
        <scheme val="minor"/>
      </rPr>
      <t>物油 、聚丙</t>
    </r>
    <r>
      <rPr>
        <sz val="9"/>
        <color theme="1"/>
        <rFont val="맑은 고딕"/>
        <family val="2"/>
        <charset val="129"/>
        <scheme val="minor"/>
      </rPr>
      <t>烯酰胺</t>
    </r>
    <r>
      <rPr>
        <sz val="9"/>
        <color theme="1"/>
        <rFont val="맑은 고딕"/>
        <family val="3"/>
        <charset val="129"/>
        <scheme val="minor"/>
      </rPr>
      <t>、人工色素、尿素</t>
    </r>
    <r>
      <rPr>
        <sz val="9"/>
        <color theme="1"/>
        <rFont val="맑은 고딕"/>
        <family val="2"/>
        <charset val="129"/>
        <scheme val="minor"/>
      </rPr>
      <t>醛</t>
    </r>
    <r>
      <rPr>
        <sz val="9"/>
        <color theme="1"/>
        <rFont val="맑은 고딕"/>
        <family val="3"/>
        <charset val="129"/>
        <scheme val="minor"/>
      </rPr>
      <t>、三乙醇</t>
    </r>
    <r>
      <rPr>
        <sz val="9"/>
        <color theme="1"/>
        <rFont val="맑은 고딕"/>
        <family val="2"/>
        <charset val="129"/>
        <scheme val="minor"/>
      </rPr>
      <t>胺</t>
    </r>
    <r>
      <rPr>
        <sz val="9"/>
        <color theme="1"/>
        <rFont val="맑은 고딕"/>
        <family val="3"/>
        <charset val="129"/>
        <scheme val="minor"/>
      </rPr>
      <t xml:space="preserve"> 、矽靈 - 呂 韓蔘滋養防脫髮洗髮液 (中乾性頭皮適用) 400毫升</t>
    </r>
  </si>
  <si>
    <r>
      <t>呂 極尊系列，韓國限售，首度香港公開發售。古法韓方預防落髮，潤黑髮色，毛髮蓬鬆，改善明顯薄髮問題。 配方含韓方水複合物8大精華成</t>
    </r>
    <r>
      <rPr>
        <sz val="9"/>
        <color theme="1"/>
        <rFont val="맑은 고딕"/>
        <family val="2"/>
        <charset val="129"/>
        <scheme val="minor"/>
      </rPr>
      <t>份</t>
    </r>
    <r>
      <rPr>
        <sz val="9"/>
        <color theme="1"/>
        <rFont val="맑은 고딕"/>
        <family val="3"/>
        <charset val="129"/>
        <scheme val="minor"/>
      </rPr>
      <t>：人蔘、茯苓、蜂蜜、綠茶、黑豆、山地黃、何首烏、當藥 不僅可改善薄髮症狀，還能</t>
    </r>
    <r>
      <rPr>
        <sz val="9"/>
        <color theme="1"/>
        <rFont val="맑은 고딕"/>
        <family val="2"/>
        <charset val="129"/>
        <scheme val="minor"/>
      </rPr>
      <t>鎮</t>
    </r>
    <r>
      <rPr>
        <sz val="9"/>
        <color theme="1"/>
        <rFont val="맑은 고딕"/>
        <family val="3"/>
        <charset val="129"/>
        <scheme val="minor"/>
      </rPr>
      <t>靜頭皮，增加頭髮蓬鬆度，潤澤髮絲等方面進行全面護理。 - 呂 極蔘潤黑防脫髮精華療程</t>
    </r>
  </si>
  <si>
    <r>
      <t>呂 韓蔘靈芝亮澤</t>
    </r>
    <r>
      <rPr>
        <sz val="9"/>
        <color theme="1"/>
        <rFont val="맑은 고딕"/>
        <family val="2"/>
        <charset val="129"/>
        <scheme val="minor"/>
      </rPr>
      <t>強韌</t>
    </r>
    <r>
      <rPr>
        <sz val="9"/>
        <color theme="1"/>
        <rFont val="맑은 고딕"/>
        <family val="3"/>
        <charset val="129"/>
        <scheme val="minor"/>
      </rPr>
      <t>洗髮液 (中乾性頭皮適用) 400毫升 | RYO Hong Kong</t>
    </r>
  </si>
  <si>
    <r>
      <t>蘊含珍稀靈芝及5大韓蔘成分 防斷髮, 富予頭髮亮澤空氣感 改善隨年齡增長而出現的頭皮老化及缺乏光澤活力的</t>
    </r>
    <r>
      <rPr>
        <sz val="9"/>
        <color theme="1"/>
        <rFont val="맑은 고딕"/>
        <family val="2"/>
        <charset val="129"/>
        <scheme val="minor"/>
      </rPr>
      <t>髪</t>
    </r>
    <r>
      <rPr>
        <sz val="9"/>
        <color theme="1"/>
        <rFont val="맑은 고딕"/>
        <family val="3"/>
        <charset val="129"/>
        <scheme val="minor"/>
      </rPr>
      <t>絲 - 呂 韓蔘靈芝亮澤</t>
    </r>
    <r>
      <rPr>
        <sz val="9"/>
        <color theme="1"/>
        <rFont val="맑은 고딕"/>
        <family val="2"/>
        <charset val="129"/>
        <scheme val="minor"/>
      </rPr>
      <t>強韌</t>
    </r>
    <r>
      <rPr>
        <sz val="9"/>
        <color theme="1"/>
        <rFont val="맑은 고딕"/>
        <family val="3"/>
        <charset val="129"/>
        <scheme val="minor"/>
      </rPr>
      <t>洗髮液 (中乾性頭皮適用) 400毫升</t>
    </r>
  </si>
  <si>
    <r>
      <t>呂 韓蔘靈芝亮澤</t>
    </r>
    <r>
      <rPr>
        <sz val="9"/>
        <color theme="1"/>
        <rFont val="맑은 고딕"/>
        <family val="2"/>
        <charset val="129"/>
        <scheme val="minor"/>
      </rPr>
      <t>強韌</t>
    </r>
    <r>
      <rPr>
        <sz val="9"/>
        <color theme="1"/>
        <rFont val="맑은 고딕"/>
        <family val="3"/>
        <charset val="129"/>
        <scheme val="minor"/>
      </rPr>
      <t>洗髮液 (中乾性頭皮適用) 400毫升</t>
    </r>
  </si>
  <si>
    <r>
      <t>【呂】經40年人蔘</t>
    </r>
    <r>
      <rPr>
        <sz val="9"/>
        <color theme="1"/>
        <rFont val="맑은 고딕"/>
        <family val="2"/>
        <charset val="129"/>
        <scheme val="minor"/>
      </rPr>
      <t>研</t>
    </r>
    <r>
      <rPr>
        <sz val="9"/>
        <color theme="1"/>
        <rFont val="맑은 고딕"/>
        <family val="3"/>
        <charset val="129"/>
        <scheme val="minor"/>
      </rPr>
      <t>究，以獨家Ginsen9EX™防脫專利技術，差壓提取法萃取高濃度韓國人蔘精華，揉合官方認證咖</t>
    </r>
    <r>
      <rPr>
        <sz val="9"/>
        <color theme="1"/>
        <rFont val="맑은 고딕"/>
        <family val="2"/>
        <charset val="129"/>
        <scheme val="minor"/>
      </rPr>
      <t>啡</t>
    </r>
    <r>
      <rPr>
        <sz val="9"/>
        <color theme="1"/>
        <rFont val="맑은 고딕"/>
        <family val="3"/>
        <charset val="129"/>
        <scheme val="minor"/>
      </rPr>
      <t>因防脫髮成分，修復受損頭皮，</t>
    </r>
    <r>
      <rPr>
        <sz val="9"/>
        <color theme="1"/>
        <rFont val="맑은 고딕"/>
        <family val="2"/>
        <charset val="129"/>
        <scheme val="minor"/>
      </rPr>
      <t>強韌</t>
    </r>
    <r>
      <rPr>
        <sz val="9"/>
        <color theme="1"/>
        <rFont val="맑은 고딕"/>
        <family val="3"/>
        <charset val="129"/>
        <scheme val="minor"/>
      </rPr>
      <t>保護髮根，有效解決掉髮現象，養護濃密秀髮。 集中護理脫髮症狀，</t>
    </r>
    <r>
      <rPr>
        <sz val="9"/>
        <color theme="1"/>
        <rFont val="맑은 고딕"/>
        <family val="2"/>
        <charset val="129"/>
        <scheme val="minor"/>
      </rPr>
      <t>清</t>
    </r>
    <r>
      <rPr>
        <sz val="9"/>
        <color theme="1"/>
        <rFont val="맑은 고딕"/>
        <family val="3"/>
        <charset val="129"/>
        <scheme val="minor"/>
      </rPr>
      <t>爽去屑，舒緩頭皮痕癢 7大無添加：動物性原料、</t>
    </r>
    <r>
      <rPr>
        <sz val="9"/>
        <color theme="1"/>
        <rFont val="맑은 고딕"/>
        <family val="2"/>
        <charset val="129"/>
        <scheme val="minor"/>
      </rPr>
      <t>礦</t>
    </r>
    <r>
      <rPr>
        <sz val="9"/>
        <color theme="1"/>
        <rFont val="맑은 고딕"/>
        <family val="3"/>
        <charset val="129"/>
        <scheme val="minor"/>
      </rPr>
      <t>物油 、尿素</t>
    </r>
    <r>
      <rPr>
        <sz val="9"/>
        <color theme="1"/>
        <rFont val="맑은 고딕"/>
        <family val="2"/>
        <charset val="129"/>
        <scheme val="minor"/>
      </rPr>
      <t>醛</t>
    </r>
    <r>
      <rPr>
        <sz val="9"/>
        <color theme="1"/>
        <rFont val="맑은 고딕"/>
        <family val="3"/>
        <charset val="129"/>
        <scheme val="minor"/>
      </rPr>
      <t>、三乙醇</t>
    </r>
    <r>
      <rPr>
        <sz val="9"/>
        <color theme="1"/>
        <rFont val="맑은 고딕"/>
        <family val="2"/>
        <charset val="129"/>
        <scheme val="minor"/>
      </rPr>
      <t>胺</t>
    </r>
    <r>
      <rPr>
        <sz val="9"/>
        <color theme="1"/>
        <rFont val="맑은 고딕"/>
        <family val="3"/>
        <charset val="129"/>
        <scheme val="minor"/>
      </rPr>
      <t>、人工色素、矽靈、</t>
    </r>
    <r>
      <rPr>
        <sz val="9"/>
        <color theme="1"/>
        <rFont val="맑은 고딕"/>
        <family val="2"/>
        <charset val="129"/>
        <scheme val="minor"/>
      </rPr>
      <t>皂鹼</t>
    </r>
    <r>
      <rPr>
        <sz val="9"/>
        <color theme="1"/>
        <rFont val="맑은 고딕"/>
        <family val="3"/>
        <charset val="129"/>
        <scheme val="minor"/>
      </rPr>
      <t xml:space="preserve"> - 呂 韓參滋養防脫髮洗髮液 (去屑止癢適用) 400毫升</t>
    </r>
  </si>
  <si>
    <r>
      <t>【呂】經40年人蔘</t>
    </r>
    <r>
      <rPr>
        <sz val="9"/>
        <color theme="1"/>
        <rFont val="맑은 고딕"/>
        <family val="2"/>
        <charset val="129"/>
        <scheme val="minor"/>
      </rPr>
      <t>研</t>
    </r>
    <r>
      <rPr>
        <sz val="9"/>
        <color theme="1"/>
        <rFont val="맑은 고딕"/>
        <family val="3"/>
        <charset val="129"/>
        <scheme val="minor"/>
      </rPr>
      <t>究，以獨家Ginsen9EX™防脫專利技術，差壓提取法萃取高濃度韓國人蔘精華，揉合官方認證咖</t>
    </r>
    <r>
      <rPr>
        <sz val="9"/>
        <color theme="1"/>
        <rFont val="맑은 고딕"/>
        <family val="2"/>
        <charset val="129"/>
        <scheme val="minor"/>
      </rPr>
      <t>啡</t>
    </r>
    <r>
      <rPr>
        <sz val="9"/>
        <color theme="1"/>
        <rFont val="맑은 고딕"/>
        <family val="3"/>
        <charset val="129"/>
        <scheme val="minor"/>
      </rPr>
      <t>因防脫髮成分，修復受損頭皮，</t>
    </r>
    <r>
      <rPr>
        <sz val="9"/>
        <color theme="1"/>
        <rFont val="맑은 고딕"/>
        <family val="2"/>
        <charset val="129"/>
        <scheme val="minor"/>
      </rPr>
      <t>強韌</t>
    </r>
    <r>
      <rPr>
        <sz val="9"/>
        <color theme="1"/>
        <rFont val="맑은 고딕"/>
        <family val="3"/>
        <charset val="129"/>
        <scheme val="minor"/>
      </rPr>
      <t>保護髮根，有效解決掉髮現象，養護濃密秀髮。 集中護理脫髮症狀，保持頭皮</t>
    </r>
    <r>
      <rPr>
        <sz val="9"/>
        <color theme="1"/>
        <rFont val="맑은 고딕"/>
        <family val="2"/>
        <charset val="129"/>
        <scheme val="minor"/>
      </rPr>
      <t>清</t>
    </r>
    <r>
      <rPr>
        <sz val="9"/>
        <color theme="1"/>
        <rFont val="맑은 고딕"/>
        <family val="3"/>
        <charset val="129"/>
        <scheme val="minor"/>
      </rPr>
      <t>爽潔淨 7大無添加：動物性原料、</t>
    </r>
    <r>
      <rPr>
        <sz val="9"/>
        <color theme="1"/>
        <rFont val="맑은 고딕"/>
        <family val="2"/>
        <charset val="129"/>
        <scheme val="minor"/>
      </rPr>
      <t>礦</t>
    </r>
    <r>
      <rPr>
        <sz val="9"/>
        <color theme="1"/>
        <rFont val="맑은 고딕"/>
        <family val="3"/>
        <charset val="129"/>
        <scheme val="minor"/>
      </rPr>
      <t>物油 、聚丙</t>
    </r>
    <r>
      <rPr>
        <sz val="9"/>
        <color theme="1"/>
        <rFont val="맑은 고딕"/>
        <family val="2"/>
        <charset val="129"/>
        <scheme val="minor"/>
      </rPr>
      <t>烯酰胺</t>
    </r>
    <r>
      <rPr>
        <sz val="9"/>
        <color theme="1"/>
        <rFont val="맑은 고딕"/>
        <family val="3"/>
        <charset val="129"/>
        <scheme val="minor"/>
      </rPr>
      <t>、人工色素、尿素</t>
    </r>
    <r>
      <rPr>
        <sz val="9"/>
        <color theme="1"/>
        <rFont val="맑은 고딕"/>
        <family val="2"/>
        <charset val="129"/>
        <scheme val="minor"/>
      </rPr>
      <t>醛</t>
    </r>
    <r>
      <rPr>
        <sz val="9"/>
        <color theme="1"/>
        <rFont val="맑은 고딕"/>
        <family val="3"/>
        <charset val="129"/>
        <scheme val="minor"/>
      </rPr>
      <t>、三乙醇</t>
    </r>
    <r>
      <rPr>
        <sz val="9"/>
        <color theme="1"/>
        <rFont val="맑은 고딕"/>
        <family val="2"/>
        <charset val="129"/>
        <scheme val="minor"/>
      </rPr>
      <t>胺</t>
    </r>
    <r>
      <rPr>
        <sz val="9"/>
        <color theme="1"/>
        <rFont val="맑은 고딕"/>
        <family val="3"/>
        <charset val="129"/>
        <scheme val="minor"/>
      </rPr>
      <t xml:space="preserve"> 、矽靈 - 呂 韓蔘滋養防脫髮洗髮液 (油性頭皮適用) 400毫升</t>
    </r>
  </si>
  <si>
    <r>
      <t>【呂】經40年人蔘</t>
    </r>
    <r>
      <rPr>
        <sz val="9"/>
        <color theme="1"/>
        <rFont val="맑은 고딕"/>
        <family val="2"/>
        <charset val="129"/>
        <scheme val="minor"/>
      </rPr>
      <t>研</t>
    </r>
    <r>
      <rPr>
        <sz val="9"/>
        <color theme="1"/>
        <rFont val="맑은 고딕"/>
        <family val="3"/>
        <charset val="129"/>
        <scheme val="minor"/>
      </rPr>
      <t>究，以獨家Ginsen9EX™防脫專利技術，差壓提取法萃取高濃度韓國人蔘精華，揉合官方認證咖</t>
    </r>
    <r>
      <rPr>
        <sz val="9"/>
        <color theme="1"/>
        <rFont val="맑은 고딕"/>
        <family val="2"/>
        <charset val="129"/>
        <scheme val="minor"/>
      </rPr>
      <t>啡</t>
    </r>
    <r>
      <rPr>
        <sz val="9"/>
        <color theme="1"/>
        <rFont val="맑은 고딕"/>
        <family val="3"/>
        <charset val="129"/>
        <scheme val="minor"/>
      </rPr>
      <t>因防脫髮成分，修復受損頭皮，</t>
    </r>
    <r>
      <rPr>
        <sz val="9"/>
        <color theme="1"/>
        <rFont val="맑은 고딕"/>
        <family val="2"/>
        <charset val="129"/>
        <scheme val="minor"/>
      </rPr>
      <t>強韌</t>
    </r>
    <r>
      <rPr>
        <sz val="9"/>
        <color theme="1"/>
        <rFont val="맑은 고딕"/>
        <family val="3"/>
        <charset val="129"/>
        <scheme val="minor"/>
      </rPr>
      <t>保護髮根，有效解決掉髮現象，養護濃密秀髮。 集中護理脫髮症狀，溫和舒緩敏感脆弱頭皮 7大無添加：動物性原料、</t>
    </r>
    <r>
      <rPr>
        <sz val="9"/>
        <color theme="1"/>
        <rFont val="맑은 고딕"/>
        <family val="2"/>
        <charset val="129"/>
        <scheme val="minor"/>
      </rPr>
      <t>礦</t>
    </r>
    <r>
      <rPr>
        <sz val="9"/>
        <color theme="1"/>
        <rFont val="맑은 고딕"/>
        <family val="3"/>
        <charset val="129"/>
        <scheme val="minor"/>
      </rPr>
      <t>物油 、聚丙</t>
    </r>
    <r>
      <rPr>
        <sz val="9"/>
        <color theme="1"/>
        <rFont val="맑은 고딕"/>
        <family val="2"/>
        <charset val="129"/>
        <scheme val="minor"/>
      </rPr>
      <t>烯酰胺</t>
    </r>
    <r>
      <rPr>
        <sz val="9"/>
        <color theme="1"/>
        <rFont val="맑은 고딕"/>
        <family val="3"/>
        <charset val="129"/>
        <scheme val="minor"/>
      </rPr>
      <t>、人工色素、尿素</t>
    </r>
    <r>
      <rPr>
        <sz val="9"/>
        <color theme="1"/>
        <rFont val="맑은 고딕"/>
        <family val="2"/>
        <charset val="129"/>
        <scheme val="minor"/>
      </rPr>
      <t>醛</t>
    </r>
    <r>
      <rPr>
        <sz val="9"/>
        <color theme="1"/>
        <rFont val="맑은 고딕"/>
        <family val="3"/>
        <charset val="129"/>
        <scheme val="minor"/>
      </rPr>
      <t>、三乙醇</t>
    </r>
    <r>
      <rPr>
        <sz val="9"/>
        <color theme="1"/>
        <rFont val="맑은 고딕"/>
        <family val="2"/>
        <charset val="129"/>
        <scheme val="minor"/>
      </rPr>
      <t>胺</t>
    </r>
    <r>
      <rPr>
        <sz val="9"/>
        <color theme="1"/>
        <rFont val="맑은 고딕"/>
        <family val="3"/>
        <charset val="129"/>
        <scheme val="minor"/>
      </rPr>
      <t xml:space="preserve"> 、矽靈 - 呂 韓蔘滋養防脫髮洗髮液 (敏感性頭皮適用) 400毫升</t>
    </r>
  </si>
  <si>
    <r>
      <t>含100%濟州</t>
    </r>
    <r>
      <rPr>
        <sz val="9"/>
        <color theme="1"/>
        <rFont val="맑은 고딕"/>
        <family val="2"/>
        <charset val="129"/>
        <scheme val="minor"/>
      </rPr>
      <t>產</t>
    </r>
    <r>
      <rPr>
        <sz val="9"/>
        <color theme="1"/>
        <rFont val="맑은 고딕"/>
        <family val="3"/>
        <charset val="129"/>
        <scheme val="minor"/>
      </rPr>
      <t>發酵山茶花油，瞬間修復集中滋養，</t>
    </r>
    <r>
      <rPr>
        <sz val="9"/>
        <color theme="1"/>
        <rFont val="맑은 고딕"/>
        <family val="2"/>
        <charset val="129"/>
        <scheme val="minor"/>
      </rPr>
      <t>強</t>
    </r>
    <r>
      <rPr>
        <sz val="9"/>
        <color theme="1"/>
        <rFont val="맑은 고딕"/>
        <family val="3"/>
        <charset val="129"/>
        <scheme val="minor"/>
      </rPr>
      <t>健髮根，增加光澤。 山茶花油 - 改善髮絲分叉 五味子 - 滋養並</t>
    </r>
    <r>
      <rPr>
        <sz val="9"/>
        <color theme="1"/>
        <rFont val="맑은 고딕"/>
        <family val="2"/>
        <charset val="129"/>
        <scheme val="minor"/>
      </rPr>
      <t>強</t>
    </r>
    <r>
      <rPr>
        <sz val="9"/>
        <color theme="1"/>
        <rFont val="맑은 고딕"/>
        <family val="3"/>
        <charset val="129"/>
        <scheme val="minor"/>
      </rPr>
      <t>健髮根 石榴 - 潤澤髮絲彈力修護 5大無添加：人工色素、</t>
    </r>
    <r>
      <rPr>
        <sz val="9"/>
        <color theme="1"/>
        <rFont val="맑은 고딕"/>
        <family val="2"/>
        <charset val="129"/>
        <scheme val="minor"/>
      </rPr>
      <t>礦</t>
    </r>
    <r>
      <rPr>
        <sz val="9"/>
        <color theme="1"/>
        <rFont val="맑은 고딕"/>
        <family val="3"/>
        <charset val="129"/>
        <scheme val="minor"/>
      </rPr>
      <t>物油、聚丙</t>
    </r>
    <r>
      <rPr>
        <sz val="9"/>
        <color theme="1"/>
        <rFont val="맑은 고딕"/>
        <family val="2"/>
        <charset val="129"/>
        <scheme val="minor"/>
      </rPr>
      <t>烯酰胺</t>
    </r>
    <r>
      <rPr>
        <sz val="9"/>
        <color theme="1"/>
        <rFont val="맑은 고딕"/>
        <family val="3"/>
        <charset val="129"/>
        <scheme val="minor"/>
      </rPr>
      <t>、尿素</t>
    </r>
    <r>
      <rPr>
        <sz val="9"/>
        <color theme="1"/>
        <rFont val="맑은 고딕"/>
        <family val="2"/>
        <charset val="129"/>
        <scheme val="minor"/>
      </rPr>
      <t>醛</t>
    </r>
    <r>
      <rPr>
        <sz val="9"/>
        <color theme="1"/>
        <rFont val="맑은 고딕"/>
        <family val="3"/>
        <charset val="129"/>
        <scheme val="minor"/>
      </rPr>
      <t>、三乙醇</t>
    </r>
    <r>
      <rPr>
        <sz val="9"/>
        <color theme="1"/>
        <rFont val="맑은 고딕"/>
        <family val="2"/>
        <charset val="129"/>
        <scheme val="minor"/>
      </rPr>
      <t>胺</t>
    </r>
    <r>
      <rPr>
        <sz val="9"/>
        <color theme="1"/>
        <rFont val="맑은 고딕"/>
        <family val="3"/>
        <charset val="129"/>
        <scheme val="minor"/>
      </rPr>
      <t xml:space="preserve"> - 呂 韓方修護洗髮液 (受損髮質適用) 550毫升</t>
    </r>
  </si>
  <si>
    <r>
      <t>含100%韓國</t>
    </r>
    <r>
      <rPr>
        <sz val="9"/>
        <color theme="1"/>
        <rFont val="맑은 고딕"/>
        <family val="2"/>
        <charset val="129"/>
        <scheme val="minor"/>
      </rPr>
      <t>產</t>
    </r>
    <r>
      <rPr>
        <sz val="9"/>
        <color theme="1"/>
        <rFont val="맑은 고딕"/>
        <family val="3"/>
        <charset val="129"/>
        <scheme val="minor"/>
      </rPr>
      <t>薄荷發酵液，99%去除頭皮髮絲</t>
    </r>
    <r>
      <rPr>
        <sz val="9"/>
        <color theme="1"/>
        <rFont val="맑은 고딕"/>
        <family val="2"/>
        <charset val="129"/>
        <scheme val="minor"/>
      </rPr>
      <t>污</t>
    </r>
    <r>
      <rPr>
        <sz val="9"/>
        <color theme="1"/>
        <rFont val="맑은 고딕"/>
        <family val="3"/>
        <charset val="129"/>
        <scheme val="minor"/>
      </rPr>
      <t>垢，淨化頭皮，深層</t>
    </r>
    <r>
      <rPr>
        <sz val="9"/>
        <color theme="1"/>
        <rFont val="맑은 고딕"/>
        <family val="2"/>
        <charset val="129"/>
        <scheme val="minor"/>
      </rPr>
      <t>清</t>
    </r>
    <r>
      <rPr>
        <sz val="9"/>
        <color theme="1"/>
        <rFont val="맑은 고딕"/>
        <family val="3"/>
        <charset val="129"/>
        <scheme val="minor"/>
      </rPr>
      <t xml:space="preserve">潔，調節皮脂。 發酵薄荷液 - </t>
    </r>
    <r>
      <rPr>
        <sz val="9"/>
        <color theme="1"/>
        <rFont val="맑은 고딕"/>
        <family val="2"/>
        <charset val="129"/>
        <scheme val="minor"/>
      </rPr>
      <t>清</t>
    </r>
    <r>
      <rPr>
        <sz val="9"/>
        <color theme="1"/>
        <rFont val="맑은 고딕"/>
        <family val="3"/>
        <charset val="129"/>
        <scheme val="minor"/>
      </rPr>
      <t>潔頭皮過多油脂 松針 - 淨化並改善頭皮環境 綠茶 - 去屑止癢 5大無添加：矽靈、</t>
    </r>
    <r>
      <rPr>
        <sz val="9"/>
        <color theme="1"/>
        <rFont val="맑은 고딕"/>
        <family val="2"/>
        <charset val="129"/>
        <scheme val="minor"/>
      </rPr>
      <t>礦</t>
    </r>
    <r>
      <rPr>
        <sz val="9"/>
        <color theme="1"/>
        <rFont val="맑은 고딕"/>
        <family val="3"/>
        <charset val="129"/>
        <scheme val="minor"/>
      </rPr>
      <t>物油 、聚丙</t>
    </r>
    <r>
      <rPr>
        <sz val="9"/>
        <color theme="1"/>
        <rFont val="맑은 고딕"/>
        <family val="2"/>
        <charset val="129"/>
        <scheme val="minor"/>
      </rPr>
      <t>烯酰胺</t>
    </r>
    <r>
      <rPr>
        <sz val="9"/>
        <color theme="1"/>
        <rFont val="맑은 고딕"/>
        <family val="3"/>
        <charset val="129"/>
        <scheme val="minor"/>
      </rPr>
      <t>、尿素</t>
    </r>
    <r>
      <rPr>
        <sz val="9"/>
        <color theme="1"/>
        <rFont val="맑은 고딕"/>
        <family val="2"/>
        <charset val="129"/>
        <scheme val="minor"/>
      </rPr>
      <t>醛</t>
    </r>
    <r>
      <rPr>
        <sz val="9"/>
        <color theme="1"/>
        <rFont val="맑은 고딕"/>
        <family val="3"/>
        <charset val="129"/>
        <scheme val="minor"/>
      </rPr>
      <t>、焦油系色素 - 呂 韓方修護洗髮液 (油性髮質適用) 550毫升</t>
    </r>
  </si>
  <si>
    <r>
      <t>呂 韓方修護潤</t>
    </r>
    <r>
      <rPr>
        <sz val="9"/>
        <color theme="1"/>
        <rFont val="맑은 고딕"/>
        <family val="2"/>
        <charset val="129"/>
        <scheme val="minor"/>
      </rPr>
      <t>髪</t>
    </r>
    <r>
      <rPr>
        <sz val="9"/>
        <color theme="1"/>
        <rFont val="맑은 고딕"/>
        <family val="3"/>
        <charset val="129"/>
        <scheme val="minor"/>
      </rPr>
      <t>乳 (幼弱髮質適用) 480毫升 | RYO Hong Kong</t>
    </r>
  </si>
  <si>
    <r>
      <t>專利黑豆成分 - </t>
    </r>
    <r>
      <rPr>
        <sz val="9"/>
        <color theme="1"/>
        <rFont val="맑은 고딕"/>
        <family val="2"/>
        <charset val="129"/>
        <scheme val="minor"/>
      </rPr>
      <t>強</t>
    </r>
    <r>
      <rPr>
        <sz val="9"/>
        <color theme="1"/>
        <rFont val="맑은 고딕"/>
        <family val="3"/>
        <charset val="129"/>
        <scheme val="minor"/>
      </rPr>
      <t>健髮根補充頭皮營養，改善細軟無力。</t>
    </r>
    <r>
      <rPr>
        <sz val="9"/>
        <color theme="1"/>
        <rFont val="맑은 고딕"/>
        <family val="2"/>
        <charset val="129"/>
        <scheme val="minor"/>
      </rPr>
      <t>啤</t>
    </r>
    <r>
      <rPr>
        <sz val="9"/>
        <color theme="1"/>
        <rFont val="맑은 고딕"/>
        <family val="3"/>
        <charset val="129"/>
        <scheme val="minor"/>
      </rPr>
      <t>酒酵母成分 - 增加頭皮及髮根彈性，保持</t>
    </r>
    <r>
      <rPr>
        <sz val="9"/>
        <color theme="1"/>
        <rFont val="맑은 고딕"/>
        <family val="2"/>
        <charset val="129"/>
        <scheme val="minor"/>
      </rPr>
      <t>豐</t>
    </r>
    <r>
      <rPr>
        <sz val="9"/>
        <color theme="1"/>
        <rFont val="맑은 고딕"/>
        <family val="3"/>
        <charset val="129"/>
        <scheme val="minor"/>
      </rPr>
      <t>盈蓬鬆。6大無添加：動物性原料、</t>
    </r>
    <r>
      <rPr>
        <sz val="9"/>
        <color theme="1"/>
        <rFont val="맑은 고딕"/>
        <family val="2"/>
        <charset val="129"/>
        <scheme val="minor"/>
      </rPr>
      <t>礦</t>
    </r>
    <r>
      <rPr>
        <sz val="9"/>
        <color theme="1"/>
        <rFont val="맑은 고딕"/>
        <family val="3"/>
        <charset val="129"/>
        <scheme val="minor"/>
      </rPr>
      <t>物油 、聚丙</t>
    </r>
    <r>
      <rPr>
        <sz val="9"/>
        <color theme="1"/>
        <rFont val="맑은 고딕"/>
        <family val="2"/>
        <charset val="129"/>
        <scheme val="minor"/>
      </rPr>
      <t>烯酰胺</t>
    </r>
    <r>
      <rPr>
        <sz val="9"/>
        <color theme="1"/>
        <rFont val="맑은 고딕"/>
        <family val="3"/>
        <charset val="129"/>
        <scheme val="minor"/>
      </rPr>
      <t>、人工色素、尿素</t>
    </r>
    <r>
      <rPr>
        <sz val="9"/>
        <color theme="1"/>
        <rFont val="맑은 고딕"/>
        <family val="2"/>
        <charset val="129"/>
        <scheme val="minor"/>
      </rPr>
      <t>醛</t>
    </r>
    <r>
      <rPr>
        <sz val="9"/>
        <color theme="1"/>
        <rFont val="맑은 고딕"/>
        <family val="3"/>
        <charset val="129"/>
        <scheme val="minor"/>
      </rPr>
      <t>、三乙醇</t>
    </r>
    <r>
      <rPr>
        <sz val="9"/>
        <color theme="1"/>
        <rFont val="맑은 고딕"/>
        <family val="2"/>
        <charset val="129"/>
        <scheme val="minor"/>
      </rPr>
      <t>胺</t>
    </r>
    <r>
      <rPr>
        <sz val="9"/>
        <color theme="1"/>
        <rFont val="맑은 고딕"/>
        <family val="3"/>
        <charset val="129"/>
        <scheme val="minor"/>
      </rPr>
      <t>。弱酸性及全素配方，溫和親膚。 - 呂 韓方修護潤</t>
    </r>
    <r>
      <rPr>
        <sz val="9"/>
        <color theme="1"/>
        <rFont val="맑은 고딕"/>
        <family val="2"/>
        <charset val="129"/>
        <scheme val="minor"/>
      </rPr>
      <t>髪</t>
    </r>
    <r>
      <rPr>
        <sz val="9"/>
        <color theme="1"/>
        <rFont val="맑은 고딕"/>
        <family val="3"/>
        <charset val="129"/>
        <scheme val="minor"/>
      </rPr>
      <t>乳 (幼弱髮質適用) 480毫升</t>
    </r>
  </si>
  <si>
    <r>
      <t>呂 韓方修護潤</t>
    </r>
    <r>
      <rPr>
        <sz val="9"/>
        <color theme="1"/>
        <rFont val="맑은 고딕"/>
        <family val="2"/>
        <charset val="129"/>
        <scheme val="minor"/>
      </rPr>
      <t>髪</t>
    </r>
    <r>
      <rPr>
        <sz val="9"/>
        <color theme="1"/>
        <rFont val="맑은 고딕"/>
        <family val="3"/>
        <charset val="129"/>
        <scheme val="minor"/>
      </rPr>
      <t>乳 (幼弱髮質適用) 480毫升</t>
    </r>
  </si>
  <si>
    <r>
      <t>呂 煥髮遮瑕氣墊棒5.0(自然</t>
    </r>
    <r>
      <rPr>
        <sz val="9"/>
        <color theme="1"/>
        <rFont val="맑은 고딕"/>
        <family val="2"/>
        <charset val="129"/>
        <scheme val="minor"/>
      </rPr>
      <t>啡</t>
    </r>
    <r>
      <rPr>
        <sz val="9"/>
        <color theme="1"/>
        <rFont val="맑은 고딕"/>
        <family val="3"/>
        <charset val="129"/>
        <scheme val="minor"/>
      </rPr>
      <t>) | RYO Hong Kong</t>
    </r>
  </si>
  <si>
    <r>
      <t>防汗水，洗髮時用洗髮水沖洗便可。</t>
    </r>
    <r>
      <rPr>
        <sz val="9"/>
        <color theme="1"/>
        <rFont val="맑은 고딕"/>
        <family val="2"/>
        <charset val="129"/>
        <scheme val="minor"/>
      </rPr>
      <t>為</t>
    </r>
    <r>
      <rPr>
        <sz val="9"/>
        <color theme="1"/>
        <rFont val="맑은 고딕"/>
        <family val="3"/>
        <charset val="129"/>
        <scheme val="minor"/>
      </rPr>
      <t>髮絲添上光澤感。氣墊質地輕柔易推開氣墊質地輕柔易推開。山茶花油</t>
    </r>
    <r>
      <rPr>
        <sz val="9"/>
        <color theme="1"/>
        <rFont val="맑은 고딕"/>
        <family val="2"/>
        <charset val="129"/>
        <scheme val="minor"/>
      </rPr>
      <t>為</t>
    </r>
    <r>
      <rPr>
        <sz val="9"/>
        <color theme="1"/>
        <rFont val="맑은 고딕"/>
        <family val="3"/>
        <charset val="129"/>
        <scheme val="minor"/>
      </rPr>
      <t>髮絲添上光澤，側柏萃取</t>
    </r>
    <r>
      <rPr>
        <sz val="9"/>
        <color theme="1"/>
        <rFont val="맑은 고딕"/>
        <family val="2"/>
        <charset val="129"/>
        <scheme val="minor"/>
      </rPr>
      <t>為</t>
    </r>
    <r>
      <rPr>
        <sz val="9"/>
        <color theme="1"/>
        <rFont val="맑은 고딕"/>
        <family val="3"/>
        <charset val="129"/>
        <scheme val="minor"/>
      </rPr>
      <t>頭皮添加養分，綠茶萃取有效</t>
    </r>
    <r>
      <rPr>
        <sz val="9"/>
        <color theme="1"/>
        <rFont val="맑은 고딕"/>
        <family val="2"/>
        <charset val="129"/>
        <scheme val="minor"/>
      </rPr>
      <t>強</t>
    </r>
    <r>
      <rPr>
        <sz val="9"/>
        <color theme="1"/>
        <rFont val="맑은 고딕"/>
        <family val="3"/>
        <charset val="129"/>
        <scheme val="minor"/>
      </rPr>
      <t>化髮根。 - 呂 煥髮遮瑕氣墊棒5.0(自然</t>
    </r>
    <r>
      <rPr>
        <sz val="9"/>
        <color theme="1"/>
        <rFont val="맑은 고딕"/>
        <family val="2"/>
        <charset val="129"/>
        <scheme val="minor"/>
      </rPr>
      <t>啡</t>
    </r>
    <r>
      <rPr>
        <sz val="9"/>
        <color theme="1"/>
        <rFont val="맑은 고딕"/>
        <family val="3"/>
        <charset val="129"/>
        <scheme val="minor"/>
      </rPr>
      <t>)</t>
    </r>
  </si>
  <si>
    <r>
      <t>呂 煥髮遮瑕氣墊棒5.0(自然</t>
    </r>
    <r>
      <rPr>
        <sz val="9"/>
        <color theme="1"/>
        <rFont val="맑은 고딕"/>
        <family val="2"/>
        <charset val="129"/>
        <scheme val="minor"/>
      </rPr>
      <t>啡</t>
    </r>
    <r>
      <rPr>
        <sz val="9"/>
        <color theme="1"/>
        <rFont val="맑은 고딕"/>
        <family val="3"/>
        <charset val="129"/>
        <scheme val="minor"/>
      </rPr>
      <t>)</t>
    </r>
  </si>
  <si>
    <r>
      <t>呂 韓方修護潤</t>
    </r>
    <r>
      <rPr>
        <sz val="9"/>
        <color theme="1"/>
        <rFont val="맑은 고딕"/>
        <family val="2"/>
        <charset val="129"/>
        <scheme val="minor"/>
      </rPr>
      <t>髪</t>
    </r>
    <r>
      <rPr>
        <sz val="9"/>
        <color theme="1"/>
        <rFont val="맑은 고딕"/>
        <family val="3"/>
        <charset val="129"/>
        <scheme val="minor"/>
      </rPr>
      <t>乳 (受損髮質適用) 550毫升 | RYO Hong Kong</t>
    </r>
  </si>
  <si>
    <r>
      <t>含100%濟州</t>
    </r>
    <r>
      <rPr>
        <sz val="9"/>
        <color theme="1"/>
        <rFont val="맑은 고딕"/>
        <family val="2"/>
        <charset val="129"/>
        <scheme val="minor"/>
      </rPr>
      <t>產</t>
    </r>
    <r>
      <rPr>
        <sz val="9"/>
        <color theme="1"/>
        <rFont val="맑은 고딕"/>
        <family val="3"/>
        <charset val="129"/>
        <scheme val="minor"/>
      </rPr>
      <t>發酵山茶花油，瞬間修復集中滋養，</t>
    </r>
    <r>
      <rPr>
        <sz val="9"/>
        <color theme="1"/>
        <rFont val="맑은 고딕"/>
        <family val="2"/>
        <charset val="129"/>
        <scheme val="minor"/>
      </rPr>
      <t>強</t>
    </r>
    <r>
      <rPr>
        <sz val="9"/>
        <color theme="1"/>
        <rFont val="맑은 고딕"/>
        <family val="3"/>
        <charset val="129"/>
        <scheme val="minor"/>
      </rPr>
      <t>健髮根，增加光澤。 山茶花油 - 改善髮絲分叉 五味子 - 滋養並</t>
    </r>
    <r>
      <rPr>
        <sz val="9"/>
        <color theme="1"/>
        <rFont val="맑은 고딕"/>
        <family val="2"/>
        <charset val="129"/>
        <scheme val="minor"/>
      </rPr>
      <t>強</t>
    </r>
    <r>
      <rPr>
        <sz val="9"/>
        <color theme="1"/>
        <rFont val="맑은 고딕"/>
        <family val="3"/>
        <charset val="129"/>
        <scheme val="minor"/>
      </rPr>
      <t>健髮根 石榴 - 潤澤髮絲彈力修護 5大無添加：人工色素、</t>
    </r>
    <r>
      <rPr>
        <sz val="9"/>
        <color theme="1"/>
        <rFont val="맑은 고딕"/>
        <family val="2"/>
        <charset val="129"/>
        <scheme val="minor"/>
      </rPr>
      <t>礦</t>
    </r>
    <r>
      <rPr>
        <sz val="9"/>
        <color theme="1"/>
        <rFont val="맑은 고딕"/>
        <family val="3"/>
        <charset val="129"/>
        <scheme val="minor"/>
      </rPr>
      <t>物油、聚丙</t>
    </r>
    <r>
      <rPr>
        <sz val="9"/>
        <color theme="1"/>
        <rFont val="맑은 고딕"/>
        <family val="2"/>
        <charset val="129"/>
        <scheme val="minor"/>
      </rPr>
      <t>烯酰胺</t>
    </r>
    <r>
      <rPr>
        <sz val="9"/>
        <color theme="1"/>
        <rFont val="맑은 고딕"/>
        <family val="3"/>
        <charset val="129"/>
        <scheme val="minor"/>
      </rPr>
      <t>、尿素</t>
    </r>
    <r>
      <rPr>
        <sz val="9"/>
        <color theme="1"/>
        <rFont val="맑은 고딕"/>
        <family val="2"/>
        <charset val="129"/>
        <scheme val="minor"/>
      </rPr>
      <t>醛</t>
    </r>
    <r>
      <rPr>
        <sz val="9"/>
        <color theme="1"/>
        <rFont val="맑은 고딕"/>
        <family val="3"/>
        <charset val="129"/>
        <scheme val="minor"/>
      </rPr>
      <t>、三乙醇</t>
    </r>
    <r>
      <rPr>
        <sz val="9"/>
        <color theme="1"/>
        <rFont val="맑은 고딕"/>
        <family val="2"/>
        <charset val="129"/>
        <scheme val="minor"/>
      </rPr>
      <t>胺</t>
    </r>
    <r>
      <rPr>
        <sz val="9"/>
        <color theme="1"/>
        <rFont val="맑은 고딕"/>
        <family val="3"/>
        <charset val="129"/>
        <scheme val="minor"/>
      </rPr>
      <t xml:space="preserve"> - 呂 韓方修護潤</t>
    </r>
    <r>
      <rPr>
        <sz val="9"/>
        <color theme="1"/>
        <rFont val="맑은 고딕"/>
        <family val="2"/>
        <charset val="129"/>
        <scheme val="minor"/>
      </rPr>
      <t>髪</t>
    </r>
    <r>
      <rPr>
        <sz val="9"/>
        <color theme="1"/>
        <rFont val="맑은 고딕"/>
        <family val="3"/>
        <charset val="129"/>
        <scheme val="minor"/>
      </rPr>
      <t>乳 (受損髮質適用) 550毫升</t>
    </r>
  </si>
  <si>
    <r>
      <t>呂 韓方修護潤</t>
    </r>
    <r>
      <rPr>
        <sz val="9"/>
        <color theme="1"/>
        <rFont val="맑은 고딕"/>
        <family val="2"/>
        <charset val="129"/>
        <scheme val="minor"/>
      </rPr>
      <t>髪</t>
    </r>
    <r>
      <rPr>
        <sz val="9"/>
        <color theme="1"/>
        <rFont val="맑은 고딕"/>
        <family val="3"/>
        <charset val="129"/>
        <scheme val="minor"/>
      </rPr>
      <t>乳 (受損髮質適用) 550毫升</t>
    </r>
  </si>
  <si>
    <r>
      <t>呂 極尊系列，韓國限售，首度香港公開發售。古法韓方預防落髮，潤黑髮色，毛髮蓬鬆，改善明顯薄髮問題。 配方含韓方水複合物8大精華成</t>
    </r>
    <r>
      <rPr>
        <sz val="9"/>
        <color theme="1"/>
        <rFont val="맑은 고딕"/>
        <family val="2"/>
        <charset val="129"/>
        <scheme val="minor"/>
      </rPr>
      <t>份</t>
    </r>
    <r>
      <rPr>
        <sz val="9"/>
        <color theme="1"/>
        <rFont val="맑은 고딕"/>
        <family val="3"/>
        <charset val="129"/>
        <scheme val="minor"/>
      </rPr>
      <t>：人蔘、茯苓、蜂蜜、綠茶、黑豆、山地黃、何首烏、當藥 不僅可改善薄髮症狀，還能</t>
    </r>
    <r>
      <rPr>
        <sz val="9"/>
        <color theme="1"/>
        <rFont val="맑은 고딕"/>
        <family val="2"/>
        <charset val="129"/>
        <scheme val="minor"/>
      </rPr>
      <t>鎮</t>
    </r>
    <r>
      <rPr>
        <sz val="9"/>
        <color theme="1"/>
        <rFont val="맑은 고딕"/>
        <family val="3"/>
        <charset val="129"/>
        <scheme val="minor"/>
      </rPr>
      <t>靜頭皮，增加頭髮蓬鬆度，潤澤髮絲等方面進行全面護理。 - 呂 極蔘潤黑防脫髮洗髮液 350毫升</t>
    </r>
  </si>
  <si>
    <r>
      <t>專利黑豆成分 - </t>
    </r>
    <r>
      <rPr>
        <sz val="9"/>
        <color theme="1"/>
        <rFont val="맑은 고딕"/>
        <family val="2"/>
        <charset val="129"/>
        <scheme val="minor"/>
      </rPr>
      <t>強</t>
    </r>
    <r>
      <rPr>
        <sz val="9"/>
        <color theme="1"/>
        <rFont val="맑은 고딕"/>
        <family val="3"/>
        <charset val="129"/>
        <scheme val="minor"/>
      </rPr>
      <t>健髮根補充頭皮營養，改善細軟無力。</t>
    </r>
    <r>
      <rPr>
        <sz val="9"/>
        <color theme="1"/>
        <rFont val="맑은 고딕"/>
        <family val="2"/>
        <charset val="129"/>
        <scheme val="minor"/>
      </rPr>
      <t>啤</t>
    </r>
    <r>
      <rPr>
        <sz val="9"/>
        <color theme="1"/>
        <rFont val="맑은 고딕"/>
        <family val="3"/>
        <charset val="129"/>
        <scheme val="minor"/>
      </rPr>
      <t>酒酵母成分 - 增加頭皮及髮根彈性，保持</t>
    </r>
    <r>
      <rPr>
        <sz val="9"/>
        <color theme="1"/>
        <rFont val="맑은 고딕"/>
        <family val="2"/>
        <charset val="129"/>
        <scheme val="minor"/>
      </rPr>
      <t>豐</t>
    </r>
    <r>
      <rPr>
        <sz val="9"/>
        <color theme="1"/>
        <rFont val="맑은 고딕"/>
        <family val="3"/>
        <charset val="129"/>
        <scheme val="minor"/>
      </rPr>
      <t>盈蓬鬆。8大無添加：動物性原料、</t>
    </r>
    <r>
      <rPr>
        <sz val="9"/>
        <color theme="1"/>
        <rFont val="맑은 고딕"/>
        <family val="2"/>
        <charset val="129"/>
        <scheme val="minor"/>
      </rPr>
      <t>礦</t>
    </r>
    <r>
      <rPr>
        <sz val="9"/>
        <color theme="1"/>
        <rFont val="맑은 고딕"/>
        <family val="3"/>
        <charset val="129"/>
        <scheme val="minor"/>
      </rPr>
      <t>物油 、聚丙</t>
    </r>
    <r>
      <rPr>
        <sz val="9"/>
        <color theme="1"/>
        <rFont val="맑은 고딕"/>
        <family val="2"/>
        <charset val="129"/>
        <scheme val="minor"/>
      </rPr>
      <t>烯酰胺</t>
    </r>
    <r>
      <rPr>
        <sz val="9"/>
        <color theme="1"/>
        <rFont val="맑은 고딕"/>
        <family val="3"/>
        <charset val="129"/>
        <scheme val="minor"/>
      </rPr>
      <t>、人工色素、尿素</t>
    </r>
    <r>
      <rPr>
        <sz val="9"/>
        <color theme="1"/>
        <rFont val="맑은 고딕"/>
        <family val="2"/>
        <charset val="129"/>
        <scheme val="minor"/>
      </rPr>
      <t>醛</t>
    </r>
    <r>
      <rPr>
        <sz val="9"/>
        <color theme="1"/>
        <rFont val="맑은 고딕"/>
        <family val="3"/>
        <charset val="129"/>
        <scheme val="minor"/>
      </rPr>
      <t>、三乙醇</t>
    </r>
    <r>
      <rPr>
        <sz val="9"/>
        <color theme="1"/>
        <rFont val="맑은 고딕"/>
        <family val="2"/>
        <charset val="129"/>
        <scheme val="minor"/>
      </rPr>
      <t>胺</t>
    </r>
    <r>
      <rPr>
        <sz val="9"/>
        <color theme="1"/>
        <rFont val="맑은 고딕"/>
        <family val="3"/>
        <charset val="129"/>
        <scheme val="minor"/>
      </rPr>
      <t> 、滑石、起泡劑。弱酸性及全素配方，溫和親膚。 - 呂 韓方修護洗髮液 (幼弱髮質適用) 480毫升</t>
    </r>
  </si>
  <si>
    <r>
      <t>【呂】 專利山茶花油成分 - 改善髮絲乾旱分叉，修護燙染損傷。石榴精華 - 潤澤髮絲，彈力修護。6大無添加：動物性原料、</t>
    </r>
    <r>
      <rPr>
        <sz val="9"/>
        <color theme="1"/>
        <rFont val="맑은 고딕"/>
        <family val="2"/>
        <charset val="129"/>
        <scheme val="minor"/>
      </rPr>
      <t>礦</t>
    </r>
    <r>
      <rPr>
        <sz val="9"/>
        <color theme="1"/>
        <rFont val="맑은 고딕"/>
        <family val="3"/>
        <charset val="129"/>
        <scheme val="minor"/>
      </rPr>
      <t>物油 、聚丙</t>
    </r>
    <r>
      <rPr>
        <sz val="9"/>
        <color theme="1"/>
        <rFont val="맑은 고딕"/>
        <family val="2"/>
        <charset val="129"/>
        <scheme val="minor"/>
      </rPr>
      <t>烯酰胺</t>
    </r>
    <r>
      <rPr>
        <sz val="9"/>
        <color theme="1"/>
        <rFont val="맑은 고딕"/>
        <family val="3"/>
        <charset val="129"/>
        <scheme val="minor"/>
      </rPr>
      <t>、人工色素、尿素</t>
    </r>
    <r>
      <rPr>
        <sz val="9"/>
        <color theme="1"/>
        <rFont val="맑은 고딕"/>
        <family val="2"/>
        <charset val="129"/>
        <scheme val="minor"/>
      </rPr>
      <t>醛</t>
    </r>
    <r>
      <rPr>
        <sz val="9"/>
        <color theme="1"/>
        <rFont val="맑은 고딕"/>
        <family val="3"/>
        <charset val="129"/>
        <scheme val="minor"/>
      </rPr>
      <t>、三乙醇</t>
    </r>
    <r>
      <rPr>
        <sz val="9"/>
        <color theme="1"/>
        <rFont val="맑은 고딕"/>
        <family val="2"/>
        <charset val="129"/>
        <scheme val="minor"/>
      </rPr>
      <t>胺</t>
    </r>
    <r>
      <rPr>
        <sz val="9"/>
        <color theme="1"/>
        <rFont val="맑은 고딕"/>
        <family val="3"/>
        <charset val="129"/>
        <scheme val="minor"/>
      </rPr>
      <t>。弱酸性及全素配方，溫和親膚 - 呂韓方修護精華素 (受損髮質適用) 300毫升</t>
    </r>
  </si>
  <si>
    <r>
      <t>呂 煥髮遮瑕氣墊棒4.0(深</t>
    </r>
    <r>
      <rPr>
        <sz val="9"/>
        <color theme="1"/>
        <rFont val="맑은 고딕"/>
        <family val="2"/>
        <charset val="129"/>
        <scheme val="minor"/>
      </rPr>
      <t>啡</t>
    </r>
    <r>
      <rPr>
        <sz val="9"/>
        <color theme="1"/>
        <rFont val="맑은 고딕"/>
        <family val="3"/>
        <charset val="129"/>
        <scheme val="minor"/>
      </rPr>
      <t>) | RYO Hong Kong</t>
    </r>
  </si>
  <si>
    <r>
      <t>防汗水，洗髮時用洗髮水沖洗便可。</t>
    </r>
    <r>
      <rPr>
        <sz val="9"/>
        <color theme="1"/>
        <rFont val="맑은 고딕"/>
        <family val="2"/>
        <charset val="129"/>
        <scheme val="minor"/>
      </rPr>
      <t>為</t>
    </r>
    <r>
      <rPr>
        <sz val="9"/>
        <color theme="1"/>
        <rFont val="맑은 고딕"/>
        <family val="3"/>
        <charset val="129"/>
        <scheme val="minor"/>
      </rPr>
      <t>髮絲添上光澤感。氣墊質地輕柔易推開。山茶花油</t>
    </r>
    <r>
      <rPr>
        <sz val="9"/>
        <color theme="1"/>
        <rFont val="맑은 고딕"/>
        <family val="2"/>
        <charset val="129"/>
        <scheme val="minor"/>
      </rPr>
      <t>為</t>
    </r>
    <r>
      <rPr>
        <sz val="9"/>
        <color theme="1"/>
        <rFont val="맑은 고딕"/>
        <family val="3"/>
        <charset val="129"/>
        <scheme val="minor"/>
      </rPr>
      <t>髮絲添上光澤，側柏萃取</t>
    </r>
    <r>
      <rPr>
        <sz val="9"/>
        <color theme="1"/>
        <rFont val="맑은 고딕"/>
        <family val="2"/>
        <charset val="129"/>
        <scheme val="minor"/>
      </rPr>
      <t>為</t>
    </r>
    <r>
      <rPr>
        <sz val="9"/>
        <color theme="1"/>
        <rFont val="맑은 고딕"/>
        <family val="3"/>
        <charset val="129"/>
        <scheme val="minor"/>
      </rPr>
      <t>頭皮添加養分，綠茶萃取有效</t>
    </r>
    <r>
      <rPr>
        <sz val="9"/>
        <color theme="1"/>
        <rFont val="맑은 고딕"/>
        <family val="2"/>
        <charset val="129"/>
        <scheme val="minor"/>
      </rPr>
      <t>強</t>
    </r>
    <r>
      <rPr>
        <sz val="9"/>
        <color theme="1"/>
        <rFont val="맑은 고딕"/>
        <family val="3"/>
        <charset val="129"/>
        <scheme val="minor"/>
      </rPr>
      <t>化髮根。 - 呂 煥髮遮瑕氣墊棒4.0(深</t>
    </r>
    <r>
      <rPr>
        <sz val="9"/>
        <color theme="1"/>
        <rFont val="맑은 고딕"/>
        <family val="2"/>
        <charset val="129"/>
        <scheme val="minor"/>
      </rPr>
      <t>啡</t>
    </r>
    <r>
      <rPr>
        <sz val="9"/>
        <color theme="1"/>
        <rFont val="맑은 고딕"/>
        <family val="3"/>
        <charset val="129"/>
        <scheme val="minor"/>
      </rPr>
      <t>)</t>
    </r>
  </si>
  <si>
    <r>
      <t>呂 煥髮遮瑕氣墊棒4.0(深</t>
    </r>
    <r>
      <rPr>
        <sz val="9"/>
        <color theme="1"/>
        <rFont val="맑은 고딕"/>
        <family val="2"/>
        <charset val="129"/>
        <scheme val="minor"/>
      </rPr>
      <t>啡</t>
    </r>
    <r>
      <rPr>
        <sz val="9"/>
        <color theme="1"/>
        <rFont val="맑은 고딕"/>
        <family val="3"/>
        <charset val="129"/>
        <scheme val="minor"/>
      </rPr>
      <t>)</t>
    </r>
  </si>
  <si>
    <r>
      <t>呂RYO 全新升級｜領先科</t>
    </r>
    <r>
      <rPr>
        <sz val="9"/>
        <color theme="1"/>
        <rFont val="맑은 고딕"/>
        <family val="2"/>
        <charset val="129"/>
        <scheme val="minor"/>
      </rPr>
      <t>研</t>
    </r>
    <r>
      <rPr>
        <sz val="9"/>
        <color theme="1"/>
        <rFont val="맑은 고딕"/>
        <family val="3"/>
        <charset val="129"/>
        <scheme val="minor"/>
      </rPr>
      <t>防脫之旅</t>
    </r>
  </si>
  <si>
    <r>
      <t>以獨家Ginsen9EX™防脫專利技術萃取高濃度韓國人蔘精華，修復受損頭皮，</t>
    </r>
    <r>
      <rPr>
        <sz val="9"/>
        <color theme="1"/>
        <rFont val="맑은 고딕"/>
        <family val="2"/>
        <charset val="129"/>
        <scheme val="minor"/>
      </rPr>
      <t>強韌</t>
    </r>
    <r>
      <rPr>
        <sz val="9"/>
        <color theme="1"/>
        <rFont val="맑은 고딕"/>
        <family val="3"/>
        <charset val="129"/>
        <scheme val="minor"/>
      </rPr>
      <t>保護髮根，養護濃密秀髮</t>
    </r>
  </si>
  <si>
    <r>
      <t>針對極度髮受損髮質，瞬間修復集中滋養，減少 38% 打結髮絲，重拾絲滑柔順，</t>
    </r>
    <r>
      <rPr>
        <sz val="9"/>
        <color theme="1"/>
        <rFont val="맑은 고딕"/>
        <family val="2"/>
        <charset val="129"/>
        <scheme val="minor"/>
      </rPr>
      <t>強</t>
    </r>
    <r>
      <rPr>
        <sz val="9"/>
        <color theme="1"/>
        <rFont val="맑은 고딕"/>
        <family val="3"/>
        <charset val="129"/>
        <scheme val="minor"/>
      </rPr>
      <t>健髮絲增加光澤</t>
    </r>
  </si>
  <si>
    <r>
      <t>https://ryo-hk.myshopify.com/collections/呂-韓蔘靈芝亮澤</t>
    </r>
    <r>
      <rPr>
        <sz val="9"/>
        <color theme="1"/>
        <rFont val="맑은 고딕"/>
        <family val="2"/>
        <charset val="129"/>
        <scheme val="minor"/>
      </rPr>
      <t>強韌</t>
    </r>
    <r>
      <rPr>
        <sz val="9"/>
        <color theme="1"/>
        <rFont val="맑은 고딕"/>
        <family val="3"/>
        <charset val="129"/>
        <scheme val="minor"/>
      </rPr>
      <t>洗髮液</t>
    </r>
  </si>
  <si>
    <r>
      <t>呂 韓蔘靈芝亮澤</t>
    </r>
    <r>
      <rPr>
        <sz val="9"/>
        <color theme="1"/>
        <rFont val="맑은 고딕"/>
        <family val="2"/>
        <charset val="129"/>
        <scheme val="minor"/>
      </rPr>
      <t>強韌</t>
    </r>
    <r>
      <rPr>
        <sz val="9"/>
        <color theme="1"/>
        <rFont val="맑은 고딕"/>
        <family val="3"/>
        <charset val="129"/>
        <scheme val="minor"/>
      </rPr>
      <t>洗髮液</t>
    </r>
  </si>
  <si>
    <r>
      <rPr>
        <sz val="9"/>
        <color theme="1"/>
        <rFont val="맑은 고딕"/>
        <family val="2"/>
        <charset val="129"/>
        <scheme val="minor"/>
      </rPr>
      <t>给</t>
    </r>
    <r>
      <rPr>
        <sz val="9"/>
        <color theme="1"/>
        <rFont val="맑은 고딕"/>
        <family val="3"/>
        <charset val="129"/>
        <scheme val="minor"/>
      </rPr>
      <t>大家介</t>
    </r>
    <r>
      <rPr>
        <sz val="9"/>
        <color theme="1"/>
        <rFont val="맑은 고딕"/>
        <family val="2"/>
        <charset val="129"/>
        <scheme val="minor"/>
      </rPr>
      <t>绍</t>
    </r>
    <r>
      <rPr>
        <sz val="9"/>
        <color theme="1"/>
        <rFont val="맑은 고딕"/>
        <family val="3"/>
        <charset val="129"/>
        <scheme val="minor"/>
      </rPr>
      <t>一下</t>
    </r>
    <r>
      <rPr>
        <sz val="9"/>
        <color theme="1"/>
        <rFont val="맑은 고딕"/>
        <family val="2"/>
        <charset val="129"/>
        <scheme val="minor"/>
      </rPr>
      <t>厉</t>
    </r>
    <r>
      <rPr>
        <sz val="9"/>
        <color theme="1"/>
        <rFont val="맑은 고딕"/>
        <family val="3"/>
        <charset val="129"/>
        <scheme val="minor"/>
      </rPr>
      <t>的</t>
    </r>
    <r>
      <rPr>
        <sz val="9"/>
        <color theme="1"/>
        <rFont val="맑은 고딕"/>
        <family val="2"/>
        <charset val="129"/>
        <scheme val="minor"/>
      </rPr>
      <t>畅销单</t>
    </r>
    <r>
      <rPr>
        <sz val="9"/>
        <color theme="1"/>
        <rFont val="맑은 고딕"/>
        <family val="3"/>
        <charset val="129"/>
        <scheme val="minor"/>
      </rPr>
      <t>品</t>
    </r>
  </si>
  <si>
    <t>Address QA</t>
    <phoneticPr fontId="6" type="noConversion"/>
  </si>
  <si>
    <t>has issues (not english)</t>
    <phoneticPr fontId="2" type="noConversion"/>
  </si>
  <si>
    <t>Pass</t>
    <phoneticPr fontId="2" type="noConversion"/>
  </si>
  <si>
    <t>Not English
English URL recommended</t>
    <phoneticPr fontId="2" type="noConversion"/>
  </si>
  <si>
    <t>2025-07-21 15:56:37</t>
  </si>
  <si>
    <t>2025-07-21 15:56:38</t>
  </si>
  <si>
    <t>Javascript Redirect</t>
  </si>
  <si>
    <t>Javascript Redirect</t>
    <phoneticPr fontId="2" type="noConversion"/>
  </si>
  <si>
    <t>need check</t>
    <phoneticPr fontId="2" type="noConversion"/>
  </si>
  <si>
    <t>200? 404?</t>
  </si>
  <si>
    <t>200? 404?</t>
    <phoneticPr fontId="2" type="noConversion"/>
  </si>
  <si>
    <t>hyphen recommended
instead of underbar</t>
    <phoneticPr fontId="2" type="noConversion"/>
  </si>
  <si>
    <t>duplicate</t>
    <phoneticPr fontId="2" type="noConversion"/>
  </si>
  <si>
    <t>missing</t>
    <phoneticPr fontId="2" type="noConversion"/>
  </si>
  <si>
    <t>呂 RYO 官方網站 | RYO Hong Kong</t>
    <phoneticPr fontId="2" type="noConversion"/>
  </si>
  <si>
    <t>missing
" | {brand}{country}"</t>
    <phoneticPr fontId="2" type="noConversion"/>
  </si>
  <si>
    <t>need to remove
or noindex</t>
    <phoneticPr fontId="2" type="noConversion"/>
  </si>
  <si>
    <t>duplicate
missing
" | {brand}{country}"</t>
    <phoneticPr fontId="2" type="noConversion"/>
  </si>
  <si>
    <t>multiple</t>
    <phoneticPr fontId="2" type="noConversion"/>
  </si>
  <si>
    <t>check
brand name</t>
    <phoneticPr fontId="2" type="noConversion"/>
  </si>
  <si>
    <t>duplicate
(check red marked cells)</t>
    <phoneticPr fontId="2" type="noConversion"/>
  </si>
  <si>
    <t>https://ryo-hk.myshopify.com/pages/ngbw-status</t>
    <phoneticPr fontId="2" type="noConversion"/>
  </si>
  <si>
    <t>https://ryo-hk.myshopify.com/collections/呂-極蔘潤黑防脫髮系列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</si>
</sst>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_(* #,##0_);_(* \(#,##0\);_(* &quot;-&quot;_);_(@_)"/>
  </numFmts>
  <fonts count="24" x14ac:knownFonts="1">
    <font>
      <sz val="11"/>
      <color theme="1"/>
      <name val="맑은 고딕"/>
      <family val="2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indexed="8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1"/>
      <color rgb="FF000000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b/>
      <i/>
      <sz val="10"/>
      <color theme="9" tint="0.39997558519241921"/>
      <name val="맑은 고딕"/>
      <family val="3"/>
      <charset val="129"/>
      <scheme val="minor"/>
    </font>
    <font>
      <i/>
      <sz val="10"/>
      <color rgb="FFFF000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8"/>
      <color theme="0"/>
      <name val="맑은 고딕"/>
      <family val="3"/>
      <charset val="129"/>
      <scheme val="minor"/>
    </font>
    <font>
      <sz val="8"/>
      <color indexed="8"/>
      <name val="맑은 고딕"/>
      <family val="3"/>
      <charset val="129"/>
      <scheme val="minor"/>
    </font>
    <font>
      <sz val="8"/>
      <color rgb="FFFF0000"/>
      <name val="맑은 고딕"/>
      <family val="3"/>
      <charset val="129"/>
      <scheme val="minor"/>
    </font>
    <font>
      <sz val="8"/>
      <color theme="5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9"/>
      <color theme="1"/>
      <name val="맑은 고딕"/>
      <family val="2"/>
      <charset val="129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66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39997558519241921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thin">
        <color theme="1" tint="0.499984740745262"/>
      </right>
      <top style="medium">
        <color indexed="64"/>
      </top>
      <bottom style="thin">
        <color theme="1" tint="0.499984740745262"/>
      </bottom>
      <diagonal/>
    </border>
    <border>
      <left style="thin">
        <color theme="1" tint="0.499984740745262"/>
      </left>
      <right style="medium">
        <color indexed="64"/>
      </right>
      <top style="medium">
        <color indexed="64"/>
      </top>
      <bottom style="thin">
        <color theme="1" tint="0.499984740745262"/>
      </bottom>
      <diagonal/>
    </border>
    <border>
      <left style="medium">
        <color indexed="64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medium">
        <color indexed="64"/>
      </right>
      <top style="thin">
        <color theme="1" tint="0.499984740745262"/>
      </top>
      <bottom style="thin">
        <color theme="1" tint="0.499984740745262"/>
      </bottom>
      <diagonal/>
    </border>
    <border>
      <left style="medium">
        <color indexed="64"/>
      </left>
      <right style="thin">
        <color theme="1" tint="0.499984740745262"/>
      </right>
      <top style="thin">
        <color theme="1" tint="0.499984740745262"/>
      </top>
      <bottom style="medium">
        <color indexed="64"/>
      </bottom>
      <diagonal/>
    </border>
    <border>
      <left style="thin">
        <color theme="1" tint="0.499984740745262"/>
      </left>
      <right style="medium">
        <color indexed="64"/>
      </right>
      <top style="thin">
        <color theme="1" tint="0.499984740745262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7" fillId="0" borderId="0"/>
    <xf numFmtId="176" fontId="3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/>
  </cellStyleXfs>
  <cellXfs count="46">
    <xf numFmtId="0" fontId="0" fillId="0" borderId="0" xfId="0">
      <alignment vertical="center"/>
    </xf>
    <xf numFmtId="0" fontId="1" fillId="0" borderId="0" xfId="1">
      <alignment vertical="center"/>
    </xf>
    <xf numFmtId="0" fontId="4" fillId="0" borderId="0" xfId="1" applyFont="1">
      <alignment vertical="center"/>
    </xf>
    <xf numFmtId="0" fontId="5" fillId="0" borderId="0" xfId="2" applyFont="1" applyAlignment="1">
      <alignment horizontal="left" vertical="center"/>
    </xf>
    <xf numFmtId="0" fontId="8" fillId="0" borderId="0" xfId="3" applyFont="1"/>
    <xf numFmtId="176" fontId="9" fillId="2" borderId="1" xfId="4" applyFont="1" applyFill="1" applyBorder="1" applyAlignment="1">
      <alignment horizontal="center" vertical="center"/>
    </xf>
    <xf numFmtId="14" fontId="10" fillId="0" borderId="2" xfId="4" applyNumberFormat="1" applyFont="1" applyFill="1" applyBorder="1" applyAlignment="1">
      <alignment horizontal="center" vertical="center" wrapText="1"/>
    </xf>
    <xf numFmtId="176" fontId="9" fillId="2" borderId="3" xfId="4" applyFont="1" applyFill="1" applyBorder="1" applyAlignment="1">
      <alignment horizontal="center" vertical="center"/>
    </xf>
    <xf numFmtId="14" fontId="10" fillId="3" borderId="4" xfId="4" applyNumberFormat="1" applyFont="1" applyFill="1" applyBorder="1" applyAlignment="1">
      <alignment horizontal="center" vertical="center" wrapText="1"/>
    </xf>
    <xf numFmtId="176" fontId="9" fillId="4" borderId="5" xfId="4" applyFont="1" applyFill="1" applyBorder="1" applyAlignment="1">
      <alignment horizontal="center" vertical="center"/>
    </xf>
    <xf numFmtId="10" fontId="10" fillId="5" borderId="6" xfId="3" applyNumberFormat="1" applyFont="1" applyFill="1" applyBorder="1" applyAlignment="1">
      <alignment horizontal="center" vertical="center"/>
    </xf>
    <xf numFmtId="176" fontId="11" fillId="6" borderId="7" xfId="4" applyFont="1" applyFill="1" applyBorder="1" applyAlignment="1">
      <alignment horizontal="center" vertical="center"/>
    </xf>
    <xf numFmtId="176" fontId="12" fillId="2" borderId="10" xfId="4" applyFont="1" applyFill="1" applyBorder="1" applyAlignment="1">
      <alignment horizontal="center" vertical="center"/>
    </xf>
    <xf numFmtId="176" fontId="12" fillId="0" borderId="13" xfId="4" applyFont="1" applyFill="1" applyBorder="1" applyAlignment="1">
      <alignment horizontal="left" vertical="center"/>
    </xf>
    <xf numFmtId="0" fontId="14" fillId="0" borderId="14" xfId="3" applyFont="1" applyBorder="1" applyAlignment="1">
      <alignment vertical="center"/>
    </xf>
    <xf numFmtId="10" fontId="14" fillId="0" borderId="15" xfId="5" applyNumberFormat="1" applyFont="1" applyFill="1" applyBorder="1" applyAlignment="1">
      <alignment vertical="center"/>
    </xf>
    <xf numFmtId="176" fontId="15" fillId="5" borderId="7" xfId="4" applyFont="1" applyFill="1" applyBorder="1" applyAlignment="1">
      <alignment horizontal="right" vertical="center"/>
    </xf>
    <xf numFmtId="0" fontId="14" fillId="5" borderId="16" xfId="3" applyFont="1" applyFill="1" applyBorder="1" applyAlignment="1">
      <alignment vertical="center"/>
    </xf>
    <xf numFmtId="10" fontId="14" fillId="5" borderId="17" xfId="5" applyNumberFormat="1" applyFont="1" applyFill="1" applyBorder="1" applyAlignment="1">
      <alignment vertical="center"/>
    </xf>
    <xf numFmtId="176" fontId="16" fillId="8" borderId="7" xfId="4" applyFont="1" applyFill="1" applyBorder="1" applyAlignment="1">
      <alignment horizontal="right" vertical="center"/>
    </xf>
    <xf numFmtId="0" fontId="17" fillId="8" borderId="16" xfId="3" applyFont="1" applyFill="1" applyBorder="1" applyAlignment="1">
      <alignment vertical="center"/>
    </xf>
    <xf numFmtId="10" fontId="17" fillId="8" borderId="17" xfId="5" applyNumberFormat="1" applyFont="1" applyFill="1" applyBorder="1" applyAlignment="1">
      <alignment vertical="center"/>
    </xf>
    <xf numFmtId="176" fontId="12" fillId="0" borderId="7" xfId="4" applyFont="1" applyFill="1" applyBorder="1" applyAlignment="1">
      <alignment horizontal="left" vertical="center"/>
    </xf>
    <xf numFmtId="0" fontId="14" fillId="0" borderId="16" xfId="3" applyFont="1" applyBorder="1" applyAlignment="1">
      <alignment vertical="center"/>
    </xf>
    <xf numFmtId="10" fontId="14" fillId="0" borderId="17" xfId="5" applyNumberFormat="1" applyFont="1" applyFill="1" applyBorder="1" applyAlignment="1">
      <alignment vertical="center"/>
    </xf>
    <xf numFmtId="0" fontId="14" fillId="0" borderId="16" xfId="3" applyFont="1" applyBorder="1" applyAlignment="1">
      <alignment horizontal="center" vertical="center"/>
    </xf>
    <xf numFmtId="10" fontId="14" fillId="2" borderId="17" xfId="5" applyNumberFormat="1" applyFont="1" applyFill="1" applyBorder="1" applyAlignment="1">
      <alignment vertical="center"/>
    </xf>
    <xf numFmtId="0" fontId="18" fillId="6" borderId="18" xfId="0" applyFont="1" applyFill="1" applyBorder="1">
      <alignment vertical="center"/>
    </xf>
    <xf numFmtId="0" fontId="18" fillId="9" borderId="18" xfId="0" applyFont="1" applyFill="1" applyBorder="1" applyAlignment="1">
      <alignment horizontal="center" vertical="center"/>
    </xf>
    <xf numFmtId="0" fontId="19" fillId="0" borderId="18" xfId="1" applyFont="1" applyBorder="1">
      <alignment vertical="center"/>
    </xf>
    <xf numFmtId="0" fontId="4" fillId="0" borderId="0" xfId="0" applyFont="1">
      <alignment vertical="center"/>
    </xf>
    <xf numFmtId="0" fontId="19" fillId="0" borderId="18" xfId="0" applyFont="1" applyBorder="1" applyAlignment="1">
      <alignment horizontal="center" vertical="center"/>
    </xf>
    <xf numFmtId="0" fontId="19" fillId="0" borderId="18" xfId="0" applyFont="1" applyBorder="1" applyAlignment="1">
      <alignment horizontal="center" vertical="center" wrapText="1"/>
    </xf>
    <xf numFmtId="0" fontId="1" fillId="0" borderId="0" xfId="1" applyAlignment="1">
      <alignment horizontal="center" vertical="center"/>
    </xf>
    <xf numFmtId="0" fontId="20" fillId="0" borderId="18" xfId="1" applyFont="1" applyBorder="1">
      <alignment vertical="center"/>
    </xf>
    <xf numFmtId="0" fontId="21" fillId="0" borderId="18" xfId="1" applyFont="1" applyBorder="1">
      <alignment vertical="center"/>
    </xf>
    <xf numFmtId="0" fontId="22" fillId="0" borderId="0" xfId="0" applyFont="1">
      <alignment vertical="center"/>
    </xf>
    <xf numFmtId="0" fontId="18" fillId="6" borderId="18" xfId="0" applyFont="1" applyFill="1" applyBorder="1" applyAlignment="1">
      <alignment horizontal="center" vertical="center"/>
    </xf>
    <xf numFmtId="0" fontId="19" fillId="0" borderId="18" xfId="1" applyFont="1" applyBorder="1" applyAlignment="1">
      <alignment horizontal="center" vertical="center"/>
    </xf>
    <xf numFmtId="0" fontId="20" fillId="0" borderId="18" xfId="1" applyFont="1" applyBorder="1" applyAlignment="1">
      <alignment horizontal="center" vertical="center"/>
    </xf>
    <xf numFmtId="0" fontId="13" fillId="2" borderId="11" xfId="3" applyFont="1" applyFill="1" applyBorder="1" applyAlignment="1">
      <alignment horizontal="center" vertical="center"/>
    </xf>
    <xf numFmtId="0" fontId="13" fillId="2" borderId="12" xfId="3" applyFont="1" applyFill="1" applyBorder="1" applyAlignment="1">
      <alignment horizontal="center" vertical="center"/>
    </xf>
    <xf numFmtId="176" fontId="11" fillId="7" borderId="8" xfId="4" applyFont="1" applyFill="1" applyBorder="1" applyAlignment="1">
      <alignment horizontal="center" vertical="center"/>
    </xf>
    <xf numFmtId="176" fontId="11" fillId="7" borderId="9" xfId="4" applyFont="1" applyFill="1" applyBorder="1" applyAlignment="1">
      <alignment horizontal="center" vertical="center"/>
    </xf>
    <xf numFmtId="176" fontId="11" fillId="6" borderId="8" xfId="4" applyFont="1" applyFill="1" applyBorder="1" applyAlignment="1">
      <alignment horizontal="center" vertical="center"/>
    </xf>
    <xf numFmtId="176" fontId="11" fillId="6" borderId="9" xfId="4" applyFont="1" applyFill="1" applyBorder="1" applyAlignment="1">
      <alignment horizontal="center" vertical="center"/>
    </xf>
  </cellXfs>
  <cellStyles count="6">
    <cellStyle name="백분율 3" xfId="5" xr:uid="{231F73A0-00C6-4BF4-A628-F5DCD6623C50}"/>
    <cellStyle name="쉼표 [0] 2 2" xfId="4" xr:uid="{BA6FC156-348C-4D99-A0C9-38902C34521C}"/>
    <cellStyle name="표준" xfId="0" builtinId="0"/>
    <cellStyle name="표준 2" xfId="1" xr:uid="{E915764C-33E6-475D-956B-CBE2149F245A}"/>
    <cellStyle name="표준 3 2" xfId="2" xr:uid="{0F62CDF9-D05A-4196-9700-F1A54B9C0A7D}"/>
    <cellStyle name="표준 4" xfId="3" xr:uid="{861A2045-C1B0-4E64-B38D-EE77B7673220}"/>
  </cellStyles>
  <dxfs count="79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theme="5" tint="0.39994506668294322"/>
        </patternFill>
      </fill>
    </dxf>
    <dxf>
      <fill>
        <patternFill>
          <bgColor theme="0" tint="-0.24994659260841701"/>
        </patternFill>
      </fill>
    </dxf>
    <dxf>
      <font>
        <color rgb="FFFF0000"/>
      </font>
      <fill>
        <patternFill>
          <bgColor theme="5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5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0" tint="-0.24994659260841701"/>
        </patternFill>
      </fill>
    </dxf>
    <dxf>
      <font>
        <color rgb="FFFF0000"/>
      </font>
      <fill>
        <patternFill>
          <bgColor theme="5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5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theme="5" tint="0.39994506668294322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theme="5" tint="0.39994506668294322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theme="5" tint="0.39994506668294322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theme="5" tint="0.39994506668294322"/>
        </patternFill>
      </fill>
    </dxf>
    <dxf>
      <fill>
        <patternFill>
          <bgColor theme="0" tint="-0.24994659260841701"/>
        </patternFill>
      </fill>
    </dxf>
    <dxf>
      <font>
        <color rgb="FFFF0000"/>
      </font>
      <fill>
        <patternFill>
          <bgColor theme="5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5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0" tint="-0.24994659260841701"/>
        </patternFill>
      </fill>
    </dxf>
    <dxf>
      <font>
        <color rgb="FFFF0000"/>
      </font>
      <fill>
        <patternFill>
          <bgColor theme="5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5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theme="5" tint="0.39994506668294322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theme="5" tint="0.39994506668294322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000DB-0590-417F-9FA8-A6BAB6198141}">
  <sheetPr>
    <tabColor theme="5"/>
  </sheetPr>
  <dimension ref="B1:N34"/>
  <sheetViews>
    <sheetView workbookViewId="0"/>
  </sheetViews>
  <sheetFormatPr defaultRowHeight="16.5" x14ac:dyDescent="0.3"/>
  <cols>
    <col min="1" max="1" width="2.625" style="1" customWidth="1"/>
    <col min="2" max="2" width="28" style="1" customWidth="1"/>
    <col min="3" max="12" width="9.625" style="1" customWidth="1"/>
    <col min="13" max="13" width="10.625" style="1" customWidth="1"/>
    <col min="14" max="16384" width="9" style="1"/>
  </cols>
  <sheetData>
    <row r="1" spans="2:14" x14ac:dyDescent="0.3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2:14" ht="20.25" x14ac:dyDescent="0.3">
      <c r="B2" s="3" t="s">
        <v>257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2"/>
    </row>
    <row r="3" spans="2:14" ht="17.25" thickBot="1" x14ac:dyDescent="0.35"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2"/>
    </row>
    <row r="4" spans="2:14" x14ac:dyDescent="0.3">
      <c r="B4" s="5" t="s">
        <v>234</v>
      </c>
      <c r="C4" s="6" t="s">
        <v>276</v>
      </c>
      <c r="D4" s="4"/>
      <c r="E4" s="4"/>
      <c r="F4" s="4"/>
      <c r="G4" s="4"/>
      <c r="H4" s="4"/>
      <c r="I4" s="4"/>
      <c r="J4" s="4"/>
      <c r="K4" s="4"/>
      <c r="L4" s="4"/>
      <c r="M4" s="4"/>
      <c r="N4" s="2"/>
    </row>
    <row r="5" spans="2:14" x14ac:dyDescent="0.3">
      <c r="B5" s="7" t="s">
        <v>235</v>
      </c>
      <c r="C5" s="8" t="s">
        <v>340</v>
      </c>
      <c r="D5" s="4"/>
      <c r="E5" s="4"/>
      <c r="F5" s="4"/>
      <c r="G5" s="4"/>
      <c r="H5" s="4"/>
      <c r="I5" s="4"/>
      <c r="J5" s="4"/>
      <c r="K5" s="4"/>
      <c r="L5" s="4"/>
      <c r="M5" s="4"/>
      <c r="N5" s="2"/>
    </row>
    <row r="6" spans="2:14" ht="17.25" thickBot="1" x14ac:dyDescent="0.35">
      <c r="B6" s="9" t="s">
        <v>236</v>
      </c>
      <c r="C6" s="10">
        <f>AVERAGE(D12,D15,D18,D21,D24,D27,D30)</f>
        <v>0.97916666666666674</v>
      </c>
      <c r="D6" s="4"/>
      <c r="E6" s="4"/>
      <c r="F6" s="4"/>
      <c r="G6" s="4"/>
      <c r="H6" s="4"/>
      <c r="I6" s="4"/>
      <c r="J6" s="4"/>
      <c r="K6" s="4"/>
      <c r="L6" s="4"/>
      <c r="M6" s="4"/>
      <c r="N6" s="2"/>
    </row>
    <row r="7" spans="2:14" x14ac:dyDescent="0.3">
      <c r="B7" s="30"/>
      <c r="C7" s="30"/>
      <c r="D7" s="30"/>
      <c r="E7" s="30"/>
      <c r="F7" s="30"/>
      <c r="G7" s="30"/>
      <c r="H7" s="30"/>
      <c r="I7" s="30"/>
      <c r="J7" s="30"/>
      <c r="K7" s="30"/>
      <c r="L7" s="30"/>
      <c r="M7" s="2"/>
      <c r="N7" s="2"/>
    </row>
    <row r="8" spans="2:14" ht="17.25" thickBot="1" x14ac:dyDescent="0.35"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2"/>
    </row>
    <row r="9" spans="2:14" x14ac:dyDescent="0.3">
      <c r="B9" s="11" t="s">
        <v>237</v>
      </c>
      <c r="C9" s="42" t="s">
        <v>238</v>
      </c>
      <c r="D9" s="43"/>
      <c r="E9" s="44" t="s">
        <v>239</v>
      </c>
      <c r="F9" s="45"/>
      <c r="G9" s="44" t="s">
        <v>240</v>
      </c>
      <c r="H9" s="45"/>
      <c r="I9" s="44" t="s">
        <v>241</v>
      </c>
      <c r="J9" s="45"/>
      <c r="K9" s="44" t="s">
        <v>15</v>
      </c>
      <c r="L9" s="45"/>
      <c r="M9" s="2"/>
    </row>
    <row r="10" spans="2:14" ht="23.25" customHeight="1" thickBot="1" x14ac:dyDescent="0.35">
      <c r="B10" s="12" t="s">
        <v>242</v>
      </c>
      <c r="C10" s="40">
        <f>SUM(E10:L10)</f>
        <v>48</v>
      </c>
      <c r="D10" s="41"/>
      <c r="E10" s="40">
        <f>COUNTIF('Raw (New)'!$B:$B,'Summary (New)'!E9)</f>
        <v>30</v>
      </c>
      <c r="F10" s="41"/>
      <c r="G10" s="40">
        <f>COUNTIF('Raw (New)'!$B:$B,'Summary (New)'!G9)</f>
        <v>12</v>
      </c>
      <c r="H10" s="41"/>
      <c r="I10" s="40">
        <f>COUNTIF('Raw (New)'!$B:$B,'Summary (New)'!I9)</f>
        <v>1</v>
      </c>
      <c r="J10" s="41"/>
      <c r="K10" s="40">
        <f>COUNTIF('Raw (New)'!$B:$B,'Summary (New)'!K9)</f>
        <v>5</v>
      </c>
      <c r="L10" s="41"/>
      <c r="M10" s="2"/>
    </row>
    <row r="11" spans="2:14" ht="17.25" thickTop="1" x14ac:dyDescent="0.3">
      <c r="B11" s="13" t="s">
        <v>243</v>
      </c>
      <c r="C11" s="14"/>
      <c r="D11" s="15"/>
      <c r="E11" s="14"/>
      <c r="F11" s="15"/>
      <c r="G11" s="14"/>
      <c r="H11" s="15"/>
      <c r="I11" s="14"/>
      <c r="J11" s="15"/>
      <c r="K11" s="14"/>
      <c r="L11" s="15"/>
      <c r="M11" s="2"/>
    </row>
    <row r="12" spans="2:14" x14ac:dyDescent="0.3">
      <c r="B12" s="16" t="s">
        <v>244</v>
      </c>
      <c r="C12" s="17">
        <f>SUM(E12+G12+I12+K12)</f>
        <v>48</v>
      </c>
      <c r="D12" s="18">
        <f>C12/C$10</f>
        <v>1</v>
      </c>
      <c r="E12" s="17">
        <f>COUNTIFS('Raw (New)'!$B:$B,'Summary (New)'!E$9,'Raw (New)'!$D:$D,"Pass")</f>
        <v>30</v>
      </c>
      <c r="F12" s="18">
        <f>E12/E$10</f>
        <v>1</v>
      </c>
      <c r="G12" s="17">
        <f>COUNTIFS('Raw (New)'!$B:$B,'Summary (New)'!G$9,'Raw (New)'!$D:$D,"Pass")</f>
        <v>12</v>
      </c>
      <c r="H12" s="18">
        <f>G12/G$10</f>
        <v>1</v>
      </c>
      <c r="I12" s="17">
        <f>COUNTIFS('Raw (New)'!$B:$B,'Summary (New)'!I$9,'Raw (New)'!$D:$D,"Pass")</f>
        <v>1</v>
      </c>
      <c r="J12" s="18">
        <f>I12/I$10</f>
        <v>1</v>
      </c>
      <c r="K12" s="17">
        <f>COUNTIFS('Raw (New)'!$B:$B,'Summary (New)'!K$9,'Raw (New)'!$D:$D,"Pass")</f>
        <v>5</v>
      </c>
      <c r="L12" s="18">
        <f>K12/K10</f>
        <v>1</v>
      </c>
      <c r="M12" s="2"/>
    </row>
    <row r="13" spans="2:14" x14ac:dyDescent="0.3">
      <c r="B13" s="19" t="s">
        <v>245</v>
      </c>
      <c r="C13" s="20">
        <f>SUM(E13+G13+I13+K13)</f>
        <v>0</v>
      </c>
      <c r="D13" s="21">
        <f>C13/C$10</f>
        <v>0</v>
      </c>
      <c r="E13" s="20">
        <f>COUNTIFS('Raw (New)'!$B:$B,'Summary (New)'!E$9,'Raw (New)'!$D:$D,"&lt;&gt;Pass")</f>
        <v>0</v>
      </c>
      <c r="F13" s="21">
        <f>E13/E$10</f>
        <v>0</v>
      </c>
      <c r="G13" s="20">
        <f>COUNTIFS('Raw (New)'!$B:$B,'Summary (New)'!G$9,'Raw (New)'!$D:$D,"&lt;&gt;Pass")</f>
        <v>0</v>
      </c>
      <c r="H13" s="21">
        <f>G13/G$10</f>
        <v>0</v>
      </c>
      <c r="I13" s="20">
        <f>COUNTIFS('Raw (New)'!$B:$B,'Summary (New)'!I$9,'Raw (New)'!$D:$D,"&lt;&gt;Pass")</f>
        <v>0</v>
      </c>
      <c r="J13" s="21">
        <f>I13/I$10</f>
        <v>0</v>
      </c>
      <c r="K13" s="20">
        <f>COUNTIFS('Raw (New)'!$B:$B,'Summary (New)'!K$9,'Raw (New)'!$D:$D,"&lt;&gt;Pass")</f>
        <v>0</v>
      </c>
      <c r="L13" s="21">
        <f>K13/K10</f>
        <v>0</v>
      </c>
      <c r="M13" s="2"/>
    </row>
    <row r="14" spans="2:14" x14ac:dyDescent="0.3">
      <c r="B14" s="22" t="s">
        <v>246</v>
      </c>
      <c r="C14" s="23"/>
      <c r="D14" s="24"/>
      <c r="E14" s="23"/>
      <c r="F14" s="24"/>
      <c r="G14" s="23"/>
      <c r="H14" s="24"/>
      <c r="I14" s="23"/>
      <c r="J14" s="24"/>
      <c r="K14" s="23"/>
      <c r="L14" s="24"/>
      <c r="M14" s="2"/>
    </row>
    <row r="15" spans="2:14" x14ac:dyDescent="0.3">
      <c r="B15" s="16" t="s">
        <v>244</v>
      </c>
      <c r="C15" s="17">
        <f>SUM(E15+G15+I15+K15)</f>
        <v>48</v>
      </c>
      <c r="D15" s="18">
        <f>C15/C$10</f>
        <v>1</v>
      </c>
      <c r="E15" s="17">
        <f>COUNTIFS('Raw (New)'!$B:$B,'Summary (New)'!E$9,'Raw (New)'!$F:$F,"Pass")</f>
        <v>30</v>
      </c>
      <c r="F15" s="18">
        <f>E15/E$10</f>
        <v>1</v>
      </c>
      <c r="G15" s="17">
        <f>COUNTIFS('Raw (New)'!$B:$B,'Summary (New)'!G$9,'Raw (New)'!$F:$F,"Pass")</f>
        <v>12</v>
      </c>
      <c r="H15" s="18">
        <f>G15/G$10</f>
        <v>1</v>
      </c>
      <c r="I15" s="17">
        <f>COUNTIFS('Raw (New)'!$B:$B,'Summary (New)'!I$9,'Raw (New)'!$F:$F,"Pass")</f>
        <v>1</v>
      </c>
      <c r="J15" s="18">
        <f>I15/I$10</f>
        <v>1</v>
      </c>
      <c r="K15" s="17">
        <f>COUNTIFS('Raw (New)'!$B:$B,'Summary (New)'!K$9,'Raw (New)'!$F:$F,"Pass")</f>
        <v>5</v>
      </c>
      <c r="L15" s="18">
        <f>K15/K$10</f>
        <v>1</v>
      </c>
      <c r="M15" s="2"/>
    </row>
    <row r="16" spans="2:14" x14ac:dyDescent="0.3">
      <c r="B16" s="19" t="s">
        <v>247</v>
      </c>
      <c r="C16" s="20">
        <f>SUM(E16+G16+I16+K16)</f>
        <v>0</v>
      </c>
      <c r="D16" s="21">
        <f>C16/C$10</f>
        <v>0</v>
      </c>
      <c r="E16" s="20">
        <f>COUNTIFS('Raw (New)'!$B:$B,'Summary (New)'!E$9,'Raw (New)'!$F:$F,"&lt;&gt;Pass")</f>
        <v>0</v>
      </c>
      <c r="F16" s="21">
        <f>E16/E$10</f>
        <v>0</v>
      </c>
      <c r="G16" s="20">
        <f>COUNTIFS('Raw (New)'!$B:$B,'Summary (New)'!G$9,'Raw (New)'!$F:$F,"&lt;&gt;Pass")</f>
        <v>0</v>
      </c>
      <c r="H16" s="21">
        <f>G16/G$10</f>
        <v>0</v>
      </c>
      <c r="I16" s="20">
        <f>COUNTIFS('Raw (New)'!$B:$B,'Summary (New)'!I$9,'Raw (New)'!$F:$F,"&lt;&gt;Pass")</f>
        <v>0</v>
      </c>
      <c r="J16" s="21">
        <f>I16/I$10</f>
        <v>0</v>
      </c>
      <c r="K16" s="20">
        <f>COUNTIFS('Raw (New)'!$B:$B,'Summary (New)'!K$9,'Raw (New)'!$F:$F,"&lt;&gt;Pass")</f>
        <v>0</v>
      </c>
      <c r="L16" s="21">
        <f>K16/K$10</f>
        <v>0</v>
      </c>
      <c r="M16" s="2"/>
    </row>
    <row r="17" spans="2:14" x14ac:dyDescent="0.3">
      <c r="B17" s="22" t="s">
        <v>248</v>
      </c>
      <c r="C17" s="23"/>
      <c r="D17" s="24"/>
      <c r="E17" s="23"/>
      <c r="F17" s="24"/>
      <c r="G17" s="23"/>
      <c r="H17" s="24"/>
      <c r="I17" s="23"/>
      <c r="J17" s="24"/>
      <c r="K17" s="23"/>
      <c r="L17" s="24"/>
      <c r="M17" s="2"/>
    </row>
    <row r="18" spans="2:14" x14ac:dyDescent="0.3">
      <c r="B18" s="16" t="s">
        <v>244</v>
      </c>
      <c r="C18" s="17">
        <f>SUM(E18+G18+I18+K18)</f>
        <v>46</v>
      </c>
      <c r="D18" s="18">
        <f>C18/C$10</f>
        <v>0.95833333333333337</v>
      </c>
      <c r="E18" s="17">
        <f>COUNTIFS('Raw (New)'!$B:$B,'Summary (New)'!E$9,'Raw (New)'!$H:$H,"Pass")</f>
        <v>30</v>
      </c>
      <c r="F18" s="18">
        <f>E18/E$10</f>
        <v>1</v>
      </c>
      <c r="G18" s="17">
        <f>COUNTIFS('Raw (New)'!$B:$B,'Summary (New)'!G$9,'Raw (New)'!$H:$H,"Pass")</f>
        <v>11</v>
      </c>
      <c r="H18" s="18">
        <f>G18/G$10</f>
        <v>0.91666666666666663</v>
      </c>
      <c r="I18" s="17">
        <f>COUNTIFS('Raw (New)'!$B:$B,'Summary (New)'!I$9,'Raw (New)'!$H:$H,"Pass")</f>
        <v>0</v>
      </c>
      <c r="J18" s="18">
        <f>I18/I$10</f>
        <v>0</v>
      </c>
      <c r="K18" s="17">
        <f>COUNTIFS('Raw (New)'!$B:$B,'Summary (New)'!K$9,'Raw (New)'!$H:$H,"Pass")</f>
        <v>5</v>
      </c>
      <c r="L18" s="18">
        <f>K18/K$10</f>
        <v>1</v>
      </c>
      <c r="M18" s="2"/>
    </row>
    <row r="19" spans="2:14" x14ac:dyDescent="0.3">
      <c r="B19" s="19" t="s">
        <v>249</v>
      </c>
      <c r="C19" s="20">
        <f>SUM(E19+G19+I19+K19)</f>
        <v>2</v>
      </c>
      <c r="D19" s="21">
        <f>C19/C$10</f>
        <v>4.1666666666666664E-2</v>
      </c>
      <c r="E19" s="20">
        <f>COUNTIFS('Raw (New)'!$B:$B,'Summary (New)'!E$9,'Raw (New)'!$H:$H,"&lt;&gt;Pass")</f>
        <v>0</v>
      </c>
      <c r="F19" s="21">
        <f>E19/E$10</f>
        <v>0</v>
      </c>
      <c r="G19" s="20">
        <f>COUNTIFS('Raw (New)'!$B:$B,'Summary (New)'!G$9,'Raw (New)'!$H:$H,"&lt;&gt;Pass")</f>
        <v>1</v>
      </c>
      <c r="H19" s="21">
        <f>G19/G$10</f>
        <v>8.3333333333333329E-2</v>
      </c>
      <c r="I19" s="20">
        <f>COUNTIFS('Raw (New)'!$B:$B,'Summary (New)'!I$9,'Raw (New)'!$H:$H,"&lt;&gt;Pass")</f>
        <v>1</v>
      </c>
      <c r="J19" s="21">
        <f>I19/I$10</f>
        <v>1</v>
      </c>
      <c r="K19" s="20">
        <f>COUNTIFS('Raw (New)'!$B:$B,'Summary (New)'!K$9,'Raw (New)'!$H:$H,"&lt;&gt;Pass")</f>
        <v>0</v>
      </c>
      <c r="L19" s="21">
        <f>K19/K$10</f>
        <v>0</v>
      </c>
      <c r="M19" s="2"/>
    </row>
    <row r="20" spans="2:14" x14ac:dyDescent="0.3">
      <c r="B20" s="22" t="s">
        <v>250</v>
      </c>
      <c r="C20" s="23"/>
      <c r="D20" s="24"/>
      <c r="E20" s="23"/>
      <c r="F20" s="24"/>
      <c r="G20" s="23"/>
      <c r="H20" s="24"/>
      <c r="I20" s="23"/>
      <c r="J20" s="24"/>
      <c r="K20" s="23"/>
      <c r="L20" s="24"/>
      <c r="M20" s="2"/>
    </row>
    <row r="21" spans="2:14" x14ac:dyDescent="0.3">
      <c r="B21" s="16" t="s">
        <v>244</v>
      </c>
      <c r="C21" s="17">
        <f>SUM(E21+G21+I21+K21)</f>
        <v>46</v>
      </c>
      <c r="D21" s="18">
        <f>C21/C$10</f>
        <v>0.95833333333333337</v>
      </c>
      <c r="E21" s="17">
        <f>COUNTIFS('Raw (New)'!$B:$B,'Summary (New)'!E$9,'Raw (New)'!$K:$K,"Pass")</f>
        <v>28</v>
      </c>
      <c r="F21" s="18">
        <f>E21/E$10</f>
        <v>0.93333333333333335</v>
      </c>
      <c r="G21" s="17">
        <f>COUNTIFS('Raw (New)'!$B:$B,'Summary (New)'!G$9,'Raw (New)'!$K:$K,"Pass")</f>
        <v>12</v>
      </c>
      <c r="H21" s="18">
        <f>G21/G$10</f>
        <v>1</v>
      </c>
      <c r="I21" s="17">
        <f>COUNTIFS('Raw (New)'!$B:$B,'Summary (New)'!I$9,'Raw (New)'!$K:$K,"Pass")</f>
        <v>1</v>
      </c>
      <c r="J21" s="18">
        <f>I21/I$10</f>
        <v>1</v>
      </c>
      <c r="K21" s="17">
        <f>COUNTIFS('Raw (New)'!$B:$B,'Summary (New)'!K$9,'Raw (New)'!$K:$K,"Pass")</f>
        <v>5</v>
      </c>
      <c r="L21" s="18">
        <f>K21/K$10</f>
        <v>1</v>
      </c>
      <c r="M21" s="2"/>
    </row>
    <row r="22" spans="2:14" x14ac:dyDescent="0.3">
      <c r="B22" s="19" t="s">
        <v>251</v>
      </c>
      <c r="C22" s="20">
        <f>SUM(E22+G22+I22+K22)</f>
        <v>2</v>
      </c>
      <c r="D22" s="21">
        <f>C22/C$10</f>
        <v>4.1666666666666664E-2</v>
      </c>
      <c r="E22" s="20">
        <f>COUNTIFS('Raw (New)'!$B:$B,'Summary (New)'!E$9,'Raw (New)'!$K:$K,"&lt;&gt;Pass")</f>
        <v>2</v>
      </c>
      <c r="F22" s="21">
        <f>E22/E$10</f>
        <v>6.6666666666666666E-2</v>
      </c>
      <c r="G22" s="20">
        <f>COUNTIFS('Raw (New)'!$B:$B,'Summary (New)'!G$9,'Raw (New)'!$K:$K,"&lt;&gt;Pass")</f>
        <v>0</v>
      </c>
      <c r="H22" s="21">
        <f>G22/G$10</f>
        <v>0</v>
      </c>
      <c r="I22" s="20">
        <f>COUNTIFS('Raw (New)'!$B:$B,'Summary (New)'!I$9,'Raw (New)'!$K:$K,"&lt;&gt;Pass")</f>
        <v>0</v>
      </c>
      <c r="J22" s="21">
        <f>I22/I$10</f>
        <v>0</v>
      </c>
      <c r="K22" s="20">
        <f>COUNTIFS('Raw (New)'!$B:$B,'Summary (New)'!K$9,'Raw (New)'!$K:$K,"&lt;&gt;Pass")</f>
        <v>0</v>
      </c>
      <c r="L22" s="21">
        <f>K22/K$10</f>
        <v>0</v>
      </c>
      <c r="M22" s="2"/>
    </row>
    <row r="23" spans="2:14" x14ac:dyDescent="0.3">
      <c r="B23" s="22" t="s">
        <v>252</v>
      </c>
      <c r="C23" s="23"/>
      <c r="D23" s="24"/>
      <c r="E23" s="23"/>
      <c r="F23" s="24"/>
      <c r="G23" s="23"/>
      <c r="H23" s="24"/>
      <c r="I23" s="23"/>
      <c r="J23" s="24"/>
      <c r="K23" s="23"/>
      <c r="L23" s="24"/>
      <c r="M23" s="2"/>
    </row>
    <row r="24" spans="2:14" x14ac:dyDescent="0.3">
      <c r="B24" s="16" t="s">
        <v>244</v>
      </c>
      <c r="C24" s="17">
        <f>SUM(E24+G24+I24+K24)</f>
        <v>48</v>
      </c>
      <c r="D24" s="18">
        <f>C24/C$10</f>
        <v>1</v>
      </c>
      <c r="E24" s="17">
        <f>COUNTIFS('Raw (New)'!$B:$B,'Summary (New)'!E$9,'Raw (New)'!$M:$M,"Pass")</f>
        <v>30</v>
      </c>
      <c r="F24" s="18">
        <f>E24/E$10</f>
        <v>1</v>
      </c>
      <c r="G24" s="17">
        <f>COUNTIFS('Raw (New)'!$B:$B,'Summary (New)'!G$9,'Raw (New)'!$M:$M,"Pass")</f>
        <v>12</v>
      </c>
      <c r="H24" s="18">
        <f>G24/G$10</f>
        <v>1</v>
      </c>
      <c r="I24" s="17">
        <f>COUNTIFS('Raw (New)'!$B:$B,'Summary (New)'!I$9,'Raw (New)'!$M:$M,"Pass")</f>
        <v>1</v>
      </c>
      <c r="J24" s="18">
        <f>I24/I$10</f>
        <v>1</v>
      </c>
      <c r="K24" s="17">
        <f>COUNTIFS('Raw (New)'!$B:$B,'Summary (New)'!K$9,'Raw (New)'!$M:$M,"Pass")</f>
        <v>5</v>
      </c>
      <c r="L24" s="18">
        <f>K24/K$10</f>
        <v>1</v>
      </c>
      <c r="M24" s="2"/>
    </row>
    <row r="25" spans="2:14" x14ac:dyDescent="0.3">
      <c r="B25" s="19" t="s">
        <v>253</v>
      </c>
      <c r="C25" s="20">
        <f>SUM(E25+G25+I25+K25)</f>
        <v>0</v>
      </c>
      <c r="D25" s="21">
        <f>C25/C$10</f>
        <v>0</v>
      </c>
      <c r="E25" s="20">
        <f>COUNTIFS('Raw (New)'!$B:$B,'Summary (New)'!E$9,'Raw (New)'!$M:$M,"&lt;&gt;Pass")</f>
        <v>0</v>
      </c>
      <c r="F25" s="21">
        <f>E25/E$10</f>
        <v>0</v>
      </c>
      <c r="G25" s="20">
        <f>COUNTIFS('Raw (New)'!$B:$B,'Summary (New)'!G$9,'Raw (New)'!$M:$M,"&lt;&gt;Pass")</f>
        <v>0</v>
      </c>
      <c r="H25" s="21">
        <f>G25/G$10</f>
        <v>0</v>
      </c>
      <c r="I25" s="20">
        <f>COUNTIFS('Raw (New)'!$B:$B,'Summary (New)'!I$9,'Raw (New)'!$M:$M,"&lt;&gt;Pass")</f>
        <v>0</v>
      </c>
      <c r="J25" s="21">
        <f>I25/I$10</f>
        <v>0</v>
      </c>
      <c r="K25" s="20">
        <f>COUNTIFS('Raw (New)'!$B:$B,'Summary (New)'!K$9,'Raw (New)'!$M:$M,"&lt;&gt;Pass")</f>
        <v>0</v>
      </c>
      <c r="L25" s="21">
        <f>K25/K$10</f>
        <v>0</v>
      </c>
      <c r="M25" s="2"/>
    </row>
    <row r="26" spans="2:14" x14ac:dyDescent="0.3">
      <c r="B26" s="22" t="s">
        <v>254</v>
      </c>
      <c r="C26" s="23"/>
      <c r="D26" s="24"/>
      <c r="E26" s="23"/>
      <c r="F26" s="24"/>
      <c r="G26" s="23"/>
      <c r="H26" s="24"/>
      <c r="I26" s="23"/>
      <c r="J26" s="24"/>
      <c r="K26" s="23"/>
      <c r="L26" s="24"/>
      <c r="M26" s="2"/>
    </row>
    <row r="27" spans="2:14" x14ac:dyDescent="0.3">
      <c r="B27" s="16" t="s">
        <v>244</v>
      </c>
      <c r="C27" s="17">
        <f>SUM(E27+G27+I27+K27)</f>
        <v>45</v>
      </c>
      <c r="D27" s="18">
        <f>C27/C$10</f>
        <v>0.9375</v>
      </c>
      <c r="E27" s="17">
        <f>COUNTIFS('Raw (New)'!$B:$B,'Summary (New)'!E$9,'Raw (New)'!$X:$X,"Pass")</f>
        <v>30</v>
      </c>
      <c r="F27" s="18">
        <f>E27/E$10</f>
        <v>1</v>
      </c>
      <c r="G27" s="17">
        <f>COUNTIFS('Raw (New)'!$B:$B,'Summary (New)'!G$9,'Raw (New)'!$X:$X,"Pass")</f>
        <v>11</v>
      </c>
      <c r="H27" s="18">
        <f>G27/G$10</f>
        <v>0.91666666666666663</v>
      </c>
      <c r="I27" s="17">
        <f>COUNTIFS('Raw (New)'!$B:$B,'Summary (New)'!I$9,'Raw (New)'!$X:$X,"Pass")</f>
        <v>0</v>
      </c>
      <c r="J27" s="18">
        <f>I27/I$10</f>
        <v>0</v>
      </c>
      <c r="K27" s="17">
        <f>COUNTIFS('Raw (New)'!$B:$B,'Summary (New)'!K$9,'Raw (New)'!$X:$X,"Pass")</f>
        <v>4</v>
      </c>
      <c r="L27" s="18">
        <f>K27/K$10</f>
        <v>0.8</v>
      </c>
      <c r="M27" s="2"/>
    </row>
    <row r="28" spans="2:14" x14ac:dyDescent="0.3">
      <c r="B28" s="19" t="s">
        <v>255</v>
      </c>
      <c r="C28" s="20">
        <f>SUM(E28+G28+I28+K28)</f>
        <v>3</v>
      </c>
      <c r="D28" s="21">
        <f>C28/C$10</f>
        <v>6.25E-2</v>
      </c>
      <c r="E28" s="20">
        <f>COUNTIFS('Raw (New)'!$B:$B,'Summary (New)'!E$9,'Raw (New)'!$X:$X,"&lt;&gt;Pass")</f>
        <v>0</v>
      </c>
      <c r="F28" s="21">
        <f>E28/E$10</f>
        <v>0</v>
      </c>
      <c r="G28" s="20">
        <f>COUNTIFS('Raw (New)'!$B:$B,'Summary (New)'!G$9,'Raw (New)'!$X:$X,"&lt;&gt;Pass")</f>
        <v>1</v>
      </c>
      <c r="H28" s="21">
        <f>G28/G$10</f>
        <v>8.3333333333333329E-2</v>
      </c>
      <c r="I28" s="20">
        <f>COUNTIFS('Raw (New)'!$B:$B,'Summary (New)'!I$9,'Raw (New)'!$X:$X,"&lt;&gt;Pass")</f>
        <v>1</v>
      </c>
      <c r="J28" s="21">
        <f>I28/I$10</f>
        <v>1</v>
      </c>
      <c r="K28" s="20">
        <f>COUNTIFS('Raw (New)'!$B:$B,'Summary (New)'!K$9,'Raw (New)'!$X:$X,"&lt;&gt;Pass")</f>
        <v>1</v>
      </c>
      <c r="L28" s="21">
        <f>K28/K$10</f>
        <v>0.2</v>
      </c>
      <c r="M28" s="2"/>
    </row>
    <row r="29" spans="2:14" x14ac:dyDescent="0.3">
      <c r="B29" s="22" t="s">
        <v>256</v>
      </c>
      <c r="C29" s="23"/>
      <c r="D29" s="24"/>
      <c r="E29" s="23"/>
      <c r="F29" s="24"/>
      <c r="G29" s="25"/>
      <c r="H29" s="26"/>
      <c r="I29" s="25"/>
      <c r="J29" s="26"/>
      <c r="K29" s="23"/>
      <c r="L29" s="24"/>
      <c r="M29" s="2"/>
    </row>
    <row r="30" spans="2:14" x14ac:dyDescent="0.3">
      <c r="B30" s="16" t="s">
        <v>244</v>
      </c>
      <c r="C30" s="17">
        <f>SUM(E30+G30+I30+K30)</f>
        <v>48</v>
      </c>
      <c r="D30" s="18">
        <f>C30/C$10</f>
        <v>1</v>
      </c>
      <c r="E30" s="17">
        <f>COUNTIFS('Raw (New)'!$B:$B,'Summary (New)'!E$9,'Raw (New)'!$AF:$AF,"Pass")</f>
        <v>30</v>
      </c>
      <c r="F30" s="18">
        <f>E30/E$10</f>
        <v>1</v>
      </c>
      <c r="G30" s="17">
        <f>COUNTIFS('Raw (New)'!$B:$B,'Summary (New)'!G$9,'Raw (New)'!$AF:$AF,"Pass")</f>
        <v>12</v>
      </c>
      <c r="H30" s="18">
        <f>G30/G$10</f>
        <v>1</v>
      </c>
      <c r="I30" s="17">
        <f>COUNTIFS('Raw (New)'!$B:$B,'Summary (New)'!I$9,'Raw (New)'!$AF:$AF,"Pass")</f>
        <v>1</v>
      </c>
      <c r="J30" s="18">
        <f>I30/I$10</f>
        <v>1</v>
      </c>
      <c r="K30" s="17">
        <f>COUNTIFS('Raw (New)'!$B:$B,'Summary (New)'!K$9,'Raw (New)'!$AF:$AF,"Pass")</f>
        <v>5</v>
      </c>
      <c r="L30" s="18">
        <f>K30/K$10</f>
        <v>1</v>
      </c>
      <c r="M30" s="2"/>
    </row>
    <row r="31" spans="2:14" x14ac:dyDescent="0.3">
      <c r="B31" s="19" t="s">
        <v>251</v>
      </c>
      <c r="C31" s="20">
        <f>SUM(E31+G31+I31+K31)</f>
        <v>0</v>
      </c>
      <c r="D31" s="21">
        <f>C31/C$10</f>
        <v>0</v>
      </c>
      <c r="E31" s="20">
        <f>COUNTIFS('Raw (New)'!$B:$B,'Summary (New)'!E$9,'Raw (New)'!$AF:$AF,"&lt;&gt;Pass")</f>
        <v>0</v>
      </c>
      <c r="F31" s="21">
        <f>E31/E$10</f>
        <v>0</v>
      </c>
      <c r="G31" s="20">
        <f>COUNTIFS('Raw (New)'!$B:$B,'Summary (New)'!G$9,'Raw (New)'!$AF:$AF,"&lt;&gt;Pass")</f>
        <v>0</v>
      </c>
      <c r="H31" s="21">
        <f>G31/G$10</f>
        <v>0</v>
      </c>
      <c r="I31" s="20">
        <f>COUNTIFS('Raw (New)'!$B:$B,'Summary (New)'!I$9,'Raw (New)'!$AF:$AF,"&lt;&gt;Pass")</f>
        <v>0</v>
      </c>
      <c r="J31" s="21">
        <f>I31/I$10</f>
        <v>0</v>
      </c>
      <c r="K31" s="20">
        <f>COUNTIFS('Raw (New)'!$B:$B,'Summary (New)'!K$9,'Raw (New)'!$AF:$AF,"&lt;&gt;Pass")</f>
        <v>0</v>
      </c>
      <c r="L31" s="21">
        <f>K31/K$10</f>
        <v>0</v>
      </c>
      <c r="M31" s="2"/>
    </row>
    <row r="32" spans="2:14" x14ac:dyDescent="0.3"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</row>
    <row r="33" spans="2:14" x14ac:dyDescent="0.3"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</row>
    <row r="34" spans="2:14" x14ac:dyDescent="0.3"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</row>
  </sheetData>
  <mergeCells count="10">
    <mergeCell ref="C9:D9"/>
    <mergeCell ref="E9:F9"/>
    <mergeCell ref="G9:H9"/>
    <mergeCell ref="I9:J9"/>
    <mergeCell ref="K9:L9"/>
    <mergeCell ref="C10:D10"/>
    <mergeCell ref="E10:F10"/>
    <mergeCell ref="G10:H10"/>
    <mergeCell ref="I10:J10"/>
    <mergeCell ref="K10:L10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DE6BB-EDD0-4CFF-BDC3-2EE6AF1DAA4B}">
  <sheetPr>
    <tabColor theme="5"/>
  </sheetPr>
  <dimension ref="A1:AF56"/>
  <sheetViews>
    <sheetView workbookViewId="0"/>
  </sheetViews>
  <sheetFormatPr defaultRowHeight="16.5" x14ac:dyDescent="0.3"/>
  <cols>
    <col min="1" max="1" width="60" style="1" bestFit="1" customWidth="1"/>
    <col min="2" max="3" width="9" style="1"/>
    <col min="4" max="4" width="16.625" style="1" bestFit="1" customWidth="1"/>
    <col min="5" max="5" width="40.625" style="1" customWidth="1"/>
    <col min="6" max="6" width="9" style="1"/>
    <col min="7" max="7" width="40.625" style="1" customWidth="1"/>
    <col min="8" max="23" width="9" style="1"/>
    <col min="24" max="24" width="10.625" style="1" customWidth="1"/>
    <col min="25" max="16384" width="9" style="1"/>
  </cols>
  <sheetData>
    <row r="1" spans="1:32" customFormat="1" x14ac:dyDescent="0.3">
      <c r="A1" s="27" t="s">
        <v>258</v>
      </c>
      <c r="B1" s="27" t="s">
        <v>0</v>
      </c>
      <c r="C1" s="27" t="s">
        <v>1</v>
      </c>
      <c r="D1" s="28" t="s">
        <v>259</v>
      </c>
      <c r="E1" s="27" t="s">
        <v>2</v>
      </c>
      <c r="F1" s="28" t="s">
        <v>260</v>
      </c>
      <c r="G1" s="27" t="s">
        <v>3</v>
      </c>
      <c r="H1" s="28" t="s">
        <v>261</v>
      </c>
      <c r="I1" s="27" t="s">
        <v>4</v>
      </c>
      <c r="J1" s="27" t="s">
        <v>262</v>
      </c>
      <c r="K1" s="28" t="s">
        <v>263</v>
      </c>
      <c r="L1" s="27" t="s">
        <v>5</v>
      </c>
      <c r="M1" s="28" t="s">
        <v>264</v>
      </c>
      <c r="N1" s="27" t="s">
        <v>6</v>
      </c>
      <c r="O1" s="27" t="s">
        <v>7</v>
      </c>
      <c r="P1" s="27" t="s">
        <v>265</v>
      </c>
      <c r="Q1" s="27" t="s">
        <v>8</v>
      </c>
      <c r="R1" s="27" t="s">
        <v>280</v>
      </c>
      <c r="S1" s="27" t="s">
        <v>9</v>
      </c>
      <c r="T1" s="27" t="s">
        <v>10</v>
      </c>
      <c r="U1" s="27" t="s">
        <v>11</v>
      </c>
      <c r="V1" s="27" t="s">
        <v>12</v>
      </c>
      <c r="W1" s="27" t="s">
        <v>13</v>
      </c>
      <c r="X1" s="28" t="s">
        <v>266</v>
      </c>
      <c r="Y1" s="27" t="s">
        <v>267</v>
      </c>
      <c r="Z1" s="27" t="s">
        <v>268</v>
      </c>
      <c r="AA1" s="27" t="s">
        <v>269</v>
      </c>
      <c r="AB1" s="27" t="s">
        <v>331</v>
      </c>
      <c r="AC1" s="27" t="s">
        <v>332</v>
      </c>
      <c r="AD1" s="27" t="s">
        <v>333</v>
      </c>
      <c r="AE1" s="27" t="s">
        <v>334</v>
      </c>
      <c r="AF1" s="28" t="s">
        <v>270</v>
      </c>
    </row>
    <row r="2" spans="1:32" ht="33.75" x14ac:dyDescent="0.3">
      <c r="A2" s="29" t="s">
        <v>230</v>
      </c>
      <c r="B2" s="29" t="s">
        <v>231</v>
      </c>
      <c r="C2" s="29">
        <v>200</v>
      </c>
      <c r="D2" s="31" t="s">
        <v>244</v>
      </c>
      <c r="E2" s="29" t="s">
        <v>232</v>
      </c>
      <c r="F2" s="31" t="s">
        <v>244</v>
      </c>
      <c r="G2" s="29"/>
      <c r="H2" s="31" t="s">
        <v>278</v>
      </c>
      <c r="I2" s="29" t="s">
        <v>233</v>
      </c>
      <c r="J2" s="29">
        <v>1</v>
      </c>
      <c r="K2" s="31" t="s">
        <v>244</v>
      </c>
      <c r="L2" s="29" t="s">
        <v>230</v>
      </c>
      <c r="M2" s="31" t="s">
        <v>244</v>
      </c>
      <c r="N2" s="29" t="s">
        <v>232</v>
      </c>
      <c r="O2" s="29" t="s">
        <v>17</v>
      </c>
      <c r="P2" s="29" t="s">
        <v>18</v>
      </c>
      <c r="Q2" s="29" t="s">
        <v>19</v>
      </c>
      <c r="R2" s="29" t="s">
        <v>283</v>
      </c>
      <c r="S2" s="29" t="s">
        <v>282</v>
      </c>
      <c r="T2" s="29" t="s">
        <v>230</v>
      </c>
      <c r="U2" s="29" t="s">
        <v>232</v>
      </c>
      <c r="V2" s="29" t="s">
        <v>17</v>
      </c>
      <c r="W2" s="29" t="s">
        <v>20</v>
      </c>
      <c r="X2" s="32" t="s">
        <v>281</v>
      </c>
      <c r="Y2" s="29" t="s">
        <v>271</v>
      </c>
      <c r="Z2" s="29" t="s">
        <v>272</v>
      </c>
      <c r="AA2" s="29" t="s">
        <v>273</v>
      </c>
      <c r="AB2" s="29"/>
      <c r="AC2" s="29"/>
      <c r="AD2" s="29"/>
      <c r="AE2" s="29"/>
      <c r="AF2" s="31" t="s">
        <v>244</v>
      </c>
    </row>
    <row r="3" spans="1:32" ht="33.75" x14ac:dyDescent="0.3">
      <c r="A3" s="29" t="s">
        <v>14</v>
      </c>
      <c r="B3" s="29" t="s">
        <v>15</v>
      </c>
      <c r="C3" s="29">
        <v>200</v>
      </c>
      <c r="D3" s="31" t="s">
        <v>244</v>
      </c>
      <c r="E3" s="29" t="s">
        <v>16</v>
      </c>
      <c r="F3" s="31" t="s">
        <v>244</v>
      </c>
      <c r="G3" s="29" t="s">
        <v>17</v>
      </c>
      <c r="H3" s="31" t="s">
        <v>244</v>
      </c>
      <c r="I3" s="29" t="s">
        <v>19</v>
      </c>
      <c r="J3" s="29">
        <v>1</v>
      </c>
      <c r="K3" s="31" t="s">
        <v>244</v>
      </c>
      <c r="L3" s="29" t="s">
        <v>14</v>
      </c>
      <c r="M3" s="31" t="s">
        <v>244</v>
      </c>
      <c r="N3" s="29" t="s">
        <v>16</v>
      </c>
      <c r="O3" s="29" t="s">
        <v>17</v>
      </c>
      <c r="P3" s="29" t="s">
        <v>18</v>
      </c>
      <c r="Q3" s="29" t="s">
        <v>19</v>
      </c>
      <c r="R3" s="29" t="s">
        <v>283</v>
      </c>
      <c r="S3" s="29" t="s">
        <v>282</v>
      </c>
      <c r="T3" s="29" t="s">
        <v>14</v>
      </c>
      <c r="U3" s="29" t="s">
        <v>16</v>
      </c>
      <c r="V3" s="29" t="s">
        <v>17</v>
      </c>
      <c r="W3" s="29" t="s">
        <v>20</v>
      </c>
      <c r="X3" s="32" t="s">
        <v>281</v>
      </c>
      <c r="Y3" s="29" t="s">
        <v>271</v>
      </c>
      <c r="Z3" s="29" t="s">
        <v>272</v>
      </c>
      <c r="AA3" s="29" t="s">
        <v>273</v>
      </c>
      <c r="AB3" s="29" t="s">
        <v>337</v>
      </c>
      <c r="AC3" s="29" t="s">
        <v>338</v>
      </c>
      <c r="AD3" s="29"/>
      <c r="AE3" s="29"/>
      <c r="AF3" s="31" t="s">
        <v>244</v>
      </c>
    </row>
    <row r="4" spans="1:32" x14ac:dyDescent="0.3">
      <c r="A4" s="29" t="s">
        <v>61</v>
      </c>
      <c r="B4" s="29" t="s">
        <v>15</v>
      </c>
      <c r="C4" s="29">
        <v>200</v>
      </c>
      <c r="D4" s="31" t="s">
        <v>244</v>
      </c>
      <c r="E4" s="29" t="s">
        <v>318</v>
      </c>
      <c r="F4" s="31" t="s">
        <v>244</v>
      </c>
      <c r="G4" s="29" t="s">
        <v>317</v>
      </c>
      <c r="H4" s="31" t="s">
        <v>244</v>
      </c>
      <c r="I4" s="29" t="s">
        <v>62</v>
      </c>
      <c r="J4" s="29">
        <v>1</v>
      </c>
      <c r="K4" s="31" t="s">
        <v>244</v>
      </c>
      <c r="L4" s="29" t="s">
        <v>61</v>
      </c>
      <c r="M4" s="31" t="s">
        <v>244</v>
      </c>
      <c r="N4" s="29" t="s">
        <v>318</v>
      </c>
      <c r="O4" s="29" t="s">
        <v>317</v>
      </c>
      <c r="P4" s="29" t="s">
        <v>18</v>
      </c>
      <c r="Q4" s="29" t="s">
        <v>19</v>
      </c>
      <c r="R4" s="29" t="s">
        <v>283</v>
      </c>
      <c r="S4" s="29" t="s">
        <v>282</v>
      </c>
      <c r="T4" s="29" t="s">
        <v>61</v>
      </c>
      <c r="U4" s="29" t="s">
        <v>318</v>
      </c>
      <c r="V4" s="29" t="s">
        <v>317</v>
      </c>
      <c r="W4" s="29" t="s">
        <v>20</v>
      </c>
      <c r="X4" s="31" t="s">
        <v>244</v>
      </c>
      <c r="Y4" s="29" t="s">
        <v>271</v>
      </c>
      <c r="Z4" s="29" t="s">
        <v>272</v>
      </c>
      <c r="AA4" s="29" t="s">
        <v>273</v>
      </c>
      <c r="AB4" s="29"/>
      <c r="AC4" s="29"/>
      <c r="AD4" s="29"/>
      <c r="AE4" s="29"/>
      <c r="AF4" s="31" t="s">
        <v>244</v>
      </c>
    </row>
    <row r="5" spans="1:32" x14ac:dyDescent="0.3">
      <c r="A5" s="29" t="s">
        <v>90</v>
      </c>
      <c r="B5" s="29" t="s">
        <v>15</v>
      </c>
      <c r="C5" s="29">
        <v>200</v>
      </c>
      <c r="D5" s="31" t="s">
        <v>244</v>
      </c>
      <c r="E5" s="29" t="s">
        <v>91</v>
      </c>
      <c r="F5" s="31" t="s">
        <v>244</v>
      </c>
      <c r="G5" s="29" t="s">
        <v>92</v>
      </c>
      <c r="H5" s="31" t="s">
        <v>244</v>
      </c>
      <c r="I5" s="29" t="s">
        <v>93</v>
      </c>
      <c r="J5" s="29">
        <v>1</v>
      </c>
      <c r="K5" s="31" t="s">
        <v>244</v>
      </c>
      <c r="L5" s="29" t="s">
        <v>90</v>
      </c>
      <c r="M5" s="31" t="s">
        <v>244</v>
      </c>
      <c r="N5" s="29" t="s">
        <v>91</v>
      </c>
      <c r="O5" s="29" t="s">
        <v>92</v>
      </c>
      <c r="P5" s="29" t="s">
        <v>18</v>
      </c>
      <c r="Q5" s="29" t="s">
        <v>19</v>
      </c>
      <c r="R5" s="29" t="s">
        <v>283</v>
      </c>
      <c r="S5" s="29" t="s">
        <v>282</v>
      </c>
      <c r="T5" s="29" t="s">
        <v>90</v>
      </c>
      <c r="U5" s="29" t="s">
        <v>91</v>
      </c>
      <c r="V5" s="29" t="s">
        <v>92</v>
      </c>
      <c r="W5" s="29" t="s">
        <v>20</v>
      </c>
      <c r="X5" s="31" t="s">
        <v>244</v>
      </c>
      <c r="Y5" s="29" t="s">
        <v>271</v>
      </c>
      <c r="Z5" s="29" t="s">
        <v>272</v>
      </c>
      <c r="AA5" s="29" t="s">
        <v>273</v>
      </c>
      <c r="AB5" s="29"/>
      <c r="AC5" s="29"/>
      <c r="AD5" s="29"/>
      <c r="AE5" s="29"/>
      <c r="AF5" s="31" t="s">
        <v>244</v>
      </c>
    </row>
    <row r="6" spans="1:32" x14ac:dyDescent="0.3">
      <c r="A6" s="29" t="s">
        <v>48</v>
      </c>
      <c r="B6" s="29" t="s">
        <v>15</v>
      </c>
      <c r="C6" s="29">
        <v>200</v>
      </c>
      <c r="D6" s="31" t="s">
        <v>244</v>
      </c>
      <c r="E6" s="29" t="s">
        <v>319</v>
      </c>
      <c r="F6" s="31" t="s">
        <v>244</v>
      </c>
      <c r="G6" s="29" t="s">
        <v>49</v>
      </c>
      <c r="H6" s="31" t="s">
        <v>244</v>
      </c>
      <c r="I6" s="29" t="s">
        <v>50</v>
      </c>
      <c r="J6" s="29">
        <v>1</v>
      </c>
      <c r="K6" s="31" t="s">
        <v>244</v>
      </c>
      <c r="L6" s="29" t="s">
        <v>48</v>
      </c>
      <c r="M6" s="31" t="s">
        <v>244</v>
      </c>
      <c r="N6" s="29" t="s">
        <v>319</v>
      </c>
      <c r="O6" s="29" t="s">
        <v>49</v>
      </c>
      <c r="P6" s="29" t="s">
        <v>18</v>
      </c>
      <c r="Q6" s="29" t="s">
        <v>19</v>
      </c>
      <c r="R6" s="29" t="s">
        <v>283</v>
      </c>
      <c r="S6" s="29" t="s">
        <v>282</v>
      </c>
      <c r="T6" s="29" t="s">
        <v>48</v>
      </c>
      <c r="U6" s="29" t="s">
        <v>319</v>
      </c>
      <c r="V6" s="29" t="s">
        <v>49</v>
      </c>
      <c r="W6" s="29" t="s">
        <v>20</v>
      </c>
      <c r="X6" s="31" t="s">
        <v>244</v>
      </c>
      <c r="Y6" s="29" t="s">
        <v>271</v>
      </c>
      <c r="Z6" s="29" t="s">
        <v>272</v>
      </c>
      <c r="AA6" s="29" t="s">
        <v>273</v>
      </c>
      <c r="AB6" s="29"/>
      <c r="AC6" s="29"/>
      <c r="AD6" s="29"/>
      <c r="AE6" s="29"/>
      <c r="AF6" s="31" t="s">
        <v>244</v>
      </c>
    </row>
    <row r="7" spans="1:32" x14ac:dyDescent="0.3">
      <c r="A7" s="29" t="s">
        <v>95</v>
      </c>
      <c r="B7" s="29" t="s">
        <v>15</v>
      </c>
      <c r="C7" s="29">
        <v>200</v>
      </c>
      <c r="D7" s="31" t="s">
        <v>244</v>
      </c>
      <c r="E7" s="29" t="s">
        <v>321</v>
      </c>
      <c r="F7" s="31" t="s">
        <v>244</v>
      </c>
      <c r="G7" s="29" t="s">
        <v>320</v>
      </c>
      <c r="H7" s="31" t="s">
        <v>244</v>
      </c>
      <c r="I7" s="29" t="s">
        <v>96</v>
      </c>
      <c r="J7" s="29">
        <v>1</v>
      </c>
      <c r="K7" s="31" t="s">
        <v>244</v>
      </c>
      <c r="L7" s="29" t="s">
        <v>95</v>
      </c>
      <c r="M7" s="31" t="s">
        <v>244</v>
      </c>
      <c r="N7" s="29" t="s">
        <v>321</v>
      </c>
      <c r="O7" s="29" t="s">
        <v>320</v>
      </c>
      <c r="P7" s="29" t="s">
        <v>18</v>
      </c>
      <c r="Q7" s="29" t="s">
        <v>19</v>
      </c>
      <c r="R7" s="29" t="s">
        <v>283</v>
      </c>
      <c r="S7" s="29" t="s">
        <v>282</v>
      </c>
      <c r="T7" s="29" t="s">
        <v>95</v>
      </c>
      <c r="U7" s="29" t="s">
        <v>321</v>
      </c>
      <c r="V7" s="29" t="s">
        <v>320</v>
      </c>
      <c r="W7" s="29" t="s">
        <v>20</v>
      </c>
      <c r="X7" s="31" t="s">
        <v>244</v>
      </c>
      <c r="Y7" s="29" t="s">
        <v>271</v>
      </c>
      <c r="Z7" s="29" t="s">
        <v>272</v>
      </c>
      <c r="AA7" s="29" t="s">
        <v>273</v>
      </c>
      <c r="AB7" s="29"/>
      <c r="AC7" s="29"/>
      <c r="AD7" s="29"/>
      <c r="AE7" s="29"/>
      <c r="AF7" s="31" t="s">
        <v>244</v>
      </c>
    </row>
    <row r="8" spans="1:32" x14ac:dyDescent="0.3">
      <c r="A8" s="29" t="s">
        <v>205</v>
      </c>
      <c r="B8" s="29" t="s">
        <v>22</v>
      </c>
      <c r="C8" s="29">
        <v>200</v>
      </c>
      <c r="D8" s="31" t="s">
        <v>244</v>
      </c>
      <c r="E8" s="29" t="s">
        <v>206</v>
      </c>
      <c r="F8" s="31" t="s">
        <v>244</v>
      </c>
      <c r="G8" s="29" t="s">
        <v>207</v>
      </c>
      <c r="H8" s="31" t="s">
        <v>244</v>
      </c>
      <c r="I8" s="29" t="s">
        <v>208</v>
      </c>
      <c r="J8" s="29">
        <v>1</v>
      </c>
      <c r="K8" s="31" t="s">
        <v>244</v>
      </c>
      <c r="L8" s="29" t="s">
        <v>205</v>
      </c>
      <c r="M8" s="31" t="s">
        <v>244</v>
      </c>
      <c r="N8" s="29" t="s">
        <v>206</v>
      </c>
      <c r="O8" s="29" t="s">
        <v>207</v>
      </c>
      <c r="P8" s="29" t="s">
        <v>26</v>
      </c>
      <c r="Q8" s="29" t="s">
        <v>19</v>
      </c>
      <c r="R8" s="29" t="s">
        <v>209</v>
      </c>
      <c r="S8" s="29" t="s">
        <v>210</v>
      </c>
      <c r="T8" s="29" t="s">
        <v>205</v>
      </c>
      <c r="U8" s="29" t="s">
        <v>206</v>
      </c>
      <c r="V8" s="29" t="s">
        <v>207</v>
      </c>
      <c r="W8" s="29" t="s">
        <v>20</v>
      </c>
      <c r="X8" s="31" t="s">
        <v>244</v>
      </c>
      <c r="Y8" s="29" t="s">
        <v>274</v>
      </c>
      <c r="Z8" s="29" t="s">
        <v>271</v>
      </c>
      <c r="AA8" s="29" t="s">
        <v>275</v>
      </c>
      <c r="AB8" s="29" t="s">
        <v>272</v>
      </c>
      <c r="AC8" s="29" t="s">
        <v>335</v>
      </c>
      <c r="AD8" s="29" t="s">
        <v>273</v>
      </c>
      <c r="AE8" s="29" t="s">
        <v>336</v>
      </c>
      <c r="AF8" s="31" t="s">
        <v>244</v>
      </c>
    </row>
    <row r="9" spans="1:32" x14ac:dyDescent="0.3">
      <c r="A9" s="29" t="s">
        <v>193</v>
      </c>
      <c r="B9" s="29" t="s">
        <v>22</v>
      </c>
      <c r="C9" s="29">
        <v>200</v>
      </c>
      <c r="D9" s="31" t="s">
        <v>244</v>
      </c>
      <c r="E9" s="29" t="s">
        <v>194</v>
      </c>
      <c r="F9" s="31" t="s">
        <v>244</v>
      </c>
      <c r="G9" s="29" t="s">
        <v>195</v>
      </c>
      <c r="H9" s="31" t="s">
        <v>244</v>
      </c>
      <c r="I9" s="29" t="s">
        <v>196</v>
      </c>
      <c r="J9" s="29">
        <v>1</v>
      </c>
      <c r="K9" s="31" t="s">
        <v>244</v>
      </c>
      <c r="L9" s="29" t="s">
        <v>193</v>
      </c>
      <c r="M9" s="31" t="s">
        <v>244</v>
      </c>
      <c r="N9" s="29" t="s">
        <v>194</v>
      </c>
      <c r="O9" s="29" t="s">
        <v>195</v>
      </c>
      <c r="P9" s="29" t="s">
        <v>26</v>
      </c>
      <c r="Q9" s="29" t="s">
        <v>19</v>
      </c>
      <c r="R9" s="29" t="s">
        <v>197</v>
      </c>
      <c r="S9" s="29" t="s">
        <v>198</v>
      </c>
      <c r="T9" s="29" t="s">
        <v>193</v>
      </c>
      <c r="U9" s="29" t="s">
        <v>194</v>
      </c>
      <c r="V9" s="29" t="s">
        <v>195</v>
      </c>
      <c r="W9" s="29" t="s">
        <v>20</v>
      </c>
      <c r="X9" s="31" t="s">
        <v>244</v>
      </c>
      <c r="Y9" s="29" t="s">
        <v>274</v>
      </c>
      <c r="Z9" s="29" t="s">
        <v>271</v>
      </c>
      <c r="AA9" s="29" t="s">
        <v>275</v>
      </c>
      <c r="AB9" s="29" t="s">
        <v>272</v>
      </c>
      <c r="AC9" s="29" t="s">
        <v>335</v>
      </c>
      <c r="AD9" s="29" t="s">
        <v>273</v>
      </c>
      <c r="AE9" s="29" t="s">
        <v>336</v>
      </c>
      <c r="AF9" s="31" t="s">
        <v>244</v>
      </c>
    </row>
    <row r="10" spans="1:32" x14ac:dyDescent="0.3">
      <c r="A10" s="29" t="s">
        <v>211</v>
      </c>
      <c r="B10" s="29" t="s">
        <v>22</v>
      </c>
      <c r="C10" s="29">
        <v>200</v>
      </c>
      <c r="D10" s="31" t="s">
        <v>244</v>
      </c>
      <c r="E10" s="29" t="s">
        <v>212</v>
      </c>
      <c r="F10" s="31" t="s">
        <v>244</v>
      </c>
      <c r="G10" s="29" t="s">
        <v>213</v>
      </c>
      <c r="H10" s="31" t="s">
        <v>244</v>
      </c>
      <c r="I10" s="29" t="s">
        <v>214</v>
      </c>
      <c r="J10" s="29">
        <v>1</v>
      </c>
      <c r="K10" s="31" t="s">
        <v>244</v>
      </c>
      <c r="L10" s="29" t="s">
        <v>211</v>
      </c>
      <c r="M10" s="31" t="s">
        <v>244</v>
      </c>
      <c r="N10" s="29" t="s">
        <v>212</v>
      </c>
      <c r="O10" s="29" t="s">
        <v>213</v>
      </c>
      <c r="P10" s="29" t="s">
        <v>26</v>
      </c>
      <c r="Q10" s="29" t="s">
        <v>19</v>
      </c>
      <c r="R10" s="29" t="s">
        <v>215</v>
      </c>
      <c r="S10" s="29" t="s">
        <v>216</v>
      </c>
      <c r="T10" s="29" t="s">
        <v>211</v>
      </c>
      <c r="U10" s="29" t="s">
        <v>212</v>
      </c>
      <c r="V10" s="29" t="s">
        <v>213</v>
      </c>
      <c r="W10" s="29" t="s">
        <v>20</v>
      </c>
      <c r="X10" s="31" t="s">
        <v>244</v>
      </c>
      <c r="Y10" s="29" t="s">
        <v>274</v>
      </c>
      <c r="Z10" s="29" t="s">
        <v>271</v>
      </c>
      <c r="AA10" s="29" t="s">
        <v>275</v>
      </c>
      <c r="AB10" s="29" t="s">
        <v>272</v>
      </c>
      <c r="AC10" s="29" t="s">
        <v>335</v>
      </c>
      <c r="AD10" s="29" t="s">
        <v>273</v>
      </c>
      <c r="AE10" s="29" t="s">
        <v>336</v>
      </c>
      <c r="AF10" s="31" t="s">
        <v>244</v>
      </c>
    </row>
    <row r="11" spans="1:32" x14ac:dyDescent="0.3">
      <c r="A11" s="29" t="s">
        <v>223</v>
      </c>
      <c r="B11" s="29" t="s">
        <v>22</v>
      </c>
      <c r="C11" s="29">
        <v>200</v>
      </c>
      <c r="D11" s="31" t="s">
        <v>244</v>
      </c>
      <c r="E11" s="29" t="s">
        <v>224</v>
      </c>
      <c r="F11" s="31" t="s">
        <v>244</v>
      </c>
      <c r="G11" s="29" t="s">
        <v>225</v>
      </c>
      <c r="H11" s="31" t="s">
        <v>244</v>
      </c>
      <c r="I11" s="29" t="s">
        <v>226</v>
      </c>
      <c r="J11" s="29">
        <v>1</v>
      </c>
      <c r="K11" s="31" t="s">
        <v>244</v>
      </c>
      <c r="L11" s="29" t="s">
        <v>223</v>
      </c>
      <c r="M11" s="31" t="s">
        <v>244</v>
      </c>
      <c r="N11" s="29" t="s">
        <v>224</v>
      </c>
      <c r="O11" s="29" t="s">
        <v>225</v>
      </c>
      <c r="P11" s="29" t="s">
        <v>26</v>
      </c>
      <c r="Q11" s="29" t="s">
        <v>19</v>
      </c>
      <c r="R11" s="29" t="s">
        <v>227</v>
      </c>
      <c r="S11" s="29" t="s">
        <v>228</v>
      </c>
      <c r="T11" s="29" t="s">
        <v>223</v>
      </c>
      <c r="U11" s="29" t="s">
        <v>224</v>
      </c>
      <c r="V11" s="29" t="s">
        <v>225</v>
      </c>
      <c r="W11" s="29" t="s">
        <v>20</v>
      </c>
      <c r="X11" s="31" t="s">
        <v>244</v>
      </c>
      <c r="Y11" s="29" t="s">
        <v>274</v>
      </c>
      <c r="Z11" s="29" t="s">
        <v>271</v>
      </c>
      <c r="AA11" s="29" t="s">
        <v>275</v>
      </c>
      <c r="AB11" s="29" t="s">
        <v>272</v>
      </c>
      <c r="AC11" s="29" t="s">
        <v>335</v>
      </c>
      <c r="AD11" s="29" t="s">
        <v>273</v>
      </c>
      <c r="AE11" s="29" t="s">
        <v>336</v>
      </c>
      <c r="AF11" s="31" t="s">
        <v>244</v>
      </c>
    </row>
    <row r="12" spans="1:32" x14ac:dyDescent="0.3">
      <c r="A12" s="29" t="s">
        <v>217</v>
      </c>
      <c r="B12" s="29" t="s">
        <v>22</v>
      </c>
      <c r="C12" s="29">
        <v>200</v>
      </c>
      <c r="D12" s="31" t="s">
        <v>244</v>
      </c>
      <c r="E12" s="29" t="s">
        <v>218</v>
      </c>
      <c r="F12" s="31" t="s">
        <v>244</v>
      </c>
      <c r="G12" s="29" t="s">
        <v>219</v>
      </c>
      <c r="H12" s="31" t="s">
        <v>244</v>
      </c>
      <c r="I12" s="29" t="s">
        <v>220</v>
      </c>
      <c r="J12" s="29">
        <v>1</v>
      </c>
      <c r="K12" s="31" t="s">
        <v>244</v>
      </c>
      <c r="L12" s="29" t="s">
        <v>217</v>
      </c>
      <c r="M12" s="31" t="s">
        <v>244</v>
      </c>
      <c r="N12" s="29" t="s">
        <v>218</v>
      </c>
      <c r="O12" s="29" t="s">
        <v>219</v>
      </c>
      <c r="P12" s="29" t="s">
        <v>26</v>
      </c>
      <c r="Q12" s="29" t="s">
        <v>19</v>
      </c>
      <c r="R12" s="29" t="s">
        <v>221</v>
      </c>
      <c r="S12" s="29" t="s">
        <v>222</v>
      </c>
      <c r="T12" s="29" t="s">
        <v>217</v>
      </c>
      <c r="U12" s="29" t="s">
        <v>218</v>
      </c>
      <c r="V12" s="29" t="s">
        <v>219</v>
      </c>
      <c r="W12" s="29" t="s">
        <v>20</v>
      </c>
      <c r="X12" s="31" t="s">
        <v>244</v>
      </c>
      <c r="Y12" s="29" t="s">
        <v>274</v>
      </c>
      <c r="Z12" s="29" t="s">
        <v>271</v>
      </c>
      <c r="AA12" s="29" t="s">
        <v>275</v>
      </c>
      <c r="AB12" s="29" t="s">
        <v>272</v>
      </c>
      <c r="AC12" s="29" t="s">
        <v>335</v>
      </c>
      <c r="AD12" s="29" t="s">
        <v>273</v>
      </c>
      <c r="AE12" s="29" t="s">
        <v>336</v>
      </c>
      <c r="AF12" s="31" t="s">
        <v>244</v>
      </c>
    </row>
    <row r="13" spans="1:32" x14ac:dyDescent="0.3">
      <c r="A13" s="29" t="s">
        <v>54</v>
      </c>
      <c r="B13" s="29" t="s">
        <v>22</v>
      </c>
      <c r="C13" s="29">
        <v>200</v>
      </c>
      <c r="D13" s="31" t="s">
        <v>244</v>
      </c>
      <c r="E13" s="29" t="s">
        <v>55</v>
      </c>
      <c r="F13" s="31" t="s">
        <v>244</v>
      </c>
      <c r="G13" s="29" t="s">
        <v>56</v>
      </c>
      <c r="H13" s="31" t="s">
        <v>244</v>
      </c>
      <c r="I13" s="29" t="s">
        <v>57</v>
      </c>
      <c r="J13" s="29">
        <v>1</v>
      </c>
      <c r="K13" s="31" t="s">
        <v>244</v>
      </c>
      <c r="L13" s="29" t="s">
        <v>54</v>
      </c>
      <c r="M13" s="31" t="s">
        <v>244</v>
      </c>
      <c r="N13" s="29" t="s">
        <v>55</v>
      </c>
      <c r="O13" s="29" t="s">
        <v>56</v>
      </c>
      <c r="P13" s="29" t="s">
        <v>26</v>
      </c>
      <c r="Q13" s="29" t="s">
        <v>19</v>
      </c>
      <c r="R13" s="29" t="s">
        <v>58</v>
      </c>
      <c r="S13" s="29" t="s">
        <v>59</v>
      </c>
      <c r="T13" s="29" t="s">
        <v>54</v>
      </c>
      <c r="U13" s="29" t="s">
        <v>55</v>
      </c>
      <c r="V13" s="29" t="s">
        <v>56</v>
      </c>
      <c r="W13" s="29" t="s">
        <v>20</v>
      </c>
      <c r="X13" s="31" t="s">
        <v>244</v>
      </c>
      <c r="Y13" s="29" t="s">
        <v>274</v>
      </c>
      <c r="Z13" s="29" t="s">
        <v>271</v>
      </c>
      <c r="AA13" s="29" t="s">
        <v>275</v>
      </c>
      <c r="AB13" s="29" t="s">
        <v>272</v>
      </c>
      <c r="AC13" s="29" t="s">
        <v>335</v>
      </c>
      <c r="AD13" s="29" t="s">
        <v>273</v>
      </c>
      <c r="AE13" s="29" t="s">
        <v>336</v>
      </c>
      <c r="AF13" s="31" t="s">
        <v>244</v>
      </c>
    </row>
    <row r="14" spans="1:32" x14ac:dyDescent="0.3">
      <c r="A14" s="29" t="s">
        <v>80</v>
      </c>
      <c r="B14" s="29" t="s">
        <v>22</v>
      </c>
      <c r="C14" s="29">
        <v>200</v>
      </c>
      <c r="D14" s="31" t="s">
        <v>244</v>
      </c>
      <c r="E14" s="29" t="s">
        <v>323</v>
      </c>
      <c r="F14" s="31" t="s">
        <v>244</v>
      </c>
      <c r="G14" s="29" t="s">
        <v>322</v>
      </c>
      <c r="H14" s="31" t="s">
        <v>244</v>
      </c>
      <c r="I14" s="29" t="s">
        <v>324</v>
      </c>
      <c r="J14" s="29">
        <v>2</v>
      </c>
      <c r="K14" s="31" t="s">
        <v>341</v>
      </c>
      <c r="L14" s="29" t="s">
        <v>80</v>
      </c>
      <c r="M14" s="31" t="s">
        <v>244</v>
      </c>
      <c r="N14" s="29" t="s">
        <v>323</v>
      </c>
      <c r="O14" s="29" t="s">
        <v>322</v>
      </c>
      <c r="P14" s="29" t="s">
        <v>26</v>
      </c>
      <c r="Q14" s="29" t="s">
        <v>19</v>
      </c>
      <c r="R14" s="29" t="s">
        <v>81</v>
      </c>
      <c r="S14" s="29" t="s">
        <v>82</v>
      </c>
      <c r="T14" s="29" t="s">
        <v>80</v>
      </c>
      <c r="U14" s="29" t="s">
        <v>323</v>
      </c>
      <c r="V14" s="29" t="s">
        <v>322</v>
      </c>
      <c r="W14" s="29" t="s">
        <v>20</v>
      </c>
      <c r="X14" s="31" t="s">
        <v>244</v>
      </c>
      <c r="Y14" s="29" t="s">
        <v>274</v>
      </c>
      <c r="Z14" s="29" t="s">
        <v>271</v>
      </c>
      <c r="AA14" s="29" t="s">
        <v>275</v>
      </c>
      <c r="AB14" s="29" t="s">
        <v>272</v>
      </c>
      <c r="AC14" s="29" t="s">
        <v>335</v>
      </c>
      <c r="AD14" s="29" t="s">
        <v>273</v>
      </c>
      <c r="AE14" s="29" t="s">
        <v>336</v>
      </c>
      <c r="AF14" s="31" t="s">
        <v>244</v>
      </c>
    </row>
    <row r="15" spans="1:32" x14ac:dyDescent="0.3">
      <c r="A15" s="29" t="s">
        <v>29</v>
      </c>
      <c r="B15" s="29" t="s">
        <v>22</v>
      </c>
      <c r="C15" s="29">
        <v>200</v>
      </c>
      <c r="D15" s="31" t="s">
        <v>244</v>
      </c>
      <c r="E15" s="29" t="s">
        <v>30</v>
      </c>
      <c r="F15" s="31" t="s">
        <v>244</v>
      </c>
      <c r="G15" s="29" t="s">
        <v>31</v>
      </c>
      <c r="H15" s="31" t="s">
        <v>244</v>
      </c>
      <c r="I15" s="29" t="s">
        <v>32</v>
      </c>
      <c r="J15" s="29">
        <v>1</v>
      </c>
      <c r="K15" s="31" t="s">
        <v>244</v>
      </c>
      <c r="L15" s="29" t="s">
        <v>29</v>
      </c>
      <c r="M15" s="31" t="s">
        <v>244</v>
      </c>
      <c r="N15" s="29" t="s">
        <v>30</v>
      </c>
      <c r="O15" s="29" t="s">
        <v>31</v>
      </c>
      <c r="P15" s="29" t="s">
        <v>26</v>
      </c>
      <c r="Q15" s="29" t="s">
        <v>19</v>
      </c>
      <c r="R15" s="29" t="s">
        <v>33</v>
      </c>
      <c r="S15" s="29" t="s">
        <v>34</v>
      </c>
      <c r="T15" s="29" t="s">
        <v>29</v>
      </c>
      <c r="U15" s="29" t="s">
        <v>30</v>
      </c>
      <c r="V15" s="29" t="s">
        <v>31</v>
      </c>
      <c r="W15" s="29" t="s">
        <v>20</v>
      </c>
      <c r="X15" s="31" t="s">
        <v>244</v>
      </c>
      <c r="Y15" s="29" t="s">
        <v>274</v>
      </c>
      <c r="Z15" s="29" t="s">
        <v>271</v>
      </c>
      <c r="AA15" s="29" t="s">
        <v>275</v>
      </c>
      <c r="AB15" s="29" t="s">
        <v>272</v>
      </c>
      <c r="AC15" s="29" t="s">
        <v>335</v>
      </c>
      <c r="AD15" s="29" t="s">
        <v>273</v>
      </c>
      <c r="AE15" s="29" t="s">
        <v>336</v>
      </c>
      <c r="AF15" s="31" t="s">
        <v>244</v>
      </c>
    </row>
    <row r="16" spans="1:32" x14ac:dyDescent="0.3">
      <c r="A16" s="29" t="s">
        <v>187</v>
      </c>
      <c r="B16" s="29" t="s">
        <v>22</v>
      </c>
      <c r="C16" s="29">
        <v>200</v>
      </c>
      <c r="D16" s="31" t="s">
        <v>244</v>
      </c>
      <c r="E16" s="29" t="s">
        <v>188</v>
      </c>
      <c r="F16" s="31" t="s">
        <v>244</v>
      </c>
      <c r="G16" s="29" t="s">
        <v>189</v>
      </c>
      <c r="H16" s="31" t="s">
        <v>244</v>
      </c>
      <c r="I16" s="29" t="s">
        <v>190</v>
      </c>
      <c r="J16" s="29">
        <v>1</v>
      </c>
      <c r="K16" s="31" t="s">
        <v>244</v>
      </c>
      <c r="L16" s="29" t="s">
        <v>187</v>
      </c>
      <c r="M16" s="31" t="s">
        <v>244</v>
      </c>
      <c r="N16" s="29" t="s">
        <v>188</v>
      </c>
      <c r="O16" s="29" t="s">
        <v>189</v>
      </c>
      <c r="P16" s="29" t="s">
        <v>26</v>
      </c>
      <c r="Q16" s="29" t="s">
        <v>19</v>
      </c>
      <c r="R16" s="29" t="s">
        <v>191</v>
      </c>
      <c r="S16" s="29" t="s">
        <v>192</v>
      </c>
      <c r="T16" s="29" t="s">
        <v>187</v>
      </c>
      <c r="U16" s="29" t="s">
        <v>188</v>
      </c>
      <c r="V16" s="29" t="s">
        <v>189</v>
      </c>
      <c r="W16" s="29" t="s">
        <v>20</v>
      </c>
      <c r="X16" s="31" t="s">
        <v>244</v>
      </c>
      <c r="Y16" s="29" t="s">
        <v>274</v>
      </c>
      <c r="Z16" s="29" t="s">
        <v>271</v>
      </c>
      <c r="AA16" s="29" t="s">
        <v>275</v>
      </c>
      <c r="AB16" s="29" t="s">
        <v>272</v>
      </c>
      <c r="AC16" s="29" t="s">
        <v>335</v>
      </c>
      <c r="AD16" s="29" t="s">
        <v>273</v>
      </c>
      <c r="AE16" s="29" t="s">
        <v>336</v>
      </c>
      <c r="AF16" s="31" t="s">
        <v>244</v>
      </c>
    </row>
    <row r="17" spans="1:32" x14ac:dyDescent="0.3">
      <c r="A17" s="29" t="s">
        <v>181</v>
      </c>
      <c r="B17" s="29" t="s">
        <v>22</v>
      </c>
      <c r="C17" s="29">
        <v>200</v>
      </c>
      <c r="D17" s="31" t="s">
        <v>244</v>
      </c>
      <c r="E17" s="29" t="s">
        <v>182</v>
      </c>
      <c r="F17" s="31" t="s">
        <v>244</v>
      </c>
      <c r="G17" s="29" t="s">
        <v>183</v>
      </c>
      <c r="H17" s="31" t="s">
        <v>244</v>
      </c>
      <c r="I17" s="29" t="s">
        <v>184</v>
      </c>
      <c r="J17" s="29">
        <v>1</v>
      </c>
      <c r="K17" s="31" t="s">
        <v>244</v>
      </c>
      <c r="L17" s="29" t="s">
        <v>181</v>
      </c>
      <c r="M17" s="31" t="s">
        <v>244</v>
      </c>
      <c r="N17" s="29" t="s">
        <v>182</v>
      </c>
      <c r="O17" s="29" t="s">
        <v>183</v>
      </c>
      <c r="P17" s="29" t="s">
        <v>26</v>
      </c>
      <c r="Q17" s="29" t="s">
        <v>19</v>
      </c>
      <c r="R17" s="29" t="s">
        <v>185</v>
      </c>
      <c r="S17" s="29" t="s">
        <v>186</v>
      </c>
      <c r="T17" s="29" t="s">
        <v>181</v>
      </c>
      <c r="U17" s="29" t="s">
        <v>182</v>
      </c>
      <c r="V17" s="29" t="s">
        <v>183</v>
      </c>
      <c r="W17" s="29" t="s">
        <v>20</v>
      </c>
      <c r="X17" s="31" t="s">
        <v>244</v>
      </c>
      <c r="Y17" s="29" t="s">
        <v>274</v>
      </c>
      <c r="Z17" s="29" t="s">
        <v>271</v>
      </c>
      <c r="AA17" s="29" t="s">
        <v>275</v>
      </c>
      <c r="AB17" s="29" t="s">
        <v>272</v>
      </c>
      <c r="AC17" s="29" t="s">
        <v>335</v>
      </c>
      <c r="AD17" s="29" t="s">
        <v>273</v>
      </c>
      <c r="AE17" s="29" t="s">
        <v>336</v>
      </c>
      <c r="AF17" s="31" t="s">
        <v>244</v>
      </c>
    </row>
    <row r="18" spans="1:32" x14ac:dyDescent="0.3">
      <c r="A18" s="29" t="s">
        <v>199</v>
      </c>
      <c r="B18" s="29" t="s">
        <v>22</v>
      </c>
      <c r="C18" s="29">
        <v>200</v>
      </c>
      <c r="D18" s="31" t="s">
        <v>244</v>
      </c>
      <c r="E18" s="29" t="s">
        <v>200</v>
      </c>
      <c r="F18" s="31" t="s">
        <v>244</v>
      </c>
      <c r="G18" s="29" t="s">
        <v>201</v>
      </c>
      <c r="H18" s="31" t="s">
        <v>244</v>
      </c>
      <c r="I18" s="29" t="s">
        <v>202</v>
      </c>
      <c r="J18" s="29">
        <v>1</v>
      </c>
      <c r="K18" s="31" t="s">
        <v>244</v>
      </c>
      <c r="L18" s="29" t="s">
        <v>199</v>
      </c>
      <c r="M18" s="31" t="s">
        <v>244</v>
      </c>
      <c r="N18" s="29" t="s">
        <v>200</v>
      </c>
      <c r="O18" s="29" t="s">
        <v>201</v>
      </c>
      <c r="P18" s="29" t="s">
        <v>26</v>
      </c>
      <c r="Q18" s="29" t="s">
        <v>19</v>
      </c>
      <c r="R18" s="29" t="s">
        <v>203</v>
      </c>
      <c r="S18" s="29" t="s">
        <v>204</v>
      </c>
      <c r="T18" s="29" t="s">
        <v>199</v>
      </c>
      <c r="U18" s="29" t="s">
        <v>200</v>
      </c>
      <c r="V18" s="29" t="s">
        <v>201</v>
      </c>
      <c r="W18" s="29" t="s">
        <v>20</v>
      </c>
      <c r="X18" s="31" t="s">
        <v>244</v>
      </c>
      <c r="Y18" s="29" t="s">
        <v>274</v>
      </c>
      <c r="Z18" s="29" t="s">
        <v>271</v>
      </c>
      <c r="AA18" s="29" t="s">
        <v>275</v>
      </c>
      <c r="AB18" s="29" t="s">
        <v>272</v>
      </c>
      <c r="AC18" s="29" t="s">
        <v>335</v>
      </c>
      <c r="AD18" s="29" t="s">
        <v>273</v>
      </c>
      <c r="AE18" s="29" t="s">
        <v>336</v>
      </c>
      <c r="AF18" s="31" t="s">
        <v>244</v>
      </c>
    </row>
    <row r="19" spans="1:32" x14ac:dyDescent="0.3">
      <c r="A19" s="29" t="s">
        <v>175</v>
      </c>
      <c r="B19" s="29" t="s">
        <v>22</v>
      </c>
      <c r="C19" s="29">
        <v>200</v>
      </c>
      <c r="D19" s="31" t="s">
        <v>244</v>
      </c>
      <c r="E19" s="29" t="s">
        <v>176</v>
      </c>
      <c r="F19" s="31" t="s">
        <v>244</v>
      </c>
      <c r="G19" s="29" t="s">
        <v>177</v>
      </c>
      <c r="H19" s="31" t="s">
        <v>244</v>
      </c>
      <c r="I19" s="29" t="s">
        <v>178</v>
      </c>
      <c r="J19" s="29">
        <v>1</v>
      </c>
      <c r="K19" s="31" t="s">
        <v>244</v>
      </c>
      <c r="L19" s="29" t="s">
        <v>175</v>
      </c>
      <c r="M19" s="31" t="s">
        <v>244</v>
      </c>
      <c r="N19" s="29" t="s">
        <v>176</v>
      </c>
      <c r="O19" s="29" t="s">
        <v>177</v>
      </c>
      <c r="P19" s="29" t="s">
        <v>26</v>
      </c>
      <c r="Q19" s="29" t="s">
        <v>19</v>
      </c>
      <c r="R19" s="29" t="s">
        <v>179</v>
      </c>
      <c r="S19" s="29" t="s">
        <v>180</v>
      </c>
      <c r="T19" s="29" t="s">
        <v>175</v>
      </c>
      <c r="U19" s="29" t="s">
        <v>176</v>
      </c>
      <c r="V19" s="29" t="s">
        <v>177</v>
      </c>
      <c r="W19" s="29" t="s">
        <v>20</v>
      </c>
      <c r="X19" s="31" t="s">
        <v>244</v>
      </c>
      <c r="Y19" s="29" t="s">
        <v>274</v>
      </c>
      <c r="Z19" s="29" t="s">
        <v>271</v>
      </c>
      <c r="AA19" s="29" t="s">
        <v>275</v>
      </c>
      <c r="AB19" s="29" t="s">
        <v>272</v>
      </c>
      <c r="AC19" s="29" t="s">
        <v>335</v>
      </c>
      <c r="AD19" s="29" t="s">
        <v>273</v>
      </c>
      <c r="AE19" s="29" t="s">
        <v>336</v>
      </c>
      <c r="AF19" s="31" t="s">
        <v>244</v>
      </c>
    </row>
    <row r="20" spans="1:32" x14ac:dyDescent="0.3">
      <c r="A20" s="29" t="s">
        <v>121</v>
      </c>
      <c r="B20" s="29" t="s">
        <v>22</v>
      </c>
      <c r="C20" s="29">
        <v>200</v>
      </c>
      <c r="D20" s="31" t="s">
        <v>244</v>
      </c>
      <c r="E20" s="29" t="s">
        <v>122</v>
      </c>
      <c r="F20" s="31" t="s">
        <v>244</v>
      </c>
      <c r="G20" s="29" t="s">
        <v>123</v>
      </c>
      <c r="H20" s="31" t="s">
        <v>244</v>
      </c>
      <c r="I20" s="29" t="s">
        <v>124</v>
      </c>
      <c r="J20" s="29">
        <v>1</v>
      </c>
      <c r="K20" s="31" t="s">
        <v>244</v>
      </c>
      <c r="L20" s="29" t="s">
        <v>121</v>
      </c>
      <c r="M20" s="31" t="s">
        <v>244</v>
      </c>
      <c r="N20" s="29" t="s">
        <v>122</v>
      </c>
      <c r="O20" s="29" t="s">
        <v>123</v>
      </c>
      <c r="P20" s="29" t="s">
        <v>26</v>
      </c>
      <c r="Q20" s="29" t="s">
        <v>19</v>
      </c>
      <c r="R20" s="29" t="s">
        <v>125</v>
      </c>
      <c r="S20" s="29" t="s">
        <v>126</v>
      </c>
      <c r="T20" s="29" t="s">
        <v>121</v>
      </c>
      <c r="U20" s="29" t="s">
        <v>122</v>
      </c>
      <c r="V20" s="29" t="s">
        <v>123</v>
      </c>
      <c r="W20" s="29" t="s">
        <v>20</v>
      </c>
      <c r="X20" s="31" t="s">
        <v>244</v>
      </c>
      <c r="Y20" s="29" t="s">
        <v>274</v>
      </c>
      <c r="Z20" s="29" t="s">
        <v>271</v>
      </c>
      <c r="AA20" s="29" t="s">
        <v>275</v>
      </c>
      <c r="AB20" s="29" t="s">
        <v>272</v>
      </c>
      <c r="AC20" s="29" t="s">
        <v>335</v>
      </c>
      <c r="AD20" s="29" t="s">
        <v>273</v>
      </c>
      <c r="AE20" s="29" t="s">
        <v>336</v>
      </c>
      <c r="AF20" s="31" t="s">
        <v>244</v>
      </c>
    </row>
    <row r="21" spans="1:32" x14ac:dyDescent="0.3">
      <c r="A21" s="29" t="s">
        <v>109</v>
      </c>
      <c r="B21" s="29" t="s">
        <v>22</v>
      </c>
      <c r="C21" s="29">
        <v>200</v>
      </c>
      <c r="D21" s="31" t="s">
        <v>244</v>
      </c>
      <c r="E21" s="29" t="s">
        <v>110</v>
      </c>
      <c r="F21" s="31" t="s">
        <v>244</v>
      </c>
      <c r="G21" s="29" t="s">
        <v>111</v>
      </c>
      <c r="H21" s="31" t="s">
        <v>244</v>
      </c>
      <c r="I21" s="29" t="s">
        <v>112</v>
      </c>
      <c r="J21" s="29">
        <v>1</v>
      </c>
      <c r="K21" s="31" t="s">
        <v>244</v>
      </c>
      <c r="L21" s="29" t="s">
        <v>109</v>
      </c>
      <c r="M21" s="31" t="s">
        <v>244</v>
      </c>
      <c r="N21" s="29" t="s">
        <v>110</v>
      </c>
      <c r="O21" s="29" t="s">
        <v>111</v>
      </c>
      <c r="P21" s="29" t="s">
        <v>26</v>
      </c>
      <c r="Q21" s="29" t="s">
        <v>19</v>
      </c>
      <c r="R21" s="29" t="s">
        <v>113</v>
      </c>
      <c r="S21" s="29" t="s">
        <v>114</v>
      </c>
      <c r="T21" s="29" t="s">
        <v>109</v>
      </c>
      <c r="U21" s="29" t="s">
        <v>110</v>
      </c>
      <c r="V21" s="29" t="s">
        <v>111</v>
      </c>
      <c r="W21" s="29" t="s">
        <v>20</v>
      </c>
      <c r="X21" s="31" t="s">
        <v>244</v>
      </c>
      <c r="Y21" s="29" t="s">
        <v>274</v>
      </c>
      <c r="Z21" s="29" t="s">
        <v>271</v>
      </c>
      <c r="AA21" s="29" t="s">
        <v>275</v>
      </c>
      <c r="AB21" s="29" t="s">
        <v>272</v>
      </c>
      <c r="AC21" s="29" t="s">
        <v>335</v>
      </c>
      <c r="AD21" s="29" t="s">
        <v>273</v>
      </c>
      <c r="AE21" s="29" t="s">
        <v>336</v>
      </c>
      <c r="AF21" s="31" t="s">
        <v>244</v>
      </c>
    </row>
    <row r="22" spans="1:32" x14ac:dyDescent="0.3">
      <c r="A22" s="29" t="s">
        <v>127</v>
      </c>
      <c r="B22" s="29" t="s">
        <v>22</v>
      </c>
      <c r="C22" s="29">
        <v>200</v>
      </c>
      <c r="D22" s="31" t="s">
        <v>244</v>
      </c>
      <c r="E22" s="29" t="s">
        <v>128</v>
      </c>
      <c r="F22" s="31" t="s">
        <v>244</v>
      </c>
      <c r="G22" s="29" t="s">
        <v>129</v>
      </c>
      <c r="H22" s="31" t="s">
        <v>244</v>
      </c>
      <c r="I22" s="29" t="s">
        <v>130</v>
      </c>
      <c r="J22" s="29">
        <v>1</v>
      </c>
      <c r="K22" s="31" t="s">
        <v>244</v>
      </c>
      <c r="L22" s="29" t="s">
        <v>127</v>
      </c>
      <c r="M22" s="31" t="s">
        <v>244</v>
      </c>
      <c r="N22" s="29" t="s">
        <v>128</v>
      </c>
      <c r="O22" s="29" t="s">
        <v>129</v>
      </c>
      <c r="P22" s="29" t="s">
        <v>26</v>
      </c>
      <c r="Q22" s="29" t="s">
        <v>19</v>
      </c>
      <c r="R22" s="29" t="s">
        <v>131</v>
      </c>
      <c r="S22" s="29" t="s">
        <v>132</v>
      </c>
      <c r="T22" s="29" t="s">
        <v>127</v>
      </c>
      <c r="U22" s="29" t="s">
        <v>128</v>
      </c>
      <c r="V22" s="29" t="s">
        <v>129</v>
      </c>
      <c r="W22" s="29" t="s">
        <v>20</v>
      </c>
      <c r="X22" s="31" t="s">
        <v>244</v>
      </c>
      <c r="Y22" s="29" t="s">
        <v>274</v>
      </c>
      <c r="Z22" s="29" t="s">
        <v>271</v>
      </c>
      <c r="AA22" s="29" t="s">
        <v>275</v>
      </c>
      <c r="AB22" s="29" t="s">
        <v>272</v>
      </c>
      <c r="AC22" s="29" t="s">
        <v>335</v>
      </c>
      <c r="AD22" s="29" t="s">
        <v>273</v>
      </c>
      <c r="AE22" s="29" t="s">
        <v>336</v>
      </c>
      <c r="AF22" s="31" t="s">
        <v>244</v>
      </c>
    </row>
    <row r="23" spans="1:32" x14ac:dyDescent="0.3">
      <c r="A23" s="29" t="s">
        <v>115</v>
      </c>
      <c r="B23" s="29" t="s">
        <v>22</v>
      </c>
      <c r="C23" s="29">
        <v>200</v>
      </c>
      <c r="D23" s="31" t="s">
        <v>244</v>
      </c>
      <c r="E23" s="29" t="s">
        <v>116</v>
      </c>
      <c r="F23" s="31" t="s">
        <v>244</v>
      </c>
      <c r="G23" s="29" t="s">
        <v>117</v>
      </c>
      <c r="H23" s="31" t="s">
        <v>244</v>
      </c>
      <c r="I23" s="29" t="s">
        <v>118</v>
      </c>
      <c r="J23" s="29">
        <v>1</v>
      </c>
      <c r="K23" s="31" t="s">
        <v>244</v>
      </c>
      <c r="L23" s="29" t="s">
        <v>115</v>
      </c>
      <c r="M23" s="31" t="s">
        <v>244</v>
      </c>
      <c r="N23" s="29" t="s">
        <v>116</v>
      </c>
      <c r="O23" s="29" t="s">
        <v>117</v>
      </c>
      <c r="P23" s="29" t="s">
        <v>26</v>
      </c>
      <c r="Q23" s="29" t="s">
        <v>19</v>
      </c>
      <c r="R23" s="29" t="s">
        <v>119</v>
      </c>
      <c r="S23" s="29" t="s">
        <v>120</v>
      </c>
      <c r="T23" s="29" t="s">
        <v>115</v>
      </c>
      <c r="U23" s="29" t="s">
        <v>116</v>
      </c>
      <c r="V23" s="29" t="s">
        <v>117</v>
      </c>
      <c r="W23" s="29" t="s">
        <v>20</v>
      </c>
      <c r="X23" s="31" t="s">
        <v>244</v>
      </c>
      <c r="Y23" s="29" t="s">
        <v>274</v>
      </c>
      <c r="Z23" s="29" t="s">
        <v>271</v>
      </c>
      <c r="AA23" s="29" t="s">
        <v>275</v>
      </c>
      <c r="AB23" s="29" t="s">
        <v>272</v>
      </c>
      <c r="AC23" s="29" t="s">
        <v>335</v>
      </c>
      <c r="AD23" s="29" t="s">
        <v>273</v>
      </c>
      <c r="AE23" s="29" t="s">
        <v>336</v>
      </c>
      <c r="AF23" s="31" t="s">
        <v>244</v>
      </c>
    </row>
    <row r="24" spans="1:32" x14ac:dyDescent="0.3">
      <c r="A24" s="29" t="s">
        <v>133</v>
      </c>
      <c r="B24" s="29" t="s">
        <v>22</v>
      </c>
      <c r="C24" s="29">
        <v>200</v>
      </c>
      <c r="D24" s="31" t="s">
        <v>244</v>
      </c>
      <c r="E24" s="29" t="s">
        <v>134</v>
      </c>
      <c r="F24" s="31" t="s">
        <v>244</v>
      </c>
      <c r="G24" s="29" t="s">
        <v>135</v>
      </c>
      <c r="H24" s="31" t="s">
        <v>244</v>
      </c>
      <c r="I24" s="29" t="s">
        <v>136</v>
      </c>
      <c r="J24" s="29">
        <v>1</v>
      </c>
      <c r="K24" s="31" t="s">
        <v>244</v>
      </c>
      <c r="L24" s="29" t="s">
        <v>133</v>
      </c>
      <c r="M24" s="31" t="s">
        <v>244</v>
      </c>
      <c r="N24" s="29" t="s">
        <v>134</v>
      </c>
      <c r="O24" s="29" t="s">
        <v>135</v>
      </c>
      <c r="P24" s="29" t="s">
        <v>26</v>
      </c>
      <c r="Q24" s="29" t="s">
        <v>19</v>
      </c>
      <c r="R24" s="29" t="s">
        <v>137</v>
      </c>
      <c r="S24" s="29" t="s">
        <v>138</v>
      </c>
      <c r="T24" s="29" t="s">
        <v>133</v>
      </c>
      <c r="U24" s="29" t="s">
        <v>134</v>
      </c>
      <c r="V24" s="29" t="s">
        <v>135</v>
      </c>
      <c r="W24" s="29" t="s">
        <v>20</v>
      </c>
      <c r="X24" s="31" t="s">
        <v>244</v>
      </c>
      <c r="Y24" s="29" t="s">
        <v>274</v>
      </c>
      <c r="Z24" s="29" t="s">
        <v>271</v>
      </c>
      <c r="AA24" s="29" t="s">
        <v>275</v>
      </c>
      <c r="AB24" s="29" t="s">
        <v>272</v>
      </c>
      <c r="AC24" s="29" t="s">
        <v>335</v>
      </c>
      <c r="AD24" s="29" t="s">
        <v>273</v>
      </c>
      <c r="AE24" s="29" t="s">
        <v>336</v>
      </c>
      <c r="AF24" s="31" t="s">
        <v>244</v>
      </c>
    </row>
    <row r="25" spans="1:32" x14ac:dyDescent="0.3">
      <c r="A25" s="29" t="s">
        <v>21</v>
      </c>
      <c r="B25" s="29" t="s">
        <v>22</v>
      </c>
      <c r="C25" s="29">
        <v>200</v>
      </c>
      <c r="D25" s="31" t="s">
        <v>244</v>
      </c>
      <c r="E25" s="29" t="s">
        <v>23</v>
      </c>
      <c r="F25" s="31" t="s">
        <v>244</v>
      </c>
      <c r="G25" s="29" t="s">
        <v>24</v>
      </c>
      <c r="H25" s="31" t="s">
        <v>244</v>
      </c>
      <c r="I25" s="29" t="s">
        <v>25</v>
      </c>
      <c r="J25" s="29">
        <v>1</v>
      </c>
      <c r="K25" s="31" t="s">
        <v>244</v>
      </c>
      <c r="L25" s="29" t="s">
        <v>21</v>
      </c>
      <c r="M25" s="31" t="s">
        <v>244</v>
      </c>
      <c r="N25" s="29" t="s">
        <v>23</v>
      </c>
      <c r="O25" s="29" t="s">
        <v>24</v>
      </c>
      <c r="P25" s="29" t="s">
        <v>26</v>
      </c>
      <c r="Q25" s="29" t="s">
        <v>19</v>
      </c>
      <c r="R25" s="29" t="s">
        <v>27</v>
      </c>
      <c r="S25" s="29" t="s">
        <v>28</v>
      </c>
      <c r="T25" s="29" t="s">
        <v>21</v>
      </c>
      <c r="U25" s="29" t="s">
        <v>23</v>
      </c>
      <c r="V25" s="29" t="s">
        <v>24</v>
      </c>
      <c r="W25" s="29" t="s">
        <v>20</v>
      </c>
      <c r="X25" s="31" t="s">
        <v>244</v>
      </c>
      <c r="Y25" s="29" t="s">
        <v>274</v>
      </c>
      <c r="Z25" s="29" t="s">
        <v>271</v>
      </c>
      <c r="AA25" s="29" t="s">
        <v>275</v>
      </c>
      <c r="AB25" s="29" t="s">
        <v>272</v>
      </c>
      <c r="AC25" s="29" t="s">
        <v>335</v>
      </c>
      <c r="AD25" s="29" t="s">
        <v>273</v>
      </c>
      <c r="AE25" s="29" t="s">
        <v>336</v>
      </c>
      <c r="AF25" s="31" t="s">
        <v>244</v>
      </c>
    </row>
    <row r="26" spans="1:32" x14ac:dyDescent="0.3">
      <c r="A26" s="29" t="s">
        <v>97</v>
      </c>
      <c r="B26" s="29" t="s">
        <v>22</v>
      </c>
      <c r="C26" s="29">
        <v>200</v>
      </c>
      <c r="D26" s="31" t="s">
        <v>244</v>
      </c>
      <c r="E26" s="29" t="s">
        <v>98</v>
      </c>
      <c r="F26" s="31" t="s">
        <v>244</v>
      </c>
      <c r="G26" s="29" t="s">
        <v>99</v>
      </c>
      <c r="H26" s="31" t="s">
        <v>244</v>
      </c>
      <c r="I26" s="29" t="s">
        <v>100</v>
      </c>
      <c r="J26" s="29">
        <v>1</v>
      </c>
      <c r="K26" s="31" t="s">
        <v>244</v>
      </c>
      <c r="L26" s="29" t="s">
        <v>97</v>
      </c>
      <c r="M26" s="31" t="s">
        <v>244</v>
      </c>
      <c r="N26" s="29" t="s">
        <v>98</v>
      </c>
      <c r="O26" s="29" t="s">
        <v>99</v>
      </c>
      <c r="P26" s="29" t="s">
        <v>26</v>
      </c>
      <c r="Q26" s="29" t="s">
        <v>19</v>
      </c>
      <c r="R26" s="29" t="s">
        <v>101</v>
      </c>
      <c r="S26" s="29" t="s">
        <v>102</v>
      </c>
      <c r="T26" s="29" t="s">
        <v>97</v>
      </c>
      <c r="U26" s="29" t="s">
        <v>98</v>
      </c>
      <c r="V26" s="29" t="s">
        <v>99</v>
      </c>
      <c r="W26" s="29" t="s">
        <v>20</v>
      </c>
      <c r="X26" s="31" t="s">
        <v>244</v>
      </c>
      <c r="Y26" s="29" t="s">
        <v>274</v>
      </c>
      <c r="Z26" s="29" t="s">
        <v>271</v>
      </c>
      <c r="AA26" s="29" t="s">
        <v>275</v>
      </c>
      <c r="AB26" s="29" t="s">
        <v>272</v>
      </c>
      <c r="AC26" s="29" t="s">
        <v>335</v>
      </c>
      <c r="AD26" s="29" t="s">
        <v>273</v>
      </c>
      <c r="AE26" s="29" t="s">
        <v>336</v>
      </c>
      <c r="AF26" s="31" t="s">
        <v>244</v>
      </c>
    </row>
    <row r="27" spans="1:32" x14ac:dyDescent="0.3">
      <c r="A27" s="29" t="s">
        <v>84</v>
      </c>
      <c r="B27" s="29" t="s">
        <v>22</v>
      </c>
      <c r="C27" s="29">
        <v>200</v>
      </c>
      <c r="D27" s="31" t="s">
        <v>244</v>
      </c>
      <c r="E27" s="29" t="s">
        <v>85</v>
      </c>
      <c r="F27" s="31" t="s">
        <v>244</v>
      </c>
      <c r="G27" s="29" t="s">
        <v>86</v>
      </c>
      <c r="H27" s="31" t="s">
        <v>244</v>
      </c>
      <c r="I27" s="29" t="s">
        <v>87</v>
      </c>
      <c r="J27" s="29">
        <v>1</v>
      </c>
      <c r="K27" s="31" t="s">
        <v>244</v>
      </c>
      <c r="L27" s="29" t="s">
        <v>84</v>
      </c>
      <c r="M27" s="31" t="s">
        <v>244</v>
      </c>
      <c r="N27" s="29" t="s">
        <v>85</v>
      </c>
      <c r="O27" s="29" t="s">
        <v>86</v>
      </c>
      <c r="P27" s="29" t="s">
        <v>26</v>
      </c>
      <c r="Q27" s="29" t="s">
        <v>19</v>
      </c>
      <c r="R27" s="29" t="s">
        <v>88</v>
      </c>
      <c r="S27" s="29" t="s">
        <v>89</v>
      </c>
      <c r="T27" s="29" t="s">
        <v>84</v>
      </c>
      <c r="U27" s="29" t="s">
        <v>85</v>
      </c>
      <c r="V27" s="29" t="s">
        <v>86</v>
      </c>
      <c r="W27" s="29" t="s">
        <v>20</v>
      </c>
      <c r="X27" s="31" t="s">
        <v>244</v>
      </c>
      <c r="Y27" s="29" t="s">
        <v>274</v>
      </c>
      <c r="Z27" s="29" t="s">
        <v>271</v>
      </c>
      <c r="AA27" s="29" t="s">
        <v>275</v>
      </c>
      <c r="AB27" s="29" t="s">
        <v>272</v>
      </c>
      <c r="AC27" s="29" t="s">
        <v>335</v>
      </c>
      <c r="AD27" s="29" t="s">
        <v>273</v>
      </c>
      <c r="AE27" s="29" t="s">
        <v>336</v>
      </c>
      <c r="AF27" s="31" t="s">
        <v>244</v>
      </c>
    </row>
    <row r="28" spans="1:32" x14ac:dyDescent="0.3">
      <c r="A28" s="29" t="s">
        <v>157</v>
      </c>
      <c r="B28" s="29" t="s">
        <v>22</v>
      </c>
      <c r="C28" s="29">
        <v>200</v>
      </c>
      <c r="D28" s="31" t="s">
        <v>244</v>
      </c>
      <c r="E28" s="29" t="s">
        <v>158</v>
      </c>
      <c r="F28" s="31" t="s">
        <v>244</v>
      </c>
      <c r="G28" s="29" t="s">
        <v>159</v>
      </c>
      <c r="H28" s="31" t="s">
        <v>244</v>
      </c>
      <c r="I28" s="29" t="s">
        <v>160</v>
      </c>
      <c r="J28" s="29">
        <v>1</v>
      </c>
      <c r="K28" s="31" t="s">
        <v>244</v>
      </c>
      <c r="L28" s="29" t="s">
        <v>157</v>
      </c>
      <c r="M28" s="31" t="s">
        <v>244</v>
      </c>
      <c r="N28" s="29" t="s">
        <v>158</v>
      </c>
      <c r="O28" s="29" t="s">
        <v>159</v>
      </c>
      <c r="P28" s="29" t="s">
        <v>26</v>
      </c>
      <c r="Q28" s="29" t="s">
        <v>19</v>
      </c>
      <c r="R28" s="29" t="s">
        <v>161</v>
      </c>
      <c r="S28" s="29" t="s">
        <v>162</v>
      </c>
      <c r="T28" s="29" t="s">
        <v>157</v>
      </c>
      <c r="U28" s="29" t="s">
        <v>158</v>
      </c>
      <c r="V28" s="29" t="s">
        <v>159</v>
      </c>
      <c r="W28" s="29" t="s">
        <v>20</v>
      </c>
      <c r="X28" s="31" t="s">
        <v>244</v>
      </c>
      <c r="Y28" s="29" t="s">
        <v>274</v>
      </c>
      <c r="Z28" s="29" t="s">
        <v>271</v>
      </c>
      <c r="AA28" s="29" t="s">
        <v>275</v>
      </c>
      <c r="AB28" s="29" t="s">
        <v>272</v>
      </c>
      <c r="AC28" s="29" t="s">
        <v>335</v>
      </c>
      <c r="AD28" s="29" t="s">
        <v>273</v>
      </c>
      <c r="AE28" s="29" t="s">
        <v>336</v>
      </c>
      <c r="AF28" s="31" t="s">
        <v>244</v>
      </c>
    </row>
    <row r="29" spans="1:32" x14ac:dyDescent="0.3">
      <c r="A29" s="29" t="s">
        <v>151</v>
      </c>
      <c r="B29" s="29" t="s">
        <v>22</v>
      </c>
      <c r="C29" s="29">
        <v>200</v>
      </c>
      <c r="D29" s="31" t="s">
        <v>244</v>
      </c>
      <c r="E29" s="29" t="s">
        <v>152</v>
      </c>
      <c r="F29" s="31" t="s">
        <v>244</v>
      </c>
      <c r="G29" s="29" t="s">
        <v>153</v>
      </c>
      <c r="H29" s="31" t="s">
        <v>244</v>
      </c>
      <c r="I29" s="29" t="s">
        <v>154</v>
      </c>
      <c r="J29" s="29">
        <v>1</v>
      </c>
      <c r="K29" s="31" t="s">
        <v>244</v>
      </c>
      <c r="L29" s="29" t="s">
        <v>151</v>
      </c>
      <c r="M29" s="31" t="s">
        <v>244</v>
      </c>
      <c r="N29" s="29" t="s">
        <v>152</v>
      </c>
      <c r="O29" s="29" t="s">
        <v>153</v>
      </c>
      <c r="P29" s="29" t="s">
        <v>26</v>
      </c>
      <c r="Q29" s="29" t="s">
        <v>19</v>
      </c>
      <c r="R29" s="29" t="s">
        <v>155</v>
      </c>
      <c r="S29" s="29" t="s">
        <v>156</v>
      </c>
      <c r="T29" s="29" t="s">
        <v>151</v>
      </c>
      <c r="U29" s="29" t="s">
        <v>152</v>
      </c>
      <c r="V29" s="29" t="s">
        <v>153</v>
      </c>
      <c r="W29" s="29" t="s">
        <v>20</v>
      </c>
      <c r="X29" s="31" t="s">
        <v>244</v>
      </c>
      <c r="Y29" s="29" t="s">
        <v>274</v>
      </c>
      <c r="Z29" s="29" t="s">
        <v>271</v>
      </c>
      <c r="AA29" s="29" t="s">
        <v>275</v>
      </c>
      <c r="AB29" s="29" t="s">
        <v>272</v>
      </c>
      <c r="AC29" s="29" t="s">
        <v>335</v>
      </c>
      <c r="AD29" s="29" t="s">
        <v>273</v>
      </c>
      <c r="AE29" s="29" t="s">
        <v>336</v>
      </c>
      <c r="AF29" s="31" t="s">
        <v>244</v>
      </c>
    </row>
    <row r="30" spans="1:32" x14ac:dyDescent="0.3">
      <c r="A30" s="29" t="s">
        <v>139</v>
      </c>
      <c r="B30" s="29" t="s">
        <v>22</v>
      </c>
      <c r="C30" s="29">
        <v>200</v>
      </c>
      <c r="D30" s="31" t="s">
        <v>244</v>
      </c>
      <c r="E30" s="29" t="s">
        <v>140</v>
      </c>
      <c r="F30" s="31" t="s">
        <v>244</v>
      </c>
      <c r="G30" s="29" t="s">
        <v>141</v>
      </c>
      <c r="H30" s="31" t="s">
        <v>244</v>
      </c>
      <c r="I30" s="29" t="s">
        <v>142</v>
      </c>
      <c r="J30" s="29">
        <v>1</v>
      </c>
      <c r="K30" s="31" t="s">
        <v>244</v>
      </c>
      <c r="L30" s="29" t="s">
        <v>139</v>
      </c>
      <c r="M30" s="31" t="s">
        <v>244</v>
      </c>
      <c r="N30" s="29" t="s">
        <v>140</v>
      </c>
      <c r="O30" s="29" t="s">
        <v>141</v>
      </c>
      <c r="P30" s="29" t="s">
        <v>26</v>
      </c>
      <c r="Q30" s="29" t="s">
        <v>19</v>
      </c>
      <c r="R30" s="29" t="s">
        <v>143</v>
      </c>
      <c r="S30" s="29" t="s">
        <v>144</v>
      </c>
      <c r="T30" s="29" t="s">
        <v>139</v>
      </c>
      <c r="U30" s="29" t="s">
        <v>140</v>
      </c>
      <c r="V30" s="29" t="s">
        <v>141</v>
      </c>
      <c r="W30" s="29" t="s">
        <v>20</v>
      </c>
      <c r="X30" s="31" t="s">
        <v>244</v>
      </c>
      <c r="Y30" s="29" t="s">
        <v>274</v>
      </c>
      <c r="Z30" s="29" t="s">
        <v>271</v>
      </c>
      <c r="AA30" s="29" t="s">
        <v>275</v>
      </c>
      <c r="AB30" s="29" t="s">
        <v>272</v>
      </c>
      <c r="AC30" s="29" t="s">
        <v>335</v>
      </c>
      <c r="AD30" s="29" t="s">
        <v>273</v>
      </c>
      <c r="AE30" s="29" t="s">
        <v>336</v>
      </c>
      <c r="AF30" s="31" t="s">
        <v>244</v>
      </c>
    </row>
    <row r="31" spans="1:32" x14ac:dyDescent="0.3">
      <c r="A31" s="29" t="s">
        <v>145</v>
      </c>
      <c r="B31" s="29" t="s">
        <v>22</v>
      </c>
      <c r="C31" s="29">
        <v>200</v>
      </c>
      <c r="D31" s="31" t="s">
        <v>244</v>
      </c>
      <c r="E31" s="29" t="s">
        <v>146</v>
      </c>
      <c r="F31" s="31" t="s">
        <v>244</v>
      </c>
      <c r="G31" s="29" t="s">
        <v>147</v>
      </c>
      <c r="H31" s="31" t="s">
        <v>244</v>
      </c>
      <c r="I31" s="29" t="s">
        <v>148</v>
      </c>
      <c r="J31" s="29">
        <v>1</v>
      </c>
      <c r="K31" s="31" t="s">
        <v>244</v>
      </c>
      <c r="L31" s="29" t="s">
        <v>145</v>
      </c>
      <c r="M31" s="31" t="s">
        <v>244</v>
      </c>
      <c r="N31" s="29" t="s">
        <v>146</v>
      </c>
      <c r="O31" s="29" t="s">
        <v>147</v>
      </c>
      <c r="P31" s="29" t="s">
        <v>26</v>
      </c>
      <c r="Q31" s="29" t="s">
        <v>19</v>
      </c>
      <c r="R31" s="29" t="s">
        <v>149</v>
      </c>
      <c r="S31" s="29" t="s">
        <v>150</v>
      </c>
      <c r="T31" s="29" t="s">
        <v>145</v>
      </c>
      <c r="U31" s="29" t="s">
        <v>146</v>
      </c>
      <c r="V31" s="29" t="s">
        <v>147</v>
      </c>
      <c r="W31" s="29" t="s">
        <v>20</v>
      </c>
      <c r="X31" s="31" t="s">
        <v>244</v>
      </c>
      <c r="Y31" s="29" t="s">
        <v>274</v>
      </c>
      <c r="Z31" s="29" t="s">
        <v>271</v>
      </c>
      <c r="AA31" s="29" t="s">
        <v>275</v>
      </c>
      <c r="AB31" s="29" t="s">
        <v>272</v>
      </c>
      <c r="AC31" s="29" t="s">
        <v>335</v>
      </c>
      <c r="AD31" s="29" t="s">
        <v>273</v>
      </c>
      <c r="AE31" s="29" t="s">
        <v>336</v>
      </c>
      <c r="AF31" s="31" t="s">
        <v>244</v>
      </c>
    </row>
    <row r="32" spans="1:32" x14ac:dyDescent="0.3">
      <c r="A32" s="29" t="s">
        <v>163</v>
      </c>
      <c r="B32" s="29" t="s">
        <v>22</v>
      </c>
      <c r="C32" s="29">
        <v>200</v>
      </c>
      <c r="D32" s="31" t="s">
        <v>244</v>
      </c>
      <c r="E32" s="29" t="s">
        <v>164</v>
      </c>
      <c r="F32" s="31" t="s">
        <v>244</v>
      </c>
      <c r="G32" s="29" t="s">
        <v>165</v>
      </c>
      <c r="H32" s="31" t="s">
        <v>244</v>
      </c>
      <c r="I32" s="29" t="s">
        <v>166</v>
      </c>
      <c r="J32" s="29">
        <v>1</v>
      </c>
      <c r="K32" s="31" t="s">
        <v>244</v>
      </c>
      <c r="L32" s="29" t="s">
        <v>163</v>
      </c>
      <c r="M32" s="31" t="s">
        <v>244</v>
      </c>
      <c r="N32" s="29" t="s">
        <v>164</v>
      </c>
      <c r="O32" s="29" t="s">
        <v>165</v>
      </c>
      <c r="P32" s="29" t="s">
        <v>26</v>
      </c>
      <c r="Q32" s="29" t="s">
        <v>19</v>
      </c>
      <c r="R32" s="29" t="s">
        <v>167</v>
      </c>
      <c r="S32" s="29" t="s">
        <v>168</v>
      </c>
      <c r="T32" s="29" t="s">
        <v>163</v>
      </c>
      <c r="U32" s="29" t="s">
        <v>164</v>
      </c>
      <c r="V32" s="29" t="s">
        <v>165</v>
      </c>
      <c r="W32" s="29" t="s">
        <v>20</v>
      </c>
      <c r="X32" s="31" t="s">
        <v>244</v>
      </c>
      <c r="Y32" s="29" t="s">
        <v>274</v>
      </c>
      <c r="Z32" s="29" t="s">
        <v>271</v>
      </c>
      <c r="AA32" s="29" t="s">
        <v>275</v>
      </c>
      <c r="AB32" s="29" t="s">
        <v>272</v>
      </c>
      <c r="AC32" s="29" t="s">
        <v>335</v>
      </c>
      <c r="AD32" s="29" t="s">
        <v>273</v>
      </c>
      <c r="AE32" s="29" t="s">
        <v>336</v>
      </c>
      <c r="AF32" s="31" t="s">
        <v>244</v>
      </c>
    </row>
    <row r="33" spans="1:32" x14ac:dyDescent="0.3">
      <c r="A33" s="29" t="s">
        <v>74</v>
      </c>
      <c r="B33" s="29" t="s">
        <v>22</v>
      </c>
      <c r="C33" s="29">
        <v>200</v>
      </c>
      <c r="D33" s="31" t="s">
        <v>244</v>
      </c>
      <c r="E33" s="29" t="s">
        <v>326</v>
      </c>
      <c r="F33" s="31" t="s">
        <v>244</v>
      </c>
      <c r="G33" s="29" t="s">
        <v>325</v>
      </c>
      <c r="H33" s="31" t="s">
        <v>244</v>
      </c>
      <c r="I33" s="29" t="s">
        <v>327</v>
      </c>
      <c r="J33" s="29">
        <v>2</v>
      </c>
      <c r="K33" s="31" t="s">
        <v>279</v>
      </c>
      <c r="L33" s="29" t="s">
        <v>74</v>
      </c>
      <c r="M33" s="31" t="s">
        <v>244</v>
      </c>
      <c r="N33" s="29" t="s">
        <v>326</v>
      </c>
      <c r="O33" s="29" t="s">
        <v>325</v>
      </c>
      <c r="P33" s="29" t="s">
        <v>26</v>
      </c>
      <c r="Q33" s="29" t="s">
        <v>19</v>
      </c>
      <c r="R33" s="29" t="s">
        <v>75</v>
      </c>
      <c r="S33" s="29" t="s">
        <v>76</v>
      </c>
      <c r="T33" s="29" t="s">
        <v>74</v>
      </c>
      <c r="U33" s="29" t="s">
        <v>326</v>
      </c>
      <c r="V33" s="29" t="s">
        <v>325</v>
      </c>
      <c r="W33" s="29" t="s">
        <v>20</v>
      </c>
      <c r="X33" s="31" t="s">
        <v>244</v>
      </c>
      <c r="Y33" s="29" t="s">
        <v>274</v>
      </c>
      <c r="Z33" s="29" t="s">
        <v>271</v>
      </c>
      <c r="AA33" s="29" t="s">
        <v>275</v>
      </c>
      <c r="AB33" s="29" t="s">
        <v>272</v>
      </c>
      <c r="AC33" s="29" t="s">
        <v>335</v>
      </c>
      <c r="AD33" s="29" t="s">
        <v>273</v>
      </c>
      <c r="AE33" s="29" t="s">
        <v>336</v>
      </c>
      <c r="AF33" s="31" t="s">
        <v>244</v>
      </c>
    </row>
    <row r="34" spans="1:32" x14ac:dyDescent="0.3">
      <c r="A34" s="29" t="s">
        <v>77</v>
      </c>
      <c r="B34" s="29" t="s">
        <v>22</v>
      </c>
      <c r="C34" s="29">
        <v>200</v>
      </c>
      <c r="D34" s="31" t="s">
        <v>244</v>
      </c>
      <c r="E34" s="29" t="s">
        <v>329</v>
      </c>
      <c r="F34" s="31" t="s">
        <v>244</v>
      </c>
      <c r="G34" s="29" t="s">
        <v>328</v>
      </c>
      <c r="H34" s="31" t="s">
        <v>244</v>
      </c>
      <c r="I34" s="29" t="s">
        <v>330</v>
      </c>
      <c r="J34" s="29">
        <v>1</v>
      </c>
      <c r="K34" s="31" t="s">
        <v>244</v>
      </c>
      <c r="L34" s="29" t="s">
        <v>77</v>
      </c>
      <c r="M34" s="31" t="s">
        <v>244</v>
      </c>
      <c r="N34" s="29" t="s">
        <v>329</v>
      </c>
      <c r="O34" s="29" t="s">
        <v>328</v>
      </c>
      <c r="P34" s="29" t="s">
        <v>26</v>
      </c>
      <c r="Q34" s="29" t="s">
        <v>19</v>
      </c>
      <c r="R34" s="29" t="s">
        <v>78</v>
      </c>
      <c r="S34" s="29" t="s">
        <v>79</v>
      </c>
      <c r="T34" s="29" t="s">
        <v>77</v>
      </c>
      <c r="U34" s="29" t="s">
        <v>329</v>
      </c>
      <c r="V34" s="29" t="s">
        <v>328</v>
      </c>
      <c r="W34" s="29" t="s">
        <v>20</v>
      </c>
      <c r="X34" s="31" t="s">
        <v>244</v>
      </c>
      <c r="Y34" s="29" t="s">
        <v>274</v>
      </c>
      <c r="Z34" s="29" t="s">
        <v>271</v>
      </c>
      <c r="AA34" s="29" t="s">
        <v>275</v>
      </c>
      <c r="AB34" s="29" t="s">
        <v>272</v>
      </c>
      <c r="AC34" s="29" t="s">
        <v>335</v>
      </c>
      <c r="AD34" s="29" t="s">
        <v>273</v>
      </c>
      <c r="AE34" s="29" t="s">
        <v>336</v>
      </c>
      <c r="AF34" s="31" t="s">
        <v>244</v>
      </c>
    </row>
    <row r="35" spans="1:32" x14ac:dyDescent="0.3">
      <c r="A35" s="29" t="s">
        <v>169</v>
      </c>
      <c r="B35" s="29" t="s">
        <v>22</v>
      </c>
      <c r="C35" s="29">
        <v>200</v>
      </c>
      <c r="D35" s="31" t="s">
        <v>244</v>
      </c>
      <c r="E35" s="29" t="s">
        <v>170</v>
      </c>
      <c r="F35" s="31" t="s">
        <v>244</v>
      </c>
      <c r="G35" s="29" t="s">
        <v>171</v>
      </c>
      <c r="H35" s="31" t="s">
        <v>244</v>
      </c>
      <c r="I35" s="29" t="s">
        <v>172</v>
      </c>
      <c r="J35" s="29">
        <v>1</v>
      </c>
      <c r="K35" s="31" t="s">
        <v>244</v>
      </c>
      <c r="L35" s="29" t="s">
        <v>169</v>
      </c>
      <c r="M35" s="31" t="s">
        <v>244</v>
      </c>
      <c r="N35" s="29" t="s">
        <v>170</v>
      </c>
      <c r="O35" s="29" t="s">
        <v>171</v>
      </c>
      <c r="P35" s="29" t="s">
        <v>26</v>
      </c>
      <c r="Q35" s="29" t="s">
        <v>19</v>
      </c>
      <c r="R35" s="29" t="s">
        <v>173</v>
      </c>
      <c r="S35" s="29" t="s">
        <v>174</v>
      </c>
      <c r="T35" s="29" t="s">
        <v>169</v>
      </c>
      <c r="U35" s="29" t="s">
        <v>170</v>
      </c>
      <c r="V35" s="29" t="s">
        <v>171</v>
      </c>
      <c r="W35" s="29" t="s">
        <v>20</v>
      </c>
      <c r="X35" s="31" t="s">
        <v>244</v>
      </c>
      <c r="Y35" s="29" t="s">
        <v>274</v>
      </c>
      <c r="Z35" s="29" t="s">
        <v>271</v>
      </c>
      <c r="AA35" s="29" t="s">
        <v>275</v>
      </c>
      <c r="AB35" s="29" t="s">
        <v>272</v>
      </c>
      <c r="AC35" s="29" t="s">
        <v>335</v>
      </c>
      <c r="AD35" s="29" t="s">
        <v>273</v>
      </c>
      <c r="AE35" s="29" t="s">
        <v>336</v>
      </c>
      <c r="AF35" s="31" t="s">
        <v>244</v>
      </c>
    </row>
    <row r="36" spans="1:32" x14ac:dyDescent="0.3">
      <c r="A36" s="29" t="s">
        <v>35</v>
      </c>
      <c r="B36" s="29" t="s">
        <v>22</v>
      </c>
      <c r="C36" s="29">
        <v>200</v>
      </c>
      <c r="D36" s="31" t="s">
        <v>244</v>
      </c>
      <c r="E36" s="29" t="s">
        <v>36</v>
      </c>
      <c r="F36" s="31" t="s">
        <v>244</v>
      </c>
      <c r="G36" s="29" t="s">
        <v>37</v>
      </c>
      <c r="H36" s="31" t="s">
        <v>244</v>
      </c>
      <c r="I36" s="29" t="s">
        <v>38</v>
      </c>
      <c r="J36" s="29">
        <v>1</v>
      </c>
      <c r="K36" s="31" t="s">
        <v>244</v>
      </c>
      <c r="L36" s="29" t="s">
        <v>35</v>
      </c>
      <c r="M36" s="31" t="s">
        <v>244</v>
      </c>
      <c r="N36" s="29" t="s">
        <v>36</v>
      </c>
      <c r="O36" s="29" t="s">
        <v>37</v>
      </c>
      <c r="P36" s="29" t="s">
        <v>26</v>
      </c>
      <c r="Q36" s="29" t="s">
        <v>19</v>
      </c>
      <c r="R36" s="29" t="s">
        <v>39</v>
      </c>
      <c r="S36" s="29" t="s">
        <v>40</v>
      </c>
      <c r="T36" s="29" t="s">
        <v>35</v>
      </c>
      <c r="U36" s="29" t="s">
        <v>36</v>
      </c>
      <c r="V36" s="29" t="s">
        <v>37</v>
      </c>
      <c r="W36" s="29" t="s">
        <v>20</v>
      </c>
      <c r="X36" s="31" t="s">
        <v>244</v>
      </c>
      <c r="Y36" s="29" t="s">
        <v>274</v>
      </c>
      <c r="Z36" s="29" t="s">
        <v>271</v>
      </c>
      <c r="AA36" s="29" t="s">
        <v>275</v>
      </c>
      <c r="AB36" s="29" t="s">
        <v>272</v>
      </c>
      <c r="AC36" s="29" t="s">
        <v>335</v>
      </c>
      <c r="AD36" s="29" t="s">
        <v>273</v>
      </c>
      <c r="AE36" s="29" t="s">
        <v>336</v>
      </c>
      <c r="AF36" s="31" t="s">
        <v>244</v>
      </c>
    </row>
    <row r="37" spans="1:32" x14ac:dyDescent="0.3">
      <c r="A37" s="29" t="s">
        <v>103</v>
      </c>
      <c r="B37" s="29" t="s">
        <v>22</v>
      </c>
      <c r="C37" s="29">
        <v>200</v>
      </c>
      <c r="D37" s="31" t="s">
        <v>244</v>
      </c>
      <c r="E37" s="29" t="s">
        <v>104</v>
      </c>
      <c r="F37" s="31" t="s">
        <v>244</v>
      </c>
      <c r="G37" s="29" t="s">
        <v>105</v>
      </c>
      <c r="H37" s="31" t="s">
        <v>244</v>
      </c>
      <c r="I37" s="29" t="s">
        <v>106</v>
      </c>
      <c r="J37" s="29">
        <v>1</v>
      </c>
      <c r="K37" s="31" t="s">
        <v>244</v>
      </c>
      <c r="L37" s="29" t="s">
        <v>103</v>
      </c>
      <c r="M37" s="31" t="s">
        <v>244</v>
      </c>
      <c r="N37" s="29" t="s">
        <v>104</v>
      </c>
      <c r="O37" s="29" t="s">
        <v>105</v>
      </c>
      <c r="P37" s="29" t="s">
        <v>26</v>
      </c>
      <c r="Q37" s="29" t="s">
        <v>19</v>
      </c>
      <c r="R37" s="29" t="s">
        <v>107</v>
      </c>
      <c r="S37" s="29" t="s">
        <v>108</v>
      </c>
      <c r="T37" s="29" t="s">
        <v>103</v>
      </c>
      <c r="U37" s="29" t="s">
        <v>104</v>
      </c>
      <c r="V37" s="29" t="s">
        <v>105</v>
      </c>
      <c r="W37" s="29" t="s">
        <v>20</v>
      </c>
      <c r="X37" s="31" t="s">
        <v>244</v>
      </c>
      <c r="Y37" s="29" t="s">
        <v>274</v>
      </c>
      <c r="Z37" s="29" t="s">
        <v>271</v>
      </c>
      <c r="AA37" s="29" t="s">
        <v>275</v>
      </c>
      <c r="AB37" s="29" t="s">
        <v>272</v>
      </c>
      <c r="AC37" s="29" t="s">
        <v>335</v>
      </c>
      <c r="AD37" s="29" t="s">
        <v>273</v>
      </c>
      <c r="AE37" s="29" t="s">
        <v>336</v>
      </c>
      <c r="AF37" s="31" t="s">
        <v>244</v>
      </c>
    </row>
    <row r="38" spans="1:32" ht="33.75" x14ac:dyDescent="0.3">
      <c r="A38" s="29" t="s">
        <v>41</v>
      </c>
      <c r="B38" s="29" t="s">
        <v>42</v>
      </c>
      <c r="C38" s="29">
        <v>200</v>
      </c>
      <c r="D38" s="31" t="s">
        <v>244</v>
      </c>
      <c r="E38" s="29" t="s">
        <v>43</v>
      </c>
      <c r="F38" s="31" t="s">
        <v>244</v>
      </c>
      <c r="G38" s="29"/>
      <c r="H38" s="31" t="s">
        <v>278</v>
      </c>
      <c r="I38" s="29" t="s">
        <v>44</v>
      </c>
      <c r="J38" s="29">
        <v>1</v>
      </c>
      <c r="K38" s="31" t="s">
        <v>244</v>
      </c>
      <c r="L38" s="29" t="s">
        <v>41</v>
      </c>
      <c r="M38" s="31" t="s">
        <v>244</v>
      </c>
      <c r="N38" s="29" t="s">
        <v>43</v>
      </c>
      <c r="O38" s="29" t="s">
        <v>17</v>
      </c>
      <c r="P38" s="29" t="s">
        <v>18</v>
      </c>
      <c r="Q38" s="29" t="s">
        <v>19</v>
      </c>
      <c r="R38" s="29" t="s">
        <v>283</v>
      </c>
      <c r="S38" s="29" t="s">
        <v>282</v>
      </c>
      <c r="T38" s="29" t="s">
        <v>41</v>
      </c>
      <c r="U38" s="29" t="s">
        <v>43</v>
      </c>
      <c r="V38" s="29" t="s">
        <v>17</v>
      </c>
      <c r="W38" s="29" t="s">
        <v>20</v>
      </c>
      <c r="X38" s="32" t="s">
        <v>281</v>
      </c>
      <c r="Y38" s="29" t="s">
        <v>271</v>
      </c>
      <c r="Z38" s="29" t="s">
        <v>272</v>
      </c>
      <c r="AA38" s="29" t="s">
        <v>273</v>
      </c>
      <c r="AB38" s="29"/>
      <c r="AC38" s="29"/>
      <c r="AD38" s="29"/>
      <c r="AE38" s="29"/>
      <c r="AF38" s="31" t="s">
        <v>244</v>
      </c>
    </row>
    <row r="39" spans="1:32" x14ac:dyDescent="0.3">
      <c r="A39" s="29" t="s">
        <v>65</v>
      </c>
      <c r="B39" s="29" t="s">
        <v>42</v>
      </c>
      <c r="C39" s="29">
        <v>200</v>
      </c>
      <c r="D39" s="31" t="s">
        <v>244</v>
      </c>
      <c r="E39" s="29" t="s">
        <v>285</v>
      </c>
      <c r="F39" s="31" t="s">
        <v>244</v>
      </c>
      <c r="G39" s="29" t="s">
        <v>284</v>
      </c>
      <c r="H39" s="31" t="s">
        <v>244</v>
      </c>
      <c r="I39" s="29" t="s">
        <v>286</v>
      </c>
      <c r="J39" s="29">
        <v>1</v>
      </c>
      <c r="K39" s="31" t="s">
        <v>244</v>
      </c>
      <c r="L39" s="29" t="s">
        <v>65</v>
      </c>
      <c r="M39" s="31" t="s">
        <v>244</v>
      </c>
      <c r="N39" s="29" t="s">
        <v>285</v>
      </c>
      <c r="O39" s="29" t="s">
        <v>284</v>
      </c>
      <c r="P39" s="29" t="s">
        <v>18</v>
      </c>
      <c r="Q39" s="29" t="s">
        <v>19</v>
      </c>
      <c r="R39" s="29" t="s">
        <v>66</v>
      </c>
      <c r="S39" s="29" t="s">
        <v>67</v>
      </c>
      <c r="T39" s="29" t="s">
        <v>65</v>
      </c>
      <c r="U39" s="29" t="s">
        <v>285</v>
      </c>
      <c r="V39" s="29" t="s">
        <v>284</v>
      </c>
      <c r="W39" s="29" t="s">
        <v>20</v>
      </c>
      <c r="X39" s="31" t="s">
        <v>244</v>
      </c>
      <c r="Y39" s="29" t="s">
        <v>271</v>
      </c>
      <c r="Z39" s="29" t="s">
        <v>272</v>
      </c>
      <c r="AA39" s="29" t="s">
        <v>273</v>
      </c>
      <c r="AB39" s="29"/>
      <c r="AC39" s="29"/>
      <c r="AD39" s="29"/>
      <c r="AE39" s="29"/>
      <c r="AF39" s="31" t="s">
        <v>244</v>
      </c>
    </row>
    <row r="40" spans="1:32" x14ac:dyDescent="0.3">
      <c r="A40" s="29" t="s">
        <v>71</v>
      </c>
      <c r="B40" s="29" t="s">
        <v>42</v>
      </c>
      <c r="C40" s="29">
        <v>200</v>
      </c>
      <c r="D40" s="31" t="s">
        <v>244</v>
      </c>
      <c r="E40" s="29" t="s">
        <v>288</v>
      </c>
      <c r="F40" s="31" t="s">
        <v>244</v>
      </c>
      <c r="G40" s="29" t="s">
        <v>287</v>
      </c>
      <c r="H40" s="31" t="s">
        <v>244</v>
      </c>
      <c r="I40" s="29" t="s">
        <v>289</v>
      </c>
      <c r="J40" s="29">
        <v>1</v>
      </c>
      <c r="K40" s="31" t="s">
        <v>244</v>
      </c>
      <c r="L40" s="29" t="s">
        <v>71</v>
      </c>
      <c r="M40" s="31" t="s">
        <v>244</v>
      </c>
      <c r="N40" s="29" t="s">
        <v>288</v>
      </c>
      <c r="O40" s="29" t="s">
        <v>287</v>
      </c>
      <c r="P40" s="29" t="s">
        <v>18</v>
      </c>
      <c r="Q40" s="29" t="s">
        <v>19</v>
      </c>
      <c r="R40" s="29" t="s">
        <v>283</v>
      </c>
      <c r="S40" s="29" t="s">
        <v>282</v>
      </c>
      <c r="T40" s="29" t="s">
        <v>71</v>
      </c>
      <c r="U40" s="29" t="s">
        <v>288</v>
      </c>
      <c r="V40" s="29" t="s">
        <v>287</v>
      </c>
      <c r="W40" s="29" t="s">
        <v>20</v>
      </c>
      <c r="X40" s="31" t="s">
        <v>244</v>
      </c>
      <c r="Y40" s="29" t="s">
        <v>271</v>
      </c>
      <c r="Z40" s="29" t="s">
        <v>272</v>
      </c>
      <c r="AA40" s="29" t="s">
        <v>273</v>
      </c>
      <c r="AB40" s="29"/>
      <c r="AC40" s="29"/>
      <c r="AD40" s="29"/>
      <c r="AE40" s="29"/>
      <c r="AF40" s="31" t="s">
        <v>244</v>
      </c>
    </row>
    <row r="41" spans="1:32" x14ac:dyDescent="0.3">
      <c r="A41" s="29" t="s">
        <v>83</v>
      </c>
      <c r="B41" s="29" t="s">
        <v>42</v>
      </c>
      <c r="C41" s="29">
        <v>200</v>
      </c>
      <c r="D41" s="31" t="s">
        <v>244</v>
      </c>
      <c r="E41" s="29" t="s">
        <v>291</v>
      </c>
      <c r="F41" s="31" t="s">
        <v>244</v>
      </c>
      <c r="G41" s="29" t="s">
        <v>290</v>
      </c>
      <c r="H41" s="31" t="s">
        <v>244</v>
      </c>
      <c r="I41" s="29" t="s">
        <v>292</v>
      </c>
      <c r="J41" s="29">
        <v>1</v>
      </c>
      <c r="K41" s="31" t="s">
        <v>244</v>
      </c>
      <c r="L41" s="29" t="s">
        <v>83</v>
      </c>
      <c r="M41" s="31" t="s">
        <v>244</v>
      </c>
      <c r="N41" s="29" t="s">
        <v>291</v>
      </c>
      <c r="O41" s="29" t="s">
        <v>290</v>
      </c>
      <c r="P41" s="29" t="s">
        <v>18</v>
      </c>
      <c r="Q41" s="29" t="s">
        <v>19</v>
      </c>
      <c r="R41" s="29" t="s">
        <v>283</v>
      </c>
      <c r="S41" s="29" t="s">
        <v>282</v>
      </c>
      <c r="T41" s="29" t="s">
        <v>83</v>
      </c>
      <c r="U41" s="29" t="s">
        <v>291</v>
      </c>
      <c r="V41" s="29" t="s">
        <v>290</v>
      </c>
      <c r="W41" s="29" t="s">
        <v>20</v>
      </c>
      <c r="X41" s="31" t="s">
        <v>244</v>
      </c>
      <c r="Y41" s="29" t="s">
        <v>271</v>
      </c>
      <c r="Z41" s="29" t="s">
        <v>272</v>
      </c>
      <c r="AA41" s="29" t="s">
        <v>273</v>
      </c>
      <c r="AB41" s="29"/>
      <c r="AC41" s="29"/>
      <c r="AD41" s="29"/>
      <c r="AE41" s="29"/>
      <c r="AF41" s="31" t="s">
        <v>244</v>
      </c>
    </row>
    <row r="42" spans="1:32" x14ac:dyDescent="0.3">
      <c r="A42" s="29" t="s">
        <v>68</v>
      </c>
      <c r="B42" s="29" t="s">
        <v>42</v>
      </c>
      <c r="C42" s="29">
        <v>200</v>
      </c>
      <c r="D42" s="31" t="s">
        <v>244</v>
      </c>
      <c r="E42" s="29" t="s">
        <v>294</v>
      </c>
      <c r="F42" s="31" t="s">
        <v>244</v>
      </c>
      <c r="G42" s="29" t="s">
        <v>293</v>
      </c>
      <c r="H42" s="31" t="s">
        <v>244</v>
      </c>
      <c r="I42" s="29" t="s">
        <v>295</v>
      </c>
      <c r="J42" s="29">
        <v>1</v>
      </c>
      <c r="K42" s="31" t="s">
        <v>244</v>
      </c>
      <c r="L42" s="29" t="s">
        <v>68</v>
      </c>
      <c r="M42" s="31" t="s">
        <v>244</v>
      </c>
      <c r="N42" s="29" t="s">
        <v>294</v>
      </c>
      <c r="O42" s="29" t="s">
        <v>293</v>
      </c>
      <c r="P42" s="29" t="s">
        <v>18</v>
      </c>
      <c r="Q42" s="29" t="s">
        <v>19</v>
      </c>
      <c r="R42" s="29" t="s">
        <v>283</v>
      </c>
      <c r="S42" s="29" t="s">
        <v>282</v>
      </c>
      <c r="T42" s="29" t="s">
        <v>68</v>
      </c>
      <c r="U42" s="29" t="s">
        <v>294</v>
      </c>
      <c r="V42" s="29" t="s">
        <v>293</v>
      </c>
      <c r="W42" s="29" t="s">
        <v>20</v>
      </c>
      <c r="X42" s="31" t="s">
        <v>244</v>
      </c>
      <c r="Y42" s="29" t="s">
        <v>271</v>
      </c>
      <c r="Z42" s="29" t="s">
        <v>272</v>
      </c>
      <c r="AA42" s="29" t="s">
        <v>273</v>
      </c>
      <c r="AB42" s="29"/>
      <c r="AC42" s="29"/>
      <c r="AD42" s="29"/>
      <c r="AE42" s="29"/>
      <c r="AF42" s="31" t="s">
        <v>244</v>
      </c>
    </row>
    <row r="43" spans="1:32" x14ac:dyDescent="0.3">
      <c r="A43" s="29" t="s">
        <v>63</v>
      </c>
      <c r="B43" s="29" t="s">
        <v>42</v>
      </c>
      <c r="C43" s="29">
        <v>200</v>
      </c>
      <c r="D43" s="31" t="s">
        <v>244</v>
      </c>
      <c r="E43" s="29" t="s">
        <v>297</v>
      </c>
      <c r="F43" s="31" t="s">
        <v>244</v>
      </c>
      <c r="G43" s="29" t="s">
        <v>296</v>
      </c>
      <c r="H43" s="31" t="s">
        <v>244</v>
      </c>
      <c r="I43" s="29" t="s">
        <v>298</v>
      </c>
      <c r="J43" s="29">
        <v>1</v>
      </c>
      <c r="K43" s="31" t="s">
        <v>244</v>
      </c>
      <c r="L43" s="29" t="s">
        <v>63</v>
      </c>
      <c r="M43" s="31" t="s">
        <v>244</v>
      </c>
      <c r="N43" s="29" t="s">
        <v>297</v>
      </c>
      <c r="O43" s="29" t="s">
        <v>296</v>
      </c>
      <c r="P43" s="29" t="s">
        <v>18</v>
      </c>
      <c r="Q43" s="29" t="s">
        <v>19</v>
      </c>
      <c r="R43" s="29" t="s">
        <v>283</v>
      </c>
      <c r="S43" s="29" t="s">
        <v>282</v>
      </c>
      <c r="T43" s="29" t="s">
        <v>63</v>
      </c>
      <c r="U43" s="29" t="s">
        <v>297</v>
      </c>
      <c r="V43" s="29" t="s">
        <v>296</v>
      </c>
      <c r="W43" s="29" t="s">
        <v>20</v>
      </c>
      <c r="X43" s="31" t="s">
        <v>244</v>
      </c>
      <c r="Y43" s="29" t="s">
        <v>271</v>
      </c>
      <c r="Z43" s="29" t="s">
        <v>272</v>
      </c>
      <c r="AA43" s="29" t="s">
        <v>273</v>
      </c>
      <c r="AB43" s="29"/>
      <c r="AC43" s="29"/>
      <c r="AD43" s="29"/>
      <c r="AE43" s="29"/>
      <c r="AF43" s="31" t="s">
        <v>244</v>
      </c>
    </row>
    <row r="44" spans="1:32" x14ac:dyDescent="0.3">
      <c r="A44" s="29" t="s">
        <v>51</v>
      </c>
      <c r="B44" s="29" t="s">
        <v>42</v>
      </c>
      <c r="C44" s="29">
        <v>200</v>
      </c>
      <c r="D44" s="31" t="s">
        <v>244</v>
      </c>
      <c r="E44" s="29" t="s">
        <v>300</v>
      </c>
      <c r="F44" s="31" t="s">
        <v>244</v>
      </c>
      <c r="G44" s="29" t="s">
        <v>299</v>
      </c>
      <c r="H44" s="31" t="s">
        <v>244</v>
      </c>
      <c r="I44" s="29" t="s">
        <v>301</v>
      </c>
      <c r="J44" s="29">
        <v>1</v>
      </c>
      <c r="K44" s="31" t="s">
        <v>244</v>
      </c>
      <c r="L44" s="29" t="s">
        <v>51</v>
      </c>
      <c r="M44" s="31" t="s">
        <v>244</v>
      </c>
      <c r="N44" s="29" t="s">
        <v>300</v>
      </c>
      <c r="O44" s="29" t="s">
        <v>299</v>
      </c>
      <c r="P44" s="29" t="s">
        <v>18</v>
      </c>
      <c r="Q44" s="29" t="s">
        <v>19</v>
      </c>
      <c r="R44" s="29" t="s">
        <v>283</v>
      </c>
      <c r="S44" s="29" t="s">
        <v>282</v>
      </c>
      <c r="T44" s="29" t="s">
        <v>51</v>
      </c>
      <c r="U44" s="29" t="s">
        <v>300</v>
      </c>
      <c r="V44" s="29" t="s">
        <v>299</v>
      </c>
      <c r="W44" s="29" t="s">
        <v>20</v>
      </c>
      <c r="X44" s="31" t="s">
        <v>244</v>
      </c>
      <c r="Y44" s="29" t="s">
        <v>271</v>
      </c>
      <c r="Z44" s="29" t="s">
        <v>272</v>
      </c>
      <c r="AA44" s="29" t="s">
        <v>273</v>
      </c>
      <c r="AB44" s="29"/>
      <c r="AC44" s="29"/>
      <c r="AD44" s="29"/>
      <c r="AE44" s="29"/>
      <c r="AF44" s="31" t="s">
        <v>244</v>
      </c>
    </row>
    <row r="45" spans="1:32" x14ac:dyDescent="0.3">
      <c r="A45" s="29" t="s">
        <v>53</v>
      </c>
      <c r="B45" s="29" t="s">
        <v>42</v>
      </c>
      <c r="C45" s="29">
        <v>200</v>
      </c>
      <c r="D45" s="31" t="s">
        <v>244</v>
      </c>
      <c r="E45" s="29" t="s">
        <v>303</v>
      </c>
      <c r="F45" s="31" t="s">
        <v>244</v>
      </c>
      <c r="G45" s="29" t="s">
        <v>302</v>
      </c>
      <c r="H45" s="31" t="s">
        <v>244</v>
      </c>
      <c r="I45" s="29" t="s">
        <v>304</v>
      </c>
      <c r="J45" s="29">
        <v>1</v>
      </c>
      <c r="K45" s="31" t="s">
        <v>244</v>
      </c>
      <c r="L45" s="29" t="s">
        <v>53</v>
      </c>
      <c r="M45" s="31" t="s">
        <v>244</v>
      </c>
      <c r="N45" s="29" t="s">
        <v>303</v>
      </c>
      <c r="O45" s="29" t="s">
        <v>302</v>
      </c>
      <c r="P45" s="29" t="s">
        <v>18</v>
      </c>
      <c r="Q45" s="29" t="s">
        <v>19</v>
      </c>
      <c r="R45" s="29" t="s">
        <v>283</v>
      </c>
      <c r="S45" s="29" t="s">
        <v>282</v>
      </c>
      <c r="T45" s="29" t="s">
        <v>53</v>
      </c>
      <c r="U45" s="29" t="s">
        <v>303</v>
      </c>
      <c r="V45" s="29" t="s">
        <v>302</v>
      </c>
      <c r="W45" s="29" t="s">
        <v>20</v>
      </c>
      <c r="X45" s="31" t="s">
        <v>244</v>
      </c>
      <c r="Y45" s="29" t="s">
        <v>271</v>
      </c>
      <c r="Z45" s="29" t="s">
        <v>272</v>
      </c>
      <c r="AA45" s="29" t="s">
        <v>273</v>
      </c>
      <c r="AB45" s="29"/>
      <c r="AC45" s="29"/>
      <c r="AD45" s="29"/>
      <c r="AE45" s="29"/>
      <c r="AF45" s="31" t="s">
        <v>244</v>
      </c>
    </row>
    <row r="46" spans="1:32" x14ac:dyDescent="0.3">
      <c r="A46" s="29" t="s">
        <v>94</v>
      </c>
      <c r="B46" s="29" t="s">
        <v>42</v>
      </c>
      <c r="C46" s="29">
        <v>200</v>
      </c>
      <c r="D46" s="31" t="s">
        <v>244</v>
      </c>
      <c r="E46" s="29" t="s">
        <v>306</v>
      </c>
      <c r="F46" s="31" t="s">
        <v>244</v>
      </c>
      <c r="G46" s="29" t="s">
        <v>305</v>
      </c>
      <c r="H46" s="31" t="s">
        <v>244</v>
      </c>
      <c r="I46" s="29" t="s">
        <v>307</v>
      </c>
      <c r="J46" s="29">
        <v>1</v>
      </c>
      <c r="K46" s="31" t="s">
        <v>244</v>
      </c>
      <c r="L46" s="29" t="s">
        <v>94</v>
      </c>
      <c r="M46" s="31" t="s">
        <v>244</v>
      </c>
      <c r="N46" s="29" t="s">
        <v>306</v>
      </c>
      <c r="O46" s="29" t="s">
        <v>305</v>
      </c>
      <c r="P46" s="29" t="s">
        <v>18</v>
      </c>
      <c r="Q46" s="29" t="s">
        <v>19</v>
      </c>
      <c r="R46" s="29" t="s">
        <v>283</v>
      </c>
      <c r="S46" s="29" t="s">
        <v>282</v>
      </c>
      <c r="T46" s="29" t="s">
        <v>94</v>
      </c>
      <c r="U46" s="29" t="s">
        <v>306</v>
      </c>
      <c r="V46" s="29" t="s">
        <v>305</v>
      </c>
      <c r="W46" s="29" t="s">
        <v>20</v>
      </c>
      <c r="X46" s="31" t="s">
        <v>244</v>
      </c>
      <c r="Y46" s="29" t="s">
        <v>271</v>
      </c>
      <c r="Z46" s="29" t="s">
        <v>272</v>
      </c>
      <c r="AA46" s="29" t="s">
        <v>273</v>
      </c>
      <c r="AB46" s="29"/>
      <c r="AC46" s="29"/>
      <c r="AD46" s="29"/>
      <c r="AE46" s="29"/>
      <c r="AF46" s="31" t="s">
        <v>244</v>
      </c>
    </row>
    <row r="47" spans="1:32" x14ac:dyDescent="0.3">
      <c r="A47" s="29" t="s">
        <v>45</v>
      </c>
      <c r="B47" s="29" t="s">
        <v>42</v>
      </c>
      <c r="C47" s="29">
        <v>200</v>
      </c>
      <c r="D47" s="31" t="s">
        <v>244</v>
      </c>
      <c r="E47" s="29" t="s">
        <v>309</v>
      </c>
      <c r="F47" s="31" t="s">
        <v>244</v>
      </c>
      <c r="G47" s="29" t="s">
        <v>308</v>
      </c>
      <c r="H47" s="31" t="s">
        <v>244</v>
      </c>
      <c r="I47" s="29" t="s">
        <v>310</v>
      </c>
      <c r="J47" s="29">
        <v>1</v>
      </c>
      <c r="K47" s="31" t="s">
        <v>244</v>
      </c>
      <c r="L47" s="29" t="s">
        <v>45</v>
      </c>
      <c r="M47" s="31" t="s">
        <v>244</v>
      </c>
      <c r="N47" s="29" t="s">
        <v>309</v>
      </c>
      <c r="O47" s="29" t="s">
        <v>308</v>
      </c>
      <c r="P47" s="29" t="s">
        <v>18</v>
      </c>
      <c r="Q47" s="29" t="s">
        <v>19</v>
      </c>
      <c r="R47" s="29" t="s">
        <v>46</v>
      </c>
      <c r="S47" s="29" t="s">
        <v>47</v>
      </c>
      <c r="T47" s="29" t="s">
        <v>45</v>
      </c>
      <c r="U47" s="29" t="s">
        <v>309</v>
      </c>
      <c r="V47" s="29" t="s">
        <v>308</v>
      </c>
      <c r="W47" s="29" t="s">
        <v>20</v>
      </c>
      <c r="X47" s="31" t="s">
        <v>244</v>
      </c>
      <c r="Y47" s="29" t="s">
        <v>271</v>
      </c>
      <c r="Z47" s="29" t="s">
        <v>272</v>
      </c>
      <c r="AA47" s="29" t="s">
        <v>273</v>
      </c>
      <c r="AB47" s="29"/>
      <c r="AC47" s="29"/>
      <c r="AD47" s="29"/>
      <c r="AE47" s="29"/>
      <c r="AF47" s="31" t="s">
        <v>244</v>
      </c>
    </row>
    <row r="48" spans="1:32" x14ac:dyDescent="0.3">
      <c r="A48" s="29" t="s">
        <v>64</v>
      </c>
      <c r="B48" s="29" t="s">
        <v>42</v>
      </c>
      <c r="C48" s="29">
        <v>200</v>
      </c>
      <c r="D48" s="31" t="s">
        <v>244</v>
      </c>
      <c r="E48" s="29" t="s">
        <v>312</v>
      </c>
      <c r="F48" s="31" t="s">
        <v>244</v>
      </c>
      <c r="G48" s="29" t="s">
        <v>311</v>
      </c>
      <c r="H48" s="31" t="s">
        <v>244</v>
      </c>
      <c r="I48" s="29" t="s">
        <v>313</v>
      </c>
      <c r="J48" s="29">
        <v>1</v>
      </c>
      <c r="K48" s="31" t="s">
        <v>244</v>
      </c>
      <c r="L48" s="29" t="s">
        <v>64</v>
      </c>
      <c r="M48" s="31" t="s">
        <v>244</v>
      </c>
      <c r="N48" s="29" t="s">
        <v>312</v>
      </c>
      <c r="O48" s="29" t="s">
        <v>311</v>
      </c>
      <c r="P48" s="29" t="s">
        <v>18</v>
      </c>
      <c r="Q48" s="29" t="s">
        <v>19</v>
      </c>
      <c r="R48" s="29" t="s">
        <v>283</v>
      </c>
      <c r="S48" s="29" t="s">
        <v>282</v>
      </c>
      <c r="T48" s="29" t="s">
        <v>64</v>
      </c>
      <c r="U48" s="29" t="s">
        <v>312</v>
      </c>
      <c r="V48" s="29" t="s">
        <v>311</v>
      </c>
      <c r="W48" s="29" t="s">
        <v>20</v>
      </c>
      <c r="X48" s="31" t="s">
        <v>244</v>
      </c>
      <c r="Y48" s="29" t="s">
        <v>271</v>
      </c>
      <c r="Z48" s="29" t="s">
        <v>272</v>
      </c>
      <c r="AA48" s="29" t="s">
        <v>273</v>
      </c>
      <c r="AB48" s="29"/>
      <c r="AC48" s="29"/>
      <c r="AD48" s="29"/>
      <c r="AE48" s="29"/>
      <c r="AF48" s="31" t="s">
        <v>244</v>
      </c>
    </row>
    <row r="49" spans="1:32" x14ac:dyDescent="0.3">
      <c r="A49" s="29" t="s">
        <v>229</v>
      </c>
      <c r="B49" s="29" t="s">
        <v>42</v>
      </c>
      <c r="C49" s="29">
        <v>200</v>
      </c>
      <c r="D49" s="31" t="s">
        <v>244</v>
      </c>
      <c r="E49" s="29" t="s">
        <v>315</v>
      </c>
      <c r="F49" s="31" t="s">
        <v>244</v>
      </c>
      <c r="G49" s="29" t="s">
        <v>314</v>
      </c>
      <c r="H49" s="31" t="s">
        <v>244</v>
      </c>
      <c r="I49" s="29" t="s">
        <v>316</v>
      </c>
      <c r="J49" s="29">
        <v>1</v>
      </c>
      <c r="K49" s="31" t="s">
        <v>244</v>
      </c>
      <c r="L49" s="29" t="s">
        <v>229</v>
      </c>
      <c r="M49" s="31" t="s">
        <v>244</v>
      </c>
      <c r="N49" s="29" t="s">
        <v>315</v>
      </c>
      <c r="O49" s="29" t="s">
        <v>314</v>
      </c>
      <c r="P49" s="29" t="s">
        <v>18</v>
      </c>
      <c r="Q49" s="29" t="s">
        <v>19</v>
      </c>
      <c r="R49" s="29" t="s">
        <v>283</v>
      </c>
      <c r="S49" s="29" t="s">
        <v>282</v>
      </c>
      <c r="T49" s="29" t="s">
        <v>229</v>
      </c>
      <c r="U49" s="29" t="s">
        <v>315</v>
      </c>
      <c r="V49" s="29" t="s">
        <v>314</v>
      </c>
      <c r="W49" s="29" t="s">
        <v>20</v>
      </c>
      <c r="X49" s="31" t="s">
        <v>244</v>
      </c>
      <c r="Y49" s="29" t="s">
        <v>271</v>
      </c>
      <c r="Z49" s="29" t="s">
        <v>272</v>
      </c>
      <c r="AA49" s="29" t="s">
        <v>273</v>
      </c>
      <c r="AB49" s="29"/>
      <c r="AC49" s="29"/>
      <c r="AD49" s="29"/>
      <c r="AE49" s="29"/>
      <c r="AF49" s="31" t="s">
        <v>244</v>
      </c>
    </row>
    <row r="50" spans="1:32" ht="22.5" x14ac:dyDescent="0.3">
      <c r="A50" s="35" t="s">
        <v>69</v>
      </c>
      <c r="B50" s="29"/>
      <c r="C50" s="29">
        <v>0</v>
      </c>
      <c r="D50" s="32" t="s">
        <v>277</v>
      </c>
      <c r="E50" s="29"/>
      <c r="F50" s="31"/>
      <c r="G50" s="29"/>
      <c r="H50" s="31"/>
      <c r="I50" s="29"/>
      <c r="J50" s="29"/>
      <c r="K50" s="31"/>
      <c r="L50" s="29"/>
      <c r="M50" s="31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31"/>
      <c r="Y50" s="29"/>
      <c r="Z50" s="29"/>
      <c r="AA50" s="29"/>
      <c r="AB50" s="29"/>
      <c r="AC50" s="29"/>
      <c r="AD50" s="29"/>
      <c r="AE50" s="29"/>
      <c r="AF50" s="31"/>
    </row>
    <row r="51" spans="1:32" ht="22.5" x14ac:dyDescent="0.3">
      <c r="A51" s="35" t="s">
        <v>339</v>
      </c>
      <c r="B51" s="29"/>
      <c r="C51" s="29">
        <v>0</v>
      </c>
      <c r="D51" s="32" t="s">
        <v>277</v>
      </c>
      <c r="E51" s="29"/>
      <c r="F51" s="31"/>
      <c r="G51" s="29"/>
      <c r="H51" s="31"/>
      <c r="I51" s="29"/>
      <c r="J51" s="29"/>
      <c r="K51" s="31"/>
      <c r="L51" s="29"/>
      <c r="M51" s="31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31"/>
      <c r="Y51" s="29"/>
      <c r="Z51" s="29"/>
      <c r="AA51" s="29"/>
      <c r="AB51" s="29"/>
      <c r="AC51" s="29"/>
      <c r="AD51" s="29"/>
      <c r="AE51" s="29"/>
      <c r="AF51" s="31"/>
    </row>
    <row r="52" spans="1:32" ht="22.5" x14ac:dyDescent="0.3">
      <c r="A52" s="35" t="s">
        <v>73</v>
      </c>
      <c r="B52" s="29"/>
      <c r="C52" s="29">
        <v>0</v>
      </c>
      <c r="D52" s="32" t="s">
        <v>277</v>
      </c>
      <c r="E52" s="29"/>
      <c r="F52" s="31"/>
      <c r="G52" s="29"/>
      <c r="H52" s="31"/>
      <c r="I52" s="29"/>
      <c r="J52" s="29"/>
      <c r="K52" s="31"/>
      <c r="L52" s="29"/>
      <c r="M52" s="31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31"/>
      <c r="Y52" s="29"/>
      <c r="Z52" s="29"/>
      <c r="AA52" s="29"/>
      <c r="AB52" s="29"/>
      <c r="AC52" s="29"/>
      <c r="AD52" s="29"/>
      <c r="AE52" s="29"/>
      <c r="AF52" s="31"/>
    </row>
    <row r="53" spans="1:32" ht="22.5" x14ac:dyDescent="0.3">
      <c r="A53" s="34" t="s">
        <v>70</v>
      </c>
      <c r="B53" s="29"/>
      <c r="C53" s="29">
        <v>0</v>
      </c>
      <c r="D53" s="32" t="s">
        <v>277</v>
      </c>
      <c r="E53" s="29"/>
      <c r="F53" s="31"/>
      <c r="G53" s="29"/>
      <c r="H53" s="31"/>
      <c r="I53" s="29"/>
      <c r="J53" s="29"/>
      <c r="K53" s="31"/>
      <c r="L53" s="29"/>
      <c r="M53" s="31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31"/>
      <c r="Y53" s="29"/>
      <c r="Z53" s="29"/>
      <c r="AA53" s="29"/>
      <c r="AB53" s="29"/>
      <c r="AC53" s="29"/>
      <c r="AD53" s="29"/>
      <c r="AE53" s="29"/>
      <c r="AF53" s="31"/>
    </row>
    <row r="54" spans="1:32" ht="22.5" x14ac:dyDescent="0.3">
      <c r="A54" s="34" t="s">
        <v>72</v>
      </c>
      <c r="B54" s="29"/>
      <c r="C54" s="29">
        <v>0</v>
      </c>
      <c r="D54" s="32" t="s">
        <v>277</v>
      </c>
      <c r="E54" s="29"/>
      <c r="F54" s="31"/>
      <c r="G54" s="29"/>
      <c r="H54" s="31"/>
      <c r="I54" s="29"/>
      <c r="J54" s="29"/>
      <c r="K54" s="31"/>
      <c r="L54" s="29"/>
      <c r="M54" s="31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31"/>
      <c r="Y54" s="29"/>
      <c r="Z54" s="29"/>
      <c r="AA54" s="29"/>
      <c r="AB54" s="29"/>
      <c r="AC54" s="29"/>
      <c r="AD54" s="29"/>
      <c r="AE54" s="29"/>
      <c r="AF54" s="31"/>
    </row>
    <row r="55" spans="1:32" ht="22.5" x14ac:dyDescent="0.3">
      <c r="A55" s="34" t="s">
        <v>52</v>
      </c>
      <c r="B55" s="29"/>
      <c r="C55" s="29">
        <v>0</v>
      </c>
      <c r="D55" s="32" t="s">
        <v>277</v>
      </c>
      <c r="E55" s="29"/>
      <c r="F55" s="31"/>
      <c r="G55" s="29"/>
      <c r="H55" s="31"/>
      <c r="I55" s="29"/>
      <c r="J55" s="29"/>
      <c r="K55" s="31"/>
      <c r="L55" s="29"/>
      <c r="M55" s="31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31"/>
      <c r="Y55" s="29"/>
      <c r="Z55" s="29"/>
      <c r="AA55" s="29"/>
      <c r="AB55" s="29"/>
      <c r="AC55" s="29"/>
      <c r="AD55" s="29"/>
      <c r="AE55" s="29"/>
      <c r="AF55" s="31"/>
    </row>
    <row r="56" spans="1:32" ht="22.5" x14ac:dyDescent="0.3">
      <c r="A56" s="34" t="s">
        <v>60</v>
      </c>
      <c r="B56" s="29"/>
      <c r="C56" s="29">
        <v>0</v>
      </c>
      <c r="D56" s="32" t="s">
        <v>277</v>
      </c>
      <c r="E56" s="29"/>
      <c r="F56" s="31"/>
      <c r="G56" s="29"/>
      <c r="H56" s="31"/>
      <c r="I56" s="29"/>
      <c r="J56" s="29"/>
      <c r="K56" s="31"/>
      <c r="L56" s="29"/>
      <c r="M56" s="31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31"/>
      <c r="Y56" s="29"/>
      <c r="Z56" s="29"/>
      <c r="AA56" s="29"/>
      <c r="AB56" s="29"/>
      <c r="AC56" s="29"/>
      <c r="AD56" s="29"/>
      <c r="AE56" s="29"/>
      <c r="AF56" s="31"/>
    </row>
  </sheetData>
  <autoFilter ref="A1:AF56" xr:uid="{584DE6BB-EDD0-4CFF-BDC3-2EE6AF1DAA4B}">
    <sortState xmlns:xlrd2="http://schemas.microsoft.com/office/spreadsheetml/2017/richdata2" ref="A2:AF56">
      <sortCondition ref="B1:B56"/>
    </sortState>
  </autoFilter>
  <phoneticPr fontId="2" type="noConversion"/>
  <conditionalFormatting sqref="C2:C56">
    <cfRule type="cellIs" dxfId="78" priority="30" operator="equal">
      <formula>0</formula>
    </cfRule>
    <cfRule type="cellIs" dxfId="77" priority="31" operator="equal">
      <formula>404</formula>
    </cfRule>
  </conditionalFormatting>
  <conditionalFormatting sqref="D1:D56">
    <cfRule type="containsBlanks" dxfId="76" priority="37">
      <formula>LEN(TRIM(D1))=0</formula>
    </cfRule>
  </conditionalFormatting>
  <conditionalFormatting sqref="D2:D56">
    <cfRule type="notContainsBlanks" dxfId="75" priority="36">
      <formula>LEN(TRIM(D2))&gt;0</formula>
    </cfRule>
    <cfRule type="cellIs" dxfId="74" priority="35" operator="equal">
      <formula>"Pass"</formula>
    </cfRule>
  </conditionalFormatting>
  <conditionalFormatting sqref="E1">
    <cfRule type="duplicateValues" dxfId="73" priority="61"/>
    <cfRule type="duplicateValues" dxfId="72" priority="53"/>
  </conditionalFormatting>
  <conditionalFormatting sqref="E1:E1048576">
    <cfRule type="duplicateValues" dxfId="71" priority="11"/>
  </conditionalFormatting>
  <conditionalFormatting sqref="F1:F56">
    <cfRule type="containsBlanks" dxfId="70" priority="29">
      <formula>LEN(TRIM(F1))=0</formula>
    </cfRule>
  </conditionalFormatting>
  <conditionalFormatting sqref="F2:F56">
    <cfRule type="notContainsBlanks" dxfId="69" priority="28">
      <formula>LEN(TRIM(F2))&gt;0</formula>
    </cfRule>
    <cfRule type="cellIs" dxfId="68" priority="27" operator="equal">
      <formula>"Pass"</formula>
    </cfRule>
  </conditionalFormatting>
  <conditionalFormatting sqref="G1">
    <cfRule type="duplicateValues" dxfId="67" priority="51"/>
    <cfRule type="duplicateValues" dxfId="66" priority="60"/>
  </conditionalFormatting>
  <conditionalFormatting sqref="G1:G1048576">
    <cfRule type="duplicateValues" dxfId="65" priority="10"/>
  </conditionalFormatting>
  <conditionalFormatting sqref="H1:H56">
    <cfRule type="containsBlanks" dxfId="64" priority="26">
      <formula>LEN(TRIM(H1))=0</formula>
    </cfRule>
  </conditionalFormatting>
  <conditionalFormatting sqref="H2:H56">
    <cfRule type="cellIs" dxfId="63" priority="24" operator="equal">
      <formula>"Pass"</formula>
    </cfRule>
    <cfRule type="notContainsBlanks" dxfId="62" priority="25">
      <formula>LEN(TRIM(H2))&gt;0</formula>
    </cfRule>
  </conditionalFormatting>
  <conditionalFormatting sqref="I1">
    <cfRule type="duplicateValues" dxfId="61" priority="59"/>
  </conditionalFormatting>
  <conditionalFormatting sqref="J1:J1048576">
    <cfRule type="cellIs" dxfId="60" priority="8" operator="greaterThan">
      <formula>1</formula>
    </cfRule>
  </conditionalFormatting>
  <conditionalFormatting sqref="K1:K56">
    <cfRule type="containsBlanks" dxfId="59" priority="23">
      <formula>LEN(TRIM(K1))=0</formula>
    </cfRule>
  </conditionalFormatting>
  <conditionalFormatting sqref="K2:K56">
    <cfRule type="cellIs" dxfId="58" priority="21" operator="equal">
      <formula>"Pass"</formula>
    </cfRule>
    <cfRule type="notContainsBlanks" dxfId="57" priority="22">
      <formula>LEN(TRIM(K2))&gt;0</formula>
    </cfRule>
  </conditionalFormatting>
  <conditionalFormatting sqref="M1:M56">
    <cfRule type="containsBlanks" dxfId="56" priority="20">
      <formula>LEN(TRIM(M1))=0</formula>
    </cfRule>
  </conditionalFormatting>
  <conditionalFormatting sqref="M2:M56">
    <cfRule type="cellIs" dxfId="55" priority="18" operator="equal">
      <formula>"Pass"</formula>
    </cfRule>
    <cfRule type="notContainsBlanks" dxfId="54" priority="19">
      <formula>LEN(TRIM(M2))&gt;0</formula>
    </cfRule>
  </conditionalFormatting>
  <conditionalFormatting sqref="N1">
    <cfRule type="duplicateValues" dxfId="53" priority="46"/>
    <cfRule type="duplicateValues" dxfId="52" priority="58"/>
  </conditionalFormatting>
  <conditionalFormatting sqref="N1:N1048576">
    <cfRule type="duplicateValues" dxfId="51" priority="7"/>
  </conditionalFormatting>
  <conditionalFormatting sqref="O1">
    <cfRule type="duplicateValues" dxfId="50" priority="57"/>
    <cfRule type="duplicateValues" dxfId="49" priority="45"/>
  </conditionalFormatting>
  <conditionalFormatting sqref="O1:O1048576">
    <cfRule type="duplicateValues" dxfId="48" priority="6"/>
  </conditionalFormatting>
  <conditionalFormatting sqref="U1">
    <cfRule type="duplicateValues" dxfId="47" priority="44"/>
    <cfRule type="duplicateValues" dxfId="46" priority="56"/>
  </conditionalFormatting>
  <conditionalFormatting sqref="U1:U1048576">
    <cfRule type="duplicateValues" dxfId="45" priority="5"/>
  </conditionalFormatting>
  <conditionalFormatting sqref="V1">
    <cfRule type="duplicateValues" dxfId="44" priority="43"/>
    <cfRule type="duplicateValues" dxfId="43" priority="55"/>
  </conditionalFormatting>
  <conditionalFormatting sqref="V1:V1048576">
    <cfRule type="duplicateValues" dxfId="42" priority="4"/>
  </conditionalFormatting>
  <conditionalFormatting sqref="X1:X56">
    <cfRule type="containsBlanks" dxfId="41" priority="3">
      <formula>LEN(TRIM(X1))=0</formula>
    </cfRule>
  </conditionalFormatting>
  <conditionalFormatting sqref="X2:X56">
    <cfRule type="cellIs" dxfId="40" priority="1" operator="equal">
      <formula>"Pass"</formula>
    </cfRule>
    <cfRule type="notContainsBlanks" dxfId="39" priority="2">
      <formula>LEN(TRIM(X2))&gt;0</formula>
    </cfRule>
  </conditionalFormatting>
  <conditionalFormatting sqref="AF1:AF56">
    <cfRule type="containsBlanks" dxfId="38" priority="14">
      <formula>LEN(TRIM(AF1))=0</formula>
    </cfRule>
  </conditionalFormatting>
  <conditionalFormatting sqref="AF2:AF56">
    <cfRule type="notContainsBlanks" dxfId="37" priority="13">
      <formula>LEN(TRIM(AF2))&gt;0</formula>
    </cfRule>
    <cfRule type="cellIs" dxfId="36" priority="12" operator="equal">
      <formula>"Pass"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BA7D4-390A-4295-A137-3C3A8E0A3BD8}">
  <sheetPr>
    <tabColor theme="5"/>
  </sheetPr>
  <dimension ref="B1:N37"/>
  <sheetViews>
    <sheetView workbookViewId="0"/>
  </sheetViews>
  <sheetFormatPr defaultRowHeight="16.5" x14ac:dyDescent="0.3"/>
  <cols>
    <col min="1" max="1" width="2.625" style="1" customWidth="1"/>
    <col min="2" max="2" width="28" style="1" customWidth="1"/>
    <col min="3" max="12" width="9.625" style="1" customWidth="1"/>
    <col min="13" max="13" width="10.625" style="1" customWidth="1"/>
    <col min="14" max="16384" width="9" style="1"/>
  </cols>
  <sheetData>
    <row r="1" spans="2:14" x14ac:dyDescent="0.3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2:14" ht="20.25" x14ac:dyDescent="0.3">
      <c r="B2" s="3" t="s">
        <v>474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2"/>
    </row>
    <row r="3" spans="2:14" ht="17.25" thickBot="1" x14ac:dyDescent="0.35"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2"/>
    </row>
    <row r="4" spans="2:14" x14ac:dyDescent="0.3">
      <c r="B4" s="5" t="s">
        <v>234</v>
      </c>
      <c r="C4" s="6" t="s">
        <v>475</v>
      </c>
      <c r="D4" s="4"/>
      <c r="E4" s="4"/>
      <c r="F4" s="4"/>
      <c r="G4" s="4"/>
      <c r="H4" s="4"/>
      <c r="I4" s="4"/>
      <c r="J4" s="4"/>
      <c r="K4" s="4"/>
      <c r="L4" s="4"/>
      <c r="M4" s="4"/>
      <c r="N4" s="2"/>
    </row>
    <row r="5" spans="2:14" x14ac:dyDescent="0.3">
      <c r="B5" s="7" t="s">
        <v>235</v>
      </c>
      <c r="C5" s="8" t="s">
        <v>476</v>
      </c>
      <c r="D5" s="4"/>
      <c r="E5" s="4"/>
      <c r="F5" s="4"/>
      <c r="G5" s="4"/>
      <c r="H5" s="4"/>
      <c r="I5" s="4"/>
      <c r="J5" s="4"/>
      <c r="K5" s="4"/>
      <c r="L5" s="4"/>
      <c r="M5" s="4"/>
      <c r="N5" s="2"/>
    </row>
    <row r="6" spans="2:14" ht="17.25" thickBot="1" x14ac:dyDescent="0.35">
      <c r="B6" s="9" t="s">
        <v>236</v>
      </c>
      <c r="C6" s="10">
        <f>AVERAGE(D12,D15,D18,D21,D24,D27,D30,D33)</f>
        <v>0.49395161290322581</v>
      </c>
      <c r="D6" s="4"/>
      <c r="E6" s="4"/>
      <c r="F6" s="4"/>
      <c r="G6" s="4"/>
      <c r="H6" s="4"/>
      <c r="I6" s="4"/>
      <c r="J6" s="4"/>
      <c r="K6" s="4"/>
      <c r="L6" s="4"/>
      <c r="M6" s="4"/>
      <c r="N6" s="2"/>
    </row>
    <row r="7" spans="2:14" x14ac:dyDescent="0.3">
      <c r="B7" s="30"/>
      <c r="C7" s="30"/>
      <c r="D7" s="30"/>
      <c r="E7" s="30"/>
      <c r="F7" s="30"/>
      <c r="G7" s="30"/>
      <c r="H7" s="30"/>
      <c r="I7" s="30"/>
      <c r="J7" s="30"/>
      <c r="K7" s="30"/>
      <c r="L7" s="30"/>
      <c r="M7" s="2"/>
      <c r="N7" s="2"/>
    </row>
    <row r="8" spans="2:14" ht="17.25" thickBot="1" x14ac:dyDescent="0.35"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2"/>
    </row>
    <row r="9" spans="2:14" x14ac:dyDescent="0.3">
      <c r="B9" s="11" t="s">
        <v>237</v>
      </c>
      <c r="C9" s="42" t="s">
        <v>238</v>
      </c>
      <c r="D9" s="43"/>
      <c r="E9" s="44" t="s">
        <v>239</v>
      </c>
      <c r="F9" s="45"/>
      <c r="G9" s="44" t="s">
        <v>240</v>
      </c>
      <c r="H9" s="45"/>
      <c r="I9" s="44" t="s">
        <v>241</v>
      </c>
      <c r="J9" s="45"/>
      <c r="K9" s="44" t="s">
        <v>15</v>
      </c>
      <c r="L9" s="45"/>
      <c r="M9" s="2"/>
    </row>
    <row r="10" spans="2:14" ht="23.25" customHeight="1" thickBot="1" x14ac:dyDescent="0.35">
      <c r="B10" s="12" t="s">
        <v>242</v>
      </c>
      <c r="C10" s="40">
        <f>SUM(E10:L10)</f>
        <v>62</v>
      </c>
      <c r="D10" s="41"/>
      <c r="E10" s="40">
        <f>COUNTIF(Raw!$C:$C,Summary!E9)</f>
        <v>19</v>
      </c>
      <c r="F10" s="41"/>
      <c r="G10" s="40">
        <f>COUNTIF(Raw!$C:$C,Summary!G9)</f>
        <v>21</v>
      </c>
      <c r="H10" s="41"/>
      <c r="I10" s="40">
        <f>COUNTIF(Raw!$C:$C,Summary!I9)</f>
        <v>7</v>
      </c>
      <c r="J10" s="41"/>
      <c r="K10" s="40">
        <f>COUNTIF(Raw!$C:$C,Summary!K9)</f>
        <v>15</v>
      </c>
      <c r="L10" s="41"/>
      <c r="M10" s="2"/>
    </row>
    <row r="11" spans="2:14" ht="23.25" customHeight="1" thickTop="1" x14ac:dyDescent="0.3">
      <c r="B11" s="13" t="s">
        <v>415</v>
      </c>
      <c r="C11" s="14"/>
      <c r="D11" s="15"/>
      <c r="E11" s="14"/>
      <c r="F11" s="15"/>
      <c r="G11" s="14"/>
      <c r="H11" s="15"/>
      <c r="I11" s="14"/>
      <c r="J11" s="15"/>
      <c r="K11" s="14"/>
      <c r="L11" s="15"/>
      <c r="M11" s="2"/>
    </row>
    <row r="12" spans="2:14" ht="23.25" customHeight="1" x14ac:dyDescent="0.3">
      <c r="B12" s="16" t="s">
        <v>244</v>
      </c>
      <c r="C12" s="17">
        <f>SUM(E12+G12+I12+K12)</f>
        <v>50</v>
      </c>
      <c r="D12" s="18">
        <f>C12/C$10</f>
        <v>0.80645161290322576</v>
      </c>
      <c r="E12" s="17">
        <f>COUNTIFS(Raw!$C:$C,Summary!E$9,Raw!$B:$B,"Pass")</f>
        <v>19</v>
      </c>
      <c r="F12" s="18">
        <f>E12/E$10</f>
        <v>1</v>
      </c>
      <c r="G12" s="17">
        <f>COUNTIFS(Raw!$C:$C,Summary!G$9,Raw!$B:$B,"Pass")</f>
        <v>14</v>
      </c>
      <c r="H12" s="18">
        <f>G12/G$10</f>
        <v>0.66666666666666663</v>
      </c>
      <c r="I12" s="17">
        <f>COUNTIFS(Raw!$C:$C,Summary!I$9,Raw!$B:$B,"Pass")</f>
        <v>2</v>
      </c>
      <c r="J12" s="18">
        <f>I12/I$10</f>
        <v>0.2857142857142857</v>
      </c>
      <c r="K12" s="17">
        <f>COUNTIFS(Raw!$C:$C,Summary!K$9,Raw!$B:$B,"Pass")</f>
        <v>15</v>
      </c>
      <c r="L12" s="18">
        <f>K12/K10</f>
        <v>1</v>
      </c>
      <c r="M12" s="2"/>
    </row>
    <row r="13" spans="2:14" ht="23.25" customHeight="1" x14ac:dyDescent="0.3">
      <c r="B13" s="19" t="s">
        <v>795</v>
      </c>
      <c r="C13" s="20">
        <f>SUM(E13+G13+I13+K13)</f>
        <v>12</v>
      </c>
      <c r="D13" s="21">
        <f>C13/C$10</f>
        <v>0.19354838709677419</v>
      </c>
      <c r="E13" s="20">
        <f>COUNTIFS(Raw!$C:$C,Summary!E$9,Raw!$B:$B,"&lt;&gt;Pass")</f>
        <v>0</v>
      </c>
      <c r="F13" s="21">
        <f>E13/E$10</f>
        <v>0</v>
      </c>
      <c r="G13" s="20">
        <f>COUNTIFS(Raw!$C:$C,Summary!G$9,Raw!$B:$B,"&lt;&gt;Pass")</f>
        <v>7</v>
      </c>
      <c r="H13" s="21">
        <f>G13/G$10</f>
        <v>0.33333333333333331</v>
      </c>
      <c r="I13" s="20">
        <f>COUNTIFS(Raw!$C:$C,Summary!I$9,Raw!$B:$B,"&lt;&gt;Pass")</f>
        <v>5</v>
      </c>
      <c r="J13" s="21">
        <f>I13/I$10</f>
        <v>0.7142857142857143</v>
      </c>
      <c r="K13" s="20">
        <f>COUNTIFS(Raw!$C:$C,Summary!K$9,Raw!$B:$B,"&lt;&gt;Pass")</f>
        <v>0</v>
      </c>
      <c r="L13" s="21">
        <f>K13/K10</f>
        <v>0</v>
      </c>
      <c r="M13" s="2"/>
    </row>
    <row r="14" spans="2:14" x14ac:dyDescent="0.3">
      <c r="B14" s="13" t="s">
        <v>243</v>
      </c>
      <c r="C14" s="14"/>
      <c r="D14" s="15"/>
      <c r="E14" s="14"/>
      <c r="F14" s="15"/>
      <c r="G14" s="14"/>
      <c r="H14" s="15"/>
      <c r="I14" s="14"/>
      <c r="J14" s="15"/>
      <c r="K14" s="14"/>
      <c r="L14" s="15"/>
      <c r="M14" s="2"/>
    </row>
    <row r="15" spans="2:14" x14ac:dyDescent="0.3">
      <c r="B15" s="16" t="s">
        <v>244</v>
      </c>
      <c r="C15" s="17">
        <f>SUM(E15+G15+I15+K15)</f>
        <v>56</v>
      </c>
      <c r="D15" s="18">
        <f>C15/C$10</f>
        <v>0.90322580645161288</v>
      </c>
      <c r="E15" s="17">
        <f>COUNTIFS(Raw!$C:$C,Summary!E$9,Raw!$E:$E,"Pass")</f>
        <v>19</v>
      </c>
      <c r="F15" s="18">
        <f>E15/E$10</f>
        <v>1</v>
      </c>
      <c r="G15" s="17">
        <f>COUNTIFS(Raw!$C:$C,Summary!G$9,Raw!$E:$E,"Pass")</f>
        <v>21</v>
      </c>
      <c r="H15" s="18">
        <f>G15/G$10</f>
        <v>1</v>
      </c>
      <c r="I15" s="17">
        <f>COUNTIFS(Raw!$C:$C,Summary!I$9,Raw!$E:$E,"Pass")</f>
        <v>2</v>
      </c>
      <c r="J15" s="18">
        <f>I15/I$10</f>
        <v>0.2857142857142857</v>
      </c>
      <c r="K15" s="17">
        <f>COUNTIFS(Raw!$C:$C,Summary!K$9,Raw!$E:$E,"Pass")</f>
        <v>14</v>
      </c>
      <c r="L15" s="18">
        <f>K15/K10</f>
        <v>0.93333333333333335</v>
      </c>
      <c r="M15" s="2"/>
    </row>
    <row r="16" spans="2:14" x14ac:dyDescent="0.3">
      <c r="B16" s="19" t="s">
        <v>245</v>
      </c>
      <c r="C16" s="20">
        <f>SUM(E16+G16+I16+K16)</f>
        <v>6</v>
      </c>
      <c r="D16" s="21">
        <f>C16/C$10</f>
        <v>9.6774193548387094E-2</v>
      </c>
      <c r="E16" s="20">
        <f>COUNTIFS(Raw!$C:$C,Summary!E$9,Raw!$E:$E,"&lt;&gt;Pass")</f>
        <v>0</v>
      </c>
      <c r="F16" s="21">
        <f>E16/E$10</f>
        <v>0</v>
      </c>
      <c r="G16" s="20">
        <f>COUNTIFS(Raw!$C:$C,Summary!G$9,Raw!$E:$E,"&lt;&gt;Pass")</f>
        <v>0</v>
      </c>
      <c r="H16" s="21">
        <f>G16/G$10</f>
        <v>0</v>
      </c>
      <c r="I16" s="20">
        <f>COUNTIFS(Raw!$C:$C,Summary!I$9,Raw!$E:$E,"&lt;&gt;Pass")</f>
        <v>5</v>
      </c>
      <c r="J16" s="21">
        <f>I16/I$10</f>
        <v>0.7142857142857143</v>
      </c>
      <c r="K16" s="20">
        <f>COUNTIFS(Raw!$C:$C,Summary!K$9,Raw!$E:$E,"&lt;&gt;Pass")</f>
        <v>1</v>
      </c>
      <c r="L16" s="21">
        <f>K16/K10</f>
        <v>6.6666666666666666E-2</v>
      </c>
      <c r="M16" s="2"/>
    </row>
    <row r="17" spans="2:13" x14ac:dyDescent="0.3">
      <c r="B17" s="22" t="s">
        <v>246</v>
      </c>
      <c r="C17" s="23"/>
      <c r="D17" s="24"/>
      <c r="E17" s="23"/>
      <c r="F17" s="24"/>
      <c r="G17" s="23"/>
      <c r="H17" s="24"/>
      <c r="I17" s="23"/>
      <c r="J17" s="24"/>
      <c r="K17" s="23"/>
      <c r="L17" s="24"/>
      <c r="M17" s="2"/>
    </row>
    <row r="18" spans="2:13" x14ac:dyDescent="0.3">
      <c r="B18" s="16" t="s">
        <v>244</v>
      </c>
      <c r="C18" s="17">
        <f>SUM(E18+G18+I18+K18)</f>
        <v>28</v>
      </c>
      <c r="D18" s="18">
        <f>C18/C$10</f>
        <v>0.45161290322580644</v>
      </c>
      <c r="E18" s="17">
        <f>COUNTIFS(Raw!$C:$C,Summary!E$9,Raw!$G:$G,"Pass")</f>
        <v>19</v>
      </c>
      <c r="F18" s="18">
        <f>E18/E$10</f>
        <v>1</v>
      </c>
      <c r="G18" s="17">
        <f>COUNTIFS(Raw!$C:$C,Summary!G$9,Raw!$G:$G,"Pass")</f>
        <v>0</v>
      </c>
      <c r="H18" s="18">
        <f>G18/G$10</f>
        <v>0</v>
      </c>
      <c r="I18" s="17">
        <f>COUNTIFS(Raw!$C:$C,Summary!I$9,Raw!$G:$G,"Pass")</f>
        <v>0</v>
      </c>
      <c r="J18" s="18">
        <f>I18/I$10</f>
        <v>0</v>
      </c>
      <c r="K18" s="17">
        <f>COUNTIFS(Raw!$C:$C,Summary!K$9,Raw!$G:$G,"Pass")</f>
        <v>9</v>
      </c>
      <c r="L18" s="18">
        <f>K18/K$10</f>
        <v>0.6</v>
      </c>
      <c r="M18" s="2"/>
    </row>
    <row r="19" spans="2:13" x14ac:dyDescent="0.3">
      <c r="B19" s="19" t="s">
        <v>247</v>
      </c>
      <c r="C19" s="20">
        <f>SUM(E19+G19+I19+K19)</f>
        <v>34</v>
      </c>
      <c r="D19" s="21">
        <f>C19/C$10</f>
        <v>0.54838709677419351</v>
      </c>
      <c r="E19" s="20">
        <f>COUNTIFS(Raw!$C:$C,Summary!E$9,Raw!$G:$G,"&lt;&gt;Pass")</f>
        <v>0</v>
      </c>
      <c r="F19" s="21">
        <f>E19/E$10</f>
        <v>0</v>
      </c>
      <c r="G19" s="20">
        <f>COUNTIFS(Raw!$C:$C,Summary!G$9,Raw!$G:$G,"&lt;&gt;Pass")</f>
        <v>21</v>
      </c>
      <c r="H19" s="21">
        <f>G19/G$10</f>
        <v>1</v>
      </c>
      <c r="I19" s="20">
        <f>COUNTIFS(Raw!$C:$C,Summary!I$9,Raw!$G:$G,"&lt;&gt;Pass")</f>
        <v>7</v>
      </c>
      <c r="J19" s="21">
        <f>I19/I$10</f>
        <v>1</v>
      </c>
      <c r="K19" s="20">
        <f>COUNTIFS(Raw!$C:$C,Summary!K$9,Raw!$G:$G,"&lt;&gt;Pass")</f>
        <v>6</v>
      </c>
      <c r="L19" s="21">
        <f>K19/K$10</f>
        <v>0.4</v>
      </c>
      <c r="M19" s="2"/>
    </row>
    <row r="20" spans="2:13" x14ac:dyDescent="0.3">
      <c r="B20" s="22" t="s">
        <v>248</v>
      </c>
      <c r="C20" s="23"/>
      <c r="D20" s="24"/>
      <c r="E20" s="23"/>
      <c r="F20" s="24"/>
      <c r="G20" s="23"/>
      <c r="H20" s="24"/>
      <c r="I20" s="23"/>
      <c r="J20" s="24"/>
      <c r="K20" s="23"/>
      <c r="L20" s="24"/>
      <c r="M20" s="2"/>
    </row>
    <row r="21" spans="2:13" x14ac:dyDescent="0.3">
      <c r="B21" s="16" t="s">
        <v>244</v>
      </c>
      <c r="C21" s="17">
        <f>SUM(E21+G21+I21+K21)</f>
        <v>24</v>
      </c>
      <c r="D21" s="18">
        <f>C21/C$10</f>
        <v>0.38709677419354838</v>
      </c>
      <c r="E21" s="17">
        <f>COUNTIFS(Raw!$C:$C,Summary!E$9,Raw!$I:$I,"Pass")</f>
        <v>19</v>
      </c>
      <c r="F21" s="18">
        <f>E21/E$10</f>
        <v>1</v>
      </c>
      <c r="G21" s="17">
        <f>COUNTIFS(Raw!$C:$C,Summary!G$9,Raw!$I:$I,"Pass")</f>
        <v>4</v>
      </c>
      <c r="H21" s="18">
        <f>G21/G$10</f>
        <v>0.19047619047619047</v>
      </c>
      <c r="I21" s="17">
        <f>COUNTIFS(Raw!$C:$C,Summary!I$9,Raw!$I:$I,"Pass")</f>
        <v>0</v>
      </c>
      <c r="J21" s="18">
        <f>I21/I$10</f>
        <v>0</v>
      </c>
      <c r="K21" s="17">
        <f>COUNTIFS(Raw!$C:$C,Summary!K$9,Raw!$I:$I,"Pass")</f>
        <v>1</v>
      </c>
      <c r="L21" s="18">
        <f>K21/K$10</f>
        <v>6.6666666666666666E-2</v>
      </c>
      <c r="M21" s="2"/>
    </row>
    <row r="22" spans="2:13" x14ac:dyDescent="0.3">
      <c r="B22" s="19" t="s">
        <v>249</v>
      </c>
      <c r="C22" s="20">
        <f>SUM(E22+G22+I22+K22)</f>
        <v>38</v>
      </c>
      <c r="D22" s="21">
        <f>C22/C$10</f>
        <v>0.61290322580645162</v>
      </c>
      <c r="E22" s="20">
        <f>COUNTIFS(Raw!$C:$C,Summary!E$9,Raw!$I:$I,"&lt;&gt;Pass")</f>
        <v>0</v>
      </c>
      <c r="F22" s="21">
        <f>E22/E$10</f>
        <v>0</v>
      </c>
      <c r="G22" s="20">
        <f>COUNTIFS(Raw!$C:$C,Summary!G$9,Raw!$I:$I,"&lt;&gt;Pass")</f>
        <v>17</v>
      </c>
      <c r="H22" s="21">
        <f>G22/G$10</f>
        <v>0.80952380952380953</v>
      </c>
      <c r="I22" s="20">
        <f>COUNTIFS(Raw!$C:$C,Summary!I$9,Raw!$I:$I,"&lt;&gt;Pass")</f>
        <v>7</v>
      </c>
      <c r="J22" s="21">
        <f>I22/I$10</f>
        <v>1</v>
      </c>
      <c r="K22" s="20">
        <f>COUNTIFS(Raw!$C:$C,Summary!K$9,Raw!$I:$I,"&lt;&gt;Pass")</f>
        <v>14</v>
      </c>
      <c r="L22" s="21">
        <f>K22/K$10</f>
        <v>0.93333333333333335</v>
      </c>
      <c r="M22" s="2"/>
    </row>
    <row r="23" spans="2:13" x14ac:dyDescent="0.3">
      <c r="B23" s="22" t="s">
        <v>250</v>
      </c>
      <c r="C23" s="23"/>
      <c r="D23" s="24"/>
      <c r="E23" s="23"/>
      <c r="F23" s="24"/>
      <c r="G23" s="23"/>
      <c r="H23" s="24"/>
      <c r="I23" s="23"/>
      <c r="J23" s="24"/>
      <c r="K23" s="23"/>
      <c r="L23" s="24"/>
      <c r="M23" s="2"/>
    </row>
    <row r="24" spans="2:13" x14ac:dyDescent="0.3">
      <c r="B24" s="16" t="s">
        <v>244</v>
      </c>
      <c r="C24" s="17">
        <f>SUM(E24+G24+I24+K24)</f>
        <v>8</v>
      </c>
      <c r="D24" s="18">
        <f>C24/C$10</f>
        <v>0.12903225806451613</v>
      </c>
      <c r="E24" s="17">
        <f>COUNTIFS(Raw!$C:$C,Summary!E$9,Raw!$L:$L,"Pass")</f>
        <v>0</v>
      </c>
      <c r="F24" s="18">
        <f>E24/E$10</f>
        <v>0</v>
      </c>
      <c r="G24" s="17">
        <f>COUNTIFS(Raw!$C:$C,Summary!G$9,Raw!$L:$L,"Pass")</f>
        <v>0</v>
      </c>
      <c r="H24" s="18">
        <f>G24/G$10</f>
        <v>0</v>
      </c>
      <c r="I24" s="17">
        <f>COUNTIFS(Raw!$C:$C,Summary!I$9,Raw!$L:$L,"Pass")</f>
        <v>0</v>
      </c>
      <c r="J24" s="18">
        <f>I24/I$10</f>
        <v>0</v>
      </c>
      <c r="K24" s="17">
        <f>COUNTIFS(Raw!$C:$C,Summary!K$9,Raw!$L:$L,"Pass")</f>
        <v>8</v>
      </c>
      <c r="L24" s="18">
        <f>K24/K$10</f>
        <v>0.53333333333333333</v>
      </c>
      <c r="M24" s="2"/>
    </row>
    <row r="25" spans="2:13" x14ac:dyDescent="0.3">
      <c r="B25" s="19" t="s">
        <v>251</v>
      </c>
      <c r="C25" s="20">
        <f>SUM(E25+G25+I25+K25)</f>
        <v>54</v>
      </c>
      <c r="D25" s="21">
        <f>C25/C$10</f>
        <v>0.87096774193548387</v>
      </c>
      <c r="E25" s="20">
        <f>COUNTIFS(Raw!$C:$C,Summary!E$9,Raw!$L:$L,"&lt;&gt;Pass")</f>
        <v>19</v>
      </c>
      <c r="F25" s="21">
        <f>E25/E$10</f>
        <v>1</v>
      </c>
      <c r="G25" s="20">
        <f>COUNTIFS(Raw!$C:$C,Summary!G$9,Raw!$L:$L,"&lt;&gt;Pass")</f>
        <v>21</v>
      </c>
      <c r="H25" s="21">
        <f>G25/G$10</f>
        <v>1</v>
      </c>
      <c r="I25" s="20">
        <f>COUNTIFS(Raw!$C:$C,Summary!I$9,Raw!$L:$L,"&lt;&gt;Pass")</f>
        <v>7</v>
      </c>
      <c r="J25" s="21">
        <f>I25/I$10</f>
        <v>1</v>
      </c>
      <c r="K25" s="20">
        <f>COUNTIFS(Raw!$C:$C,Summary!K$9,Raw!$L:$L,"&lt;&gt;Pass")</f>
        <v>7</v>
      </c>
      <c r="L25" s="21">
        <f>K25/K$10</f>
        <v>0.46666666666666667</v>
      </c>
      <c r="M25" s="2"/>
    </row>
    <row r="26" spans="2:13" x14ac:dyDescent="0.3">
      <c r="B26" s="22" t="s">
        <v>252</v>
      </c>
      <c r="C26" s="23"/>
      <c r="D26" s="24"/>
      <c r="E26" s="23"/>
      <c r="F26" s="24"/>
      <c r="G26" s="23"/>
      <c r="H26" s="24"/>
      <c r="I26" s="23"/>
      <c r="J26" s="24"/>
      <c r="K26" s="23"/>
      <c r="L26" s="24"/>
      <c r="M26" s="2"/>
    </row>
    <row r="27" spans="2:13" x14ac:dyDescent="0.3">
      <c r="B27" s="16" t="s">
        <v>244</v>
      </c>
      <c r="C27" s="17">
        <f>SUM(E27+G27+I27+K27)</f>
        <v>58</v>
      </c>
      <c r="D27" s="18">
        <f>C27/C$10</f>
        <v>0.93548387096774188</v>
      </c>
      <c r="E27" s="17">
        <f>COUNTIFS(Raw!$C:$C,Summary!E$9,Raw!$N:$N,"Pass")</f>
        <v>19</v>
      </c>
      <c r="F27" s="18">
        <f>E27/E$10</f>
        <v>1</v>
      </c>
      <c r="G27" s="17">
        <f>COUNTIFS(Raw!$C:$C,Summary!G$9,Raw!$N:$N,"Pass")</f>
        <v>21</v>
      </c>
      <c r="H27" s="18">
        <f>G27/G$10</f>
        <v>1</v>
      </c>
      <c r="I27" s="17">
        <f>COUNTIFS(Raw!$C:$C,Summary!I$9,Raw!$N:$N,"Pass")</f>
        <v>4</v>
      </c>
      <c r="J27" s="18">
        <f>I27/I$10</f>
        <v>0.5714285714285714</v>
      </c>
      <c r="K27" s="17">
        <f>COUNTIFS(Raw!$C:$C,Summary!K$9,Raw!$N:$N,"Pass")</f>
        <v>14</v>
      </c>
      <c r="L27" s="18">
        <f>K27/K$10</f>
        <v>0.93333333333333335</v>
      </c>
      <c r="M27" s="2"/>
    </row>
    <row r="28" spans="2:13" x14ac:dyDescent="0.3">
      <c r="B28" s="19" t="s">
        <v>253</v>
      </c>
      <c r="C28" s="20">
        <f>SUM(E28+G28+I28+K28)</f>
        <v>4</v>
      </c>
      <c r="D28" s="21">
        <f>C28/C$10</f>
        <v>6.4516129032258063E-2</v>
      </c>
      <c r="E28" s="20">
        <f>COUNTIFS(Raw!$C:$C,Summary!E$9,Raw!$N:$N,"&lt;&gt;Pass")</f>
        <v>0</v>
      </c>
      <c r="F28" s="21">
        <f>E28/E$10</f>
        <v>0</v>
      </c>
      <c r="G28" s="20">
        <f>COUNTIFS(Raw!$C:$C,Summary!G$9,Raw!$N:$N,"&lt;&gt;Pass")</f>
        <v>0</v>
      </c>
      <c r="H28" s="21">
        <f>G28/G$10</f>
        <v>0</v>
      </c>
      <c r="I28" s="20">
        <f>COUNTIFS(Raw!$C:$C,Summary!I$9,Raw!$N:$N,"&lt;&gt;Pass")</f>
        <v>3</v>
      </c>
      <c r="J28" s="21">
        <f>I28/I$10</f>
        <v>0.42857142857142855</v>
      </c>
      <c r="K28" s="20">
        <f>COUNTIFS(Raw!$C:$C,Summary!K$9,Raw!$N:$N,"&lt;&gt;Pass")</f>
        <v>1</v>
      </c>
      <c r="L28" s="21">
        <f>K28/K$10</f>
        <v>6.6666666666666666E-2</v>
      </c>
      <c r="M28" s="2"/>
    </row>
    <row r="29" spans="2:13" x14ac:dyDescent="0.3">
      <c r="B29" s="22" t="s">
        <v>254</v>
      </c>
      <c r="C29" s="23"/>
      <c r="D29" s="24"/>
      <c r="E29" s="23"/>
      <c r="F29" s="24"/>
      <c r="G29" s="23"/>
      <c r="H29" s="24"/>
      <c r="I29" s="23"/>
      <c r="J29" s="24"/>
      <c r="K29" s="23"/>
      <c r="L29" s="24"/>
      <c r="M29" s="2"/>
    </row>
    <row r="30" spans="2:13" x14ac:dyDescent="0.3">
      <c r="B30" s="16" t="s">
        <v>244</v>
      </c>
      <c r="C30" s="17">
        <f>SUM(E30+G30+I30+K30)</f>
        <v>21</v>
      </c>
      <c r="D30" s="18">
        <f>C30/C$10</f>
        <v>0.33870967741935482</v>
      </c>
      <c r="E30" s="17">
        <f>COUNTIFS(Raw!$C:$C,Summary!E$9,Raw!$Y:$Y,"Pass")</f>
        <v>19</v>
      </c>
      <c r="F30" s="18">
        <f>E30/E$10</f>
        <v>1</v>
      </c>
      <c r="G30" s="17">
        <f>COUNTIFS(Raw!$C:$C,Summary!G$9,Raw!$Y:$Y,"Pass")</f>
        <v>2</v>
      </c>
      <c r="H30" s="18">
        <f>G30/G$10</f>
        <v>9.5238095238095233E-2</v>
      </c>
      <c r="I30" s="17">
        <f>COUNTIFS(Raw!$C:$C,Summary!I$9,Raw!$Y:$Y,"Pass")</f>
        <v>0</v>
      </c>
      <c r="J30" s="18">
        <f>I30/I$10</f>
        <v>0</v>
      </c>
      <c r="K30" s="17">
        <f>COUNTIFS(Raw!$C:$C,Summary!K$9,Raw!$Y:$Y,"Pass")</f>
        <v>0</v>
      </c>
      <c r="L30" s="18">
        <f>K30/K$10</f>
        <v>0</v>
      </c>
      <c r="M30" s="2"/>
    </row>
    <row r="31" spans="2:13" x14ac:dyDescent="0.3">
      <c r="B31" s="19" t="s">
        <v>255</v>
      </c>
      <c r="C31" s="20">
        <f>SUM(E31+G31+I31+K31)</f>
        <v>41</v>
      </c>
      <c r="D31" s="21">
        <f>C31/C$10</f>
        <v>0.66129032258064513</v>
      </c>
      <c r="E31" s="20">
        <f>COUNTIFS(Raw!$C:$C,Summary!E$9,Raw!$Y:$Y,"&lt;&gt;Pass")</f>
        <v>0</v>
      </c>
      <c r="F31" s="21">
        <f>E31/E$10</f>
        <v>0</v>
      </c>
      <c r="G31" s="20">
        <f>COUNTIFS(Raw!$C:$C,Summary!G$9,Raw!$Y:$Y,"&lt;&gt;Pass")</f>
        <v>19</v>
      </c>
      <c r="H31" s="21">
        <f>G31/G$10</f>
        <v>0.90476190476190477</v>
      </c>
      <c r="I31" s="20">
        <f>COUNTIFS(Raw!$C:$C,Summary!I$9,Raw!$Y:$Y,"&lt;&gt;Pass")</f>
        <v>7</v>
      </c>
      <c r="J31" s="21">
        <f>I31/I$10</f>
        <v>1</v>
      </c>
      <c r="K31" s="20">
        <f>COUNTIFS(Raw!$C:$C,Summary!K$9,Raw!$Y:$Y,"&lt;&gt;Pass")</f>
        <v>15</v>
      </c>
      <c r="L31" s="21">
        <f>K31/K$10</f>
        <v>1</v>
      </c>
      <c r="M31" s="2"/>
    </row>
    <row r="32" spans="2:13" x14ac:dyDescent="0.3">
      <c r="B32" s="22" t="s">
        <v>256</v>
      </c>
      <c r="C32" s="23"/>
      <c r="D32" s="24"/>
      <c r="E32" s="23"/>
      <c r="F32" s="24"/>
      <c r="G32" s="25"/>
      <c r="H32" s="26"/>
      <c r="I32" s="25"/>
      <c r="J32" s="26"/>
      <c r="K32" s="23"/>
      <c r="L32" s="24"/>
      <c r="M32" s="2"/>
    </row>
    <row r="33" spans="2:14" x14ac:dyDescent="0.3">
      <c r="B33" s="16" t="s">
        <v>244</v>
      </c>
      <c r="C33" s="17">
        <f>SUM(E33+G33+I33+K33)</f>
        <v>0</v>
      </c>
      <c r="D33" s="18">
        <f>C33/C$10</f>
        <v>0</v>
      </c>
      <c r="E33" s="17">
        <f>COUNTIFS(Raw!$C:$C,Summary!E$9,Raw!$AK:$AK,"Pass")</f>
        <v>0</v>
      </c>
      <c r="F33" s="18">
        <f>E33/E$10</f>
        <v>0</v>
      </c>
      <c r="G33" s="17">
        <f>COUNTIFS(Raw!$C:$C,Summary!G$9,Raw!$AK:$AK,"Pass")</f>
        <v>0</v>
      </c>
      <c r="H33" s="18">
        <f>G33/G$10</f>
        <v>0</v>
      </c>
      <c r="I33" s="17">
        <f>COUNTIFS(Raw!$C:$C,Summary!I$9,Raw!$AK:$AK,"Pass")</f>
        <v>0</v>
      </c>
      <c r="J33" s="18">
        <f>I33/I$10</f>
        <v>0</v>
      </c>
      <c r="K33" s="17">
        <f>COUNTIFS(Raw!$C:$C,Summary!K$9,Raw!$AK:$AK,"Pass")</f>
        <v>0</v>
      </c>
      <c r="L33" s="18">
        <f>K33/K$10</f>
        <v>0</v>
      </c>
      <c r="M33" s="2"/>
    </row>
    <row r="34" spans="2:14" x14ac:dyDescent="0.3">
      <c r="B34" s="19" t="s">
        <v>251</v>
      </c>
      <c r="C34" s="20">
        <f>SUM(E34+G34+I34+K34)</f>
        <v>62</v>
      </c>
      <c r="D34" s="21">
        <f>C34/C$10</f>
        <v>1</v>
      </c>
      <c r="E34" s="20">
        <f>COUNTIFS(Raw!$C:$C,Summary!E$9,Raw!$AK:$AK,"&lt;&gt;Pass")</f>
        <v>19</v>
      </c>
      <c r="F34" s="21">
        <f>E34/E$10</f>
        <v>1</v>
      </c>
      <c r="G34" s="20">
        <f>COUNTIFS(Raw!$C:$C,Summary!G$9,Raw!$AK:$AK,"&lt;&gt;Pass")</f>
        <v>21</v>
      </c>
      <c r="H34" s="21">
        <f>G34/G$10</f>
        <v>1</v>
      </c>
      <c r="I34" s="20">
        <f>COUNTIFS(Raw!$C:$C,Summary!I$9,Raw!$AK:$AK,"&lt;&gt;Pass")</f>
        <v>7</v>
      </c>
      <c r="J34" s="21">
        <f>I34/I$10</f>
        <v>1</v>
      </c>
      <c r="K34" s="20">
        <f>COUNTIFS(Raw!$C:$C,Summary!K$9,Raw!$AK:$AK,"&lt;&gt;Pass")</f>
        <v>15</v>
      </c>
      <c r="L34" s="21">
        <f>K34/K$10</f>
        <v>1</v>
      </c>
      <c r="M34" s="2"/>
    </row>
    <row r="35" spans="2:14" x14ac:dyDescent="0.3"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</row>
    <row r="36" spans="2:14" x14ac:dyDescent="0.3"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</row>
    <row r="37" spans="2:14" x14ac:dyDescent="0.3"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</row>
  </sheetData>
  <mergeCells count="10">
    <mergeCell ref="C10:D10"/>
    <mergeCell ref="E10:F10"/>
    <mergeCell ref="G10:H10"/>
    <mergeCell ref="I10:J10"/>
    <mergeCell ref="K10:L10"/>
    <mergeCell ref="C9:D9"/>
    <mergeCell ref="E9:F9"/>
    <mergeCell ref="G9:H9"/>
    <mergeCell ref="I9:J9"/>
    <mergeCell ref="K9:L9"/>
  </mergeCells>
  <phoneticPr fontId="2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B7716-9A9D-4814-A8AE-265B739A22B0}">
  <sheetPr>
    <tabColor theme="5"/>
  </sheetPr>
  <dimension ref="A1:AG64"/>
  <sheetViews>
    <sheetView tabSelected="1" workbookViewId="0">
      <pane xSplit="1" ySplit="1" topLeftCell="F32" activePane="bottomRight" state="frozen"/>
      <selection pane="topRight" activeCell="B1" sqref="B1"/>
      <selection pane="bottomLeft" activeCell="A2" sqref="A2"/>
      <selection pane="bottomRight" activeCell="AG55" sqref="AG55"/>
    </sheetView>
  </sheetViews>
  <sheetFormatPr defaultRowHeight="16.5" x14ac:dyDescent="0.3"/>
  <cols>
    <col min="1" max="1" width="60" style="1" bestFit="1" customWidth="1"/>
    <col min="2" max="2" width="16.75" style="1" customWidth="1"/>
    <col min="3" max="3" width="9" style="1"/>
    <col min="4" max="4" width="13.75" style="33" bestFit="1" customWidth="1"/>
    <col min="5" max="5" width="14.25" style="1" customWidth="1"/>
    <col min="6" max="6" width="25.625" style="1" customWidth="1"/>
    <col min="7" max="7" width="16" style="1" bestFit="1" customWidth="1"/>
    <col min="8" max="8" width="25.625" style="1" customWidth="1"/>
    <col min="9" max="9" width="9" style="1"/>
    <col min="10" max="10" width="21.625" style="1" customWidth="1"/>
    <col min="11" max="11" width="9" style="33"/>
    <col min="12" max="12" width="9" style="1" customWidth="1"/>
    <col min="13" max="24" width="9" style="1"/>
    <col min="25" max="25" width="16.875" style="1" customWidth="1"/>
    <col min="26" max="32" width="9" style="1"/>
    <col min="33" max="33" width="16.875" style="1" customWidth="1"/>
    <col min="34" max="16384" width="9" style="1"/>
  </cols>
  <sheetData>
    <row r="1" spans="1:33" customFormat="1" x14ac:dyDescent="0.3">
      <c r="A1" s="27" t="s">
        <v>415</v>
      </c>
      <c r="B1" s="28" t="s">
        <v>794</v>
      </c>
      <c r="C1" s="27" t="s">
        <v>0</v>
      </c>
      <c r="D1" s="37" t="s">
        <v>1</v>
      </c>
      <c r="E1" s="28" t="s">
        <v>472</v>
      </c>
      <c r="F1" s="27" t="s">
        <v>2</v>
      </c>
      <c r="G1" s="28" t="s">
        <v>260</v>
      </c>
      <c r="H1" s="27" t="s">
        <v>3</v>
      </c>
      <c r="I1" s="28" t="s">
        <v>261</v>
      </c>
      <c r="J1" s="27" t="s">
        <v>4</v>
      </c>
      <c r="K1" s="27" t="s">
        <v>416</v>
      </c>
      <c r="L1" s="28" t="s">
        <v>263</v>
      </c>
      <c r="M1" s="27" t="s">
        <v>5</v>
      </c>
      <c r="N1" s="28" t="s">
        <v>264</v>
      </c>
      <c r="O1" s="27" t="s">
        <v>6</v>
      </c>
      <c r="P1" s="27" t="s">
        <v>7</v>
      </c>
      <c r="Q1" s="27" t="s">
        <v>265</v>
      </c>
      <c r="R1" s="27" t="s">
        <v>8</v>
      </c>
      <c r="S1" s="27" t="s">
        <v>280</v>
      </c>
      <c r="T1" s="27" t="s">
        <v>9</v>
      </c>
      <c r="U1" s="27" t="s">
        <v>10</v>
      </c>
      <c r="V1" s="27" t="s">
        <v>11</v>
      </c>
      <c r="W1" s="27" t="s">
        <v>12</v>
      </c>
      <c r="X1" s="27" t="s">
        <v>13</v>
      </c>
      <c r="Y1" s="28" t="s">
        <v>473</v>
      </c>
      <c r="Z1" s="27" t="s">
        <v>470</v>
      </c>
      <c r="AA1" s="27" t="s">
        <v>464</v>
      </c>
      <c r="AB1" s="27" t="s">
        <v>463</v>
      </c>
      <c r="AC1" s="27" t="s">
        <v>462</v>
      </c>
      <c r="AD1" s="27" t="s">
        <v>461</v>
      </c>
      <c r="AE1" s="27" t="s">
        <v>471</v>
      </c>
      <c r="AF1" s="27" t="s">
        <v>705</v>
      </c>
      <c r="AG1" s="28" t="s">
        <v>270</v>
      </c>
    </row>
    <row r="2" spans="1:33" ht="22.5" x14ac:dyDescent="0.3">
      <c r="A2" s="29" t="s">
        <v>477</v>
      </c>
      <c r="B2" s="31" t="s">
        <v>796</v>
      </c>
      <c r="C2" s="29" t="s">
        <v>15</v>
      </c>
      <c r="D2" s="38">
        <v>200</v>
      </c>
      <c r="E2" s="31" t="s">
        <v>796</v>
      </c>
      <c r="F2" s="29" t="s">
        <v>808</v>
      </c>
      <c r="G2" s="31" t="s">
        <v>796</v>
      </c>
      <c r="H2" s="29" t="s">
        <v>479</v>
      </c>
      <c r="I2" s="31" t="s">
        <v>796</v>
      </c>
      <c r="J2" s="29"/>
      <c r="K2" s="29"/>
      <c r="L2" s="31" t="s">
        <v>807</v>
      </c>
      <c r="M2" s="29" t="s">
        <v>477</v>
      </c>
      <c r="N2" s="31" t="s">
        <v>796</v>
      </c>
      <c r="O2" s="29" t="s">
        <v>478</v>
      </c>
      <c r="P2" s="29" t="s">
        <v>479</v>
      </c>
      <c r="Q2" s="29" t="s">
        <v>18</v>
      </c>
      <c r="R2" s="29" t="s">
        <v>480</v>
      </c>
      <c r="S2" s="29" t="s">
        <v>481</v>
      </c>
      <c r="T2" s="29" t="s">
        <v>482</v>
      </c>
      <c r="U2" s="29" t="s">
        <v>477</v>
      </c>
      <c r="V2" s="29" t="s">
        <v>478</v>
      </c>
      <c r="W2" s="29" t="s">
        <v>479</v>
      </c>
      <c r="X2" s="29" t="s">
        <v>20</v>
      </c>
      <c r="Y2" s="32" t="s">
        <v>814</v>
      </c>
      <c r="Z2" s="29" t="s">
        <v>271</v>
      </c>
      <c r="AA2" s="29" t="s">
        <v>272</v>
      </c>
      <c r="AB2" s="29" t="s">
        <v>273</v>
      </c>
      <c r="AC2" s="29" t="s">
        <v>337</v>
      </c>
      <c r="AD2" s="29" t="s">
        <v>338</v>
      </c>
      <c r="AE2" s="29"/>
      <c r="AF2" s="29"/>
      <c r="AG2" s="31" t="s">
        <v>796</v>
      </c>
    </row>
    <row r="3" spans="1:33" ht="22.5" x14ac:dyDescent="0.3">
      <c r="A3" s="29" t="s">
        <v>736</v>
      </c>
      <c r="B3" s="32" t="s">
        <v>805</v>
      </c>
      <c r="C3" s="29" t="s">
        <v>231</v>
      </c>
      <c r="D3" s="38">
        <v>200</v>
      </c>
      <c r="E3" s="31" t="s">
        <v>796</v>
      </c>
      <c r="F3" s="29" t="s">
        <v>737</v>
      </c>
      <c r="G3" s="32" t="s">
        <v>809</v>
      </c>
      <c r="H3" s="29"/>
      <c r="I3" s="31" t="s">
        <v>807</v>
      </c>
      <c r="J3" s="29"/>
      <c r="K3" s="29"/>
      <c r="L3" s="31" t="s">
        <v>807</v>
      </c>
      <c r="M3" s="29" t="s">
        <v>736</v>
      </c>
      <c r="N3" s="31" t="s">
        <v>796</v>
      </c>
      <c r="O3" s="29" t="s">
        <v>737</v>
      </c>
      <c r="P3" s="29" t="s">
        <v>479</v>
      </c>
      <c r="Q3" s="29" t="s">
        <v>547</v>
      </c>
      <c r="R3" s="29" t="s">
        <v>480</v>
      </c>
      <c r="S3" s="29" t="s">
        <v>481</v>
      </c>
      <c r="T3" s="29" t="s">
        <v>482</v>
      </c>
      <c r="U3" s="29" t="s">
        <v>736</v>
      </c>
      <c r="V3" s="29" t="s">
        <v>737</v>
      </c>
      <c r="W3" s="29" t="s">
        <v>479</v>
      </c>
      <c r="X3" s="29" t="s">
        <v>20</v>
      </c>
      <c r="Y3" s="32" t="s">
        <v>814</v>
      </c>
      <c r="Z3" s="29"/>
      <c r="AA3" s="29"/>
      <c r="AB3" s="29"/>
      <c r="AC3" s="29"/>
      <c r="AD3" s="29"/>
      <c r="AE3" s="29"/>
      <c r="AF3" s="29"/>
      <c r="AG3" s="31" t="s">
        <v>796</v>
      </c>
    </row>
    <row r="4" spans="1:33" ht="22.5" x14ac:dyDescent="0.3">
      <c r="A4" s="29" t="s">
        <v>666</v>
      </c>
      <c r="B4" s="31" t="s">
        <v>796</v>
      </c>
      <c r="C4" s="29" t="s">
        <v>231</v>
      </c>
      <c r="D4" s="38">
        <v>200</v>
      </c>
      <c r="E4" s="31" t="s">
        <v>796</v>
      </c>
      <c r="F4" s="29" t="s">
        <v>233</v>
      </c>
      <c r="G4" s="32" t="s">
        <v>809</v>
      </c>
      <c r="H4" s="29"/>
      <c r="I4" s="31" t="s">
        <v>807</v>
      </c>
      <c r="J4" s="29" t="s">
        <v>667</v>
      </c>
      <c r="K4" s="29">
        <v>1</v>
      </c>
      <c r="L4" s="32" t="s">
        <v>813</v>
      </c>
      <c r="M4" s="29" t="s">
        <v>666</v>
      </c>
      <c r="N4" s="31" t="s">
        <v>796</v>
      </c>
      <c r="O4" s="29" t="s">
        <v>233</v>
      </c>
      <c r="P4" s="29" t="s">
        <v>479</v>
      </c>
      <c r="Q4" s="29" t="s">
        <v>18</v>
      </c>
      <c r="R4" s="29" t="s">
        <v>480</v>
      </c>
      <c r="S4" s="29" t="s">
        <v>481</v>
      </c>
      <c r="T4" s="29" t="s">
        <v>482</v>
      </c>
      <c r="U4" s="29" t="s">
        <v>666</v>
      </c>
      <c r="V4" s="29" t="s">
        <v>233</v>
      </c>
      <c r="W4" s="29" t="s">
        <v>479</v>
      </c>
      <c r="X4" s="29" t="s">
        <v>20</v>
      </c>
      <c r="Y4" s="32" t="s">
        <v>814</v>
      </c>
      <c r="Z4" s="29" t="s">
        <v>271</v>
      </c>
      <c r="AA4" s="29" t="s">
        <v>272</v>
      </c>
      <c r="AB4" s="29" t="s">
        <v>273</v>
      </c>
      <c r="AC4" s="29"/>
      <c r="AD4" s="29"/>
      <c r="AE4" s="29"/>
      <c r="AF4" s="29"/>
      <c r="AG4" s="31" t="s">
        <v>796</v>
      </c>
    </row>
    <row r="5" spans="1:33" ht="22.5" x14ac:dyDescent="0.3">
      <c r="A5" s="29" t="s">
        <v>567</v>
      </c>
      <c r="B5" s="31" t="s">
        <v>796</v>
      </c>
      <c r="C5" s="29" t="s">
        <v>42</v>
      </c>
      <c r="D5" s="38">
        <v>200</v>
      </c>
      <c r="E5" s="31" t="s">
        <v>796</v>
      </c>
      <c r="F5" s="29" t="s">
        <v>568</v>
      </c>
      <c r="G5" s="32" t="s">
        <v>809</v>
      </c>
      <c r="H5" s="29"/>
      <c r="I5" s="31" t="s">
        <v>807</v>
      </c>
      <c r="J5" s="29"/>
      <c r="K5" s="29">
        <v>5</v>
      </c>
      <c r="L5" s="31" t="s">
        <v>812</v>
      </c>
      <c r="M5" s="29" t="s">
        <v>567</v>
      </c>
      <c r="N5" s="31" t="s">
        <v>796</v>
      </c>
      <c r="O5" s="29" t="s">
        <v>568</v>
      </c>
      <c r="P5" s="29" t="s">
        <v>479</v>
      </c>
      <c r="Q5" s="29" t="s">
        <v>18</v>
      </c>
      <c r="R5" s="29" t="s">
        <v>480</v>
      </c>
      <c r="S5" s="29" t="s">
        <v>481</v>
      </c>
      <c r="T5" s="29" t="s">
        <v>482</v>
      </c>
      <c r="U5" s="29" t="s">
        <v>567</v>
      </c>
      <c r="V5" s="29" t="s">
        <v>568</v>
      </c>
      <c r="W5" s="29" t="s">
        <v>479</v>
      </c>
      <c r="X5" s="29" t="s">
        <v>20</v>
      </c>
      <c r="Y5" s="32" t="s">
        <v>814</v>
      </c>
      <c r="Z5" s="29" t="s">
        <v>271</v>
      </c>
      <c r="AA5" s="29" t="s">
        <v>272</v>
      </c>
      <c r="AB5" s="29" t="s">
        <v>273</v>
      </c>
      <c r="AC5" s="29"/>
      <c r="AD5" s="29"/>
      <c r="AE5" s="29"/>
      <c r="AF5" s="29"/>
      <c r="AG5" s="31" t="s">
        <v>796</v>
      </c>
    </row>
    <row r="6" spans="1:33" ht="22.5" x14ac:dyDescent="0.3">
      <c r="A6" s="29" t="s">
        <v>687</v>
      </c>
      <c r="B6" s="31" t="s">
        <v>796</v>
      </c>
      <c r="C6" s="29" t="s">
        <v>42</v>
      </c>
      <c r="D6" s="38">
        <v>200</v>
      </c>
      <c r="E6" s="31" t="s">
        <v>796</v>
      </c>
      <c r="F6" s="29" t="s">
        <v>688</v>
      </c>
      <c r="G6" s="32" t="s">
        <v>809</v>
      </c>
      <c r="H6" s="29" t="s">
        <v>689</v>
      </c>
      <c r="I6" s="31" t="s">
        <v>796</v>
      </c>
      <c r="J6" s="29"/>
      <c r="K6" s="29">
        <v>5</v>
      </c>
      <c r="L6" s="31" t="s">
        <v>812</v>
      </c>
      <c r="M6" s="29" t="s">
        <v>687</v>
      </c>
      <c r="N6" s="31" t="s">
        <v>796</v>
      </c>
      <c r="O6" s="29" t="s">
        <v>688</v>
      </c>
      <c r="P6" s="29" t="s">
        <v>689</v>
      </c>
      <c r="Q6" s="29" t="s">
        <v>18</v>
      </c>
      <c r="R6" s="29" t="s">
        <v>480</v>
      </c>
      <c r="S6" s="29" t="s">
        <v>481</v>
      </c>
      <c r="T6" s="29" t="s">
        <v>482</v>
      </c>
      <c r="U6" s="29" t="s">
        <v>687</v>
      </c>
      <c r="V6" s="29" t="s">
        <v>688</v>
      </c>
      <c r="W6" s="29" t="s">
        <v>689</v>
      </c>
      <c r="X6" s="29" t="s">
        <v>20</v>
      </c>
      <c r="Y6" s="31" t="s">
        <v>796</v>
      </c>
      <c r="Z6" s="29" t="s">
        <v>271</v>
      </c>
      <c r="AA6" s="29" t="s">
        <v>272</v>
      </c>
      <c r="AB6" s="29" t="s">
        <v>273</v>
      </c>
      <c r="AC6" s="29"/>
      <c r="AD6" s="29"/>
      <c r="AE6" s="29"/>
      <c r="AF6" s="29"/>
      <c r="AG6" s="31" t="s">
        <v>796</v>
      </c>
    </row>
    <row r="7" spans="1:33" ht="22.5" x14ac:dyDescent="0.3">
      <c r="A7" s="29" t="s">
        <v>519</v>
      </c>
      <c r="B7" s="31" t="s">
        <v>796</v>
      </c>
      <c r="C7" s="29" t="s">
        <v>42</v>
      </c>
      <c r="D7" s="38">
        <v>200</v>
      </c>
      <c r="E7" s="31" t="s">
        <v>796</v>
      </c>
      <c r="F7" s="29" t="s">
        <v>520</v>
      </c>
      <c r="G7" s="32" t="s">
        <v>809</v>
      </c>
      <c r="H7" s="29"/>
      <c r="I7" s="31" t="s">
        <v>807</v>
      </c>
      <c r="J7" s="29"/>
      <c r="K7" s="29">
        <v>5</v>
      </c>
      <c r="L7" s="31" t="s">
        <v>812</v>
      </c>
      <c r="M7" s="29" t="s">
        <v>519</v>
      </c>
      <c r="N7" s="31" t="s">
        <v>796</v>
      </c>
      <c r="O7" s="29" t="s">
        <v>520</v>
      </c>
      <c r="P7" s="29" t="s">
        <v>479</v>
      </c>
      <c r="Q7" s="29" t="s">
        <v>18</v>
      </c>
      <c r="R7" s="29" t="s">
        <v>480</v>
      </c>
      <c r="S7" s="29" t="s">
        <v>481</v>
      </c>
      <c r="T7" s="29" t="s">
        <v>482</v>
      </c>
      <c r="U7" s="29" t="s">
        <v>519</v>
      </c>
      <c r="V7" s="29" t="s">
        <v>520</v>
      </c>
      <c r="W7" s="29" t="s">
        <v>479</v>
      </c>
      <c r="X7" s="29" t="s">
        <v>20</v>
      </c>
      <c r="Y7" s="32" t="s">
        <v>814</v>
      </c>
      <c r="Z7" s="29" t="s">
        <v>271</v>
      </c>
      <c r="AA7" s="29" t="s">
        <v>272</v>
      </c>
      <c r="AB7" s="29" t="s">
        <v>273</v>
      </c>
      <c r="AC7" s="29"/>
      <c r="AD7" s="29"/>
      <c r="AE7" s="29"/>
      <c r="AF7" s="29"/>
      <c r="AG7" s="31" t="s">
        <v>796</v>
      </c>
    </row>
    <row r="8" spans="1:33" ht="33.75" x14ac:dyDescent="0.3">
      <c r="A8" s="29" t="s">
        <v>673</v>
      </c>
      <c r="B8" s="32" t="s">
        <v>805</v>
      </c>
      <c r="C8" s="29" t="s">
        <v>42</v>
      </c>
      <c r="D8" s="38">
        <v>200</v>
      </c>
      <c r="E8" s="31" t="s">
        <v>796</v>
      </c>
      <c r="F8" s="29" t="s">
        <v>674</v>
      </c>
      <c r="G8" s="32" t="s">
        <v>811</v>
      </c>
      <c r="H8" s="29" t="s">
        <v>675</v>
      </c>
      <c r="I8" s="31" t="s">
        <v>796</v>
      </c>
      <c r="J8" s="29"/>
      <c r="K8" s="29">
        <v>5</v>
      </c>
      <c r="L8" s="31" t="s">
        <v>812</v>
      </c>
      <c r="M8" s="29" t="s">
        <v>673</v>
      </c>
      <c r="N8" s="31" t="s">
        <v>796</v>
      </c>
      <c r="O8" s="29" t="s">
        <v>674</v>
      </c>
      <c r="P8" s="29" t="s">
        <v>675</v>
      </c>
      <c r="Q8" s="29" t="s">
        <v>18</v>
      </c>
      <c r="R8" s="29" t="s">
        <v>480</v>
      </c>
      <c r="S8" s="29" t="s">
        <v>481</v>
      </c>
      <c r="T8" s="29" t="s">
        <v>482</v>
      </c>
      <c r="U8" s="29" t="s">
        <v>673</v>
      </c>
      <c r="V8" s="29" t="s">
        <v>674</v>
      </c>
      <c r="W8" s="29" t="s">
        <v>675</v>
      </c>
      <c r="X8" s="29" t="s">
        <v>20</v>
      </c>
      <c r="Y8" s="32" t="s">
        <v>814</v>
      </c>
      <c r="Z8" s="29" t="s">
        <v>271</v>
      </c>
      <c r="AA8" s="29" t="s">
        <v>272</v>
      </c>
      <c r="AB8" s="29" t="s">
        <v>273</v>
      </c>
      <c r="AC8" s="29"/>
      <c r="AD8" s="29"/>
      <c r="AE8" s="29"/>
      <c r="AF8" s="29"/>
      <c r="AG8" s="31" t="s">
        <v>796</v>
      </c>
    </row>
    <row r="9" spans="1:33" ht="22.5" x14ac:dyDescent="0.3">
      <c r="A9" s="29" t="s">
        <v>548</v>
      </c>
      <c r="B9" s="31" t="s">
        <v>796</v>
      </c>
      <c r="C9" s="29" t="s">
        <v>42</v>
      </c>
      <c r="D9" s="38">
        <v>200</v>
      </c>
      <c r="E9" s="31" t="s">
        <v>796</v>
      </c>
      <c r="F9" s="29" t="s">
        <v>549</v>
      </c>
      <c r="G9" s="32" t="s">
        <v>809</v>
      </c>
      <c r="H9" s="29"/>
      <c r="I9" s="31" t="s">
        <v>807</v>
      </c>
      <c r="J9" s="29"/>
      <c r="K9" s="29">
        <v>5</v>
      </c>
      <c r="L9" s="31" t="s">
        <v>812</v>
      </c>
      <c r="M9" s="29" t="s">
        <v>548</v>
      </c>
      <c r="N9" s="31" t="s">
        <v>796</v>
      </c>
      <c r="O9" s="29" t="s">
        <v>549</v>
      </c>
      <c r="P9" s="29" t="s">
        <v>479</v>
      </c>
      <c r="Q9" s="29" t="s">
        <v>18</v>
      </c>
      <c r="R9" s="29" t="s">
        <v>480</v>
      </c>
      <c r="S9" s="29" t="s">
        <v>481</v>
      </c>
      <c r="T9" s="29" t="s">
        <v>482</v>
      </c>
      <c r="U9" s="29" t="s">
        <v>548</v>
      </c>
      <c r="V9" s="29" t="s">
        <v>549</v>
      </c>
      <c r="W9" s="29" t="s">
        <v>479</v>
      </c>
      <c r="X9" s="29" t="s">
        <v>20</v>
      </c>
      <c r="Y9" s="32" t="s">
        <v>814</v>
      </c>
      <c r="Z9" s="29" t="s">
        <v>271</v>
      </c>
      <c r="AA9" s="29" t="s">
        <v>272</v>
      </c>
      <c r="AB9" s="29" t="s">
        <v>273</v>
      </c>
      <c r="AC9" s="29"/>
      <c r="AD9" s="29"/>
      <c r="AE9" s="29"/>
      <c r="AF9" s="29"/>
      <c r="AG9" s="31" t="s">
        <v>796</v>
      </c>
    </row>
    <row r="10" spans="1:33" ht="22.5" x14ac:dyDescent="0.3">
      <c r="A10" s="29" t="s">
        <v>489</v>
      </c>
      <c r="B10" s="31" t="s">
        <v>796</v>
      </c>
      <c r="C10" s="29" t="s">
        <v>42</v>
      </c>
      <c r="D10" s="38">
        <v>200</v>
      </c>
      <c r="E10" s="31" t="s">
        <v>796</v>
      </c>
      <c r="F10" s="29" t="s">
        <v>490</v>
      </c>
      <c r="G10" s="32" t="s">
        <v>809</v>
      </c>
      <c r="H10" s="29"/>
      <c r="I10" s="31" t="s">
        <v>807</v>
      </c>
      <c r="J10" s="29"/>
      <c r="K10" s="29">
        <v>5</v>
      </c>
      <c r="L10" s="31" t="s">
        <v>812</v>
      </c>
      <c r="M10" s="29" t="s">
        <v>489</v>
      </c>
      <c r="N10" s="31" t="s">
        <v>796</v>
      </c>
      <c r="O10" s="29" t="s">
        <v>490</v>
      </c>
      <c r="P10" s="29" t="s">
        <v>479</v>
      </c>
      <c r="Q10" s="29" t="s">
        <v>18</v>
      </c>
      <c r="R10" s="29" t="s">
        <v>480</v>
      </c>
      <c r="S10" s="29" t="s">
        <v>481</v>
      </c>
      <c r="T10" s="29" t="s">
        <v>482</v>
      </c>
      <c r="U10" s="29" t="s">
        <v>489</v>
      </c>
      <c r="V10" s="29" t="s">
        <v>490</v>
      </c>
      <c r="W10" s="29" t="s">
        <v>479</v>
      </c>
      <c r="X10" s="29" t="s">
        <v>20</v>
      </c>
      <c r="Y10" s="32" t="s">
        <v>814</v>
      </c>
      <c r="Z10" s="29" t="s">
        <v>271</v>
      </c>
      <c r="AA10" s="29" t="s">
        <v>272</v>
      </c>
      <c r="AB10" s="29" t="s">
        <v>273</v>
      </c>
      <c r="AC10" s="29"/>
      <c r="AD10" s="29"/>
      <c r="AE10" s="29"/>
      <c r="AF10" s="29"/>
      <c r="AG10" s="31" t="s">
        <v>796</v>
      </c>
    </row>
    <row r="11" spans="1:33" ht="22.5" x14ac:dyDescent="0.3">
      <c r="A11" s="29" t="s">
        <v>696</v>
      </c>
      <c r="B11" s="31" t="s">
        <v>796</v>
      </c>
      <c r="C11" s="29" t="s">
        <v>42</v>
      </c>
      <c r="D11" s="38">
        <v>200</v>
      </c>
      <c r="E11" s="31" t="s">
        <v>796</v>
      </c>
      <c r="F11" s="29" t="s">
        <v>697</v>
      </c>
      <c r="G11" s="32" t="s">
        <v>809</v>
      </c>
      <c r="H11" s="29"/>
      <c r="I11" s="31" t="s">
        <v>807</v>
      </c>
      <c r="J11" s="29"/>
      <c r="K11" s="29">
        <v>5</v>
      </c>
      <c r="L11" s="31" t="s">
        <v>812</v>
      </c>
      <c r="M11" s="29" t="s">
        <v>696</v>
      </c>
      <c r="N11" s="31" t="s">
        <v>796</v>
      </c>
      <c r="O11" s="29" t="s">
        <v>697</v>
      </c>
      <c r="P11" s="29" t="s">
        <v>479</v>
      </c>
      <c r="Q11" s="29" t="s">
        <v>18</v>
      </c>
      <c r="R11" s="29" t="s">
        <v>480</v>
      </c>
      <c r="S11" s="29" t="s">
        <v>481</v>
      </c>
      <c r="T11" s="29" t="s">
        <v>482</v>
      </c>
      <c r="U11" s="29" t="s">
        <v>696</v>
      </c>
      <c r="V11" s="29" t="s">
        <v>697</v>
      </c>
      <c r="W11" s="29" t="s">
        <v>479</v>
      </c>
      <c r="X11" s="29" t="s">
        <v>20</v>
      </c>
      <c r="Y11" s="32" t="s">
        <v>814</v>
      </c>
      <c r="Z11" s="29" t="s">
        <v>271</v>
      </c>
      <c r="AA11" s="29" t="s">
        <v>272</v>
      </c>
      <c r="AB11" s="29" t="s">
        <v>273</v>
      </c>
      <c r="AC11" s="29"/>
      <c r="AD11" s="29"/>
      <c r="AE11" s="29"/>
      <c r="AF11" s="29"/>
      <c r="AG11" s="31" t="s">
        <v>796</v>
      </c>
    </row>
    <row r="12" spans="1:33" ht="22.5" x14ac:dyDescent="0.3">
      <c r="A12" s="29" t="s">
        <v>492</v>
      </c>
      <c r="B12" s="31" t="s">
        <v>796</v>
      </c>
      <c r="C12" s="29" t="s">
        <v>42</v>
      </c>
      <c r="D12" s="38">
        <v>200</v>
      </c>
      <c r="E12" s="31" t="s">
        <v>796</v>
      </c>
      <c r="F12" s="29" t="s">
        <v>493</v>
      </c>
      <c r="G12" s="32" t="s">
        <v>809</v>
      </c>
      <c r="H12" s="29"/>
      <c r="I12" s="31" t="s">
        <v>807</v>
      </c>
      <c r="J12" s="29"/>
      <c r="K12" s="29">
        <v>5</v>
      </c>
      <c r="L12" s="31" t="s">
        <v>812</v>
      </c>
      <c r="M12" s="29" t="s">
        <v>492</v>
      </c>
      <c r="N12" s="31" t="s">
        <v>796</v>
      </c>
      <c r="O12" s="29" t="s">
        <v>493</v>
      </c>
      <c r="P12" s="29" t="s">
        <v>479</v>
      </c>
      <c r="Q12" s="29" t="s">
        <v>18</v>
      </c>
      <c r="R12" s="29" t="s">
        <v>480</v>
      </c>
      <c r="S12" s="29" t="s">
        <v>481</v>
      </c>
      <c r="T12" s="29" t="s">
        <v>482</v>
      </c>
      <c r="U12" s="29" t="s">
        <v>492</v>
      </c>
      <c r="V12" s="29" t="s">
        <v>493</v>
      </c>
      <c r="W12" s="29" t="s">
        <v>479</v>
      </c>
      <c r="X12" s="29" t="s">
        <v>20</v>
      </c>
      <c r="Y12" s="32" t="s">
        <v>814</v>
      </c>
      <c r="Z12" s="29" t="s">
        <v>271</v>
      </c>
      <c r="AA12" s="29" t="s">
        <v>272</v>
      </c>
      <c r="AB12" s="29" t="s">
        <v>273</v>
      </c>
      <c r="AC12" s="29"/>
      <c r="AD12" s="29"/>
      <c r="AE12" s="29"/>
      <c r="AF12" s="29"/>
      <c r="AG12" s="31" t="s">
        <v>796</v>
      </c>
    </row>
    <row r="13" spans="1:33" ht="33.75" x14ac:dyDescent="0.3">
      <c r="A13" s="29" t="s">
        <v>668</v>
      </c>
      <c r="B13" s="32" t="s">
        <v>805</v>
      </c>
      <c r="C13" s="29" t="s">
        <v>42</v>
      </c>
      <c r="D13" s="38">
        <v>200</v>
      </c>
      <c r="E13" s="31" t="s">
        <v>796</v>
      </c>
      <c r="F13" s="29" t="s">
        <v>669</v>
      </c>
      <c r="G13" s="32" t="s">
        <v>811</v>
      </c>
      <c r="H13" s="29" t="s">
        <v>670</v>
      </c>
      <c r="I13" s="31" t="s">
        <v>796</v>
      </c>
      <c r="J13" s="29"/>
      <c r="K13" s="29">
        <v>5</v>
      </c>
      <c r="L13" s="31" t="s">
        <v>812</v>
      </c>
      <c r="M13" s="29" t="s">
        <v>668</v>
      </c>
      <c r="N13" s="31" t="s">
        <v>796</v>
      </c>
      <c r="O13" s="29" t="s">
        <v>669</v>
      </c>
      <c r="P13" s="29" t="s">
        <v>670</v>
      </c>
      <c r="Q13" s="29" t="s">
        <v>18</v>
      </c>
      <c r="R13" s="29" t="s">
        <v>480</v>
      </c>
      <c r="S13" s="29" t="s">
        <v>481</v>
      </c>
      <c r="T13" s="29" t="s">
        <v>482</v>
      </c>
      <c r="U13" s="29" t="s">
        <v>668</v>
      </c>
      <c r="V13" s="29" t="s">
        <v>669</v>
      </c>
      <c r="W13" s="29" t="s">
        <v>670</v>
      </c>
      <c r="X13" s="29" t="s">
        <v>20</v>
      </c>
      <c r="Y13" s="32" t="s">
        <v>814</v>
      </c>
      <c r="Z13" s="29" t="s">
        <v>271</v>
      </c>
      <c r="AA13" s="29" t="s">
        <v>272</v>
      </c>
      <c r="AB13" s="29" t="s">
        <v>273</v>
      </c>
      <c r="AC13" s="29"/>
      <c r="AD13" s="29"/>
      <c r="AE13" s="29"/>
      <c r="AF13" s="29"/>
      <c r="AG13" s="31" t="s">
        <v>796</v>
      </c>
    </row>
    <row r="14" spans="1:33" ht="22.5" x14ac:dyDescent="0.3">
      <c r="A14" s="29" t="s">
        <v>527</v>
      </c>
      <c r="B14" s="31" t="s">
        <v>796</v>
      </c>
      <c r="C14" s="29" t="s">
        <v>42</v>
      </c>
      <c r="D14" s="38">
        <v>200</v>
      </c>
      <c r="E14" s="31" t="s">
        <v>796</v>
      </c>
      <c r="F14" s="29" t="s">
        <v>528</v>
      </c>
      <c r="G14" s="32" t="s">
        <v>809</v>
      </c>
      <c r="H14" s="29"/>
      <c r="I14" s="31" t="s">
        <v>807</v>
      </c>
      <c r="J14" s="29"/>
      <c r="K14" s="29">
        <v>5</v>
      </c>
      <c r="L14" s="31" t="s">
        <v>812</v>
      </c>
      <c r="M14" s="29" t="s">
        <v>527</v>
      </c>
      <c r="N14" s="31" t="s">
        <v>796</v>
      </c>
      <c r="O14" s="29" t="s">
        <v>528</v>
      </c>
      <c r="P14" s="29" t="s">
        <v>479</v>
      </c>
      <c r="Q14" s="29" t="s">
        <v>18</v>
      </c>
      <c r="R14" s="29" t="s">
        <v>480</v>
      </c>
      <c r="S14" s="29" t="s">
        <v>481</v>
      </c>
      <c r="T14" s="29" t="s">
        <v>482</v>
      </c>
      <c r="U14" s="29" t="s">
        <v>527</v>
      </c>
      <c r="V14" s="29" t="s">
        <v>528</v>
      </c>
      <c r="W14" s="29" t="s">
        <v>479</v>
      </c>
      <c r="X14" s="29" t="s">
        <v>20</v>
      </c>
      <c r="Y14" s="32" t="s">
        <v>814</v>
      </c>
      <c r="Z14" s="29" t="s">
        <v>271</v>
      </c>
      <c r="AA14" s="29" t="s">
        <v>272</v>
      </c>
      <c r="AB14" s="29" t="s">
        <v>273</v>
      </c>
      <c r="AC14" s="29"/>
      <c r="AD14" s="29"/>
      <c r="AE14" s="29"/>
      <c r="AF14" s="29"/>
      <c r="AG14" s="31" t="s">
        <v>796</v>
      </c>
    </row>
    <row r="15" spans="1:33" ht="22.5" x14ac:dyDescent="0.3">
      <c r="A15" s="29" t="s">
        <v>590</v>
      </c>
      <c r="B15" s="31" t="s">
        <v>796</v>
      </c>
      <c r="C15" s="29" t="s">
        <v>42</v>
      </c>
      <c r="D15" s="38">
        <v>200</v>
      </c>
      <c r="E15" s="31" t="s">
        <v>796</v>
      </c>
      <c r="F15" s="29" t="s">
        <v>591</v>
      </c>
      <c r="G15" s="32" t="s">
        <v>809</v>
      </c>
      <c r="H15" s="29"/>
      <c r="I15" s="31" t="s">
        <v>807</v>
      </c>
      <c r="J15" s="29"/>
      <c r="K15" s="29">
        <v>5</v>
      </c>
      <c r="L15" s="31" t="s">
        <v>812</v>
      </c>
      <c r="M15" s="29" t="s">
        <v>590</v>
      </c>
      <c r="N15" s="31" t="s">
        <v>796</v>
      </c>
      <c r="O15" s="29" t="s">
        <v>591</v>
      </c>
      <c r="P15" s="29" t="s">
        <v>479</v>
      </c>
      <c r="Q15" s="29" t="s">
        <v>18</v>
      </c>
      <c r="R15" s="29" t="s">
        <v>480</v>
      </c>
      <c r="S15" s="29" t="s">
        <v>481</v>
      </c>
      <c r="T15" s="29" t="s">
        <v>482</v>
      </c>
      <c r="U15" s="29" t="s">
        <v>590</v>
      </c>
      <c r="V15" s="29" t="s">
        <v>591</v>
      </c>
      <c r="W15" s="29" t="s">
        <v>479</v>
      </c>
      <c r="X15" s="29" t="s">
        <v>20</v>
      </c>
      <c r="Y15" s="32" t="s">
        <v>814</v>
      </c>
      <c r="Z15" s="29" t="s">
        <v>271</v>
      </c>
      <c r="AA15" s="29" t="s">
        <v>272</v>
      </c>
      <c r="AB15" s="29" t="s">
        <v>273</v>
      </c>
      <c r="AC15" s="29"/>
      <c r="AD15" s="29"/>
      <c r="AE15" s="29"/>
      <c r="AF15" s="29"/>
      <c r="AG15" s="31" t="s">
        <v>796</v>
      </c>
    </row>
    <row r="16" spans="1:33" ht="33.75" x14ac:dyDescent="0.3">
      <c r="A16" s="29" t="s">
        <v>671</v>
      </c>
      <c r="B16" s="31" t="s">
        <v>796</v>
      </c>
      <c r="C16" s="29" t="s">
        <v>42</v>
      </c>
      <c r="D16" s="38">
        <v>200</v>
      </c>
      <c r="E16" s="31" t="s">
        <v>796</v>
      </c>
      <c r="F16" s="29" t="s">
        <v>672</v>
      </c>
      <c r="G16" s="32" t="s">
        <v>811</v>
      </c>
      <c r="H16" s="29"/>
      <c r="I16" s="31" t="s">
        <v>807</v>
      </c>
      <c r="J16" s="29"/>
      <c r="K16" s="29">
        <v>5</v>
      </c>
      <c r="L16" s="31" t="s">
        <v>812</v>
      </c>
      <c r="M16" s="29" t="s">
        <v>671</v>
      </c>
      <c r="N16" s="31" t="s">
        <v>796</v>
      </c>
      <c r="O16" s="29" t="s">
        <v>672</v>
      </c>
      <c r="P16" s="29" t="s">
        <v>479</v>
      </c>
      <c r="Q16" s="29" t="s">
        <v>18</v>
      </c>
      <c r="R16" s="29" t="s">
        <v>480</v>
      </c>
      <c r="S16" s="29" t="s">
        <v>481</v>
      </c>
      <c r="T16" s="29" t="s">
        <v>482</v>
      </c>
      <c r="U16" s="29" t="s">
        <v>671</v>
      </c>
      <c r="V16" s="29" t="s">
        <v>672</v>
      </c>
      <c r="W16" s="29" t="s">
        <v>479</v>
      </c>
      <c r="X16" s="29" t="s">
        <v>20</v>
      </c>
      <c r="Y16" s="32" t="s">
        <v>814</v>
      </c>
      <c r="Z16" s="29" t="s">
        <v>271</v>
      </c>
      <c r="AA16" s="29" t="s">
        <v>272</v>
      </c>
      <c r="AB16" s="29" t="s">
        <v>273</v>
      </c>
      <c r="AC16" s="29"/>
      <c r="AD16" s="29"/>
      <c r="AE16" s="29"/>
      <c r="AF16" s="29"/>
      <c r="AG16" s="31" t="s">
        <v>796</v>
      </c>
    </row>
    <row r="17" spans="1:33" ht="33.75" x14ac:dyDescent="0.3">
      <c r="A17" s="29" t="s">
        <v>677</v>
      </c>
      <c r="B17" s="31" t="s">
        <v>796</v>
      </c>
      <c r="C17" s="29" t="s">
        <v>42</v>
      </c>
      <c r="D17" s="38">
        <v>200</v>
      </c>
      <c r="E17" s="31" t="s">
        <v>796</v>
      </c>
      <c r="F17" s="29" t="s">
        <v>672</v>
      </c>
      <c r="G17" s="32" t="s">
        <v>811</v>
      </c>
      <c r="H17" s="29"/>
      <c r="I17" s="31" t="s">
        <v>807</v>
      </c>
      <c r="J17" s="29"/>
      <c r="K17" s="29">
        <v>5</v>
      </c>
      <c r="L17" s="31" t="s">
        <v>812</v>
      </c>
      <c r="M17" s="29" t="s">
        <v>677</v>
      </c>
      <c r="N17" s="31" t="s">
        <v>796</v>
      </c>
      <c r="O17" s="29" t="s">
        <v>672</v>
      </c>
      <c r="P17" s="29" t="s">
        <v>479</v>
      </c>
      <c r="Q17" s="29" t="s">
        <v>18</v>
      </c>
      <c r="R17" s="29" t="s">
        <v>480</v>
      </c>
      <c r="S17" s="29" t="s">
        <v>481</v>
      </c>
      <c r="T17" s="29" t="s">
        <v>482</v>
      </c>
      <c r="U17" s="29" t="s">
        <v>677</v>
      </c>
      <c r="V17" s="29" t="s">
        <v>672</v>
      </c>
      <c r="W17" s="29" t="s">
        <v>479</v>
      </c>
      <c r="X17" s="29" t="s">
        <v>20</v>
      </c>
      <c r="Y17" s="32" t="s">
        <v>814</v>
      </c>
      <c r="Z17" s="29"/>
      <c r="AA17" s="29"/>
      <c r="AB17" s="29"/>
      <c r="AC17" s="29"/>
      <c r="AD17" s="29"/>
      <c r="AE17" s="29"/>
      <c r="AF17" s="29"/>
      <c r="AG17" s="31" t="s">
        <v>796</v>
      </c>
    </row>
    <row r="18" spans="1:33" ht="22.5" x14ac:dyDescent="0.3">
      <c r="A18" s="29" t="s">
        <v>543</v>
      </c>
      <c r="B18" s="31" t="s">
        <v>796</v>
      </c>
      <c r="C18" s="29" t="s">
        <v>42</v>
      </c>
      <c r="D18" s="38">
        <v>200</v>
      </c>
      <c r="E18" s="31" t="s">
        <v>796</v>
      </c>
      <c r="F18" s="29" t="s">
        <v>544</v>
      </c>
      <c r="G18" s="32" t="s">
        <v>809</v>
      </c>
      <c r="H18" s="29"/>
      <c r="I18" s="31" t="s">
        <v>807</v>
      </c>
      <c r="J18" s="29"/>
      <c r="K18" s="29">
        <v>5</v>
      </c>
      <c r="L18" s="31" t="s">
        <v>812</v>
      </c>
      <c r="M18" s="29" t="s">
        <v>543</v>
      </c>
      <c r="N18" s="31" t="s">
        <v>796</v>
      </c>
      <c r="O18" s="29" t="s">
        <v>544</v>
      </c>
      <c r="P18" s="29" t="s">
        <v>479</v>
      </c>
      <c r="Q18" s="29" t="s">
        <v>18</v>
      </c>
      <c r="R18" s="29" t="s">
        <v>480</v>
      </c>
      <c r="S18" s="29" t="s">
        <v>481</v>
      </c>
      <c r="T18" s="29" t="s">
        <v>482</v>
      </c>
      <c r="U18" s="29" t="s">
        <v>543</v>
      </c>
      <c r="V18" s="29" t="s">
        <v>544</v>
      </c>
      <c r="W18" s="29" t="s">
        <v>479</v>
      </c>
      <c r="X18" s="29" t="s">
        <v>20</v>
      </c>
      <c r="Y18" s="32" t="s">
        <v>814</v>
      </c>
      <c r="Z18" s="29" t="s">
        <v>271</v>
      </c>
      <c r="AA18" s="29" t="s">
        <v>272</v>
      </c>
      <c r="AB18" s="29" t="s">
        <v>273</v>
      </c>
      <c r="AC18" s="29"/>
      <c r="AD18" s="29"/>
      <c r="AE18" s="29"/>
      <c r="AF18" s="29"/>
      <c r="AG18" s="31" t="s">
        <v>796</v>
      </c>
    </row>
    <row r="19" spans="1:33" ht="22.5" x14ac:dyDescent="0.3">
      <c r="A19" s="29" t="s">
        <v>573</v>
      </c>
      <c r="B19" s="31" t="s">
        <v>796</v>
      </c>
      <c r="C19" s="29" t="s">
        <v>42</v>
      </c>
      <c r="D19" s="38">
        <v>200</v>
      </c>
      <c r="E19" s="31" t="s">
        <v>796</v>
      </c>
      <c r="F19" s="29" t="s">
        <v>574</v>
      </c>
      <c r="G19" s="32" t="s">
        <v>809</v>
      </c>
      <c r="H19" s="29" t="s">
        <v>575</v>
      </c>
      <c r="I19" s="31" t="s">
        <v>796</v>
      </c>
      <c r="J19" s="29"/>
      <c r="K19" s="29">
        <v>5</v>
      </c>
      <c r="L19" s="31" t="s">
        <v>812</v>
      </c>
      <c r="M19" s="29" t="s">
        <v>573</v>
      </c>
      <c r="N19" s="31" t="s">
        <v>796</v>
      </c>
      <c r="O19" s="29" t="s">
        <v>574</v>
      </c>
      <c r="P19" s="29" t="s">
        <v>575</v>
      </c>
      <c r="Q19" s="29" t="s">
        <v>18</v>
      </c>
      <c r="R19" s="29" t="s">
        <v>480</v>
      </c>
      <c r="S19" s="29" t="s">
        <v>576</v>
      </c>
      <c r="T19" s="29" t="s">
        <v>577</v>
      </c>
      <c r="U19" s="29" t="s">
        <v>573</v>
      </c>
      <c r="V19" s="29" t="s">
        <v>574</v>
      </c>
      <c r="W19" s="29" t="s">
        <v>575</v>
      </c>
      <c r="X19" s="29" t="s">
        <v>20</v>
      </c>
      <c r="Y19" s="31" t="s">
        <v>796</v>
      </c>
      <c r="Z19" s="29" t="s">
        <v>271</v>
      </c>
      <c r="AA19" s="29" t="s">
        <v>272</v>
      </c>
      <c r="AB19" s="29" t="s">
        <v>273</v>
      </c>
      <c r="AC19" s="29"/>
      <c r="AD19" s="29"/>
      <c r="AE19" s="29"/>
      <c r="AF19" s="29"/>
      <c r="AG19" s="31" t="s">
        <v>796</v>
      </c>
    </row>
    <row r="20" spans="1:33" ht="22.5" x14ac:dyDescent="0.3">
      <c r="A20" s="29" t="s">
        <v>541</v>
      </c>
      <c r="B20" s="31" t="s">
        <v>796</v>
      </c>
      <c r="C20" s="29" t="s">
        <v>42</v>
      </c>
      <c r="D20" s="38">
        <v>200</v>
      </c>
      <c r="E20" s="31" t="s">
        <v>796</v>
      </c>
      <c r="F20" s="29" t="s">
        <v>542</v>
      </c>
      <c r="G20" s="32" t="s">
        <v>809</v>
      </c>
      <c r="H20" s="29"/>
      <c r="I20" s="31" t="s">
        <v>807</v>
      </c>
      <c r="J20" s="29"/>
      <c r="K20" s="29">
        <v>5</v>
      </c>
      <c r="L20" s="31" t="s">
        <v>812</v>
      </c>
      <c r="M20" s="29" t="s">
        <v>541</v>
      </c>
      <c r="N20" s="31" t="s">
        <v>796</v>
      </c>
      <c r="O20" s="29" t="s">
        <v>542</v>
      </c>
      <c r="P20" s="29" t="s">
        <v>479</v>
      </c>
      <c r="Q20" s="29" t="s">
        <v>18</v>
      </c>
      <c r="R20" s="29" t="s">
        <v>480</v>
      </c>
      <c r="S20" s="29" t="s">
        <v>481</v>
      </c>
      <c r="T20" s="29" t="s">
        <v>482</v>
      </c>
      <c r="U20" s="29" t="s">
        <v>541</v>
      </c>
      <c r="V20" s="29" t="s">
        <v>542</v>
      </c>
      <c r="W20" s="29" t="s">
        <v>479</v>
      </c>
      <c r="X20" s="29" t="s">
        <v>20</v>
      </c>
      <c r="Y20" s="32" t="s">
        <v>814</v>
      </c>
      <c r="Z20" s="29" t="s">
        <v>271</v>
      </c>
      <c r="AA20" s="29" t="s">
        <v>272</v>
      </c>
      <c r="AB20" s="29" t="s">
        <v>273</v>
      </c>
      <c r="AC20" s="29"/>
      <c r="AD20" s="29"/>
      <c r="AE20" s="29"/>
      <c r="AF20" s="29"/>
      <c r="AG20" s="31" t="s">
        <v>796</v>
      </c>
    </row>
    <row r="21" spans="1:33" ht="33.75" x14ac:dyDescent="0.3">
      <c r="A21" s="29" t="s">
        <v>816</v>
      </c>
      <c r="B21" s="32" t="s">
        <v>797</v>
      </c>
      <c r="C21" s="29" t="s">
        <v>42</v>
      </c>
      <c r="D21" s="38">
        <v>200</v>
      </c>
      <c r="E21" s="31" t="s">
        <v>796</v>
      </c>
      <c r="F21" s="29" t="s">
        <v>684</v>
      </c>
      <c r="G21" s="32" t="s">
        <v>809</v>
      </c>
      <c r="H21" s="29"/>
      <c r="I21" s="31" t="s">
        <v>807</v>
      </c>
      <c r="J21" s="29"/>
      <c r="K21" s="29">
        <v>5</v>
      </c>
      <c r="L21" s="31" t="s">
        <v>812</v>
      </c>
      <c r="M21" s="29" t="s">
        <v>683</v>
      </c>
      <c r="N21" s="31" t="s">
        <v>796</v>
      </c>
      <c r="O21" s="29" t="s">
        <v>684</v>
      </c>
      <c r="P21" s="29" t="s">
        <v>479</v>
      </c>
      <c r="Q21" s="29" t="s">
        <v>18</v>
      </c>
      <c r="R21" s="29" t="s">
        <v>480</v>
      </c>
      <c r="S21" s="29" t="s">
        <v>481</v>
      </c>
      <c r="T21" s="29" t="s">
        <v>482</v>
      </c>
      <c r="U21" s="29" t="s">
        <v>685</v>
      </c>
      <c r="V21" s="29" t="s">
        <v>684</v>
      </c>
      <c r="W21" s="29" t="s">
        <v>479</v>
      </c>
      <c r="X21" s="29" t="s">
        <v>20</v>
      </c>
      <c r="Y21" s="32" t="s">
        <v>814</v>
      </c>
      <c r="Z21" s="29" t="s">
        <v>271</v>
      </c>
      <c r="AA21" s="29" t="s">
        <v>272</v>
      </c>
      <c r="AB21" s="29" t="s">
        <v>273</v>
      </c>
      <c r="AC21" s="29"/>
      <c r="AD21" s="29"/>
      <c r="AE21" s="29"/>
      <c r="AF21" s="29"/>
      <c r="AG21" s="31" t="s">
        <v>796</v>
      </c>
    </row>
    <row r="22" spans="1:33" ht="33.75" x14ac:dyDescent="0.3">
      <c r="A22" s="29" t="s">
        <v>690</v>
      </c>
      <c r="B22" s="32" t="s">
        <v>797</v>
      </c>
      <c r="C22" s="29" t="s">
        <v>42</v>
      </c>
      <c r="D22" s="38">
        <v>200</v>
      </c>
      <c r="E22" s="31" t="s">
        <v>796</v>
      </c>
      <c r="F22" s="29" t="s">
        <v>674</v>
      </c>
      <c r="G22" s="32" t="s">
        <v>811</v>
      </c>
      <c r="H22" s="29"/>
      <c r="I22" s="31" t="s">
        <v>807</v>
      </c>
      <c r="J22" s="29"/>
      <c r="K22" s="29">
        <v>5</v>
      </c>
      <c r="L22" s="31" t="s">
        <v>812</v>
      </c>
      <c r="M22" s="29" t="s">
        <v>690</v>
      </c>
      <c r="N22" s="31" t="s">
        <v>796</v>
      </c>
      <c r="O22" s="29" t="s">
        <v>674</v>
      </c>
      <c r="P22" s="29" t="s">
        <v>479</v>
      </c>
      <c r="Q22" s="29" t="s">
        <v>18</v>
      </c>
      <c r="R22" s="29" t="s">
        <v>480</v>
      </c>
      <c r="S22" s="29" t="s">
        <v>481</v>
      </c>
      <c r="T22" s="29" t="s">
        <v>482</v>
      </c>
      <c r="U22" s="29" t="s">
        <v>691</v>
      </c>
      <c r="V22" s="29" t="s">
        <v>674</v>
      </c>
      <c r="W22" s="29" t="s">
        <v>479</v>
      </c>
      <c r="X22" s="29" t="s">
        <v>20</v>
      </c>
      <c r="Y22" s="32" t="s">
        <v>814</v>
      </c>
      <c r="Z22" s="29" t="s">
        <v>271</v>
      </c>
      <c r="AA22" s="29" t="s">
        <v>272</v>
      </c>
      <c r="AB22" s="29" t="s">
        <v>273</v>
      </c>
      <c r="AC22" s="29"/>
      <c r="AD22" s="29"/>
      <c r="AE22" s="29"/>
      <c r="AF22" s="29"/>
      <c r="AG22" s="31" t="s">
        <v>796</v>
      </c>
    </row>
    <row r="23" spans="1:33" ht="33.75" x14ac:dyDescent="0.3">
      <c r="A23" s="29" t="s">
        <v>698</v>
      </c>
      <c r="B23" s="32" t="s">
        <v>797</v>
      </c>
      <c r="C23" s="29" t="s">
        <v>42</v>
      </c>
      <c r="D23" s="38">
        <v>200</v>
      </c>
      <c r="E23" s="31" t="s">
        <v>796</v>
      </c>
      <c r="F23" s="29" t="s">
        <v>699</v>
      </c>
      <c r="G23" s="32" t="s">
        <v>809</v>
      </c>
      <c r="H23" s="29"/>
      <c r="I23" s="31" t="s">
        <v>807</v>
      </c>
      <c r="J23" s="29"/>
      <c r="K23" s="29">
        <v>5</v>
      </c>
      <c r="L23" s="31" t="s">
        <v>812</v>
      </c>
      <c r="M23" s="29" t="s">
        <v>698</v>
      </c>
      <c r="N23" s="31" t="s">
        <v>796</v>
      </c>
      <c r="O23" s="29" t="s">
        <v>699</v>
      </c>
      <c r="P23" s="29" t="s">
        <v>479</v>
      </c>
      <c r="Q23" s="29" t="s">
        <v>18</v>
      </c>
      <c r="R23" s="29" t="s">
        <v>480</v>
      </c>
      <c r="S23" s="29" t="s">
        <v>481</v>
      </c>
      <c r="T23" s="29" t="s">
        <v>482</v>
      </c>
      <c r="U23" s="29" t="s">
        <v>700</v>
      </c>
      <c r="V23" s="29" t="s">
        <v>699</v>
      </c>
      <c r="W23" s="29" t="s">
        <v>479</v>
      </c>
      <c r="X23" s="29" t="s">
        <v>20</v>
      </c>
      <c r="Y23" s="32" t="s">
        <v>814</v>
      </c>
      <c r="Z23" s="29" t="s">
        <v>271</v>
      </c>
      <c r="AA23" s="29" t="s">
        <v>272</v>
      </c>
      <c r="AB23" s="29" t="s">
        <v>273</v>
      </c>
      <c r="AC23" s="29"/>
      <c r="AD23" s="29"/>
      <c r="AE23" s="29"/>
      <c r="AF23" s="29"/>
      <c r="AG23" s="31" t="s">
        <v>796</v>
      </c>
    </row>
    <row r="24" spans="1:33" ht="33.75" x14ac:dyDescent="0.3">
      <c r="A24" s="29" t="s">
        <v>679</v>
      </c>
      <c r="B24" s="32" t="s">
        <v>797</v>
      </c>
      <c r="C24" s="29" t="s">
        <v>42</v>
      </c>
      <c r="D24" s="38">
        <v>200</v>
      </c>
      <c r="E24" s="31" t="s">
        <v>796</v>
      </c>
      <c r="F24" s="29" t="s">
        <v>680</v>
      </c>
      <c r="G24" s="32" t="s">
        <v>809</v>
      </c>
      <c r="H24" s="29"/>
      <c r="I24" s="31" t="s">
        <v>807</v>
      </c>
      <c r="J24" s="29"/>
      <c r="K24" s="29">
        <v>5</v>
      </c>
      <c r="L24" s="31" t="s">
        <v>812</v>
      </c>
      <c r="M24" s="29" t="s">
        <v>679</v>
      </c>
      <c r="N24" s="31" t="s">
        <v>796</v>
      </c>
      <c r="O24" s="29" t="s">
        <v>680</v>
      </c>
      <c r="P24" s="29" t="s">
        <v>479</v>
      </c>
      <c r="Q24" s="29" t="s">
        <v>18</v>
      </c>
      <c r="R24" s="29" t="s">
        <v>480</v>
      </c>
      <c r="S24" s="29" t="s">
        <v>481</v>
      </c>
      <c r="T24" s="29" t="s">
        <v>482</v>
      </c>
      <c r="U24" s="29" t="s">
        <v>681</v>
      </c>
      <c r="V24" s="29" t="s">
        <v>680</v>
      </c>
      <c r="W24" s="29" t="s">
        <v>479</v>
      </c>
      <c r="X24" s="29" t="s">
        <v>20</v>
      </c>
      <c r="Y24" s="32" t="s">
        <v>814</v>
      </c>
      <c r="Z24" s="29" t="s">
        <v>271</v>
      </c>
      <c r="AA24" s="29" t="s">
        <v>272</v>
      </c>
      <c r="AB24" s="29" t="s">
        <v>273</v>
      </c>
      <c r="AC24" s="29"/>
      <c r="AD24" s="29"/>
      <c r="AE24" s="29"/>
      <c r="AF24" s="29"/>
      <c r="AG24" s="31" t="s">
        <v>796</v>
      </c>
    </row>
    <row r="25" spans="1:33" ht="33.75" x14ac:dyDescent="0.3">
      <c r="A25" s="29" t="s">
        <v>693</v>
      </c>
      <c r="B25" s="32" t="s">
        <v>797</v>
      </c>
      <c r="C25" s="29" t="s">
        <v>42</v>
      </c>
      <c r="D25" s="38">
        <v>200</v>
      </c>
      <c r="E25" s="31" t="s">
        <v>796</v>
      </c>
      <c r="F25" s="29" t="s">
        <v>669</v>
      </c>
      <c r="G25" s="32" t="s">
        <v>811</v>
      </c>
      <c r="H25" s="29"/>
      <c r="I25" s="31" t="s">
        <v>807</v>
      </c>
      <c r="J25" s="29"/>
      <c r="K25" s="29">
        <v>5</v>
      </c>
      <c r="L25" s="31" t="s">
        <v>812</v>
      </c>
      <c r="M25" s="29" t="s">
        <v>693</v>
      </c>
      <c r="N25" s="31" t="s">
        <v>796</v>
      </c>
      <c r="O25" s="29" t="s">
        <v>669</v>
      </c>
      <c r="P25" s="29" t="s">
        <v>479</v>
      </c>
      <c r="Q25" s="29" t="s">
        <v>18</v>
      </c>
      <c r="R25" s="29" t="s">
        <v>480</v>
      </c>
      <c r="S25" s="29" t="s">
        <v>481</v>
      </c>
      <c r="T25" s="29" t="s">
        <v>482</v>
      </c>
      <c r="U25" s="29" t="s">
        <v>694</v>
      </c>
      <c r="V25" s="29" t="s">
        <v>669</v>
      </c>
      <c r="W25" s="29" t="s">
        <v>479</v>
      </c>
      <c r="X25" s="29" t="s">
        <v>20</v>
      </c>
      <c r="Y25" s="32" t="s">
        <v>814</v>
      </c>
      <c r="Z25" s="29" t="s">
        <v>271</v>
      </c>
      <c r="AA25" s="29" t="s">
        <v>272</v>
      </c>
      <c r="AB25" s="29" t="s">
        <v>273</v>
      </c>
      <c r="AC25" s="29"/>
      <c r="AD25" s="29"/>
      <c r="AE25" s="29"/>
      <c r="AF25" s="29"/>
      <c r="AG25" s="31" t="s">
        <v>796</v>
      </c>
    </row>
    <row r="26" spans="1:33" ht="22.5" x14ac:dyDescent="0.3">
      <c r="A26" s="29" t="s">
        <v>606</v>
      </c>
      <c r="B26" s="31" t="s">
        <v>796</v>
      </c>
      <c r="C26" s="29" t="s">
        <v>15</v>
      </c>
      <c r="D26" s="38">
        <v>200</v>
      </c>
      <c r="E26" s="31" t="s">
        <v>796</v>
      </c>
      <c r="F26" s="29" t="s">
        <v>607</v>
      </c>
      <c r="G26" s="31" t="s">
        <v>796</v>
      </c>
      <c r="H26" s="29"/>
      <c r="I26" s="31" t="s">
        <v>807</v>
      </c>
      <c r="J26" s="29" t="s">
        <v>518</v>
      </c>
      <c r="K26" s="29">
        <v>1</v>
      </c>
      <c r="L26" s="31" t="s">
        <v>806</v>
      </c>
      <c r="M26" s="29" t="s">
        <v>606</v>
      </c>
      <c r="N26" s="31" t="s">
        <v>796</v>
      </c>
      <c r="O26" s="29" t="s">
        <v>607</v>
      </c>
      <c r="P26" s="29" t="s">
        <v>479</v>
      </c>
      <c r="Q26" s="29" t="s">
        <v>18</v>
      </c>
      <c r="R26" s="29" t="s">
        <v>480</v>
      </c>
      <c r="S26" s="29" t="s">
        <v>481</v>
      </c>
      <c r="T26" s="29" t="s">
        <v>482</v>
      </c>
      <c r="U26" s="29" t="s">
        <v>606</v>
      </c>
      <c r="V26" s="29" t="s">
        <v>607</v>
      </c>
      <c r="W26" s="29" t="s">
        <v>479</v>
      </c>
      <c r="X26" s="29" t="s">
        <v>20</v>
      </c>
      <c r="Y26" s="32" t="s">
        <v>814</v>
      </c>
      <c r="Z26" s="29" t="s">
        <v>271</v>
      </c>
      <c r="AA26" s="29" t="s">
        <v>272</v>
      </c>
      <c r="AB26" s="29" t="s">
        <v>273</v>
      </c>
      <c r="AC26" s="29"/>
      <c r="AD26" s="29"/>
      <c r="AE26" s="29"/>
      <c r="AF26" s="29"/>
      <c r="AG26" s="31" t="s">
        <v>796</v>
      </c>
    </row>
    <row r="27" spans="1:33" ht="22.5" x14ac:dyDescent="0.3">
      <c r="A27" s="29" t="s">
        <v>608</v>
      </c>
      <c r="B27" s="31" t="s">
        <v>796</v>
      </c>
      <c r="C27" s="29" t="s">
        <v>15</v>
      </c>
      <c r="D27" s="38">
        <v>200</v>
      </c>
      <c r="E27" s="31" t="s">
        <v>796</v>
      </c>
      <c r="F27" s="29" t="s">
        <v>609</v>
      </c>
      <c r="G27" s="31" t="s">
        <v>796</v>
      </c>
      <c r="H27" s="29"/>
      <c r="I27" s="31" t="s">
        <v>807</v>
      </c>
      <c r="J27" s="29" t="s">
        <v>518</v>
      </c>
      <c r="K27" s="29">
        <v>1</v>
      </c>
      <c r="L27" s="31" t="s">
        <v>806</v>
      </c>
      <c r="M27" s="29" t="s">
        <v>608</v>
      </c>
      <c r="N27" s="31" t="s">
        <v>796</v>
      </c>
      <c r="O27" s="29" t="s">
        <v>609</v>
      </c>
      <c r="P27" s="29" t="s">
        <v>479</v>
      </c>
      <c r="Q27" s="29" t="s">
        <v>18</v>
      </c>
      <c r="R27" s="29" t="s">
        <v>480</v>
      </c>
      <c r="S27" s="29" t="s">
        <v>481</v>
      </c>
      <c r="T27" s="29" t="s">
        <v>482</v>
      </c>
      <c r="U27" s="29" t="s">
        <v>608</v>
      </c>
      <c r="V27" s="29" t="s">
        <v>609</v>
      </c>
      <c r="W27" s="29" t="s">
        <v>479</v>
      </c>
      <c r="X27" s="29" t="s">
        <v>20</v>
      </c>
      <c r="Y27" s="32" t="s">
        <v>814</v>
      </c>
      <c r="Z27" s="29" t="s">
        <v>271</v>
      </c>
      <c r="AA27" s="29" t="s">
        <v>272</v>
      </c>
      <c r="AB27" s="29" t="s">
        <v>273</v>
      </c>
      <c r="AC27" s="29"/>
      <c r="AD27" s="29"/>
      <c r="AE27" s="29"/>
      <c r="AF27" s="29"/>
      <c r="AG27" s="31" t="s">
        <v>796</v>
      </c>
    </row>
    <row r="28" spans="1:33" ht="22.5" x14ac:dyDescent="0.3">
      <c r="A28" s="29" t="s">
        <v>604</v>
      </c>
      <c r="B28" s="31" t="s">
        <v>796</v>
      </c>
      <c r="C28" s="29" t="s">
        <v>15</v>
      </c>
      <c r="D28" s="38">
        <v>200</v>
      </c>
      <c r="E28" s="31" t="s">
        <v>796</v>
      </c>
      <c r="F28" s="29" t="s">
        <v>605</v>
      </c>
      <c r="G28" s="31" t="s">
        <v>796</v>
      </c>
      <c r="H28" s="29"/>
      <c r="I28" s="31" t="s">
        <v>807</v>
      </c>
      <c r="J28" s="29" t="s">
        <v>518</v>
      </c>
      <c r="K28" s="29">
        <v>1</v>
      </c>
      <c r="L28" s="31" t="s">
        <v>806</v>
      </c>
      <c r="M28" s="29" t="s">
        <v>604</v>
      </c>
      <c r="N28" s="31" t="s">
        <v>796</v>
      </c>
      <c r="O28" s="29" t="s">
        <v>605</v>
      </c>
      <c r="P28" s="29" t="s">
        <v>479</v>
      </c>
      <c r="Q28" s="29" t="s">
        <v>18</v>
      </c>
      <c r="R28" s="29" t="s">
        <v>480</v>
      </c>
      <c r="S28" s="29" t="s">
        <v>481</v>
      </c>
      <c r="T28" s="29" t="s">
        <v>482</v>
      </c>
      <c r="U28" s="29" t="s">
        <v>604</v>
      </c>
      <c r="V28" s="29" t="s">
        <v>605</v>
      </c>
      <c r="W28" s="29" t="s">
        <v>479</v>
      </c>
      <c r="X28" s="29" t="s">
        <v>20</v>
      </c>
      <c r="Y28" s="32" t="s">
        <v>814</v>
      </c>
      <c r="Z28" s="29" t="s">
        <v>271</v>
      </c>
      <c r="AA28" s="29" t="s">
        <v>272</v>
      </c>
      <c r="AB28" s="29" t="s">
        <v>273</v>
      </c>
      <c r="AC28" s="29"/>
      <c r="AD28" s="29"/>
      <c r="AE28" s="29"/>
      <c r="AF28" s="29"/>
      <c r="AG28" s="31" t="s">
        <v>796</v>
      </c>
    </row>
    <row r="29" spans="1:33" ht="22.5" x14ac:dyDescent="0.3">
      <c r="A29" s="29" t="s">
        <v>516</v>
      </c>
      <c r="B29" s="31" t="s">
        <v>796</v>
      </c>
      <c r="C29" s="29" t="s">
        <v>15</v>
      </c>
      <c r="D29" s="38">
        <v>200</v>
      </c>
      <c r="E29" s="31" t="s">
        <v>796</v>
      </c>
      <c r="F29" s="29" t="s">
        <v>517</v>
      </c>
      <c r="G29" s="31" t="s">
        <v>806</v>
      </c>
      <c r="H29" s="29"/>
      <c r="I29" s="31" t="s">
        <v>807</v>
      </c>
      <c r="J29" s="29" t="s">
        <v>518</v>
      </c>
      <c r="K29" s="29">
        <v>1</v>
      </c>
      <c r="L29" s="31" t="s">
        <v>806</v>
      </c>
      <c r="M29" s="29" t="s">
        <v>516</v>
      </c>
      <c r="N29" s="31" t="s">
        <v>796</v>
      </c>
      <c r="O29" s="29" t="s">
        <v>517</v>
      </c>
      <c r="P29" s="29" t="s">
        <v>479</v>
      </c>
      <c r="Q29" s="29" t="s">
        <v>18</v>
      </c>
      <c r="R29" s="29" t="s">
        <v>480</v>
      </c>
      <c r="S29" s="29" t="s">
        <v>481</v>
      </c>
      <c r="T29" s="29" t="s">
        <v>482</v>
      </c>
      <c r="U29" s="29" t="s">
        <v>516</v>
      </c>
      <c r="V29" s="29" t="s">
        <v>517</v>
      </c>
      <c r="W29" s="29" t="s">
        <v>479</v>
      </c>
      <c r="X29" s="29" t="s">
        <v>20</v>
      </c>
      <c r="Y29" s="32" t="s">
        <v>814</v>
      </c>
      <c r="Z29" s="29" t="s">
        <v>271</v>
      </c>
      <c r="AA29" s="29" t="s">
        <v>272</v>
      </c>
      <c r="AB29" s="29" t="s">
        <v>273</v>
      </c>
      <c r="AC29" s="29"/>
      <c r="AD29" s="29"/>
      <c r="AE29" s="29"/>
      <c r="AF29" s="29"/>
      <c r="AG29" s="31" t="s">
        <v>796</v>
      </c>
    </row>
    <row r="30" spans="1:33" ht="22.5" x14ac:dyDescent="0.3">
      <c r="A30" s="29" t="s">
        <v>660</v>
      </c>
      <c r="B30" s="31" t="s">
        <v>796</v>
      </c>
      <c r="C30" s="29" t="s">
        <v>15</v>
      </c>
      <c r="D30" s="38">
        <v>200</v>
      </c>
      <c r="E30" s="31" t="s">
        <v>796</v>
      </c>
      <c r="F30" s="29" t="s">
        <v>661</v>
      </c>
      <c r="G30" s="32" t="s">
        <v>809</v>
      </c>
      <c r="H30" s="29"/>
      <c r="I30" s="31" t="s">
        <v>807</v>
      </c>
      <c r="J30" s="29" t="s">
        <v>661</v>
      </c>
      <c r="K30" s="29">
        <v>1</v>
      </c>
      <c r="L30" s="31" t="s">
        <v>796</v>
      </c>
      <c r="M30" s="29" t="s">
        <v>660</v>
      </c>
      <c r="N30" s="31" t="s">
        <v>796</v>
      </c>
      <c r="O30" s="29" t="s">
        <v>661</v>
      </c>
      <c r="P30" s="29" t="s">
        <v>479</v>
      </c>
      <c r="Q30" s="29" t="s">
        <v>18</v>
      </c>
      <c r="R30" s="29" t="s">
        <v>480</v>
      </c>
      <c r="S30" s="29" t="s">
        <v>481</v>
      </c>
      <c r="T30" s="29" t="s">
        <v>482</v>
      </c>
      <c r="U30" s="29" t="s">
        <v>660</v>
      </c>
      <c r="V30" s="29" t="s">
        <v>661</v>
      </c>
      <c r="W30" s="29" t="s">
        <v>479</v>
      </c>
      <c r="X30" s="29" t="s">
        <v>20</v>
      </c>
      <c r="Y30" s="32" t="s">
        <v>814</v>
      </c>
      <c r="Z30" s="29" t="s">
        <v>271</v>
      </c>
      <c r="AA30" s="29" t="s">
        <v>272</v>
      </c>
      <c r="AB30" s="29" t="s">
        <v>273</v>
      </c>
      <c r="AC30" s="29"/>
      <c r="AD30" s="29"/>
      <c r="AE30" s="29"/>
      <c r="AF30" s="29"/>
      <c r="AG30" s="31" t="s">
        <v>796</v>
      </c>
    </row>
    <row r="31" spans="1:33" ht="22.5" x14ac:dyDescent="0.3">
      <c r="A31" s="34" t="s">
        <v>815</v>
      </c>
      <c r="B31" s="31"/>
      <c r="C31" s="29"/>
      <c r="D31" s="38">
        <v>200</v>
      </c>
      <c r="E31" s="32" t="s">
        <v>810</v>
      </c>
      <c r="F31" s="29" t="s">
        <v>663</v>
      </c>
      <c r="G31" s="32"/>
      <c r="H31" s="29"/>
      <c r="I31" s="31"/>
      <c r="J31" s="29" t="s">
        <v>664</v>
      </c>
      <c r="K31" s="29">
        <v>1</v>
      </c>
      <c r="L31" s="31"/>
      <c r="M31" s="29" t="s">
        <v>662</v>
      </c>
      <c r="N31" s="31"/>
      <c r="O31" s="29"/>
      <c r="P31" s="29"/>
      <c r="Q31" s="29"/>
      <c r="R31" s="29"/>
      <c r="S31" s="29" t="s">
        <v>665</v>
      </c>
      <c r="T31" s="29" t="s">
        <v>665</v>
      </c>
      <c r="U31" s="29"/>
      <c r="V31" s="29"/>
      <c r="W31" s="29"/>
      <c r="X31" s="29"/>
      <c r="Y31" s="31"/>
      <c r="Z31" s="29"/>
      <c r="AA31" s="29"/>
      <c r="AB31" s="29"/>
      <c r="AC31" s="29"/>
      <c r="AD31" s="29"/>
      <c r="AE31" s="29"/>
      <c r="AF31" s="29"/>
      <c r="AG31" s="31" t="s">
        <v>796</v>
      </c>
    </row>
    <row r="32" spans="1:33" ht="22.5" x14ac:dyDescent="0.3">
      <c r="A32" s="29" t="s">
        <v>487</v>
      </c>
      <c r="B32" s="31" t="s">
        <v>796</v>
      </c>
      <c r="C32" s="29" t="s">
        <v>15</v>
      </c>
      <c r="D32" s="38">
        <v>200</v>
      </c>
      <c r="E32" s="31" t="s">
        <v>796</v>
      </c>
      <c r="F32" s="29" t="s">
        <v>488</v>
      </c>
      <c r="G32" s="31" t="s">
        <v>796</v>
      </c>
      <c r="H32" s="29"/>
      <c r="I32" s="31" t="s">
        <v>807</v>
      </c>
      <c r="J32" s="29"/>
      <c r="K32" s="29"/>
      <c r="L32" s="31" t="s">
        <v>807</v>
      </c>
      <c r="M32" s="29" t="s">
        <v>487</v>
      </c>
      <c r="N32" s="31" t="s">
        <v>796</v>
      </c>
      <c r="O32" s="29" t="s">
        <v>488</v>
      </c>
      <c r="P32" s="29" t="s">
        <v>479</v>
      </c>
      <c r="Q32" s="29" t="s">
        <v>18</v>
      </c>
      <c r="R32" s="29" t="s">
        <v>480</v>
      </c>
      <c r="S32" s="29" t="s">
        <v>481</v>
      </c>
      <c r="T32" s="29" t="s">
        <v>482</v>
      </c>
      <c r="U32" s="29" t="s">
        <v>487</v>
      </c>
      <c r="V32" s="29" t="s">
        <v>488</v>
      </c>
      <c r="W32" s="29" t="s">
        <v>479</v>
      </c>
      <c r="X32" s="29" t="s">
        <v>20</v>
      </c>
      <c r="Y32" s="32" t="s">
        <v>814</v>
      </c>
      <c r="Z32" s="29" t="s">
        <v>271</v>
      </c>
      <c r="AA32" s="29" t="s">
        <v>272</v>
      </c>
      <c r="AB32" s="29" t="s">
        <v>273</v>
      </c>
      <c r="AC32" s="29"/>
      <c r="AD32" s="29"/>
      <c r="AE32" s="29"/>
      <c r="AF32" s="29"/>
      <c r="AG32" s="31" t="s">
        <v>796</v>
      </c>
    </row>
    <row r="33" spans="1:33" ht="22.5" x14ac:dyDescent="0.3">
      <c r="A33" s="29" t="s">
        <v>598</v>
      </c>
      <c r="B33" s="31" t="s">
        <v>796</v>
      </c>
      <c r="C33" s="29" t="s">
        <v>15</v>
      </c>
      <c r="D33" s="38">
        <v>200</v>
      </c>
      <c r="E33" s="31" t="s">
        <v>796</v>
      </c>
      <c r="F33" s="29" t="s">
        <v>599</v>
      </c>
      <c r="G33" s="31" t="s">
        <v>796</v>
      </c>
      <c r="H33" s="29"/>
      <c r="I33" s="31" t="s">
        <v>807</v>
      </c>
      <c r="J33" s="29" t="s">
        <v>600</v>
      </c>
      <c r="K33" s="29">
        <v>1</v>
      </c>
      <c r="L33" s="31" t="s">
        <v>796</v>
      </c>
      <c r="M33" s="29" t="s">
        <v>598</v>
      </c>
      <c r="N33" s="31" t="s">
        <v>796</v>
      </c>
      <c r="O33" s="29" t="s">
        <v>599</v>
      </c>
      <c r="P33" s="29" t="s">
        <v>479</v>
      </c>
      <c r="Q33" s="29" t="s">
        <v>18</v>
      </c>
      <c r="R33" s="29" t="s">
        <v>480</v>
      </c>
      <c r="S33" s="29" t="s">
        <v>481</v>
      </c>
      <c r="T33" s="29" t="s">
        <v>482</v>
      </c>
      <c r="U33" s="29" t="s">
        <v>598</v>
      </c>
      <c r="V33" s="29" t="s">
        <v>599</v>
      </c>
      <c r="W33" s="29" t="s">
        <v>479</v>
      </c>
      <c r="X33" s="29" t="s">
        <v>20</v>
      </c>
      <c r="Y33" s="32" t="s">
        <v>814</v>
      </c>
      <c r="Z33" s="29" t="s">
        <v>271</v>
      </c>
      <c r="AA33" s="29" t="s">
        <v>272</v>
      </c>
      <c r="AB33" s="29" t="s">
        <v>273</v>
      </c>
      <c r="AC33" s="29"/>
      <c r="AD33" s="29"/>
      <c r="AE33" s="29"/>
      <c r="AF33" s="29"/>
      <c r="AG33" s="31" t="s">
        <v>796</v>
      </c>
    </row>
    <row r="34" spans="1:33" ht="22.5" x14ac:dyDescent="0.3">
      <c r="A34" s="29" t="s">
        <v>569</v>
      </c>
      <c r="B34" s="31" t="s">
        <v>796</v>
      </c>
      <c r="C34" s="29" t="s">
        <v>15</v>
      </c>
      <c r="D34" s="38">
        <v>200</v>
      </c>
      <c r="E34" s="31" t="s">
        <v>796</v>
      </c>
      <c r="F34" s="29" t="s">
        <v>570</v>
      </c>
      <c r="G34" s="31" t="s">
        <v>796</v>
      </c>
      <c r="H34" s="29"/>
      <c r="I34" s="31" t="s">
        <v>807</v>
      </c>
      <c r="J34" s="29" t="s">
        <v>571</v>
      </c>
      <c r="K34" s="29">
        <v>1</v>
      </c>
      <c r="L34" s="31" t="s">
        <v>796</v>
      </c>
      <c r="M34" s="29" t="s">
        <v>569</v>
      </c>
      <c r="N34" s="31" t="s">
        <v>796</v>
      </c>
      <c r="O34" s="29" t="s">
        <v>570</v>
      </c>
      <c r="P34" s="29" t="s">
        <v>479</v>
      </c>
      <c r="Q34" s="29" t="s">
        <v>18</v>
      </c>
      <c r="R34" s="29" t="s">
        <v>480</v>
      </c>
      <c r="S34" s="29" t="s">
        <v>481</v>
      </c>
      <c r="T34" s="29" t="s">
        <v>482</v>
      </c>
      <c r="U34" s="29" t="s">
        <v>569</v>
      </c>
      <c r="V34" s="29" t="s">
        <v>570</v>
      </c>
      <c r="W34" s="29" t="s">
        <v>479</v>
      </c>
      <c r="X34" s="29" t="s">
        <v>20</v>
      </c>
      <c r="Y34" s="32" t="s">
        <v>814</v>
      </c>
      <c r="Z34" s="29" t="s">
        <v>271</v>
      </c>
      <c r="AA34" s="29" t="s">
        <v>272</v>
      </c>
      <c r="AB34" s="29" t="s">
        <v>273</v>
      </c>
      <c r="AC34" s="29"/>
      <c r="AD34" s="29"/>
      <c r="AE34" s="29"/>
      <c r="AF34" s="29"/>
      <c r="AG34" s="31" t="s">
        <v>796</v>
      </c>
    </row>
    <row r="35" spans="1:33" ht="22.5" x14ac:dyDescent="0.3">
      <c r="A35" s="29" t="s">
        <v>501</v>
      </c>
      <c r="B35" s="31" t="s">
        <v>796</v>
      </c>
      <c r="C35" s="29" t="s">
        <v>15</v>
      </c>
      <c r="D35" s="38">
        <v>200</v>
      </c>
      <c r="E35" s="31" t="s">
        <v>796</v>
      </c>
      <c r="F35" s="29" t="s">
        <v>502</v>
      </c>
      <c r="G35" s="31" t="s">
        <v>796</v>
      </c>
      <c r="H35" s="29"/>
      <c r="I35" s="31" t="s">
        <v>807</v>
      </c>
      <c r="J35" s="29" t="s">
        <v>503</v>
      </c>
      <c r="K35" s="29">
        <v>1</v>
      </c>
      <c r="L35" s="31" t="s">
        <v>796</v>
      </c>
      <c r="M35" s="29" t="s">
        <v>501</v>
      </c>
      <c r="N35" s="31" t="s">
        <v>796</v>
      </c>
      <c r="O35" s="29" t="s">
        <v>502</v>
      </c>
      <c r="P35" s="29" t="s">
        <v>479</v>
      </c>
      <c r="Q35" s="29" t="s">
        <v>18</v>
      </c>
      <c r="R35" s="29" t="s">
        <v>480</v>
      </c>
      <c r="S35" s="29" t="s">
        <v>481</v>
      </c>
      <c r="T35" s="29" t="s">
        <v>482</v>
      </c>
      <c r="U35" s="29" t="s">
        <v>501</v>
      </c>
      <c r="V35" s="29" t="s">
        <v>502</v>
      </c>
      <c r="W35" s="29" t="s">
        <v>479</v>
      </c>
      <c r="X35" s="29" t="s">
        <v>20</v>
      </c>
      <c r="Y35" s="32" t="s">
        <v>814</v>
      </c>
      <c r="Z35" s="29" t="s">
        <v>271</v>
      </c>
      <c r="AA35" s="29" t="s">
        <v>272</v>
      </c>
      <c r="AB35" s="29" t="s">
        <v>273</v>
      </c>
      <c r="AC35" s="29"/>
      <c r="AD35" s="29"/>
      <c r="AE35" s="29"/>
      <c r="AF35" s="29"/>
      <c r="AG35" s="31" t="s">
        <v>796</v>
      </c>
    </row>
    <row r="36" spans="1:33" ht="22.5" x14ac:dyDescent="0.3">
      <c r="A36" s="29" t="s">
        <v>565</v>
      </c>
      <c r="B36" s="31" t="s">
        <v>796</v>
      </c>
      <c r="C36" s="29" t="s">
        <v>15</v>
      </c>
      <c r="D36" s="38">
        <v>200</v>
      </c>
      <c r="E36" s="31" t="s">
        <v>796</v>
      </c>
      <c r="F36" s="29" t="s">
        <v>517</v>
      </c>
      <c r="G36" s="31" t="s">
        <v>806</v>
      </c>
      <c r="H36" s="29"/>
      <c r="I36" s="31" t="s">
        <v>807</v>
      </c>
      <c r="J36" s="29" t="s">
        <v>566</v>
      </c>
      <c r="K36" s="29">
        <v>1</v>
      </c>
      <c r="L36" s="31" t="s">
        <v>796</v>
      </c>
      <c r="M36" s="29" t="s">
        <v>565</v>
      </c>
      <c r="N36" s="31" t="s">
        <v>796</v>
      </c>
      <c r="O36" s="29" t="s">
        <v>517</v>
      </c>
      <c r="P36" s="29" t="s">
        <v>479</v>
      </c>
      <c r="Q36" s="29" t="s">
        <v>18</v>
      </c>
      <c r="R36" s="29" t="s">
        <v>480</v>
      </c>
      <c r="S36" s="29" t="s">
        <v>481</v>
      </c>
      <c r="T36" s="29" t="s">
        <v>482</v>
      </c>
      <c r="U36" s="29" t="s">
        <v>565</v>
      </c>
      <c r="V36" s="29" t="s">
        <v>517</v>
      </c>
      <c r="W36" s="29" t="s">
        <v>479</v>
      </c>
      <c r="X36" s="29" t="s">
        <v>20</v>
      </c>
      <c r="Y36" s="32" t="s">
        <v>814</v>
      </c>
      <c r="Z36" s="29" t="s">
        <v>271</v>
      </c>
      <c r="AA36" s="29" t="s">
        <v>272</v>
      </c>
      <c r="AB36" s="29" t="s">
        <v>273</v>
      </c>
      <c r="AC36" s="29"/>
      <c r="AD36" s="29"/>
      <c r="AE36" s="29"/>
      <c r="AF36" s="29"/>
      <c r="AG36" s="31" t="s">
        <v>796</v>
      </c>
    </row>
    <row r="37" spans="1:33" ht="22.5" x14ac:dyDescent="0.3">
      <c r="A37" s="29" t="s">
        <v>562</v>
      </c>
      <c r="B37" s="31" t="s">
        <v>796</v>
      </c>
      <c r="C37" s="29" t="s">
        <v>15</v>
      </c>
      <c r="D37" s="38">
        <v>200</v>
      </c>
      <c r="E37" s="31" t="s">
        <v>796</v>
      </c>
      <c r="F37" s="29" t="s">
        <v>563</v>
      </c>
      <c r="G37" s="31" t="s">
        <v>796</v>
      </c>
      <c r="H37" s="29"/>
      <c r="I37" s="31" t="s">
        <v>807</v>
      </c>
      <c r="J37" s="29" t="s">
        <v>564</v>
      </c>
      <c r="K37" s="29">
        <v>1</v>
      </c>
      <c r="L37" s="31" t="s">
        <v>796</v>
      </c>
      <c r="M37" s="29" t="s">
        <v>562</v>
      </c>
      <c r="N37" s="31" t="s">
        <v>796</v>
      </c>
      <c r="O37" s="29" t="s">
        <v>563</v>
      </c>
      <c r="P37" s="29" t="s">
        <v>479</v>
      </c>
      <c r="Q37" s="29" t="s">
        <v>18</v>
      </c>
      <c r="R37" s="29" t="s">
        <v>480</v>
      </c>
      <c r="S37" s="29" t="s">
        <v>481</v>
      </c>
      <c r="T37" s="29" t="s">
        <v>482</v>
      </c>
      <c r="U37" s="29" t="s">
        <v>562</v>
      </c>
      <c r="V37" s="29" t="s">
        <v>563</v>
      </c>
      <c r="W37" s="29" t="s">
        <v>479</v>
      </c>
      <c r="X37" s="29" t="s">
        <v>20</v>
      </c>
      <c r="Y37" s="32" t="s">
        <v>814</v>
      </c>
      <c r="Z37" s="29" t="s">
        <v>271</v>
      </c>
      <c r="AA37" s="29" t="s">
        <v>272</v>
      </c>
      <c r="AB37" s="29" t="s">
        <v>273</v>
      </c>
      <c r="AC37" s="29"/>
      <c r="AD37" s="29"/>
      <c r="AE37" s="29"/>
      <c r="AF37" s="29"/>
      <c r="AG37" s="31" t="s">
        <v>796</v>
      </c>
    </row>
    <row r="38" spans="1:33" ht="22.5" x14ac:dyDescent="0.3">
      <c r="A38" s="29" t="s">
        <v>486</v>
      </c>
      <c r="B38" s="31" t="s">
        <v>796</v>
      </c>
      <c r="C38" s="29" t="s">
        <v>15</v>
      </c>
      <c r="D38" s="38">
        <v>200</v>
      </c>
      <c r="E38" s="31" t="s">
        <v>796</v>
      </c>
      <c r="F38" s="29" t="s">
        <v>706</v>
      </c>
      <c r="G38" s="32" t="s">
        <v>809</v>
      </c>
      <c r="H38" s="29"/>
      <c r="I38" s="31" t="s">
        <v>807</v>
      </c>
      <c r="J38" s="29" t="s">
        <v>706</v>
      </c>
      <c r="K38" s="29">
        <v>1</v>
      </c>
      <c r="L38" s="31" t="s">
        <v>796</v>
      </c>
      <c r="M38" s="29" t="s">
        <v>486</v>
      </c>
      <c r="N38" s="31" t="s">
        <v>796</v>
      </c>
      <c r="O38" s="29" t="s">
        <v>706</v>
      </c>
      <c r="P38" s="29" t="s">
        <v>479</v>
      </c>
      <c r="Q38" s="29" t="s">
        <v>18</v>
      </c>
      <c r="R38" s="29" t="s">
        <v>480</v>
      </c>
      <c r="S38" s="29" t="s">
        <v>481</v>
      </c>
      <c r="T38" s="29" t="s">
        <v>482</v>
      </c>
      <c r="U38" s="29" t="s">
        <v>486</v>
      </c>
      <c r="V38" s="29" t="s">
        <v>706</v>
      </c>
      <c r="W38" s="29" t="s">
        <v>479</v>
      </c>
      <c r="X38" s="29" t="s">
        <v>20</v>
      </c>
      <c r="Y38" s="32" t="s">
        <v>814</v>
      </c>
      <c r="Z38" s="29"/>
      <c r="AA38" s="29"/>
      <c r="AB38" s="29"/>
      <c r="AC38" s="29"/>
      <c r="AD38" s="29"/>
      <c r="AE38" s="29"/>
      <c r="AF38" s="29"/>
      <c r="AG38" s="31" t="s">
        <v>796</v>
      </c>
    </row>
    <row r="39" spans="1:33" ht="22.5" x14ac:dyDescent="0.3">
      <c r="A39" s="29" t="s">
        <v>572</v>
      </c>
      <c r="B39" s="31" t="s">
        <v>796</v>
      </c>
      <c r="C39" s="29" t="s">
        <v>15</v>
      </c>
      <c r="D39" s="38">
        <v>200</v>
      </c>
      <c r="E39" s="31" t="s">
        <v>796</v>
      </c>
      <c r="F39" s="29" t="s">
        <v>707</v>
      </c>
      <c r="G39" s="32" t="s">
        <v>809</v>
      </c>
      <c r="H39" s="29"/>
      <c r="I39" s="31" t="s">
        <v>807</v>
      </c>
      <c r="J39" s="29" t="s">
        <v>707</v>
      </c>
      <c r="K39" s="29">
        <v>1</v>
      </c>
      <c r="L39" s="31" t="s">
        <v>796</v>
      </c>
      <c r="M39" s="29" t="s">
        <v>572</v>
      </c>
      <c r="N39" s="31" t="s">
        <v>796</v>
      </c>
      <c r="O39" s="29" t="s">
        <v>707</v>
      </c>
      <c r="P39" s="29" t="s">
        <v>479</v>
      </c>
      <c r="Q39" s="29" t="s">
        <v>18</v>
      </c>
      <c r="R39" s="29" t="s">
        <v>480</v>
      </c>
      <c r="S39" s="29" t="s">
        <v>481</v>
      </c>
      <c r="T39" s="29" t="s">
        <v>482</v>
      </c>
      <c r="U39" s="29" t="s">
        <v>572</v>
      </c>
      <c r="V39" s="29" t="s">
        <v>707</v>
      </c>
      <c r="W39" s="29" t="s">
        <v>479</v>
      </c>
      <c r="X39" s="29" t="s">
        <v>20</v>
      </c>
      <c r="Y39" s="32" t="s">
        <v>814</v>
      </c>
      <c r="Z39" s="29"/>
      <c r="AA39" s="29"/>
      <c r="AB39" s="29"/>
      <c r="AC39" s="29"/>
      <c r="AD39" s="29"/>
      <c r="AE39" s="29"/>
      <c r="AF39" s="29"/>
      <c r="AG39" s="31" t="s">
        <v>796</v>
      </c>
    </row>
    <row r="40" spans="1:33" x14ac:dyDescent="0.3">
      <c r="A40" s="29" t="s">
        <v>584</v>
      </c>
      <c r="B40" s="31" t="s">
        <v>796</v>
      </c>
      <c r="C40" s="29" t="s">
        <v>22</v>
      </c>
      <c r="D40" s="38">
        <v>200</v>
      </c>
      <c r="E40" s="31" t="s">
        <v>796</v>
      </c>
      <c r="F40" s="29" t="s">
        <v>585</v>
      </c>
      <c r="G40" s="31" t="s">
        <v>796</v>
      </c>
      <c r="H40" s="29" t="s">
        <v>586</v>
      </c>
      <c r="I40" s="31" t="s">
        <v>796</v>
      </c>
      <c r="J40" s="29" t="s">
        <v>587</v>
      </c>
      <c r="K40" s="29">
        <v>2</v>
      </c>
      <c r="L40" s="31" t="s">
        <v>812</v>
      </c>
      <c r="M40" s="29" t="s">
        <v>584</v>
      </c>
      <c r="N40" s="31" t="s">
        <v>796</v>
      </c>
      <c r="O40" s="29" t="s">
        <v>585</v>
      </c>
      <c r="P40" s="29" t="s">
        <v>586</v>
      </c>
      <c r="Q40" s="29" t="s">
        <v>26</v>
      </c>
      <c r="R40" s="29" t="s">
        <v>480</v>
      </c>
      <c r="S40" s="29" t="s">
        <v>588</v>
      </c>
      <c r="T40" s="29" t="s">
        <v>589</v>
      </c>
      <c r="U40" s="29" t="s">
        <v>584</v>
      </c>
      <c r="V40" s="29" t="s">
        <v>585</v>
      </c>
      <c r="W40" s="29" t="s">
        <v>586</v>
      </c>
      <c r="X40" s="29" t="s">
        <v>20</v>
      </c>
      <c r="Y40" s="31" t="s">
        <v>796</v>
      </c>
      <c r="Z40" s="29" t="s">
        <v>274</v>
      </c>
      <c r="AA40" s="29" t="s">
        <v>271</v>
      </c>
      <c r="AB40" s="29" t="s">
        <v>275</v>
      </c>
      <c r="AC40" s="29" t="s">
        <v>272</v>
      </c>
      <c r="AD40" s="29" t="s">
        <v>335</v>
      </c>
      <c r="AE40" s="29" t="s">
        <v>273</v>
      </c>
      <c r="AF40" s="29" t="s">
        <v>336</v>
      </c>
      <c r="AG40" s="31" t="s">
        <v>796</v>
      </c>
    </row>
    <row r="41" spans="1:33" x14ac:dyDescent="0.3">
      <c r="A41" s="29" t="s">
        <v>646</v>
      </c>
      <c r="B41" s="31" t="s">
        <v>796</v>
      </c>
      <c r="C41" s="29" t="s">
        <v>22</v>
      </c>
      <c r="D41" s="38">
        <v>200</v>
      </c>
      <c r="E41" s="31" t="s">
        <v>796</v>
      </c>
      <c r="F41" s="29" t="s">
        <v>647</v>
      </c>
      <c r="G41" s="31" t="s">
        <v>796</v>
      </c>
      <c r="H41" s="29" t="s">
        <v>648</v>
      </c>
      <c r="I41" s="31" t="s">
        <v>796</v>
      </c>
      <c r="J41" s="29" t="s">
        <v>649</v>
      </c>
      <c r="K41" s="29">
        <v>2</v>
      </c>
      <c r="L41" s="31" t="s">
        <v>812</v>
      </c>
      <c r="M41" s="29" t="s">
        <v>646</v>
      </c>
      <c r="N41" s="31" t="s">
        <v>796</v>
      </c>
      <c r="O41" s="29" t="s">
        <v>647</v>
      </c>
      <c r="P41" s="29" t="s">
        <v>648</v>
      </c>
      <c r="Q41" s="29" t="s">
        <v>26</v>
      </c>
      <c r="R41" s="29" t="s">
        <v>480</v>
      </c>
      <c r="S41" s="29" t="s">
        <v>650</v>
      </c>
      <c r="T41" s="29" t="s">
        <v>651</v>
      </c>
      <c r="U41" s="29" t="s">
        <v>646</v>
      </c>
      <c r="V41" s="29" t="s">
        <v>647</v>
      </c>
      <c r="W41" s="29" t="s">
        <v>648</v>
      </c>
      <c r="X41" s="29" t="s">
        <v>20</v>
      </c>
      <c r="Y41" s="31" t="s">
        <v>796</v>
      </c>
      <c r="Z41" s="29" t="s">
        <v>274</v>
      </c>
      <c r="AA41" s="29" t="s">
        <v>271</v>
      </c>
      <c r="AB41" s="29" t="s">
        <v>275</v>
      </c>
      <c r="AC41" s="29" t="s">
        <v>272</v>
      </c>
      <c r="AD41" s="29" t="s">
        <v>335</v>
      </c>
      <c r="AE41" s="29" t="s">
        <v>273</v>
      </c>
      <c r="AF41" s="29" t="s">
        <v>336</v>
      </c>
      <c r="AG41" s="31" t="s">
        <v>796</v>
      </c>
    </row>
    <row r="42" spans="1:33" x14ac:dyDescent="0.3">
      <c r="A42" s="29" t="s">
        <v>592</v>
      </c>
      <c r="B42" s="31" t="s">
        <v>796</v>
      </c>
      <c r="C42" s="29" t="s">
        <v>22</v>
      </c>
      <c r="D42" s="38">
        <v>200</v>
      </c>
      <c r="E42" s="31" t="s">
        <v>796</v>
      </c>
      <c r="F42" s="29" t="s">
        <v>593</v>
      </c>
      <c r="G42" s="31" t="s">
        <v>796</v>
      </c>
      <c r="H42" s="29" t="s">
        <v>594</v>
      </c>
      <c r="I42" s="31" t="s">
        <v>796</v>
      </c>
      <c r="J42" s="29" t="s">
        <v>595</v>
      </c>
      <c r="K42" s="29">
        <v>2</v>
      </c>
      <c r="L42" s="31" t="s">
        <v>812</v>
      </c>
      <c r="M42" s="29" t="s">
        <v>592</v>
      </c>
      <c r="N42" s="31" t="s">
        <v>796</v>
      </c>
      <c r="O42" s="29" t="s">
        <v>593</v>
      </c>
      <c r="P42" s="29" t="s">
        <v>594</v>
      </c>
      <c r="Q42" s="29" t="s">
        <v>26</v>
      </c>
      <c r="R42" s="29" t="s">
        <v>480</v>
      </c>
      <c r="S42" s="29" t="s">
        <v>596</v>
      </c>
      <c r="T42" s="29" t="s">
        <v>597</v>
      </c>
      <c r="U42" s="29" t="s">
        <v>592</v>
      </c>
      <c r="V42" s="29" t="s">
        <v>593</v>
      </c>
      <c r="W42" s="29" t="s">
        <v>594</v>
      </c>
      <c r="X42" s="29" t="s">
        <v>20</v>
      </c>
      <c r="Y42" s="31" t="s">
        <v>796</v>
      </c>
      <c r="Z42" s="29" t="s">
        <v>274</v>
      </c>
      <c r="AA42" s="29" t="s">
        <v>271</v>
      </c>
      <c r="AB42" s="29" t="s">
        <v>275</v>
      </c>
      <c r="AC42" s="29" t="s">
        <v>272</v>
      </c>
      <c r="AD42" s="29" t="s">
        <v>335</v>
      </c>
      <c r="AE42" s="29" t="s">
        <v>273</v>
      </c>
      <c r="AF42" s="29" t="s">
        <v>336</v>
      </c>
      <c r="AG42" s="31" t="s">
        <v>796</v>
      </c>
    </row>
    <row r="43" spans="1:33" x14ac:dyDescent="0.3">
      <c r="A43" s="29" t="s">
        <v>510</v>
      </c>
      <c r="B43" s="31" t="s">
        <v>796</v>
      </c>
      <c r="C43" s="29" t="s">
        <v>22</v>
      </c>
      <c r="D43" s="38">
        <v>200</v>
      </c>
      <c r="E43" s="31" t="s">
        <v>796</v>
      </c>
      <c r="F43" s="29" t="s">
        <v>511</v>
      </c>
      <c r="G43" s="31" t="s">
        <v>796</v>
      </c>
      <c r="H43" s="29" t="s">
        <v>512</v>
      </c>
      <c r="I43" s="31" t="s">
        <v>796</v>
      </c>
      <c r="J43" s="29" t="s">
        <v>513</v>
      </c>
      <c r="K43" s="29">
        <v>2</v>
      </c>
      <c r="L43" s="31" t="s">
        <v>812</v>
      </c>
      <c r="M43" s="29" t="s">
        <v>510</v>
      </c>
      <c r="N43" s="31" t="s">
        <v>796</v>
      </c>
      <c r="O43" s="29" t="s">
        <v>511</v>
      </c>
      <c r="P43" s="29" t="s">
        <v>512</v>
      </c>
      <c r="Q43" s="29" t="s">
        <v>26</v>
      </c>
      <c r="R43" s="29" t="s">
        <v>480</v>
      </c>
      <c r="S43" s="29" t="s">
        <v>514</v>
      </c>
      <c r="T43" s="29" t="s">
        <v>515</v>
      </c>
      <c r="U43" s="29" t="s">
        <v>510</v>
      </c>
      <c r="V43" s="29" t="s">
        <v>511</v>
      </c>
      <c r="W43" s="29" t="s">
        <v>512</v>
      </c>
      <c r="X43" s="29" t="s">
        <v>20</v>
      </c>
      <c r="Y43" s="31" t="s">
        <v>796</v>
      </c>
      <c r="Z43" s="29" t="s">
        <v>274</v>
      </c>
      <c r="AA43" s="29" t="s">
        <v>271</v>
      </c>
      <c r="AB43" s="29" t="s">
        <v>275</v>
      </c>
      <c r="AC43" s="29" t="s">
        <v>272</v>
      </c>
      <c r="AD43" s="29" t="s">
        <v>335</v>
      </c>
      <c r="AE43" s="29" t="s">
        <v>273</v>
      </c>
      <c r="AF43" s="29" t="s">
        <v>336</v>
      </c>
      <c r="AG43" s="31" t="s">
        <v>796</v>
      </c>
    </row>
    <row r="44" spans="1:33" x14ac:dyDescent="0.3">
      <c r="A44" s="29" t="s">
        <v>640</v>
      </c>
      <c r="B44" s="31" t="s">
        <v>796</v>
      </c>
      <c r="C44" s="29" t="s">
        <v>22</v>
      </c>
      <c r="D44" s="38">
        <v>200</v>
      </c>
      <c r="E44" s="31" t="s">
        <v>796</v>
      </c>
      <c r="F44" s="29" t="s">
        <v>641</v>
      </c>
      <c r="G44" s="31" t="s">
        <v>796</v>
      </c>
      <c r="H44" s="29" t="s">
        <v>642</v>
      </c>
      <c r="I44" s="31" t="s">
        <v>796</v>
      </c>
      <c r="J44" s="29" t="s">
        <v>643</v>
      </c>
      <c r="K44" s="29">
        <v>2</v>
      </c>
      <c r="L44" s="31" t="s">
        <v>812</v>
      </c>
      <c r="M44" s="29" t="s">
        <v>640</v>
      </c>
      <c r="N44" s="31" t="s">
        <v>796</v>
      </c>
      <c r="O44" s="29" t="s">
        <v>641</v>
      </c>
      <c r="P44" s="29" t="s">
        <v>642</v>
      </c>
      <c r="Q44" s="29" t="s">
        <v>26</v>
      </c>
      <c r="R44" s="29" t="s">
        <v>480</v>
      </c>
      <c r="S44" s="29" t="s">
        <v>644</v>
      </c>
      <c r="T44" s="29" t="s">
        <v>645</v>
      </c>
      <c r="U44" s="29" t="s">
        <v>640</v>
      </c>
      <c r="V44" s="29" t="s">
        <v>641</v>
      </c>
      <c r="W44" s="29" t="s">
        <v>642</v>
      </c>
      <c r="X44" s="29" t="s">
        <v>20</v>
      </c>
      <c r="Y44" s="31" t="s">
        <v>796</v>
      </c>
      <c r="Z44" s="29" t="s">
        <v>274</v>
      </c>
      <c r="AA44" s="29" t="s">
        <v>271</v>
      </c>
      <c r="AB44" s="29" t="s">
        <v>275</v>
      </c>
      <c r="AC44" s="29" t="s">
        <v>272</v>
      </c>
      <c r="AD44" s="29" t="s">
        <v>335</v>
      </c>
      <c r="AE44" s="29" t="s">
        <v>273</v>
      </c>
      <c r="AF44" s="29" t="s">
        <v>336</v>
      </c>
      <c r="AG44" s="31" t="s">
        <v>796</v>
      </c>
    </row>
    <row r="45" spans="1:33" x14ac:dyDescent="0.3">
      <c r="A45" s="29" t="s">
        <v>622</v>
      </c>
      <c r="B45" s="31" t="s">
        <v>796</v>
      </c>
      <c r="C45" s="29" t="s">
        <v>22</v>
      </c>
      <c r="D45" s="38">
        <v>200</v>
      </c>
      <c r="E45" s="31" t="s">
        <v>796</v>
      </c>
      <c r="F45" s="29" t="s">
        <v>623</v>
      </c>
      <c r="G45" s="31" t="s">
        <v>796</v>
      </c>
      <c r="H45" s="29" t="s">
        <v>624</v>
      </c>
      <c r="I45" s="31" t="s">
        <v>796</v>
      </c>
      <c r="J45" s="29" t="s">
        <v>625</v>
      </c>
      <c r="K45" s="29">
        <v>2</v>
      </c>
      <c r="L45" s="31" t="s">
        <v>812</v>
      </c>
      <c r="M45" s="29" t="s">
        <v>622</v>
      </c>
      <c r="N45" s="31" t="s">
        <v>796</v>
      </c>
      <c r="O45" s="29" t="s">
        <v>623</v>
      </c>
      <c r="P45" s="29" t="s">
        <v>624</v>
      </c>
      <c r="Q45" s="29" t="s">
        <v>26</v>
      </c>
      <c r="R45" s="29" t="s">
        <v>480</v>
      </c>
      <c r="S45" s="29" t="s">
        <v>626</v>
      </c>
      <c r="T45" s="29" t="s">
        <v>627</v>
      </c>
      <c r="U45" s="29" t="s">
        <v>622</v>
      </c>
      <c r="V45" s="29" t="s">
        <v>623</v>
      </c>
      <c r="W45" s="29" t="s">
        <v>624</v>
      </c>
      <c r="X45" s="29" t="s">
        <v>20</v>
      </c>
      <c r="Y45" s="31" t="s">
        <v>796</v>
      </c>
      <c r="Z45" s="29" t="s">
        <v>274</v>
      </c>
      <c r="AA45" s="29" t="s">
        <v>271</v>
      </c>
      <c r="AB45" s="29" t="s">
        <v>275</v>
      </c>
      <c r="AC45" s="29" t="s">
        <v>272</v>
      </c>
      <c r="AD45" s="29" t="s">
        <v>335</v>
      </c>
      <c r="AE45" s="29" t="s">
        <v>273</v>
      </c>
      <c r="AF45" s="29" t="s">
        <v>336</v>
      </c>
      <c r="AG45" s="31" t="s">
        <v>796</v>
      </c>
    </row>
    <row r="46" spans="1:33" x14ac:dyDescent="0.3">
      <c r="A46" s="29" t="s">
        <v>521</v>
      </c>
      <c r="B46" s="31" t="s">
        <v>796</v>
      </c>
      <c r="C46" s="29" t="s">
        <v>22</v>
      </c>
      <c r="D46" s="38">
        <v>200</v>
      </c>
      <c r="E46" s="31" t="s">
        <v>796</v>
      </c>
      <c r="F46" s="29" t="s">
        <v>522</v>
      </c>
      <c r="G46" s="31" t="s">
        <v>796</v>
      </c>
      <c r="H46" s="29" t="s">
        <v>523</v>
      </c>
      <c r="I46" s="31" t="s">
        <v>796</v>
      </c>
      <c r="J46" s="29" t="s">
        <v>524</v>
      </c>
      <c r="K46" s="29">
        <v>2</v>
      </c>
      <c r="L46" s="31" t="s">
        <v>812</v>
      </c>
      <c r="M46" s="29" t="s">
        <v>521</v>
      </c>
      <c r="N46" s="31" t="s">
        <v>796</v>
      </c>
      <c r="O46" s="29" t="s">
        <v>522</v>
      </c>
      <c r="P46" s="29" t="s">
        <v>523</v>
      </c>
      <c r="Q46" s="29" t="s">
        <v>26</v>
      </c>
      <c r="R46" s="29" t="s">
        <v>480</v>
      </c>
      <c r="S46" s="29" t="s">
        <v>525</v>
      </c>
      <c r="T46" s="29" t="s">
        <v>526</v>
      </c>
      <c r="U46" s="29" t="s">
        <v>521</v>
      </c>
      <c r="V46" s="29" t="s">
        <v>522</v>
      </c>
      <c r="W46" s="29" t="s">
        <v>523</v>
      </c>
      <c r="X46" s="29" t="s">
        <v>20</v>
      </c>
      <c r="Y46" s="31" t="s">
        <v>796</v>
      </c>
      <c r="Z46" s="29" t="s">
        <v>274</v>
      </c>
      <c r="AA46" s="29" t="s">
        <v>271</v>
      </c>
      <c r="AB46" s="29" t="s">
        <v>275</v>
      </c>
      <c r="AC46" s="29" t="s">
        <v>272</v>
      </c>
      <c r="AD46" s="29" t="s">
        <v>335</v>
      </c>
      <c r="AE46" s="29" t="s">
        <v>273</v>
      </c>
      <c r="AF46" s="29" t="s">
        <v>336</v>
      </c>
      <c r="AG46" s="31" t="s">
        <v>796</v>
      </c>
    </row>
    <row r="47" spans="1:33" x14ac:dyDescent="0.3">
      <c r="A47" s="29" t="s">
        <v>494</v>
      </c>
      <c r="B47" s="31" t="s">
        <v>796</v>
      </c>
      <c r="C47" s="29" t="s">
        <v>22</v>
      </c>
      <c r="D47" s="38">
        <v>200</v>
      </c>
      <c r="E47" s="31" t="s">
        <v>796</v>
      </c>
      <c r="F47" s="29" t="s">
        <v>495</v>
      </c>
      <c r="G47" s="31" t="s">
        <v>796</v>
      </c>
      <c r="H47" s="29" t="s">
        <v>496</v>
      </c>
      <c r="I47" s="31" t="s">
        <v>796</v>
      </c>
      <c r="J47" s="29" t="s">
        <v>497</v>
      </c>
      <c r="K47" s="29">
        <v>2</v>
      </c>
      <c r="L47" s="31" t="s">
        <v>812</v>
      </c>
      <c r="M47" s="29" t="s">
        <v>494</v>
      </c>
      <c r="N47" s="31" t="s">
        <v>796</v>
      </c>
      <c r="O47" s="29" t="s">
        <v>495</v>
      </c>
      <c r="P47" s="29" t="s">
        <v>496</v>
      </c>
      <c r="Q47" s="29" t="s">
        <v>26</v>
      </c>
      <c r="R47" s="29" t="s">
        <v>480</v>
      </c>
      <c r="S47" s="29" t="s">
        <v>498</v>
      </c>
      <c r="T47" s="29" t="s">
        <v>499</v>
      </c>
      <c r="U47" s="29" t="s">
        <v>494</v>
      </c>
      <c r="V47" s="29" t="s">
        <v>495</v>
      </c>
      <c r="W47" s="29" t="s">
        <v>496</v>
      </c>
      <c r="X47" s="29" t="s">
        <v>20</v>
      </c>
      <c r="Y47" s="31" t="s">
        <v>796</v>
      </c>
      <c r="Z47" s="29" t="s">
        <v>274</v>
      </c>
      <c r="AA47" s="29" t="s">
        <v>271</v>
      </c>
      <c r="AB47" s="29" t="s">
        <v>275</v>
      </c>
      <c r="AC47" s="29" t="s">
        <v>272</v>
      </c>
      <c r="AD47" s="29" t="s">
        <v>335</v>
      </c>
      <c r="AE47" s="29" t="s">
        <v>273</v>
      </c>
      <c r="AF47" s="29" t="s">
        <v>336</v>
      </c>
      <c r="AG47" s="31" t="s">
        <v>796</v>
      </c>
    </row>
    <row r="48" spans="1:33" x14ac:dyDescent="0.3">
      <c r="A48" s="29" t="s">
        <v>578</v>
      </c>
      <c r="B48" s="31" t="s">
        <v>796</v>
      </c>
      <c r="C48" s="29" t="s">
        <v>22</v>
      </c>
      <c r="D48" s="38">
        <v>200</v>
      </c>
      <c r="E48" s="31" t="s">
        <v>796</v>
      </c>
      <c r="F48" s="29" t="s">
        <v>579</v>
      </c>
      <c r="G48" s="31" t="s">
        <v>796</v>
      </c>
      <c r="H48" s="29" t="s">
        <v>580</v>
      </c>
      <c r="I48" s="31" t="s">
        <v>796</v>
      </c>
      <c r="J48" s="29" t="s">
        <v>581</v>
      </c>
      <c r="K48" s="29">
        <v>2</v>
      </c>
      <c r="L48" s="31" t="s">
        <v>812</v>
      </c>
      <c r="M48" s="29" t="s">
        <v>578</v>
      </c>
      <c r="N48" s="31" t="s">
        <v>796</v>
      </c>
      <c r="O48" s="29" t="s">
        <v>579</v>
      </c>
      <c r="P48" s="29" t="s">
        <v>580</v>
      </c>
      <c r="Q48" s="29" t="s">
        <v>26</v>
      </c>
      <c r="R48" s="29" t="s">
        <v>480</v>
      </c>
      <c r="S48" s="29" t="s">
        <v>582</v>
      </c>
      <c r="T48" s="29" t="s">
        <v>583</v>
      </c>
      <c r="U48" s="29" t="s">
        <v>578</v>
      </c>
      <c r="V48" s="29" t="s">
        <v>579</v>
      </c>
      <c r="W48" s="29" t="s">
        <v>580</v>
      </c>
      <c r="X48" s="29" t="s">
        <v>20</v>
      </c>
      <c r="Y48" s="31" t="s">
        <v>796</v>
      </c>
      <c r="Z48" s="29" t="s">
        <v>274</v>
      </c>
      <c r="AA48" s="29" t="s">
        <v>271</v>
      </c>
      <c r="AB48" s="29" t="s">
        <v>275</v>
      </c>
      <c r="AC48" s="29" t="s">
        <v>272</v>
      </c>
      <c r="AD48" s="29" t="s">
        <v>335</v>
      </c>
      <c r="AE48" s="29" t="s">
        <v>273</v>
      </c>
      <c r="AF48" s="29" t="s">
        <v>336</v>
      </c>
      <c r="AG48" s="31" t="s">
        <v>796</v>
      </c>
    </row>
    <row r="49" spans="1:33" x14ac:dyDescent="0.3">
      <c r="A49" s="29" t="s">
        <v>529</v>
      </c>
      <c r="B49" s="31" t="s">
        <v>796</v>
      </c>
      <c r="C49" s="29" t="s">
        <v>22</v>
      </c>
      <c r="D49" s="38">
        <v>200</v>
      </c>
      <c r="E49" s="31" t="s">
        <v>796</v>
      </c>
      <c r="F49" s="29" t="s">
        <v>530</v>
      </c>
      <c r="G49" s="31" t="s">
        <v>796</v>
      </c>
      <c r="H49" s="29" t="s">
        <v>531</v>
      </c>
      <c r="I49" s="31" t="s">
        <v>796</v>
      </c>
      <c r="J49" s="29" t="s">
        <v>532</v>
      </c>
      <c r="K49" s="29">
        <v>2</v>
      </c>
      <c r="L49" s="31" t="s">
        <v>812</v>
      </c>
      <c r="M49" s="29" t="s">
        <v>529</v>
      </c>
      <c r="N49" s="31" t="s">
        <v>796</v>
      </c>
      <c r="O49" s="29" t="s">
        <v>530</v>
      </c>
      <c r="P49" s="29" t="s">
        <v>531</v>
      </c>
      <c r="Q49" s="29" t="s">
        <v>26</v>
      </c>
      <c r="R49" s="29" t="s">
        <v>480</v>
      </c>
      <c r="S49" s="29" t="s">
        <v>533</v>
      </c>
      <c r="T49" s="29" t="s">
        <v>534</v>
      </c>
      <c r="U49" s="29" t="s">
        <v>529</v>
      </c>
      <c r="V49" s="29" t="s">
        <v>530</v>
      </c>
      <c r="W49" s="29" t="s">
        <v>531</v>
      </c>
      <c r="X49" s="29" t="s">
        <v>20</v>
      </c>
      <c r="Y49" s="31" t="s">
        <v>796</v>
      </c>
      <c r="Z49" s="29" t="s">
        <v>274</v>
      </c>
      <c r="AA49" s="29" t="s">
        <v>271</v>
      </c>
      <c r="AB49" s="29" t="s">
        <v>275</v>
      </c>
      <c r="AC49" s="29" t="s">
        <v>272</v>
      </c>
      <c r="AD49" s="29" t="s">
        <v>335</v>
      </c>
      <c r="AE49" s="29" t="s">
        <v>273</v>
      </c>
      <c r="AF49" s="29" t="s">
        <v>336</v>
      </c>
      <c r="AG49" s="31" t="s">
        <v>796</v>
      </c>
    </row>
    <row r="50" spans="1:33" x14ac:dyDescent="0.3">
      <c r="A50" s="29" t="s">
        <v>535</v>
      </c>
      <c r="B50" s="31" t="s">
        <v>796</v>
      </c>
      <c r="C50" s="29" t="s">
        <v>22</v>
      </c>
      <c r="D50" s="38">
        <v>200</v>
      </c>
      <c r="E50" s="31" t="s">
        <v>796</v>
      </c>
      <c r="F50" s="29" t="s">
        <v>536</v>
      </c>
      <c r="G50" s="31" t="s">
        <v>796</v>
      </c>
      <c r="H50" s="29" t="s">
        <v>537</v>
      </c>
      <c r="I50" s="31" t="s">
        <v>796</v>
      </c>
      <c r="J50" s="29" t="s">
        <v>538</v>
      </c>
      <c r="K50" s="29">
        <v>2</v>
      </c>
      <c r="L50" s="31" t="s">
        <v>812</v>
      </c>
      <c r="M50" s="29" t="s">
        <v>535</v>
      </c>
      <c r="N50" s="31" t="s">
        <v>796</v>
      </c>
      <c r="O50" s="29" t="s">
        <v>536</v>
      </c>
      <c r="P50" s="29" t="s">
        <v>537</v>
      </c>
      <c r="Q50" s="29" t="s">
        <v>26</v>
      </c>
      <c r="R50" s="29" t="s">
        <v>480</v>
      </c>
      <c r="S50" s="29" t="s">
        <v>539</v>
      </c>
      <c r="T50" s="29" t="s">
        <v>540</v>
      </c>
      <c r="U50" s="29" t="s">
        <v>535</v>
      </c>
      <c r="V50" s="29" t="s">
        <v>536</v>
      </c>
      <c r="W50" s="29" t="s">
        <v>537</v>
      </c>
      <c r="X50" s="29" t="s">
        <v>20</v>
      </c>
      <c r="Y50" s="31" t="s">
        <v>796</v>
      </c>
      <c r="Z50" s="29" t="s">
        <v>274</v>
      </c>
      <c r="AA50" s="29" t="s">
        <v>271</v>
      </c>
      <c r="AB50" s="29" t="s">
        <v>275</v>
      </c>
      <c r="AC50" s="29" t="s">
        <v>272</v>
      </c>
      <c r="AD50" s="29" t="s">
        <v>335</v>
      </c>
      <c r="AE50" s="29" t="s">
        <v>273</v>
      </c>
      <c r="AF50" s="29" t="s">
        <v>336</v>
      </c>
      <c r="AG50" s="31" t="s">
        <v>796</v>
      </c>
    </row>
    <row r="51" spans="1:33" x14ac:dyDescent="0.3">
      <c r="A51" s="29" t="s">
        <v>550</v>
      </c>
      <c r="B51" s="31" t="s">
        <v>796</v>
      </c>
      <c r="C51" s="29" t="s">
        <v>22</v>
      </c>
      <c r="D51" s="38">
        <v>200</v>
      </c>
      <c r="E51" s="31" t="s">
        <v>796</v>
      </c>
      <c r="F51" s="29" t="s">
        <v>551</v>
      </c>
      <c r="G51" s="31" t="s">
        <v>796</v>
      </c>
      <c r="H51" s="29" t="s">
        <v>552</v>
      </c>
      <c r="I51" s="31" t="s">
        <v>796</v>
      </c>
      <c r="J51" s="29" t="s">
        <v>553</v>
      </c>
      <c r="K51" s="29">
        <v>2</v>
      </c>
      <c r="L51" s="31" t="s">
        <v>812</v>
      </c>
      <c r="M51" s="29" t="s">
        <v>550</v>
      </c>
      <c r="N51" s="31" t="s">
        <v>796</v>
      </c>
      <c r="O51" s="29" t="s">
        <v>551</v>
      </c>
      <c r="P51" s="29" t="s">
        <v>552</v>
      </c>
      <c r="Q51" s="29" t="s">
        <v>26</v>
      </c>
      <c r="R51" s="29" t="s">
        <v>480</v>
      </c>
      <c r="S51" s="29" t="s">
        <v>554</v>
      </c>
      <c r="T51" s="29" t="s">
        <v>555</v>
      </c>
      <c r="U51" s="29" t="s">
        <v>550</v>
      </c>
      <c r="V51" s="29" t="s">
        <v>551</v>
      </c>
      <c r="W51" s="29" t="s">
        <v>552</v>
      </c>
      <c r="X51" s="29" t="s">
        <v>20</v>
      </c>
      <c r="Y51" s="31" t="s">
        <v>796</v>
      </c>
      <c r="Z51" s="29" t="s">
        <v>274</v>
      </c>
      <c r="AA51" s="29" t="s">
        <v>271</v>
      </c>
      <c r="AB51" s="29" t="s">
        <v>275</v>
      </c>
      <c r="AC51" s="29" t="s">
        <v>272</v>
      </c>
      <c r="AD51" s="29" t="s">
        <v>335</v>
      </c>
      <c r="AE51" s="29" t="s">
        <v>273</v>
      </c>
      <c r="AF51" s="29" t="s">
        <v>336</v>
      </c>
      <c r="AG51" s="31" t="s">
        <v>796</v>
      </c>
    </row>
    <row r="52" spans="1:33" x14ac:dyDescent="0.3">
      <c r="A52" s="29" t="s">
        <v>556</v>
      </c>
      <c r="B52" s="31" t="s">
        <v>796</v>
      </c>
      <c r="C52" s="29" t="s">
        <v>22</v>
      </c>
      <c r="D52" s="38">
        <v>200</v>
      </c>
      <c r="E52" s="31" t="s">
        <v>796</v>
      </c>
      <c r="F52" s="29" t="s">
        <v>557</v>
      </c>
      <c r="G52" s="31" t="s">
        <v>796</v>
      </c>
      <c r="H52" s="29" t="s">
        <v>558</v>
      </c>
      <c r="I52" s="31" t="s">
        <v>796</v>
      </c>
      <c r="J52" s="29" t="s">
        <v>559</v>
      </c>
      <c r="K52" s="29">
        <v>2</v>
      </c>
      <c r="L52" s="31" t="s">
        <v>812</v>
      </c>
      <c r="M52" s="29" t="s">
        <v>556</v>
      </c>
      <c r="N52" s="31" t="s">
        <v>796</v>
      </c>
      <c r="O52" s="29" t="s">
        <v>557</v>
      </c>
      <c r="P52" s="29" t="s">
        <v>558</v>
      </c>
      <c r="Q52" s="29" t="s">
        <v>26</v>
      </c>
      <c r="R52" s="29" t="s">
        <v>480</v>
      </c>
      <c r="S52" s="29" t="s">
        <v>560</v>
      </c>
      <c r="T52" s="29" t="s">
        <v>561</v>
      </c>
      <c r="U52" s="29" t="s">
        <v>556</v>
      </c>
      <c r="V52" s="29" t="s">
        <v>557</v>
      </c>
      <c r="W52" s="29" t="s">
        <v>558</v>
      </c>
      <c r="X52" s="29" t="s">
        <v>20</v>
      </c>
      <c r="Y52" s="31" t="s">
        <v>796</v>
      </c>
      <c r="Z52" s="29" t="s">
        <v>274</v>
      </c>
      <c r="AA52" s="29" t="s">
        <v>271</v>
      </c>
      <c r="AB52" s="29" t="s">
        <v>275</v>
      </c>
      <c r="AC52" s="29" t="s">
        <v>272</v>
      </c>
      <c r="AD52" s="29" t="s">
        <v>335</v>
      </c>
      <c r="AE52" s="29" t="s">
        <v>273</v>
      </c>
      <c r="AF52" s="29" t="s">
        <v>336</v>
      </c>
      <c r="AG52" s="31" t="s">
        <v>796</v>
      </c>
    </row>
    <row r="53" spans="1:33" x14ac:dyDescent="0.3">
      <c r="A53" s="29" t="s">
        <v>616</v>
      </c>
      <c r="B53" s="31" t="s">
        <v>796</v>
      </c>
      <c r="C53" s="29" t="s">
        <v>22</v>
      </c>
      <c r="D53" s="38">
        <v>200</v>
      </c>
      <c r="E53" s="31" t="s">
        <v>796</v>
      </c>
      <c r="F53" s="29" t="s">
        <v>617</v>
      </c>
      <c r="G53" s="31" t="s">
        <v>796</v>
      </c>
      <c r="H53" s="29" t="s">
        <v>618</v>
      </c>
      <c r="I53" s="31" t="s">
        <v>796</v>
      </c>
      <c r="J53" s="29" t="s">
        <v>619</v>
      </c>
      <c r="K53" s="29">
        <v>2</v>
      </c>
      <c r="L53" s="31" t="s">
        <v>812</v>
      </c>
      <c r="M53" s="29" t="s">
        <v>616</v>
      </c>
      <c r="N53" s="31" t="s">
        <v>796</v>
      </c>
      <c r="O53" s="29" t="s">
        <v>617</v>
      </c>
      <c r="P53" s="29" t="s">
        <v>618</v>
      </c>
      <c r="Q53" s="29" t="s">
        <v>26</v>
      </c>
      <c r="R53" s="29" t="s">
        <v>480</v>
      </c>
      <c r="S53" s="29" t="s">
        <v>620</v>
      </c>
      <c r="T53" s="29" t="s">
        <v>621</v>
      </c>
      <c r="U53" s="29" t="s">
        <v>616</v>
      </c>
      <c r="V53" s="29" t="s">
        <v>617</v>
      </c>
      <c r="W53" s="29" t="s">
        <v>618</v>
      </c>
      <c r="X53" s="29" t="s">
        <v>20</v>
      </c>
      <c r="Y53" s="31" t="s">
        <v>796</v>
      </c>
      <c r="Z53" s="29" t="s">
        <v>274</v>
      </c>
      <c r="AA53" s="29" t="s">
        <v>271</v>
      </c>
      <c r="AB53" s="29" t="s">
        <v>275</v>
      </c>
      <c r="AC53" s="29" t="s">
        <v>272</v>
      </c>
      <c r="AD53" s="29" t="s">
        <v>335</v>
      </c>
      <c r="AE53" s="29" t="s">
        <v>273</v>
      </c>
      <c r="AF53" s="29" t="s">
        <v>336</v>
      </c>
      <c r="AG53" s="31" t="s">
        <v>796</v>
      </c>
    </row>
    <row r="54" spans="1:33" x14ac:dyDescent="0.3">
      <c r="A54" s="29" t="s">
        <v>652</v>
      </c>
      <c r="B54" s="31" t="s">
        <v>796</v>
      </c>
      <c r="C54" s="29" t="s">
        <v>22</v>
      </c>
      <c r="D54" s="38">
        <v>200</v>
      </c>
      <c r="E54" s="31" t="s">
        <v>796</v>
      </c>
      <c r="F54" s="29" t="s">
        <v>653</v>
      </c>
      <c r="G54" s="31" t="s">
        <v>796</v>
      </c>
      <c r="H54" s="29" t="s">
        <v>654</v>
      </c>
      <c r="I54" s="31" t="s">
        <v>796</v>
      </c>
      <c r="J54" s="29" t="s">
        <v>655</v>
      </c>
      <c r="K54" s="29">
        <v>2</v>
      </c>
      <c r="L54" s="31" t="s">
        <v>812</v>
      </c>
      <c r="M54" s="29" t="s">
        <v>652</v>
      </c>
      <c r="N54" s="31" t="s">
        <v>796</v>
      </c>
      <c r="O54" s="29" t="s">
        <v>653</v>
      </c>
      <c r="P54" s="29" t="s">
        <v>654</v>
      </c>
      <c r="Q54" s="29" t="s">
        <v>26</v>
      </c>
      <c r="R54" s="29" t="s">
        <v>480</v>
      </c>
      <c r="S54" s="29" t="s">
        <v>656</v>
      </c>
      <c r="T54" s="29" t="s">
        <v>657</v>
      </c>
      <c r="U54" s="29" t="s">
        <v>652</v>
      </c>
      <c r="V54" s="29" t="s">
        <v>653</v>
      </c>
      <c r="W54" s="29" t="s">
        <v>654</v>
      </c>
      <c r="X54" s="29" t="s">
        <v>20</v>
      </c>
      <c r="Y54" s="31" t="s">
        <v>796</v>
      </c>
      <c r="Z54" s="29" t="s">
        <v>274</v>
      </c>
      <c r="AA54" s="29" t="s">
        <v>271</v>
      </c>
      <c r="AB54" s="29" t="s">
        <v>275</v>
      </c>
      <c r="AC54" s="29" t="s">
        <v>272</v>
      </c>
      <c r="AD54" s="29" t="s">
        <v>335</v>
      </c>
      <c r="AE54" s="29" t="s">
        <v>273</v>
      </c>
      <c r="AF54" s="29" t="s">
        <v>336</v>
      </c>
      <c r="AG54" s="31" t="s">
        <v>796</v>
      </c>
    </row>
    <row r="55" spans="1:33" x14ac:dyDescent="0.3">
      <c r="A55" s="29" t="s">
        <v>628</v>
      </c>
      <c r="B55" s="31" t="s">
        <v>796</v>
      </c>
      <c r="C55" s="29" t="s">
        <v>22</v>
      </c>
      <c r="D55" s="38">
        <v>200</v>
      </c>
      <c r="E55" s="31" t="s">
        <v>796</v>
      </c>
      <c r="F55" s="29" t="s">
        <v>629</v>
      </c>
      <c r="G55" s="31" t="s">
        <v>796</v>
      </c>
      <c r="H55" s="29" t="s">
        <v>630</v>
      </c>
      <c r="I55" s="31" t="s">
        <v>796</v>
      </c>
      <c r="J55" s="29" t="s">
        <v>631</v>
      </c>
      <c r="K55" s="29">
        <v>2</v>
      </c>
      <c r="L55" s="31" t="s">
        <v>812</v>
      </c>
      <c r="M55" s="29" t="s">
        <v>628</v>
      </c>
      <c r="N55" s="31" t="s">
        <v>796</v>
      </c>
      <c r="O55" s="29" t="s">
        <v>629</v>
      </c>
      <c r="P55" s="29" t="s">
        <v>630</v>
      </c>
      <c r="Q55" s="29" t="s">
        <v>26</v>
      </c>
      <c r="R55" s="29" t="s">
        <v>480</v>
      </c>
      <c r="S55" s="29" t="s">
        <v>632</v>
      </c>
      <c r="T55" s="29" t="s">
        <v>633</v>
      </c>
      <c r="U55" s="29" t="s">
        <v>628</v>
      </c>
      <c r="V55" s="29" t="s">
        <v>629</v>
      </c>
      <c r="W55" s="29" t="s">
        <v>630</v>
      </c>
      <c r="X55" s="29" t="s">
        <v>20</v>
      </c>
      <c r="Y55" s="31" t="s">
        <v>796</v>
      </c>
      <c r="Z55" s="29" t="s">
        <v>274</v>
      </c>
      <c r="AA55" s="29" t="s">
        <v>271</v>
      </c>
      <c r="AB55" s="29" t="s">
        <v>275</v>
      </c>
      <c r="AC55" s="29" t="s">
        <v>272</v>
      </c>
      <c r="AD55" s="29" t="s">
        <v>335</v>
      </c>
      <c r="AE55" s="29" t="s">
        <v>273</v>
      </c>
      <c r="AF55" s="29" t="s">
        <v>336</v>
      </c>
      <c r="AG55" s="31" t="s">
        <v>796</v>
      </c>
    </row>
    <row r="56" spans="1:33" x14ac:dyDescent="0.3">
      <c r="A56" s="29" t="s">
        <v>610</v>
      </c>
      <c r="B56" s="31" t="s">
        <v>796</v>
      </c>
      <c r="C56" s="29" t="s">
        <v>22</v>
      </c>
      <c r="D56" s="38">
        <v>200</v>
      </c>
      <c r="E56" s="31" t="s">
        <v>796</v>
      </c>
      <c r="F56" s="29" t="s">
        <v>611</v>
      </c>
      <c r="G56" s="31" t="s">
        <v>796</v>
      </c>
      <c r="H56" s="29" t="s">
        <v>612</v>
      </c>
      <c r="I56" s="31" t="s">
        <v>796</v>
      </c>
      <c r="J56" s="29" t="s">
        <v>613</v>
      </c>
      <c r="K56" s="29">
        <v>2</v>
      </c>
      <c r="L56" s="31" t="s">
        <v>812</v>
      </c>
      <c r="M56" s="29" t="s">
        <v>610</v>
      </c>
      <c r="N56" s="31" t="s">
        <v>796</v>
      </c>
      <c r="O56" s="29" t="s">
        <v>611</v>
      </c>
      <c r="P56" s="29" t="s">
        <v>612</v>
      </c>
      <c r="Q56" s="29" t="s">
        <v>26</v>
      </c>
      <c r="R56" s="29" t="s">
        <v>480</v>
      </c>
      <c r="S56" s="29" t="s">
        <v>614</v>
      </c>
      <c r="T56" s="29" t="s">
        <v>615</v>
      </c>
      <c r="U56" s="29" t="s">
        <v>610</v>
      </c>
      <c r="V56" s="29" t="s">
        <v>611</v>
      </c>
      <c r="W56" s="29" t="s">
        <v>612</v>
      </c>
      <c r="X56" s="29" t="s">
        <v>20</v>
      </c>
      <c r="Y56" s="31" t="s">
        <v>796</v>
      </c>
      <c r="Z56" s="29" t="s">
        <v>274</v>
      </c>
      <c r="AA56" s="29" t="s">
        <v>271</v>
      </c>
      <c r="AB56" s="29" t="s">
        <v>275</v>
      </c>
      <c r="AC56" s="29" t="s">
        <v>272</v>
      </c>
      <c r="AD56" s="29" t="s">
        <v>335</v>
      </c>
      <c r="AE56" s="29" t="s">
        <v>273</v>
      </c>
      <c r="AF56" s="29" t="s">
        <v>336</v>
      </c>
      <c r="AG56" s="31" t="s">
        <v>796</v>
      </c>
    </row>
    <row r="57" spans="1:33" x14ac:dyDescent="0.3">
      <c r="A57" s="29" t="s">
        <v>634</v>
      </c>
      <c r="B57" s="31" t="s">
        <v>796</v>
      </c>
      <c r="C57" s="29" t="s">
        <v>22</v>
      </c>
      <c r="D57" s="38">
        <v>200</v>
      </c>
      <c r="E57" s="31" t="s">
        <v>796</v>
      </c>
      <c r="F57" s="29" t="s">
        <v>635</v>
      </c>
      <c r="G57" s="31" t="s">
        <v>796</v>
      </c>
      <c r="H57" s="29" t="s">
        <v>636</v>
      </c>
      <c r="I57" s="31" t="s">
        <v>796</v>
      </c>
      <c r="J57" s="29" t="s">
        <v>637</v>
      </c>
      <c r="K57" s="29">
        <v>2</v>
      </c>
      <c r="L57" s="31" t="s">
        <v>812</v>
      </c>
      <c r="M57" s="29" t="s">
        <v>634</v>
      </c>
      <c r="N57" s="31" t="s">
        <v>796</v>
      </c>
      <c r="O57" s="29" t="s">
        <v>635</v>
      </c>
      <c r="P57" s="29" t="s">
        <v>636</v>
      </c>
      <c r="Q57" s="29" t="s">
        <v>26</v>
      </c>
      <c r="R57" s="29" t="s">
        <v>480</v>
      </c>
      <c r="S57" s="29" t="s">
        <v>638</v>
      </c>
      <c r="T57" s="29" t="s">
        <v>639</v>
      </c>
      <c r="U57" s="29" t="s">
        <v>634</v>
      </c>
      <c r="V57" s="29" t="s">
        <v>635</v>
      </c>
      <c r="W57" s="29" t="s">
        <v>636</v>
      </c>
      <c r="X57" s="29" t="s">
        <v>20</v>
      </c>
      <c r="Y57" s="31" t="s">
        <v>796</v>
      </c>
      <c r="Z57" s="29" t="s">
        <v>274</v>
      </c>
      <c r="AA57" s="29" t="s">
        <v>271</v>
      </c>
      <c r="AB57" s="29" t="s">
        <v>275</v>
      </c>
      <c r="AC57" s="29" t="s">
        <v>272</v>
      </c>
      <c r="AD57" s="29" t="s">
        <v>335</v>
      </c>
      <c r="AE57" s="29" t="s">
        <v>273</v>
      </c>
      <c r="AF57" s="29" t="s">
        <v>336</v>
      </c>
      <c r="AG57" s="31" t="s">
        <v>796</v>
      </c>
    </row>
    <row r="58" spans="1:33" x14ac:dyDescent="0.3">
      <c r="A58" s="29" t="s">
        <v>504</v>
      </c>
      <c r="B58" s="31" t="s">
        <v>796</v>
      </c>
      <c r="C58" s="29" t="s">
        <v>22</v>
      </c>
      <c r="D58" s="38">
        <v>200</v>
      </c>
      <c r="E58" s="31" t="s">
        <v>796</v>
      </c>
      <c r="F58" s="29" t="s">
        <v>505</v>
      </c>
      <c r="G58" s="31" t="s">
        <v>796</v>
      </c>
      <c r="H58" s="29" t="s">
        <v>506</v>
      </c>
      <c r="I58" s="31" t="s">
        <v>796</v>
      </c>
      <c r="J58" s="29" t="s">
        <v>507</v>
      </c>
      <c r="K58" s="29">
        <v>2</v>
      </c>
      <c r="L58" s="31" t="s">
        <v>812</v>
      </c>
      <c r="M58" s="29" t="s">
        <v>504</v>
      </c>
      <c r="N58" s="31" t="s">
        <v>796</v>
      </c>
      <c r="O58" s="29" t="s">
        <v>505</v>
      </c>
      <c r="P58" s="29" t="s">
        <v>506</v>
      </c>
      <c r="Q58" s="29" t="s">
        <v>26</v>
      </c>
      <c r="R58" s="29" t="s">
        <v>480</v>
      </c>
      <c r="S58" s="29" t="s">
        <v>508</v>
      </c>
      <c r="T58" s="29" t="s">
        <v>509</v>
      </c>
      <c r="U58" s="29" t="s">
        <v>504</v>
      </c>
      <c r="V58" s="29" t="s">
        <v>505</v>
      </c>
      <c r="W58" s="29" t="s">
        <v>506</v>
      </c>
      <c r="X58" s="29" t="s">
        <v>20</v>
      </c>
      <c r="Y58" s="31" t="s">
        <v>796</v>
      </c>
      <c r="Z58" s="29" t="s">
        <v>274</v>
      </c>
      <c r="AA58" s="29" t="s">
        <v>271</v>
      </c>
      <c r="AB58" s="29" t="s">
        <v>275</v>
      </c>
      <c r="AC58" s="29" t="s">
        <v>272</v>
      </c>
      <c r="AD58" s="29" t="s">
        <v>335</v>
      </c>
      <c r="AE58" s="29" t="s">
        <v>273</v>
      </c>
      <c r="AF58" s="29" t="s">
        <v>336</v>
      </c>
      <c r="AG58" s="31" t="s">
        <v>796</v>
      </c>
    </row>
    <row r="59" spans="1:33" ht="22.5" x14ac:dyDescent="0.3">
      <c r="A59" s="29" t="s">
        <v>603</v>
      </c>
      <c r="B59" s="32" t="s">
        <v>805</v>
      </c>
      <c r="C59" s="29" t="s">
        <v>231</v>
      </c>
      <c r="D59" s="38">
        <v>404</v>
      </c>
      <c r="E59" s="31" t="s">
        <v>802</v>
      </c>
      <c r="F59" s="29"/>
      <c r="G59" s="31">
        <v>404</v>
      </c>
      <c r="H59" s="29"/>
      <c r="I59" s="31">
        <v>404</v>
      </c>
      <c r="J59" s="29"/>
      <c r="K59" s="29"/>
      <c r="L59" s="31">
        <v>404</v>
      </c>
      <c r="M59" s="29"/>
      <c r="N59" s="31">
        <v>404</v>
      </c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31">
        <v>404</v>
      </c>
      <c r="Z59" s="29" t="s">
        <v>703</v>
      </c>
      <c r="AA59" s="29" t="s">
        <v>271</v>
      </c>
      <c r="AB59" s="29" t="s">
        <v>275</v>
      </c>
      <c r="AC59" s="29" t="s">
        <v>272</v>
      </c>
      <c r="AD59" s="29" t="s">
        <v>273</v>
      </c>
      <c r="AE59" s="29" t="s">
        <v>704</v>
      </c>
      <c r="AF59" s="29"/>
      <c r="AG59" s="31">
        <v>404</v>
      </c>
    </row>
    <row r="60" spans="1:33" ht="22.5" x14ac:dyDescent="0.3">
      <c r="A60" s="29" t="s">
        <v>601</v>
      </c>
      <c r="B60" s="32" t="s">
        <v>805</v>
      </c>
      <c r="C60" s="29" t="s">
        <v>231</v>
      </c>
      <c r="D60" s="38">
        <v>404</v>
      </c>
      <c r="E60" s="31" t="s">
        <v>802</v>
      </c>
      <c r="F60" s="29"/>
      <c r="G60" s="31">
        <v>404</v>
      </c>
      <c r="H60" s="29"/>
      <c r="I60" s="31">
        <v>404</v>
      </c>
      <c r="J60" s="29"/>
      <c r="K60" s="29"/>
      <c r="L60" s="31">
        <v>404</v>
      </c>
      <c r="M60" s="29"/>
      <c r="N60" s="31">
        <v>404</v>
      </c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31">
        <v>404</v>
      </c>
      <c r="Z60" s="29" t="s">
        <v>703</v>
      </c>
      <c r="AA60" s="29" t="s">
        <v>271</v>
      </c>
      <c r="AB60" s="29" t="s">
        <v>275</v>
      </c>
      <c r="AC60" s="29" t="s">
        <v>272</v>
      </c>
      <c r="AD60" s="29" t="s">
        <v>273</v>
      </c>
      <c r="AE60" s="29" t="s">
        <v>704</v>
      </c>
      <c r="AF60" s="29"/>
      <c r="AG60" s="31">
        <v>404</v>
      </c>
    </row>
    <row r="61" spans="1:33" ht="22.5" x14ac:dyDescent="0.3">
      <c r="A61" s="29" t="s">
        <v>602</v>
      </c>
      <c r="B61" s="32" t="s">
        <v>805</v>
      </c>
      <c r="C61" s="29" t="s">
        <v>231</v>
      </c>
      <c r="D61" s="38">
        <v>404</v>
      </c>
      <c r="E61" s="31" t="s">
        <v>802</v>
      </c>
      <c r="F61" s="29"/>
      <c r="G61" s="31">
        <v>404</v>
      </c>
      <c r="H61" s="29"/>
      <c r="I61" s="31">
        <v>404</v>
      </c>
      <c r="J61" s="29"/>
      <c r="K61" s="29"/>
      <c r="L61" s="31">
        <v>404</v>
      </c>
      <c r="M61" s="29"/>
      <c r="N61" s="31">
        <v>404</v>
      </c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31">
        <v>404</v>
      </c>
      <c r="Z61" s="29" t="s">
        <v>703</v>
      </c>
      <c r="AA61" s="29" t="s">
        <v>271</v>
      </c>
      <c r="AB61" s="29" t="s">
        <v>275</v>
      </c>
      <c r="AC61" s="29" t="s">
        <v>272</v>
      </c>
      <c r="AD61" s="29" t="s">
        <v>273</v>
      </c>
      <c r="AE61" s="29" t="s">
        <v>704</v>
      </c>
      <c r="AF61" s="29"/>
      <c r="AG61" s="31">
        <v>404</v>
      </c>
    </row>
    <row r="62" spans="1:33" x14ac:dyDescent="0.3">
      <c r="A62" s="29" t="s">
        <v>708</v>
      </c>
      <c r="B62" s="31" t="s">
        <v>796</v>
      </c>
      <c r="C62" s="29" t="s">
        <v>15</v>
      </c>
      <c r="D62" s="38">
        <v>404</v>
      </c>
      <c r="E62" s="31" t="s">
        <v>802</v>
      </c>
      <c r="F62" s="29"/>
      <c r="G62" s="31">
        <v>404</v>
      </c>
      <c r="H62" s="29"/>
      <c r="I62" s="31">
        <v>404</v>
      </c>
      <c r="J62" s="29"/>
      <c r="K62" s="29"/>
      <c r="L62" s="31">
        <v>404</v>
      </c>
      <c r="M62" s="29"/>
      <c r="N62" s="31">
        <v>404</v>
      </c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31">
        <v>404</v>
      </c>
      <c r="Z62" s="29"/>
      <c r="AA62" s="29"/>
      <c r="AB62" s="29"/>
      <c r="AC62" s="29"/>
      <c r="AD62" s="29"/>
      <c r="AE62" s="29"/>
      <c r="AF62" s="29"/>
      <c r="AG62" s="31">
        <v>404</v>
      </c>
    </row>
    <row r="63" spans="1:33" ht="22.5" x14ac:dyDescent="0.3">
      <c r="A63" s="29" t="s">
        <v>545</v>
      </c>
      <c r="B63" s="32" t="s">
        <v>805</v>
      </c>
      <c r="C63" s="29" t="s">
        <v>231</v>
      </c>
      <c r="D63" s="39" t="s">
        <v>803</v>
      </c>
      <c r="E63" s="31" t="s">
        <v>802</v>
      </c>
      <c r="F63" s="29" t="s">
        <v>546</v>
      </c>
      <c r="G63" s="32" t="s">
        <v>809</v>
      </c>
      <c r="H63" s="29"/>
      <c r="I63" s="31" t="s">
        <v>807</v>
      </c>
      <c r="J63" s="29"/>
      <c r="K63" s="29"/>
      <c r="L63" s="31" t="s">
        <v>807</v>
      </c>
      <c r="M63" s="29" t="s">
        <v>545</v>
      </c>
      <c r="N63" s="31" t="s">
        <v>796</v>
      </c>
      <c r="O63" s="29" t="s">
        <v>546</v>
      </c>
      <c r="P63" s="29" t="s">
        <v>479</v>
      </c>
      <c r="Q63" s="29" t="s">
        <v>547</v>
      </c>
      <c r="R63" s="29" t="s">
        <v>480</v>
      </c>
      <c r="S63" s="29" t="s">
        <v>481</v>
      </c>
      <c r="T63" s="29" t="s">
        <v>482</v>
      </c>
      <c r="U63" s="29" t="s">
        <v>545</v>
      </c>
      <c r="V63" s="29" t="s">
        <v>546</v>
      </c>
      <c r="W63" s="29" t="s">
        <v>479</v>
      </c>
      <c r="X63" s="29" t="s">
        <v>20</v>
      </c>
      <c r="Y63" s="32" t="s">
        <v>814</v>
      </c>
      <c r="Z63" s="29" t="s">
        <v>703</v>
      </c>
      <c r="AA63" s="29" t="s">
        <v>271</v>
      </c>
      <c r="AB63" s="29" t="s">
        <v>275</v>
      </c>
      <c r="AC63" s="29" t="s">
        <v>272</v>
      </c>
      <c r="AD63" s="29" t="s">
        <v>273</v>
      </c>
      <c r="AE63" s="29" t="s">
        <v>704</v>
      </c>
      <c r="AF63" s="29"/>
      <c r="AG63" s="31" t="s">
        <v>796</v>
      </c>
    </row>
    <row r="64" spans="1:33" ht="22.5" x14ac:dyDescent="0.3">
      <c r="A64" s="29" t="s">
        <v>658</v>
      </c>
      <c r="B64" s="31" t="s">
        <v>796</v>
      </c>
      <c r="C64" s="29" t="s">
        <v>231</v>
      </c>
      <c r="D64" s="39" t="s">
        <v>800</v>
      </c>
      <c r="E64" s="31" t="s">
        <v>802</v>
      </c>
      <c r="F64" s="29" t="s">
        <v>659</v>
      </c>
      <c r="G64" s="32" t="s">
        <v>809</v>
      </c>
      <c r="H64" s="29"/>
      <c r="I64" s="31" t="s">
        <v>807</v>
      </c>
      <c r="J64" s="29"/>
      <c r="K64" s="29"/>
      <c r="L64" s="31" t="s">
        <v>807</v>
      </c>
      <c r="M64" s="29" t="s">
        <v>658</v>
      </c>
      <c r="N64" s="31" t="s">
        <v>796</v>
      </c>
      <c r="O64" s="29" t="s">
        <v>659</v>
      </c>
      <c r="P64" s="29" t="s">
        <v>479</v>
      </c>
      <c r="Q64" s="29" t="s">
        <v>18</v>
      </c>
      <c r="R64" s="29" t="s">
        <v>480</v>
      </c>
      <c r="S64" s="29" t="s">
        <v>481</v>
      </c>
      <c r="T64" s="29" t="s">
        <v>482</v>
      </c>
      <c r="U64" s="29" t="s">
        <v>658</v>
      </c>
      <c r="V64" s="29" t="s">
        <v>659</v>
      </c>
      <c r="W64" s="29" t="s">
        <v>479</v>
      </c>
      <c r="X64" s="29" t="s">
        <v>20</v>
      </c>
      <c r="Y64" s="32" t="s">
        <v>814</v>
      </c>
      <c r="Z64" s="29" t="s">
        <v>271</v>
      </c>
      <c r="AA64" s="29" t="s">
        <v>272</v>
      </c>
      <c r="AB64" s="29" t="s">
        <v>273</v>
      </c>
      <c r="AC64" s="29"/>
      <c r="AD64" s="29"/>
      <c r="AE64" s="29"/>
      <c r="AF64" s="29"/>
      <c r="AG64" s="31" t="s">
        <v>796</v>
      </c>
    </row>
  </sheetData>
  <autoFilter ref="A1:AG64" xr:uid="{DDEB7716-9A9D-4814-A8AE-265B739A22B0}">
    <sortState xmlns:xlrd2="http://schemas.microsoft.com/office/spreadsheetml/2017/richdata2" ref="A2:AG64">
      <sortCondition ref="D1:D64"/>
    </sortState>
  </autoFilter>
  <phoneticPr fontId="2" type="noConversion"/>
  <conditionalFormatting sqref="A1:A1048576">
    <cfRule type="containsText" dxfId="35" priority="25" operator="containsText" text="_">
      <formula>NOT(ISERROR(SEARCH("_",A1)))</formula>
    </cfRule>
  </conditionalFormatting>
  <conditionalFormatting sqref="B1:B64">
    <cfRule type="containsBlanks" dxfId="34" priority="28">
      <formula>LEN(TRIM(B1))=0</formula>
    </cfRule>
  </conditionalFormatting>
  <conditionalFormatting sqref="B2:B64">
    <cfRule type="notContainsBlanks" dxfId="33" priority="27">
      <formula>LEN(TRIM(B2))&gt;0</formula>
    </cfRule>
    <cfRule type="cellIs" dxfId="32" priority="26" operator="equal">
      <formula>"Pass"</formula>
    </cfRule>
  </conditionalFormatting>
  <conditionalFormatting sqref="D1:D1048576">
    <cfRule type="cellIs" dxfId="31" priority="30" operator="equal">
      <formula>404</formula>
    </cfRule>
  </conditionalFormatting>
  <conditionalFormatting sqref="E1:E64">
    <cfRule type="containsBlanks" dxfId="30" priority="70">
      <formula>LEN(TRIM(E1))=0</formula>
    </cfRule>
  </conditionalFormatting>
  <conditionalFormatting sqref="E2:E64">
    <cfRule type="notContainsBlanks" dxfId="29" priority="69">
      <formula>LEN(TRIM(E2))&gt;0</formula>
    </cfRule>
    <cfRule type="cellIs" dxfId="28" priority="68" operator="equal">
      <formula>"Pass"</formula>
    </cfRule>
  </conditionalFormatting>
  <conditionalFormatting sqref="F1:F1048576">
    <cfRule type="duplicateValues" dxfId="27" priority="24"/>
  </conditionalFormatting>
  <conditionalFormatting sqref="G1:G64">
    <cfRule type="containsBlanks" dxfId="26" priority="14">
      <formula>LEN(TRIM(G1))=0</formula>
    </cfRule>
  </conditionalFormatting>
  <conditionalFormatting sqref="G2:G64">
    <cfRule type="notContainsBlanks" dxfId="25" priority="13">
      <formula>LEN(TRIM(G2))&gt;0</formula>
    </cfRule>
    <cfRule type="cellIs" dxfId="24" priority="12" operator="equal">
      <formula>"Pass"</formula>
    </cfRule>
  </conditionalFormatting>
  <conditionalFormatting sqref="H1:H1048576">
    <cfRule type="duplicateValues" dxfId="23" priority="23"/>
  </conditionalFormatting>
  <conditionalFormatting sqref="I1:I64">
    <cfRule type="containsBlanks" dxfId="22" priority="17">
      <formula>LEN(TRIM(I1))=0</formula>
    </cfRule>
  </conditionalFormatting>
  <conditionalFormatting sqref="I2:I64">
    <cfRule type="cellIs" dxfId="21" priority="15" operator="equal">
      <formula>"Pass"</formula>
    </cfRule>
    <cfRule type="notContainsBlanks" dxfId="20" priority="16">
      <formula>LEN(TRIM(I2))&gt;0</formula>
    </cfRule>
  </conditionalFormatting>
  <conditionalFormatting sqref="J1:J1048576">
    <cfRule type="duplicateValues" dxfId="19" priority="11"/>
  </conditionalFormatting>
  <conditionalFormatting sqref="K2:K64">
    <cfRule type="cellIs" dxfId="18" priority="21" operator="lessThan">
      <formula>1</formula>
    </cfRule>
    <cfRule type="cellIs" dxfId="17" priority="22" operator="greaterThan">
      <formula>1</formula>
    </cfRule>
  </conditionalFormatting>
  <conditionalFormatting sqref="L1:L64">
    <cfRule type="containsBlanks" dxfId="16" priority="20">
      <formula>LEN(TRIM(L1))=0</formula>
    </cfRule>
  </conditionalFormatting>
  <conditionalFormatting sqref="L2:L64">
    <cfRule type="cellIs" dxfId="15" priority="18" operator="equal">
      <formula>"Pass"</formula>
    </cfRule>
    <cfRule type="notContainsBlanks" dxfId="14" priority="19">
      <formula>LEN(TRIM(L2))&gt;0</formula>
    </cfRule>
  </conditionalFormatting>
  <conditionalFormatting sqref="N1:N64">
    <cfRule type="containsBlanks" dxfId="13" priority="43">
      <formula>LEN(TRIM(N1))=0</formula>
    </cfRule>
  </conditionalFormatting>
  <conditionalFormatting sqref="N2:N64">
    <cfRule type="cellIs" dxfId="12" priority="41" operator="equal">
      <formula>"Pass"</formula>
    </cfRule>
    <cfRule type="notContainsBlanks" dxfId="11" priority="42">
      <formula>LEN(TRIM(N2))&gt;0</formula>
    </cfRule>
  </conditionalFormatting>
  <conditionalFormatting sqref="O1:O1048576">
    <cfRule type="duplicateValues" dxfId="10" priority="10"/>
  </conditionalFormatting>
  <conditionalFormatting sqref="P1:P1048576">
    <cfRule type="duplicateValues" dxfId="9" priority="9"/>
  </conditionalFormatting>
  <conditionalFormatting sqref="V1:V1048576">
    <cfRule type="duplicateValues" dxfId="8" priority="8"/>
  </conditionalFormatting>
  <conditionalFormatting sqref="W1:W1048576">
    <cfRule type="duplicateValues" dxfId="7" priority="7"/>
  </conditionalFormatting>
  <conditionalFormatting sqref="Y1:Y64">
    <cfRule type="containsBlanks" dxfId="6" priority="36">
      <formula>LEN(TRIM(Y1))=0</formula>
    </cfRule>
  </conditionalFormatting>
  <conditionalFormatting sqref="Y2:Y64">
    <cfRule type="cellIs" dxfId="5" priority="34" operator="equal">
      <formula>"Pass"</formula>
    </cfRule>
    <cfRule type="notContainsBlanks" dxfId="4" priority="35">
      <formula>LEN(TRIM(Y2))&gt;0</formula>
    </cfRule>
  </conditionalFormatting>
  <conditionalFormatting sqref="AG1:AG64">
    <cfRule type="containsBlanks" dxfId="3" priority="3">
      <formula>LEN(TRIM(AG1))=0</formula>
    </cfRule>
  </conditionalFormatting>
  <conditionalFormatting sqref="AG2:AG64">
    <cfRule type="notContainsBlanks" dxfId="2" priority="2">
      <formula>LEN(TRIM(AG2))&gt;0</formula>
    </cfRule>
    <cfRule type="cellIs" dxfId="1" priority="1" operator="equal">
      <formula>"Pass"</formula>
    </cfRule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D41FE-E472-4155-8C59-672450CD0BA4}">
  <dimension ref="A1:BY64"/>
  <sheetViews>
    <sheetView workbookViewId="0">
      <selection activeCell="C15" sqref="C15"/>
    </sheetView>
  </sheetViews>
  <sheetFormatPr defaultRowHeight="16.5" x14ac:dyDescent="0.3"/>
  <cols>
    <col min="1" max="1" width="80" style="1" bestFit="1" customWidth="1"/>
    <col min="2" max="3" width="9" style="1"/>
    <col min="4" max="4" width="14.125" style="1" bestFit="1" customWidth="1"/>
    <col min="5" max="16384" width="9" style="1"/>
  </cols>
  <sheetData>
    <row r="1" spans="1:77" x14ac:dyDescent="0.3">
      <c r="A1" s="36" t="s">
        <v>414</v>
      </c>
      <c r="B1" s="36" t="s">
        <v>0</v>
      </c>
      <c r="C1" s="36" t="s">
        <v>413</v>
      </c>
      <c r="D1" s="36" t="s">
        <v>1</v>
      </c>
      <c r="E1" s="36" t="s">
        <v>412</v>
      </c>
      <c r="F1" s="36" t="s">
        <v>411</v>
      </c>
      <c r="G1" s="36" t="s">
        <v>410</v>
      </c>
      <c r="H1" s="36" t="s">
        <v>2</v>
      </c>
      <c r="I1" s="36" t="s">
        <v>409</v>
      </c>
      <c r="J1" s="36" t="s">
        <v>408</v>
      </c>
      <c r="K1" s="36" t="s">
        <v>3</v>
      </c>
      <c r="L1" s="36" t="s">
        <v>407</v>
      </c>
      <c r="M1" s="36" t="s">
        <v>406</v>
      </c>
      <c r="N1" s="36" t="s">
        <v>405</v>
      </c>
      <c r="O1" s="36" t="s">
        <v>404</v>
      </c>
      <c r="P1" s="36" t="s">
        <v>4</v>
      </c>
      <c r="Q1" s="36" t="s">
        <v>403</v>
      </c>
      <c r="R1" s="36" t="s">
        <v>402</v>
      </c>
      <c r="S1" s="36" t="s">
        <v>401</v>
      </c>
      <c r="T1" s="36" t="s">
        <v>400</v>
      </c>
      <c r="U1" s="36" t="s">
        <v>399</v>
      </c>
      <c r="V1" s="36" t="s">
        <v>398</v>
      </c>
      <c r="W1" s="36" t="s">
        <v>397</v>
      </c>
      <c r="X1" s="36" t="s">
        <v>396</v>
      </c>
      <c r="Y1" s="36" t="s">
        <v>5</v>
      </c>
      <c r="Z1" s="36" t="s">
        <v>395</v>
      </c>
      <c r="AA1" s="36" t="s">
        <v>394</v>
      </c>
      <c r="AB1" s="36" t="s">
        <v>393</v>
      </c>
      <c r="AC1" s="36" t="s">
        <v>392</v>
      </c>
      <c r="AD1" s="36" t="s">
        <v>391</v>
      </c>
      <c r="AE1" s="36" t="s">
        <v>390</v>
      </c>
      <c r="AF1" s="36" t="s">
        <v>389</v>
      </c>
      <c r="AG1" s="36" t="s">
        <v>388</v>
      </c>
      <c r="AH1" s="36" t="s">
        <v>387</v>
      </c>
      <c r="AI1" s="36" t="s">
        <v>386</v>
      </c>
      <c r="AJ1" s="36" t="s">
        <v>385</v>
      </c>
      <c r="AK1" s="36" t="s">
        <v>384</v>
      </c>
      <c r="AL1" s="36" t="s">
        <v>383</v>
      </c>
      <c r="AM1" s="36" t="s">
        <v>382</v>
      </c>
      <c r="AN1" s="36" t="s">
        <v>381</v>
      </c>
      <c r="AO1" s="36" t="s">
        <v>380</v>
      </c>
      <c r="AP1" s="36" t="s">
        <v>379</v>
      </c>
      <c r="AQ1" s="36" t="s">
        <v>378</v>
      </c>
      <c r="AR1" s="36" t="s">
        <v>377</v>
      </c>
      <c r="AS1" s="36" t="s">
        <v>376</v>
      </c>
      <c r="AT1" s="36" t="s">
        <v>375</v>
      </c>
      <c r="AU1" s="36" t="s">
        <v>374</v>
      </c>
      <c r="AV1" s="36" t="s">
        <v>373</v>
      </c>
      <c r="AW1" s="36" t="s">
        <v>372</v>
      </c>
      <c r="AX1" s="36" t="s">
        <v>371</v>
      </c>
      <c r="AY1" s="36" t="s">
        <v>370</v>
      </c>
      <c r="AZ1" s="36" t="s">
        <v>369</v>
      </c>
      <c r="BA1" s="36" t="s">
        <v>368</v>
      </c>
      <c r="BB1" s="36" t="s">
        <v>367</v>
      </c>
      <c r="BC1" s="36" t="s">
        <v>366</v>
      </c>
      <c r="BD1" s="36" t="s">
        <v>365</v>
      </c>
      <c r="BE1" s="36" t="s">
        <v>364</v>
      </c>
      <c r="BF1" s="36" t="s">
        <v>363</v>
      </c>
      <c r="BG1" s="36" t="s">
        <v>362</v>
      </c>
      <c r="BH1" s="36" t="s">
        <v>361</v>
      </c>
      <c r="BI1" s="36" t="s">
        <v>360</v>
      </c>
      <c r="BJ1" s="36" t="s">
        <v>359</v>
      </c>
      <c r="BK1" s="36" t="s">
        <v>6</v>
      </c>
      <c r="BL1" s="36" t="s">
        <v>7</v>
      </c>
      <c r="BM1" s="36" t="s">
        <v>358</v>
      </c>
      <c r="BN1" s="36" t="s">
        <v>8</v>
      </c>
      <c r="BO1" s="36" t="s">
        <v>357</v>
      </c>
      <c r="BP1" s="36" t="s">
        <v>9</v>
      </c>
      <c r="BQ1" s="36" t="s">
        <v>356</v>
      </c>
      <c r="BR1" s="36" t="s">
        <v>355</v>
      </c>
      <c r="BS1" s="36" t="s">
        <v>10</v>
      </c>
      <c r="BT1" s="36" t="s">
        <v>11</v>
      </c>
      <c r="BU1" s="36" t="s">
        <v>12</v>
      </c>
      <c r="BV1" s="36" t="s">
        <v>13</v>
      </c>
      <c r="BW1" s="36" t="s">
        <v>354</v>
      </c>
      <c r="BX1" s="36" t="s">
        <v>353</v>
      </c>
      <c r="BY1" s="36" t="s">
        <v>352</v>
      </c>
    </row>
    <row r="2" spans="1:77" x14ac:dyDescent="0.3">
      <c r="A2" s="36" t="s">
        <v>477</v>
      </c>
      <c r="B2" s="36" t="s">
        <v>15</v>
      </c>
      <c r="C2" s="36" t="s">
        <v>348</v>
      </c>
      <c r="D2" s="36">
        <v>200</v>
      </c>
      <c r="E2" s="36" t="s">
        <v>347</v>
      </c>
      <c r="F2" s="36" t="s">
        <v>346</v>
      </c>
      <c r="G2" s="36"/>
      <c r="H2" s="36" t="s">
        <v>478</v>
      </c>
      <c r="I2" s="36">
        <v>26</v>
      </c>
      <c r="J2" s="36">
        <v>315</v>
      </c>
      <c r="K2" s="36" t="s">
        <v>746</v>
      </c>
      <c r="L2" s="36">
        <v>53</v>
      </c>
      <c r="M2" s="36">
        <v>727</v>
      </c>
      <c r="N2" s="36"/>
      <c r="O2" s="36"/>
      <c r="P2" s="36"/>
      <c r="Q2" s="36">
        <v>0</v>
      </c>
      <c r="R2" s="36"/>
      <c r="S2" s="36">
        <v>0</v>
      </c>
      <c r="T2" s="36"/>
      <c r="U2" s="36"/>
      <c r="V2" s="36"/>
      <c r="W2" s="36"/>
      <c r="X2" s="36"/>
      <c r="Y2" s="36" t="s">
        <v>477</v>
      </c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6"/>
      <c r="AL2" s="36"/>
      <c r="AM2" s="36">
        <v>0</v>
      </c>
      <c r="AN2" s="36">
        <v>0</v>
      </c>
      <c r="AO2" s="36"/>
      <c r="AP2" s="36">
        <v>189</v>
      </c>
      <c r="AQ2" s="36">
        <v>65</v>
      </c>
      <c r="AR2" s="36">
        <v>0</v>
      </c>
      <c r="AS2" s="36">
        <v>98.48</v>
      </c>
      <c r="AT2" s="36">
        <v>73</v>
      </c>
      <c r="AU2" s="36">
        <v>34</v>
      </c>
      <c r="AV2" s="36">
        <v>0</v>
      </c>
      <c r="AW2" s="36"/>
      <c r="AX2" s="36"/>
      <c r="AY2" s="36"/>
      <c r="AZ2" s="36"/>
      <c r="BA2" s="36"/>
      <c r="BB2" s="36"/>
      <c r="BC2" s="36"/>
      <c r="BD2" s="36"/>
      <c r="BE2" s="36"/>
      <c r="BF2" s="36"/>
      <c r="BG2" s="36"/>
      <c r="BH2" s="36"/>
      <c r="BI2" s="36"/>
      <c r="BJ2" s="36" t="s">
        <v>345</v>
      </c>
      <c r="BK2" s="36" t="s">
        <v>478</v>
      </c>
      <c r="BL2" s="36" t="s">
        <v>746</v>
      </c>
      <c r="BM2" s="36" t="s">
        <v>18</v>
      </c>
      <c r="BN2" s="36" t="s">
        <v>480</v>
      </c>
      <c r="BO2" s="36" t="s">
        <v>481</v>
      </c>
      <c r="BP2" s="36" t="s">
        <v>482</v>
      </c>
      <c r="BQ2" s="36" t="s">
        <v>483</v>
      </c>
      <c r="BR2" s="36" t="s">
        <v>484</v>
      </c>
      <c r="BS2" s="36" t="s">
        <v>477</v>
      </c>
      <c r="BT2" s="36" t="s">
        <v>478</v>
      </c>
      <c r="BU2" s="36" t="s">
        <v>746</v>
      </c>
      <c r="BV2" s="36" t="s">
        <v>20</v>
      </c>
      <c r="BW2" s="36" t="s">
        <v>485</v>
      </c>
      <c r="BX2" s="36" t="s">
        <v>477</v>
      </c>
      <c r="BY2" s="36" t="s">
        <v>709</v>
      </c>
    </row>
    <row r="3" spans="1:77" x14ac:dyDescent="0.3">
      <c r="A3" s="36" t="s">
        <v>658</v>
      </c>
      <c r="B3" s="36" t="s">
        <v>231</v>
      </c>
      <c r="C3" s="36" t="s">
        <v>348</v>
      </c>
      <c r="D3" s="36" t="s">
        <v>801</v>
      </c>
      <c r="E3" s="36" t="s">
        <v>347</v>
      </c>
      <c r="F3" s="36" t="s">
        <v>346</v>
      </c>
      <c r="G3" s="36"/>
      <c r="H3" s="36" t="s">
        <v>659</v>
      </c>
      <c r="I3" s="36">
        <v>5</v>
      </c>
      <c r="J3" s="36">
        <v>100</v>
      </c>
      <c r="K3" s="36"/>
      <c r="L3" s="36">
        <v>0</v>
      </c>
      <c r="M3" s="36">
        <v>0</v>
      </c>
      <c r="N3" s="36"/>
      <c r="O3" s="36"/>
      <c r="P3" s="36"/>
      <c r="Q3" s="36">
        <v>0</v>
      </c>
      <c r="R3" s="36"/>
      <c r="S3" s="36">
        <v>0</v>
      </c>
      <c r="T3" s="36"/>
      <c r="U3" s="36"/>
      <c r="V3" s="36"/>
      <c r="W3" s="36"/>
      <c r="X3" s="36"/>
      <c r="Y3" s="36" t="s">
        <v>658</v>
      </c>
      <c r="Z3" s="36"/>
      <c r="AA3" s="36"/>
      <c r="AB3" s="36"/>
      <c r="AC3" s="36"/>
      <c r="AD3" s="36"/>
      <c r="AE3" s="36"/>
      <c r="AF3" s="36"/>
      <c r="AG3" s="36"/>
      <c r="AH3" s="36"/>
      <c r="AI3" s="36"/>
      <c r="AJ3" s="36"/>
      <c r="AK3" s="36"/>
      <c r="AL3" s="36"/>
      <c r="AM3" s="36">
        <v>2</v>
      </c>
      <c r="AN3" s="36">
        <v>1</v>
      </c>
      <c r="AO3" s="36"/>
      <c r="AP3" s="36">
        <v>42</v>
      </c>
      <c r="AQ3" s="36">
        <v>20</v>
      </c>
      <c r="AR3" s="36">
        <v>0</v>
      </c>
      <c r="AS3" s="36">
        <v>30.3</v>
      </c>
      <c r="AT3" s="36">
        <v>52</v>
      </c>
      <c r="AU3" s="36">
        <v>23</v>
      </c>
      <c r="AV3" s="36">
        <v>0</v>
      </c>
      <c r="AW3" s="36"/>
      <c r="AX3" s="36"/>
      <c r="AY3" s="36"/>
      <c r="AZ3" s="36"/>
      <c r="BA3" s="36"/>
      <c r="BB3" s="36"/>
      <c r="BC3" s="36"/>
      <c r="BD3" s="36"/>
      <c r="BE3" s="36"/>
      <c r="BF3" s="36"/>
      <c r="BG3" s="36"/>
      <c r="BH3" s="36"/>
      <c r="BI3" s="36"/>
      <c r="BJ3" s="36" t="s">
        <v>345</v>
      </c>
      <c r="BK3" s="36" t="s">
        <v>659</v>
      </c>
      <c r="BL3" s="36" t="s">
        <v>746</v>
      </c>
      <c r="BM3" s="36" t="s">
        <v>18</v>
      </c>
      <c r="BN3" s="36" t="s">
        <v>480</v>
      </c>
      <c r="BO3" s="36" t="s">
        <v>481</v>
      </c>
      <c r="BP3" s="36" t="s">
        <v>482</v>
      </c>
      <c r="BQ3" s="36" t="s">
        <v>483</v>
      </c>
      <c r="BR3" s="36" t="s">
        <v>484</v>
      </c>
      <c r="BS3" s="36" t="s">
        <v>658</v>
      </c>
      <c r="BT3" s="36" t="s">
        <v>659</v>
      </c>
      <c r="BU3" s="36" t="s">
        <v>746</v>
      </c>
      <c r="BV3" s="36" t="s">
        <v>20</v>
      </c>
      <c r="BW3" s="36" t="s">
        <v>485</v>
      </c>
      <c r="BX3" s="36" t="s">
        <v>658</v>
      </c>
      <c r="BY3" s="36" t="s">
        <v>729</v>
      </c>
    </row>
    <row r="4" spans="1:77" x14ac:dyDescent="0.3">
      <c r="A4" s="36" t="s">
        <v>603</v>
      </c>
      <c r="B4" s="36" t="s">
        <v>231</v>
      </c>
      <c r="C4" s="36" t="s">
        <v>348</v>
      </c>
      <c r="D4" s="36">
        <v>404</v>
      </c>
      <c r="E4" s="36" t="s">
        <v>350</v>
      </c>
      <c r="F4" s="36" t="s">
        <v>343</v>
      </c>
      <c r="G4" s="36" t="s">
        <v>349</v>
      </c>
      <c r="H4" s="36"/>
      <c r="I4" s="36">
        <v>0</v>
      </c>
      <c r="J4" s="36">
        <v>0</v>
      </c>
      <c r="K4" s="36"/>
      <c r="L4" s="36">
        <v>0</v>
      </c>
      <c r="M4" s="36">
        <v>0</v>
      </c>
      <c r="N4" s="36"/>
      <c r="O4" s="36"/>
      <c r="P4" s="36"/>
      <c r="Q4" s="36">
        <v>0</v>
      </c>
      <c r="R4" s="36"/>
      <c r="S4" s="36">
        <v>0</v>
      </c>
      <c r="T4" s="36"/>
      <c r="U4" s="36"/>
      <c r="V4" s="36"/>
      <c r="W4" s="36"/>
      <c r="X4" s="36"/>
      <c r="Y4" s="36"/>
      <c r="Z4" s="36"/>
      <c r="AA4" s="36"/>
      <c r="AB4" s="36"/>
      <c r="AC4" s="36"/>
      <c r="AD4" s="36"/>
      <c r="AE4" s="36"/>
      <c r="AF4" s="36"/>
      <c r="AG4" s="36"/>
      <c r="AH4" s="36"/>
      <c r="AI4" s="36"/>
      <c r="AJ4" s="36"/>
      <c r="AK4" s="36"/>
      <c r="AL4" s="36"/>
      <c r="AM4" s="36">
        <v>2</v>
      </c>
      <c r="AN4" s="36">
        <v>2</v>
      </c>
      <c r="AO4" s="36"/>
      <c r="AP4" s="36">
        <v>1</v>
      </c>
      <c r="AQ4" s="36">
        <v>1</v>
      </c>
      <c r="AR4" s="36">
        <v>0</v>
      </c>
      <c r="AS4" s="36">
        <v>1.56</v>
      </c>
      <c r="AT4" s="36">
        <v>0</v>
      </c>
      <c r="AU4" s="36">
        <v>0</v>
      </c>
      <c r="AV4" s="36">
        <v>0</v>
      </c>
      <c r="AW4" s="36"/>
      <c r="AX4" s="36"/>
      <c r="AY4" s="36"/>
      <c r="AZ4" s="36"/>
      <c r="BA4" s="36"/>
      <c r="BB4" s="36"/>
      <c r="BC4" s="36"/>
      <c r="BD4" s="36"/>
      <c r="BE4" s="36"/>
      <c r="BF4" s="36"/>
      <c r="BG4" s="36"/>
      <c r="BH4" s="36"/>
      <c r="BI4" s="36"/>
      <c r="BJ4" s="36" t="s">
        <v>345</v>
      </c>
      <c r="BK4" s="36"/>
      <c r="BL4" s="36"/>
      <c r="BM4" s="36"/>
      <c r="BN4" s="36"/>
      <c r="BO4" s="36"/>
      <c r="BP4" s="36"/>
      <c r="BQ4" s="36"/>
      <c r="BR4" s="36"/>
      <c r="BS4" s="36"/>
      <c r="BT4" s="36"/>
      <c r="BU4" s="36"/>
      <c r="BV4" s="36"/>
      <c r="BW4" s="36"/>
      <c r="BX4" s="36" t="s">
        <v>603</v>
      </c>
      <c r="BY4" s="36" t="s">
        <v>798</v>
      </c>
    </row>
    <row r="5" spans="1:77" x14ac:dyDescent="0.3">
      <c r="A5" s="36" t="s">
        <v>601</v>
      </c>
      <c r="B5" s="36" t="s">
        <v>231</v>
      </c>
      <c r="C5" s="36" t="s">
        <v>348</v>
      </c>
      <c r="D5" s="36">
        <v>404</v>
      </c>
      <c r="E5" s="36" t="s">
        <v>350</v>
      </c>
      <c r="F5" s="36" t="s">
        <v>343</v>
      </c>
      <c r="G5" s="36" t="s">
        <v>349</v>
      </c>
      <c r="H5" s="36"/>
      <c r="I5" s="36">
        <v>0</v>
      </c>
      <c r="J5" s="36">
        <v>0</v>
      </c>
      <c r="K5" s="36"/>
      <c r="L5" s="36">
        <v>0</v>
      </c>
      <c r="M5" s="36">
        <v>0</v>
      </c>
      <c r="N5" s="36"/>
      <c r="O5" s="36"/>
      <c r="P5" s="36"/>
      <c r="Q5" s="36">
        <v>0</v>
      </c>
      <c r="R5" s="36"/>
      <c r="S5" s="36">
        <v>0</v>
      </c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6"/>
      <c r="AJ5" s="36"/>
      <c r="AK5" s="36"/>
      <c r="AL5" s="36"/>
      <c r="AM5" s="36">
        <v>2</v>
      </c>
      <c r="AN5" s="36">
        <v>2</v>
      </c>
      <c r="AO5" s="36"/>
      <c r="AP5" s="36">
        <v>1</v>
      </c>
      <c r="AQ5" s="36">
        <v>1</v>
      </c>
      <c r="AR5" s="36">
        <v>0</v>
      </c>
      <c r="AS5" s="36">
        <v>1.56</v>
      </c>
      <c r="AT5" s="36">
        <v>0</v>
      </c>
      <c r="AU5" s="36">
        <v>0</v>
      </c>
      <c r="AV5" s="36">
        <v>0</v>
      </c>
      <c r="AW5" s="36"/>
      <c r="AX5" s="36"/>
      <c r="AY5" s="36"/>
      <c r="AZ5" s="36"/>
      <c r="BA5" s="36"/>
      <c r="BB5" s="36"/>
      <c r="BC5" s="36"/>
      <c r="BD5" s="36"/>
      <c r="BE5" s="36"/>
      <c r="BF5" s="36"/>
      <c r="BG5" s="36"/>
      <c r="BH5" s="36"/>
      <c r="BI5" s="36"/>
      <c r="BJ5" s="36" t="s">
        <v>345</v>
      </c>
      <c r="BK5" s="36"/>
      <c r="BL5" s="36"/>
      <c r="BM5" s="36"/>
      <c r="BN5" s="36"/>
      <c r="BO5" s="36"/>
      <c r="BP5" s="36"/>
      <c r="BQ5" s="36"/>
      <c r="BR5" s="36"/>
      <c r="BS5" s="36"/>
      <c r="BT5" s="36"/>
      <c r="BU5" s="36"/>
      <c r="BV5" s="36"/>
      <c r="BW5" s="36"/>
      <c r="BX5" s="36" t="s">
        <v>601</v>
      </c>
      <c r="BY5" s="36" t="s">
        <v>799</v>
      </c>
    </row>
    <row r="6" spans="1:77" x14ac:dyDescent="0.3">
      <c r="A6" s="36" t="s">
        <v>602</v>
      </c>
      <c r="B6" s="36" t="s">
        <v>231</v>
      </c>
      <c r="C6" s="36" t="s">
        <v>348</v>
      </c>
      <c r="D6" s="36">
        <v>404</v>
      </c>
      <c r="E6" s="36" t="s">
        <v>350</v>
      </c>
      <c r="F6" s="36" t="s">
        <v>343</v>
      </c>
      <c r="G6" s="36" t="s">
        <v>349</v>
      </c>
      <c r="H6" s="36"/>
      <c r="I6" s="36">
        <v>0</v>
      </c>
      <c r="J6" s="36">
        <v>0</v>
      </c>
      <c r="K6" s="36"/>
      <c r="L6" s="36">
        <v>0</v>
      </c>
      <c r="M6" s="36">
        <v>0</v>
      </c>
      <c r="N6" s="36"/>
      <c r="O6" s="36"/>
      <c r="P6" s="36"/>
      <c r="Q6" s="36">
        <v>0</v>
      </c>
      <c r="R6" s="36"/>
      <c r="S6" s="36">
        <v>0</v>
      </c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>
        <v>2</v>
      </c>
      <c r="AN6" s="36">
        <v>2</v>
      </c>
      <c r="AO6" s="36"/>
      <c r="AP6" s="36">
        <v>1</v>
      </c>
      <c r="AQ6" s="36">
        <v>1</v>
      </c>
      <c r="AR6" s="36">
        <v>0</v>
      </c>
      <c r="AS6" s="36">
        <v>1.56</v>
      </c>
      <c r="AT6" s="36">
        <v>0</v>
      </c>
      <c r="AU6" s="36">
        <v>0</v>
      </c>
      <c r="AV6" s="36">
        <v>0</v>
      </c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 t="s">
        <v>345</v>
      </c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 t="s">
        <v>602</v>
      </c>
      <c r="BY6" s="36" t="s">
        <v>798</v>
      </c>
    </row>
    <row r="7" spans="1:77" x14ac:dyDescent="0.3">
      <c r="A7" s="36" t="s">
        <v>545</v>
      </c>
      <c r="B7" s="36" t="s">
        <v>231</v>
      </c>
      <c r="C7" s="36" t="s">
        <v>348</v>
      </c>
      <c r="D7" s="36" t="s">
        <v>804</v>
      </c>
      <c r="E7" s="36" t="s">
        <v>347</v>
      </c>
      <c r="F7" s="36" t="s">
        <v>346</v>
      </c>
      <c r="G7" s="36"/>
      <c r="H7" s="36" t="s">
        <v>546</v>
      </c>
      <c r="I7" s="36">
        <v>30</v>
      </c>
      <c r="J7" s="36">
        <v>423</v>
      </c>
      <c r="K7" s="36"/>
      <c r="L7" s="36">
        <v>0</v>
      </c>
      <c r="M7" s="36">
        <v>0</v>
      </c>
      <c r="N7" s="36"/>
      <c r="O7" s="36"/>
      <c r="P7" s="36"/>
      <c r="Q7" s="36">
        <v>0</v>
      </c>
      <c r="R7" s="36"/>
      <c r="S7" s="36">
        <v>0</v>
      </c>
      <c r="T7" s="36"/>
      <c r="U7" s="36"/>
      <c r="V7" s="36"/>
      <c r="W7" s="36"/>
      <c r="X7" s="36"/>
      <c r="Y7" s="36" t="s">
        <v>545</v>
      </c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>
        <v>1</v>
      </c>
      <c r="AN7" s="36">
        <v>2</v>
      </c>
      <c r="AO7" s="36"/>
      <c r="AP7" s="36">
        <v>105</v>
      </c>
      <c r="AQ7" s="36">
        <v>48</v>
      </c>
      <c r="AR7" s="36">
        <v>0</v>
      </c>
      <c r="AS7" s="36">
        <v>72.73</v>
      </c>
      <c r="AT7" s="36">
        <v>60</v>
      </c>
      <c r="AU7" s="36">
        <v>25</v>
      </c>
      <c r="AV7" s="36">
        <v>0</v>
      </c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 t="s">
        <v>345</v>
      </c>
      <c r="BK7" s="36" t="s">
        <v>546</v>
      </c>
      <c r="BL7" s="36" t="s">
        <v>746</v>
      </c>
      <c r="BM7" s="36" t="s">
        <v>547</v>
      </c>
      <c r="BN7" s="36" t="s">
        <v>480</v>
      </c>
      <c r="BO7" s="36" t="s">
        <v>481</v>
      </c>
      <c r="BP7" s="36" t="s">
        <v>482</v>
      </c>
      <c r="BQ7" s="36" t="s">
        <v>483</v>
      </c>
      <c r="BR7" s="36" t="s">
        <v>484</v>
      </c>
      <c r="BS7" s="36" t="s">
        <v>545</v>
      </c>
      <c r="BT7" s="36" t="s">
        <v>546</v>
      </c>
      <c r="BU7" s="36" t="s">
        <v>746</v>
      </c>
      <c r="BV7" s="36" t="s">
        <v>20</v>
      </c>
      <c r="BW7" s="36" t="s">
        <v>485</v>
      </c>
      <c r="BX7" s="36" t="s">
        <v>545</v>
      </c>
      <c r="BY7" s="36" t="s">
        <v>713</v>
      </c>
    </row>
    <row r="8" spans="1:77" x14ac:dyDescent="0.3">
      <c r="A8" s="36" t="s">
        <v>736</v>
      </c>
      <c r="B8" s="36" t="s">
        <v>231</v>
      </c>
      <c r="C8" s="36" t="s">
        <v>348</v>
      </c>
      <c r="D8" s="36">
        <v>200</v>
      </c>
      <c r="E8" s="36" t="s">
        <v>347</v>
      </c>
      <c r="F8" s="36" t="s">
        <v>346</v>
      </c>
      <c r="G8" s="36"/>
      <c r="H8" s="36" t="s">
        <v>788</v>
      </c>
      <c r="I8" s="36">
        <v>18</v>
      </c>
      <c r="J8" s="36">
        <v>326</v>
      </c>
      <c r="K8" s="36"/>
      <c r="L8" s="36">
        <v>0</v>
      </c>
      <c r="M8" s="36">
        <v>0</v>
      </c>
      <c r="N8" s="36"/>
      <c r="O8" s="36"/>
      <c r="P8" s="36"/>
      <c r="Q8" s="36">
        <v>0</v>
      </c>
      <c r="R8" s="36"/>
      <c r="S8" s="36">
        <v>0</v>
      </c>
      <c r="T8" s="36"/>
      <c r="U8" s="36"/>
      <c r="V8" s="36"/>
      <c r="W8" s="36"/>
      <c r="X8" s="36"/>
      <c r="Y8" s="36" t="s">
        <v>736</v>
      </c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>
        <v>2</v>
      </c>
      <c r="AO8" s="36"/>
      <c r="AP8" s="36">
        <v>6</v>
      </c>
      <c r="AQ8" s="36">
        <v>1</v>
      </c>
      <c r="AR8" s="36">
        <v>0</v>
      </c>
      <c r="AS8" s="36">
        <v>1.52</v>
      </c>
      <c r="AT8" s="36">
        <v>56</v>
      </c>
      <c r="AU8" s="36">
        <v>23</v>
      </c>
      <c r="AV8" s="36">
        <v>0</v>
      </c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 t="s">
        <v>345</v>
      </c>
      <c r="BK8" s="36" t="s">
        <v>788</v>
      </c>
      <c r="BL8" s="36" t="s">
        <v>746</v>
      </c>
      <c r="BM8" s="36" t="s">
        <v>547</v>
      </c>
      <c r="BN8" s="36" t="s">
        <v>480</v>
      </c>
      <c r="BO8" s="36" t="s">
        <v>481</v>
      </c>
      <c r="BP8" s="36" t="s">
        <v>482</v>
      </c>
      <c r="BQ8" s="36" t="s">
        <v>483</v>
      </c>
      <c r="BR8" s="36" t="s">
        <v>484</v>
      </c>
      <c r="BS8" s="36" t="s">
        <v>736</v>
      </c>
      <c r="BT8" s="36" t="s">
        <v>788</v>
      </c>
      <c r="BU8" s="36" t="s">
        <v>746</v>
      </c>
      <c r="BV8" s="36" t="s">
        <v>20</v>
      </c>
      <c r="BW8" s="36" t="s">
        <v>485</v>
      </c>
      <c r="BX8" s="36" t="s">
        <v>736</v>
      </c>
      <c r="BY8" s="36" t="s">
        <v>738</v>
      </c>
    </row>
    <row r="9" spans="1:77" x14ac:dyDescent="0.3">
      <c r="A9" s="36" t="s">
        <v>666</v>
      </c>
      <c r="B9" s="36" t="s">
        <v>231</v>
      </c>
      <c r="C9" s="36" t="s">
        <v>348</v>
      </c>
      <c r="D9" s="36">
        <v>200</v>
      </c>
      <c r="E9" s="36" t="s">
        <v>347</v>
      </c>
      <c r="F9" s="36" t="s">
        <v>346</v>
      </c>
      <c r="G9" s="36"/>
      <c r="H9" s="36" t="s">
        <v>233</v>
      </c>
      <c r="I9" s="36">
        <v>4</v>
      </c>
      <c r="J9" s="36">
        <v>50</v>
      </c>
      <c r="K9" s="36"/>
      <c r="L9" s="36">
        <v>0</v>
      </c>
      <c r="M9" s="36">
        <v>0</v>
      </c>
      <c r="N9" s="36"/>
      <c r="O9" s="36"/>
      <c r="P9" s="36" t="s">
        <v>667</v>
      </c>
      <c r="Q9" s="36">
        <v>11</v>
      </c>
      <c r="R9" s="36"/>
      <c r="S9" s="36">
        <v>0</v>
      </c>
      <c r="T9" s="36"/>
      <c r="U9" s="36"/>
      <c r="V9" s="36"/>
      <c r="W9" s="36"/>
      <c r="X9" s="36"/>
      <c r="Y9" s="36" t="s">
        <v>666</v>
      </c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>
        <v>1</v>
      </c>
      <c r="AO9" s="36"/>
      <c r="AP9" s="36">
        <v>4</v>
      </c>
      <c r="AQ9" s="36">
        <v>1</v>
      </c>
      <c r="AR9" s="36">
        <v>0</v>
      </c>
      <c r="AS9" s="36">
        <v>1.52</v>
      </c>
      <c r="AT9" s="36">
        <v>52</v>
      </c>
      <c r="AU9" s="36">
        <v>23</v>
      </c>
      <c r="AV9" s="36">
        <v>0</v>
      </c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 t="s">
        <v>345</v>
      </c>
      <c r="BK9" s="36" t="s">
        <v>233</v>
      </c>
      <c r="BL9" s="36" t="s">
        <v>746</v>
      </c>
      <c r="BM9" s="36" t="s">
        <v>18</v>
      </c>
      <c r="BN9" s="36" t="s">
        <v>480</v>
      </c>
      <c r="BO9" s="36" t="s">
        <v>481</v>
      </c>
      <c r="BP9" s="36" t="s">
        <v>482</v>
      </c>
      <c r="BQ9" s="36" t="s">
        <v>483</v>
      </c>
      <c r="BR9" s="36" t="s">
        <v>484</v>
      </c>
      <c r="BS9" s="36" t="s">
        <v>666</v>
      </c>
      <c r="BT9" s="36" t="s">
        <v>233</v>
      </c>
      <c r="BU9" s="36" t="s">
        <v>746</v>
      </c>
      <c r="BV9" s="36" t="s">
        <v>20</v>
      </c>
      <c r="BW9" s="36" t="s">
        <v>344</v>
      </c>
      <c r="BX9" s="36" t="s">
        <v>666</v>
      </c>
      <c r="BY9" s="36" t="s">
        <v>735</v>
      </c>
    </row>
    <row r="10" spans="1:77" x14ac:dyDescent="0.3">
      <c r="A10" s="36" t="s">
        <v>567</v>
      </c>
      <c r="B10" s="36" t="s">
        <v>42</v>
      </c>
      <c r="C10" s="36" t="s">
        <v>348</v>
      </c>
      <c r="D10" s="36">
        <v>200</v>
      </c>
      <c r="E10" s="36" t="s">
        <v>347</v>
      </c>
      <c r="F10" s="36" t="s">
        <v>346</v>
      </c>
      <c r="G10" s="36"/>
      <c r="H10" s="36" t="s">
        <v>568</v>
      </c>
      <c r="I10" s="36">
        <v>6</v>
      </c>
      <c r="J10" s="36">
        <v>120</v>
      </c>
      <c r="K10" s="36"/>
      <c r="L10" s="36">
        <v>0</v>
      </c>
      <c r="M10" s="36">
        <v>0</v>
      </c>
      <c r="N10" s="36"/>
      <c r="O10" s="36"/>
      <c r="P10" s="36"/>
      <c r="Q10" s="36">
        <v>0</v>
      </c>
      <c r="R10" s="36"/>
      <c r="S10" s="36">
        <v>0</v>
      </c>
      <c r="T10" s="36"/>
      <c r="U10" s="36"/>
      <c r="V10" s="36"/>
      <c r="W10" s="36"/>
      <c r="X10" s="36"/>
      <c r="Y10" s="36" t="s">
        <v>567</v>
      </c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>
        <v>1</v>
      </c>
      <c r="AN10" s="36">
        <v>1</v>
      </c>
      <c r="AO10" s="36"/>
      <c r="AP10" s="36">
        <v>135</v>
      </c>
      <c r="AQ10" s="36">
        <v>65</v>
      </c>
      <c r="AR10" s="36">
        <v>0</v>
      </c>
      <c r="AS10" s="36">
        <v>98.48</v>
      </c>
      <c r="AT10" s="36">
        <v>55</v>
      </c>
      <c r="AU10" s="36">
        <v>22</v>
      </c>
      <c r="AV10" s="36">
        <v>0</v>
      </c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  <c r="BH10" s="36"/>
      <c r="BI10" s="36"/>
      <c r="BJ10" s="36" t="s">
        <v>345</v>
      </c>
      <c r="BK10" s="36" t="s">
        <v>568</v>
      </c>
      <c r="BL10" s="36" t="s">
        <v>746</v>
      </c>
      <c r="BM10" s="36" t="s">
        <v>18</v>
      </c>
      <c r="BN10" s="36" t="s">
        <v>480</v>
      </c>
      <c r="BO10" s="36" t="s">
        <v>481</v>
      </c>
      <c r="BP10" s="36" t="s">
        <v>482</v>
      </c>
      <c r="BQ10" s="36" t="s">
        <v>483</v>
      </c>
      <c r="BR10" s="36" t="s">
        <v>484</v>
      </c>
      <c r="BS10" s="36" t="s">
        <v>567</v>
      </c>
      <c r="BT10" s="36" t="s">
        <v>568</v>
      </c>
      <c r="BU10" s="36" t="s">
        <v>746</v>
      </c>
      <c r="BV10" s="36" t="s">
        <v>20</v>
      </c>
      <c r="BW10" s="36" t="s">
        <v>491</v>
      </c>
      <c r="BX10" s="36" t="s">
        <v>567</v>
      </c>
      <c r="BY10" s="36" t="s">
        <v>717</v>
      </c>
    </row>
    <row r="11" spans="1:77" x14ac:dyDescent="0.3">
      <c r="A11" s="36" t="s">
        <v>687</v>
      </c>
      <c r="B11" s="36" t="s">
        <v>42</v>
      </c>
      <c r="C11" s="36" t="s">
        <v>348</v>
      </c>
      <c r="D11" s="36">
        <v>200</v>
      </c>
      <c r="E11" s="36" t="s">
        <v>347</v>
      </c>
      <c r="F11" s="36" t="s">
        <v>346</v>
      </c>
      <c r="G11" s="36"/>
      <c r="H11" s="36" t="s">
        <v>688</v>
      </c>
      <c r="I11" s="36">
        <v>25</v>
      </c>
      <c r="J11" s="36">
        <v>255</v>
      </c>
      <c r="K11" s="36" t="s">
        <v>793</v>
      </c>
      <c r="L11" s="36">
        <v>13</v>
      </c>
      <c r="M11" s="36">
        <v>182</v>
      </c>
      <c r="N11" s="36"/>
      <c r="O11" s="36"/>
      <c r="P11" s="36"/>
      <c r="Q11" s="36">
        <v>0</v>
      </c>
      <c r="R11" s="36"/>
      <c r="S11" s="36">
        <v>0</v>
      </c>
      <c r="T11" s="36"/>
      <c r="U11" s="36"/>
      <c r="V11" s="36"/>
      <c r="W11" s="36"/>
      <c r="X11" s="36"/>
      <c r="Y11" s="36" t="s">
        <v>687</v>
      </c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>
        <v>1</v>
      </c>
      <c r="AO11" s="36"/>
      <c r="AP11" s="36">
        <v>4</v>
      </c>
      <c r="AQ11" s="36">
        <v>1</v>
      </c>
      <c r="AR11" s="36">
        <v>0</v>
      </c>
      <c r="AS11" s="36">
        <v>1.52</v>
      </c>
      <c r="AT11" s="36">
        <v>53</v>
      </c>
      <c r="AU11" s="36">
        <v>23</v>
      </c>
      <c r="AV11" s="36">
        <v>0</v>
      </c>
      <c r="AW11" s="36"/>
      <c r="AX11" s="36"/>
      <c r="AY11" s="36"/>
      <c r="AZ11" s="36"/>
      <c r="BA11" s="36"/>
      <c r="BB11" s="36"/>
      <c r="BC11" s="36"/>
      <c r="BD11" s="36"/>
      <c r="BE11" s="36"/>
      <c r="BF11" s="36"/>
      <c r="BG11" s="36"/>
      <c r="BH11" s="36"/>
      <c r="BI11" s="36"/>
      <c r="BJ11" s="36" t="s">
        <v>345</v>
      </c>
      <c r="BK11" s="36" t="s">
        <v>688</v>
      </c>
      <c r="BL11" s="36" t="s">
        <v>793</v>
      </c>
      <c r="BM11" s="36" t="s">
        <v>18</v>
      </c>
      <c r="BN11" s="36" t="s">
        <v>480</v>
      </c>
      <c r="BO11" s="36" t="s">
        <v>481</v>
      </c>
      <c r="BP11" s="36" t="s">
        <v>482</v>
      </c>
      <c r="BQ11" s="36" t="s">
        <v>483</v>
      </c>
      <c r="BR11" s="36" t="s">
        <v>484</v>
      </c>
      <c r="BS11" s="36" t="s">
        <v>687</v>
      </c>
      <c r="BT11" s="36" t="s">
        <v>688</v>
      </c>
      <c r="BU11" s="36" t="s">
        <v>793</v>
      </c>
      <c r="BV11" s="36" t="s">
        <v>20</v>
      </c>
      <c r="BW11" s="36" t="s">
        <v>491</v>
      </c>
      <c r="BX11" s="36" t="s">
        <v>687</v>
      </c>
      <c r="BY11" s="36" t="s">
        <v>743</v>
      </c>
    </row>
    <row r="12" spans="1:77" x14ac:dyDescent="0.3">
      <c r="A12" s="36" t="s">
        <v>519</v>
      </c>
      <c r="B12" s="36" t="s">
        <v>42</v>
      </c>
      <c r="C12" s="36" t="s">
        <v>348</v>
      </c>
      <c r="D12" s="36">
        <v>200</v>
      </c>
      <c r="E12" s="36" t="s">
        <v>347</v>
      </c>
      <c r="F12" s="36" t="s">
        <v>346</v>
      </c>
      <c r="G12" s="36"/>
      <c r="H12" s="36" t="s">
        <v>520</v>
      </c>
      <c r="I12" s="36">
        <v>9</v>
      </c>
      <c r="J12" s="36">
        <v>180</v>
      </c>
      <c r="K12" s="36"/>
      <c r="L12" s="36">
        <v>0</v>
      </c>
      <c r="M12" s="36">
        <v>0</v>
      </c>
      <c r="N12" s="36"/>
      <c r="O12" s="36"/>
      <c r="P12" s="36"/>
      <c r="Q12" s="36">
        <v>0</v>
      </c>
      <c r="R12" s="36"/>
      <c r="S12" s="36">
        <v>0</v>
      </c>
      <c r="T12" s="36"/>
      <c r="U12" s="36"/>
      <c r="V12" s="36"/>
      <c r="W12" s="36"/>
      <c r="X12" s="36"/>
      <c r="Y12" s="36" t="s">
        <v>519</v>
      </c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>
        <v>1</v>
      </c>
      <c r="AN12" s="36">
        <v>1</v>
      </c>
      <c r="AO12" s="36"/>
      <c r="AP12" s="36">
        <v>135</v>
      </c>
      <c r="AQ12" s="36">
        <v>65</v>
      </c>
      <c r="AR12" s="36">
        <v>0</v>
      </c>
      <c r="AS12" s="36">
        <v>98.48</v>
      </c>
      <c r="AT12" s="36">
        <v>55</v>
      </c>
      <c r="AU12" s="36">
        <v>22</v>
      </c>
      <c r="AV12" s="36">
        <v>0</v>
      </c>
      <c r="AW12" s="36"/>
      <c r="AX12" s="36"/>
      <c r="AY12" s="36"/>
      <c r="AZ12" s="36"/>
      <c r="BA12" s="36"/>
      <c r="BB12" s="36"/>
      <c r="BC12" s="36"/>
      <c r="BD12" s="36"/>
      <c r="BE12" s="36"/>
      <c r="BF12" s="36"/>
      <c r="BG12" s="36"/>
      <c r="BH12" s="36"/>
      <c r="BI12" s="36"/>
      <c r="BJ12" s="36" t="s">
        <v>345</v>
      </c>
      <c r="BK12" s="36" t="s">
        <v>520</v>
      </c>
      <c r="BL12" s="36" t="s">
        <v>746</v>
      </c>
      <c r="BM12" s="36" t="s">
        <v>18</v>
      </c>
      <c r="BN12" s="36" t="s">
        <v>480</v>
      </c>
      <c r="BO12" s="36" t="s">
        <v>481</v>
      </c>
      <c r="BP12" s="36" t="s">
        <v>482</v>
      </c>
      <c r="BQ12" s="36" t="s">
        <v>483</v>
      </c>
      <c r="BR12" s="36" t="s">
        <v>484</v>
      </c>
      <c r="BS12" s="36" t="s">
        <v>519</v>
      </c>
      <c r="BT12" s="36" t="s">
        <v>520</v>
      </c>
      <c r="BU12" s="36" t="s">
        <v>746</v>
      </c>
      <c r="BV12" s="36" t="s">
        <v>20</v>
      </c>
      <c r="BW12" s="36" t="s">
        <v>491</v>
      </c>
      <c r="BX12" s="36" t="s">
        <v>519</v>
      </c>
      <c r="BY12" s="36" t="s">
        <v>717</v>
      </c>
    </row>
    <row r="13" spans="1:77" x14ac:dyDescent="0.3">
      <c r="A13" s="36" t="s">
        <v>673</v>
      </c>
      <c r="B13" s="36" t="s">
        <v>42</v>
      </c>
      <c r="C13" s="36" t="s">
        <v>348</v>
      </c>
      <c r="D13" s="36">
        <v>200</v>
      </c>
      <c r="E13" s="36" t="s">
        <v>347</v>
      </c>
      <c r="F13" s="36" t="s">
        <v>346</v>
      </c>
      <c r="G13" s="36"/>
      <c r="H13" s="36" t="s">
        <v>674</v>
      </c>
      <c r="I13" s="36">
        <v>15</v>
      </c>
      <c r="J13" s="36">
        <v>274</v>
      </c>
      <c r="K13" s="36" t="s">
        <v>790</v>
      </c>
      <c r="L13" s="36">
        <v>46</v>
      </c>
      <c r="M13" s="36">
        <v>611</v>
      </c>
      <c r="N13" s="36"/>
      <c r="O13" s="36"/>
      <c r="P13" s="36"/>
      <c r="Q13" s="36">
        <v>0</v>
      </c>
      <c r="R13" s="36"/>
      <c r="S13" s="36">
        <v>0</v>
      </c>
      <c r="T13" s="36"/>
      <c r="U13" s="36"/>
      <c r="V13" s="36"/>
      <c r="W13" s="36"/>
      <c r="X13" s="36"/>
      <c r="Y13" s="36" t="s">
        <v>673</v>
      </c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>
        <v>1</v>
      </c>
      <c r="AO13" s="36"/>
      <c r="AP13" s="36">
        <v>4</v>
      </c>
      <c r="AQ13" s="36">
        <v>1</v>
      </c>
      <c r="AR13" s="36">
        <v>0</v>
      </c>
      <c r="AS13" s="36">
        <v>1.52</v>
      </c>
      <c r="AT13" s="36">
        <v>53</v>
      </c>
      <c r="AU13" s="36">
        <v>23</v>
      </c>
      <c r="AV13" s="36">
        <v>0</v>
      </c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 t="s">
        <v>345</v>
      </c>
      <c r="BK13" s="36" t="s">
        <v>674</v>
      </c>
      <c r="BL13" s="36" t="s">
        <v>790</v>
      </c>
      <c r="BM13" s="36" t="s">
        <v>18</v>
      </c>
      <c r="BN13" s="36" t="s">
        <v>480</v>
      </c>
      <c r="BO13" s="36" t="s">
        <v>481</v>
      </c>
      <c r="BP13" s="36" t="s">
        <v>482</v>
      </c>
      <c r="BQ13" s="36" t="s">
        <v>483</v>
      </c>
      <c r="BR13" s="36" t="s">
        <v>484</v>
      </c>
      <c r="BS13" s="36" t="s">
        <v>673</v>
      </c>
      <c r="BT13" s="36" t="s">
        <v>674</v>
      </c>
      <c r="BU13" s="36" t="s">
        <v>790</v>
      </c>
      <c r="BV13" s="36" t="s">
        <v>20</v>
      </c>
      <c r="BW13" s="36" t="s">
        <v>491</v>
      </c>
      <c r="BX13" s="36" t="s">
        <v>673</v>
      </c>
      <c r="BY13" s="36" t="s">
        <v>740</v>
      </c>
    </row>
    <row r="14" spans="1:77" x14ac:dyDescent="0.3">
      <c r="A14" s="36" t="s">
        <v>548</v>
      </c>
      <c r="B14" s="36" t="s">
        <v>42</v>
      </c>
      <c r="C14" s="36" t="s">
        <v>348</v>
      </c>
      <c r="D14" s="36">
        <v>200</v>
      </c>
      <c r="E14" s="36" t="s">
        <v>347</v>
      </c>
      <c r="F14" s="36" t="s">
        <v>346</v>
      </c>
      <c r="G14" s="36"/>
      <c r="H14" s="36" t="s">
        <v>549</v>
      </c>
      <c r="I14" s="36">
        <v>6</v>
      </c>
      <c r="J14" s="36">
        <v>120</v>
      </c>
      <c r="K14" s="36"/>
      <c r="L14" s="36">
        <v>0</v>
      </c>
      <c r="M14" s="36">
        <v>0</v>
      </c>
      <c r="N14" s="36"/>
      <c r="O14" s="36"/>
      <c r="P14" s="36"/>
      <c r="Q14" s="36">
        <v>0</v>
      </c>
      <c r="R14" s="36"/>
      <c r="S14" s="36">
        <v>0</v>
      </c>
      <c r="T14" s="36"/>
      <c r="U14" s="36"/>
      <c r="V14" s="36"/>
      <c r="W14" s="36"/>
      <c r="X14" s="36"/>
      <c r="Y14" s="36" t="s">
        <v>548</v>
      </c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>
        <v>1</v>
      </c>
      <c r="AN14" s="36">
        <v>1</v>
      </c>
      <c r="AO14" s="36"/>
      <c r="AP14" s="36">
        <v>135</v>
      </c>
      <c r="AQ14" s="36">
        <v>65</v>
      </c>
      <c r="AR14" s="36">
        <v>0</v>
      </c>
      <c r="AS14" s="36">
        <v>98.48</v>
      </c>
      <c r="AT14" s="36">
        <v>55</v>
      </c>
      <c r="AU14" s="36">
        <v>22</v>
      </c>
      <c r="AV14" s="36">
        <v>0</v>
      </c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 t="s">
        <v>345</v>
      </c>
      <c r="BK14" s="36" t="s">
        <v>549</v>
      </c>
      <c r="BL14" s="36" t="s">
        <v>746</v>
      </c>
      <c r="BM14" s="36" t="s">
        <v>18</v>
      </c>
      <c r="BN14" s="36" t="s">
        <v>480</v>
      </c>
      <c r="BO14" s="36" t="s">
        <v>481</v>
      </c>
      <c r="BP14" s="36" t="s">
        <v>482</v>
      </c>
      <c r="BQ14" s="36" t="s">
        <v>483</v>
      </c>
      <c r="BR14" s="36" t="s">
        <v>484</v>
      </c>
      <c r="BS14" s="36" t="s">
        <v>548</v>
      </c>
      <c r="BT14" s="36" t="s">
        <v>549</v>
      </c>
      <c r="BU14" s="36" t="s">
        <v>746</v>
      </c>
      <c r="BV14" s="36" t="s">
        <v>20</v>
      </c>
      <c r="BW14" s="36" t="s">
        <v>491</v>
      </c>
      <c r="BX14" s="36" t="s">
        <v>548</v>
      </c>
      <c r="BY14" s="36" t="s">
        <v>714</v>
      </c>
    </row>
    <row r="15" spans="1:77" x14ac:dyDescent="0.3">
      <c r="A15" s="36" t="s">
        <v>489</v>
      </c>
      <c r="B15" s="36" t="s">
        <v>42</v>
      </c>
      <c r="C15" s="36" t="s">
        <v>348</v>
      </c>
      <c r="D15" s="36">
        <v>200</v>
      </c>
      <c r="E15" s="36" t="s">
        <v>347</v>
      </c>
      <c r="F15" s="36" t="s">
        <v>346</v>
      </c>
      <c r="G15" s="36"/>
      <c r="H15" s="36" t="s">
        <v>490</v>
      </c>
      <c r="I15" s="36">
        <v>5</v>
      </c>
      <c r="J15" s="36">
        <v>100</v>
      </c>
      <c r="K15" s="36"/>
      <c r="L15" s="36">
        <v>0</v>
      </c>
      <c r="M15" s="36">
        <v>0</v>
      </c>
      <c r="N15" s="36"/>
      <c r="O15" s="36"/>
      <c r="P15" s="36"/>
      <c r="Q15" s="36">
        <v>0</v>
      </c>
      <c r="R15" s="36"/>
      <c r="S15" s="36">
        <v>0</v>
      </c>
      <c r="T15" s="36"/>
      <c r="U15" s="36"/>
      <c r="V15" s="36"/>
      <c r="W15" s="36"/>
      <c r="X15" s="36"/>
      <c r="Y15" s="36" t="s">
        <v>489</v>
      </c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>
        <v>1</v>
      </c>
      <c r="AN15" s="36">
        <v>1</v>
      </c>
      <c r="AO15" s="36"/>
      <c r="AP15" s="36">
        <v>135</v>
      </c>
      <c r="AQ15" s="36">
        <v>65</v>
      </c>
      <c r="AR15" s="36">
        <v>0</v>
      </c>
      <c r="AS15" s="36">
        <v>98.48</v>
      </c>
      <c r="AT15" s="36">
        <v>55</v>
      </c>
      <c r="AU15" s="36">
        <v>22</v>
      </c>
      <c r="AV15" s="36">
        <v>0</v>
      </c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 t="s">
        <v>345</v>
      </c>
      <c r="BK15" s="36" t="s">
        <v>490</v>
      </c>
      <c r="BL15" s="36" t="s">
        <v>746</v>
      </c>
      <c r="BM15" s="36" t="s">
        <v>18</v>
      </c>
      <c r="BN15" s="36" t="s">
        <v>480</v>
      </c>
      <c r="BO15" s="36" t="s">
        <v>481</v>
      </c>
      <c r="BP15" s="36" t="s">
        <v>482</v>
      </c>
      <c r="BQ15" s="36" t="s">
        <v>483</v>
      </c>
      <c r="BR15" s="36" t="s">
        <v>484</v>
      </c>
      <c r="BS15" s="36" t="s">
        <v>489</v>
      </c>
      <c r="BT15" s="36" t="s">
        <v>490</v>
      </c>
      <c r="BU15" s="36" t="s">
        <v>746</v>
      </c>
      <c r="BV15" s="36" t="s">
        <v>20</v>
      </c>
      <c r="BW15" s="36" t="s">
        <v>491</v>
      </c>
      <c r="BX15" s="36" t="s">
        <v>489</v>
      </c>
      <c r="BY15" s="36" t="s">
        <v>711</v>
      </c>
    </row>
    <row r="16" spans="1:77" x14ac:dyDescent="0.3">
      <c r="A16" s="36" t="s">
        <v>696</v>
      </c>
      <c r="B16" s="36" t="s">
        <v>42</v>
      </c>
      <c r="C16" s="36" t="s">
        <v>348</v>
      </c>
      <c r="D16" s="36">
        <v>200</v>
      </c>
      <c r="E16" s="36" t="s">
        <v>347</v>
      </c>
      <c r="F16" s="36" t="s">
        <v>346</v>
      </c>
      <c r="G16" s="36"/>
      <c r="H16" s="36" t="s">
        <v>697</v>
      </c>
      <c r="I16" s="36">
        <v>9</v>
      </c>
      <c r="J16" s="36">
        <v>103</v>
      </c>
      <c r="K16" s="36"/>
      <c r="L16" s="36">
        <v>0</v>
      </c>
      <c r="M16" s="36">
        <v>0</v>
      </c>
      <c r="N16" s="36"/>
      <c r="O16" s="36"/>
      <c r="P16" s="36"/>
      <c r="Q16" s="36">
        <v>0</v>
      </c>
      <c r="R16" s="36"/>
      <c r="S16" s="36">
        <v>0</v>
      </c>
      <c r="T16" s="36"/>
      <c r="U16" s="36"/>
      <c r="V16" s="36"/>
      <c r="W16" s="36"/>
      <c r="X16" s="36"/>
      <c r="Y16" s="36" t="s">
        <v>696</v>
      </c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>
        <v>1</v>
      </c>
      <c r="AO16" s="36"/>
      <c r="AP16" s="36">
        <v>5</v>
      </c>
      <c r="AQ16" s="36">
        <v>1</v>
      </c>
      <c r="AR16" s="36">
        <v>0</v>
      </c>
      <c r="AS16" s="36">
        <v>1.52</v>
      </c>
      <c r="AT16" s="36">
        <v>54</v>
      </c>
      <c r="AU16" s="36">
        <v>23</v>
      </c>
      <c r="AV16" s="36">
        <v>0</v>
      </c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 t="s">
        <v>345</v>
      </c>
      <c r="BK16" s="36" t="s">
        <v>697</v>
      </c>
      <c r="BL16" s="36" t="s">
        <v>746</v>
      </c>
      <c r="BM16" s="36" t="s">
        <v>18</v>
      </c>
      <c r="BN16" s="36" t="s">
        <v>480</v>
      </c>
      <c r="BO16" s="36" t="s">
        <v>481</v>
      </c>
      <c r="BP16" s="36" t="s">
        <v>482</v>
      </c>
      <c r="BQ16" s="36" t="s">
        <v>483</v>
      </c>
      <c r="BR16" s="36" t="s">
        <v>484</v>
      </c>
      <c r="BS16" s="36" t="s">
        <v>696</v>
      </c>
      <c r="BT16" s="36" t="s">
        <v>697</v>
      </c>
      <c r="BU16" s="36" t="s">
        <v>746</v>
      </c>
      <c r="BV16" s="36" t="s">
        <v>20</v>
      </c>
      <c r="BW16" s="36" t="s">
        <v>491</v>
      </c>
      <c r="BX16" s="36" t="s">
        <v>696</v>
      </c>
      <c r="BY16" s="36" t="s">
        <v>745</v>
      </c>
    </row>
    <row r="17" spans="1:77" x14ac:dyDescent="0.3">
      <c r="A17" s="36" t="s">
        <v>492</v>
      </c>
      <c r="B17" s="36" t="s">
        <v>42</v>
      </c>
      <c r="C17" s="36" t="s">
        <v>348</v>
      </c>
      <c r="D17" s="36">
        <v>200</v>
      </c>
      <c r="E17" s="36" t="s">
        <v>347</v>
      </c>
      <c r="F17" s="36" t="s">
        <v>346</v>
      </c>
      <c r="G17" s="36"/>
      <c r="H17" s="36" t="s">
        <v>749</v>
      </c>
      <c r="I17" s="36">
        <v>7</v>
      </c>
      <c r="J17" s="36">
        <v>140</v>
      </c>
      <c r="K17" s="36"/>
      <c r="L17" s="36">
        <v>0</v>
      </c>
      <c r="M17" s="36">
        <v>0</v>
      </c>
      <c r="N17" s="36"/>
      <c r="O17" s="36"/>
      <c r="P17" s="36"/>
      <c r="Q17" s="36">
        <v>0</v>
      </c>
      <c r="R17" s="36"/>
      <c r="S17" s="36">
        <v>0</v>
      </c>
      <c r="T17" s="36"/>
      <c r="U17" s="36"/>
      <c r="V17" s="36"/>
      <c r="W17" s="36"/>
      <c r="X17" s="36"/>
      <c r="Y17" s="36" t="s">
        <v>492</v>
      </c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>
        <v>1</v>
      </c>
      <c r="AN17" s="36">
        <v>1</v>
      </c>
      <c r="AO17" s="36"/>
      <c r="AP17" s="36">
        <v>266</v>
      </c>
      <c r="AQ17" s="36">
        <v>65</v>
      </c>
      <c r="AR17" s="36">
        <v>0</v>
      </c>
      <c r="AS17" s="36">
        <v>98.48</v>
      </c>
      <c r="AT17" s="36">
        <v>55</v>
      </c>
      <c r="AU17" s="36">
        <v>22</v>
      </c>
      <c r="AV17" s="36">
        <v>0</v>
      </c>
      <c r="AW17" s="36"/>
      <c r="AX17" s="36"/>
      <c r="AY17" s="36"/>
      <c r="AZ17" s="36"/>
      <c r="BA17" s="36"/>
      <c r="BB17" s="36"/>
      <c r="BC17" s="36"/>
      <c r="BD17" s="36"/>
      <c r="BE17" s="36"/>
      <c r="BF17" s="36"/>
      <c r="BG17" s="36"/>
      <c r="BH17" s="36"/>
      <c r="BI17" s="36"/>
      <c r="BJ17" s="36" t="s">
        <v>345</v>
      </c>
      <c r="BK17" s="36" t="s">
        <v>749</v>
      </c>
      <c r="BL17" s="36" t="s">
        <v>746</v>
      </c>
      <c r="BM17" s="36" t="s">
        <v>18</v>
      </c>
      <c r="BN17" s="36" t="s">
        <v>480</v>
      </c>
      <c r="BO17" s="36" t="s">
        <v>481</v>
      </c>
      <c r="BP17" s="36" t="s">
        <v>482</v>
      </c>
      <c r="BQ17" s="36" t="s">
        <v>483</v>
      </c>
      <c r="BR17" s="36" t="s">
        <v>484</v>
      </c>
      <c r="BS17" s="36" t="s">
        <v>492</v>
      </c>
      <c r="BT17" s="36" t="s">
        <v>749</v>
      </c>
      <c r="BU17" s="36" t="s">
        <v>746</v>
      </c>
      <c r="BV17" s="36" t="s">
        <v>20</v>
      </c>
      <c r="BW17" s="36" t="s">
        <v>491</v>
      </c>
      <c r="BX17" s="36" t="s">
        <v>492</v>
      </c>
      <c r="BY17" s="36" t="s">
        <v>712</v>
      </c>
    </row>
    <row r="18" spans="1:77" x14ac:dyDescent="0.3">
      <c r="A18" s="36" t="s">
        <v>668</v>
      </c>
      <c r="B18" s="36" t="s">
        <v>42</v>
      </c>
      <c r="C18" s="36" t="s">
        <v>348</v>
      </c>
      <c r="D18" s="36">
        <v>200</v>
      </c>
      <c r="E18" s="36" t="s">
        <v>347</v>
      </c>
      <c r="F18" s="36" t="s">
        <v>346</v>
      </c>
      <c r="G18" s="36"/>
      <c r="H18" s="36" t="s">
        <v>669</v>
      </c>
      <c r="I18" s="36">
        <v>11</v>
      </c>
      <c r="J18" s="36">
        <v>207</v>
      </c>
      <c r="K18" s="36" t="s">
        <v>789</v>
      </c>
      <c r="L18" s="36">
        <v>51</v>
      </c>
      <c r="M18" s="36">
        <v>659</v>
      </c>
      <c r="N18" s="36"/>
      <c r="O18" s="36"/>
      <c r="P18" s="36"/>
      <c r="Q18" s="36">
        <v>0</v>
      </c>
      <c r="R18" s="36"/>
      <c r="S18" s="36">
        <v>0</v>
      </c>
      <c r="T18" s="36"/>
      <c r="U18" s="36"/>
      <c r="V18" s="36"/>
      <c r="W18" s="36"/>
      <c r="X18" s="36"/>
      <c r="Y18" s="36" t="s">
        <v>668</v>
      </c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>
        <v>1</v>
      </c>
      <c r="AO18" s="36"/>
      <c r="AP18" s="36">
        <v>4</v>
      </c>
      <c r="AQ18" s="36">
        <v>1</v>
      </c>
      <c r="AR18" s="36">
        <v>0</v>
      </c>
      <c r="AS18" s="36">
        <v>1.52</v>
      </c>
      <c r="AT18" s="36">
        <v>53</v>
      </c>
      <c r="AU18" s="36">
        <v>23</v>
      </c>
      <c r="AV18" s="36">
        <v>0</v>
      </c>
      <c r="AW18" s="36"/>
      <c r="AX18" s="36"/>
      <c r="AY18" s="36"/>
      <c r="AZ18" s="36"/>
      <c r="BA18" s="36"/>
      <c r="BB18" s="36"/>
      <c r="BC18" s="36"/>
      <c r="BD18" s="36"/>
      <c r="BE18" s="36"/>
      <c r="BF18" s="36"/>
      <c r="BG18" s="36"/>
      <c r="BH18" s="36"/>
      <c r="BI18" s="36"/>
      <c r="BJ18" s="36" t="s">
        <v>345</v>
      </c>
      <c r="BK18" s="36" t="s">
        <v>669</v>
      </c>
      <c r="BL18" s="36" t="s">
        <v>789</v>
      </c>
      <c r="BM18" s="36" t="s">
        <v>18</v>
      </c>
      <c r="BN18" s="36" t="s">
        <v>480</v>
      </c>
      <c r="BO18" s="36" t="s">
        <v>481</v>
      </c>
      <c r="BP18" s="36" t="s">
        <v>482</v>
      </c>
      <c r="BQ18" s="36" t="s">
        <v>483</v>
      </c>
      <c r="BR18" s="36" t="s">
        <v>484</v>
      </c>
      <c r="BS18" s="36" t="s">
        <v>668</v>
      </c>
      <c r="BT18" s="36" t="s">
        <v>669</v>
      </c>
      <c r="BU18" s="36" t="s">
        <v>789</v>
      </c>
      <c r="BV18" s="36" t="s">
        <v>20</v>
      </c>
      <c r="BW18" s="36" t="s">
        <v>491</v>
      </c>
      <c r="BX18" s="36" t="s">
        <v>668</v>
      </c>
      <c r="BY18" s="36" t="s">
        <v>739</v>
      </c>
    </row>
    <row r="19" spans="1:77" x14ac:dyDescent="0.3">
      <c r="A19" s="36" t="s">
        <v>527</v>
      </c>
      <c r="B19" s="36" t="s">
        <v>42</v>
      </c>
      <c r="C19" s="36" t="s">
        <v>348</v>
      </c>
      <c r="D19" s="36">
        <v>200</v>
      </c>
      <c r="E19" s="36" t="s">
        <v>347</v>
      </c>
      <c r="F19" s="36" t="s">
        <v>346</v>
      </c>
      <c r="G19" s="36"/>
      <c r="H19" s="36" t="s">
        <v>528</v>
      </c>
      <c r="I19" s="36">
        <v>6</v>
      </c>
      <c r="J19" s="36">
        <v>120</v>
      </c>
      <c r="K19" s="36"/>
      <c r="L19" s="36">
        <v>0</v>
      </c>
      <c r="M19" s="36">
        <v>0</v>
      </c>
      <c r="N19" s="36"/>
      <c r="O19" s="36"/>
      <c r="P19" s="36"/>
      <c r="Q19" s="36">
        <v>0</v>
      </c>
      <c r="R19" s="36"/>
      <c r="S19" s="36">
        <v>0</v>
      </c>
      <c r="T19" s="36"/>
      <c r="U19" s="36"/>
      <c r="V19" s="36"/>
      <c r="W19" s="36"/>
      <c r="X19" s="36"/>
      <c r="Y19" s="36" t="s">
        <v>527</v>
      </c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>
        <v>1</v>
      </c>
      <c r="AN19" s="36">
        <v>1</v>
      </c>
      <c r="AO19" s="36"/>
      <c r="AP19" s="36">
        <v>273</v>
      </c>
      <c r="AQ19" s="36">
        <v>65</v>
      </c>
      <c r="AR19" s="36">
        <v>0</v>
      </c>
      <c r="AS19" s="36">
        <v>98.48</v>
      </c>
      <c r="AT19" s="36">
        <v>55</v>
      </c>
      <c r="AU19" s="36">
        <v>22</v>
      </c>
      <c r="AV19" s="36">
        <v>0</v>
      </c>
      <c r="AW19" s="36"/>
      <c r="AX19" s="36"/>
      <c r="AY19" s="36"/>
      <c r="AZ19" s="36"/>
      <c r="BA19" s="36"/>
      <c r="BB19" s="36"/>
      <c r="BC19" s="36"/>
      <c r="BD19" s="36"/>
      <c r="BE19" s="36"/>
      <c r="BF19" s="36"/>
      <c r="BG19" s="36"/>
      <c r="BH19" s="36"/>
      <c r="BI19" s="36"/>
      <c r="BJ19" s="36" t="s">
        <v>345</v>
      </c>
      <c r="BK19" s="36" t="s">
        <v>528</v>
      </c>
      <c r="BL19" s="36" t="s">
        <v>746</v>
      </c>
      <c r="BM19" s="36" t="s">
        <v>18</v>
      </c>
      <c r="BN19" s="36" t="s">
        <v>480</v>
      </c>
      <c r="BO19" s="36" t="s">
        <v>481</v>
      </c>
      <c r="BP19" s="36" t="s">
        <v>482</v>
      </c>
      <c r="BQ19" s="36" t="s">
        <v>483</v>
      </c>
      <c r="BR19" s="36" t="s">
        <v>484</v>
      </c>
      <c r="BS19" s="36" t="s">
        <v>527</v>
      </c>
      <c r="BT19" s="36" t="s">
        <v>528</v>
      </c>
      <c r="BU19" s="36" t="s">
        <v>746</v>
      </c>
      <c r="BV19" s="36" t="s">
        <v>20</v>
      </c>
      <c r="BW19" s="36" t="s">
        <v>491</v>
      </c>
      <c r="BX19" s="36" t="s">
        <v>527</v>
      </c>
      <c r="BY19" s="36" t="s">
        <v>718</v>
      </c>
    </row>
    <row r="20" spans="1:77" x14ac:dyDescent="0.3">
      <c r="A20" s="36" t="s">
        <v>590</v>
      </c>
      <c r="B20" s="36" t="s">
        <v>42</v>
      </c>
      <c r="C20" s="36" t="s">
        <v>348</v>
      </c>
      <c r="D20" s="36">
        <v>200</v>
      </c>
      <c r="E20" s="36" t="s">
        <v>347</v>
      </c>
      <c r="F20" s="36" t="s">
        <v>346</v>
      </c>
      <c r="G20" s="36"/>
      <c r="H20" s="36" t="s">
        <v>757</v>
      </c>
      <c r="I20" s="36">
        <v>8</v>
      </c>
      <c r="J20" s="36">
        <v>160</v>
      </c>
      <c r="K20" s="36"/>
      <c r="L20" s="36">
        <v>0</v>
      </c>
      <c r="M20" s="36">
        <v>0</v>
      </c>
      <c r="N20" s="36"/>
      <c r="O20" s="36"/>
      <c r="P20" s="36"/>
      <c r="Q20" s="36">
        <v>0</v>
      </c>
      <c r="R20" s="36"/>
      <c r="S20" s="36">
        <v>0</v>
      </c>
      <c r="T20" s="36"/>
      <c r="U20" s="36"/>
      <c r="V20" s="36"/>
      <c r="W20" s="36"/>
      <c r="X20" s="36"/>
      <c r="Y20" s="36" t="s">
        <v>590</v>
      </c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>
        <v>1</v>
      </c>
      <c r="AN20" s="36">
        <v>1</v>
      </c>
      <c r="AO20" s="36"/>
      <c r="AP20" s="36">
        <v>135</v>
      </c>
      <c r="AQ20" s="36">
        <v>65</v>
      </c>
      <c r="AR20" s="36">
        <v>0</v>
      </c>
      <c r="AS20" s="36">
        <v>98.48</v>
      </c>
      <c r="AT20" s="36">
        <v>55</v>
      </c>
      <c r="AU20" s="36">
        <v>22</v>
      </c>
      <c r="AV20" s="36">
        <v>0</v>
      </c>
      <c r="AW20" s="36"/>
      <c r="AX20" s="36"/>
      <c r="AY20" s="36"/>
      <c r="AZ20" s="36"/>
      <c r="BA20" s="36"/>
      <c r="BB20" s="36"/>
      <c r="BC20" s="36"/>
      <c r="BD20" s="36"/>
      <c r="BE20" s="36"/>
      <c r="BF20" s="36"/>
      <c r="BG20" s="36"/>
      <c r="BH20" s="36"/>
      <c r="BI20" s="36"/>
      <c r="BJ20" s="36" t="s">
        <v>345</v>
      </c>
      <c r="BK20" s="36" t="s">
        <v>757</v>
      </c>
      <c r="BL20" s="36" t="s">
        <v>746</v>
      </c>
      <c r="BM20" s="36" t="s">
        <v>18</v>
      </c>
      <c r="BN20" s="36" t="s">
        <v>480</v>
      </c>
      <c r="BO20" s="36" t="s">
        <v>481</v>
      </c>
      <c r="BP20" s="36" t="s">
        <v>482</v>
      </c>
      <c r="BQ20" s="36" t="s">
        <v>483</v>
      </c>
      <c r="BR20" s="36" t="s">
        <v>484</v>
      </c>
      <c r="BS20" s="36" t="s">
        <v>590</v>
      </c>
      <c r="BT20" s="36" t="s">
        <v>757</v>
      </c>
      <c r="BU20" s="36" t="s">
        <v>746</v>
      </c>
      <c r="BV20" s="36" t="s">
        <v>20</v>
      </c>
      <c r="BW20" s="36" t="s">
        <v>491</v>
      </c>
      <c r="BX20" s="36" t="s">
        <v>590</v>
      </c>
      <c r="BY20" s="36" t="s">
        <v>719</v>
      </c>
    </row>
    <row r="21" spans="1:77" x14ac:dyDescent="0.3">
      <c r="A21" s="36" t="s">
        <v>671</v>
      </c>
      <c r="B21" s="36" t="s">
        <v>42</v>
      </c>
      <c r="C21" s="36" t="s">
        <v>348</v>
      </c>
      <c r="D21" s="36">
        <v>200</v>
      </c>
      <c r="E21" s="36" t="s">
        <v>347</v>
      </c>
      <c r="F21" s="36" t="s">
        <v>346</v>
      </c>
      <c r="G21" s="36"/>
      <c r="H21" s="36" t="s">
        <v>672</v>
      </c>
      <c r="I21" s="36">
        <v>8</v>
      </c>
      <c r="J21" s="36">
        <v>78</v>
      </c>
      <c r="K21" s="36"/>
      <c r="L21" s="36">
        <v>0</v>
      </c>
      <c r="M21" s="36">
        <v>0</v>
      </c>
      <c r="N21" s="36"/>
      <c r="O21" s="36"/>
      <c r="P21" s="36"/>
      <c r="Q21" s="36">
        <v>0</v>
      </c>
      <c r="R21" s="36"/>
      <c r="S21" s="36">
        <v>0</v>
      </c>
      <c r="T21" s="36"/>
      <c r="U21" s="36"/>
      <c r="V21" s="36"/>
      <c r="W21" s="36"/>
      <c r="X21" s="36"/>
      <c r="Y21" s="36" t="s">
        <v>671</v>
      </c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6"/>
      <c r="AM21" s="36"/>
      <c r="AN21" s="36">
        <v>1</v>
      </c>
      <c r="AO21" s="36"/>
      <c r="AP21" s="36">
        <v>4</v>
      </c>
      <c r="AQ21" s="36">
        <v>1</v>
      </c>
      <c r="AR21" s="36">
        <v>0</v>
      </c>
      <c r="AS21" s="36">
        <v>1.52</v>
      </c>
      <c r="AT21" s="36">
        <v>55</v>
      </c>
      <c r="AU21" s="36">
        <v>24</v>
      </c>
      <c r="AV21" s="36">
        <v>0</v>
      </c>
      <c r="AW21" s="36"/>
      <c r="AX21" s="36"/>
      <c r="AY21" s="36"/>
      <c r="AZ21" s="36"/>
      <c r="BA21" s="36"/>
      <c r="BB21" s="36"/>
      <c r="BC21" s="36"/>
      <c r="BD21" s="36"/>
      <c r="BE21" s="36"/>
      <c r="BF21" s="36"/>
      <c r="BG21" s="36"/>
      <c r="BH21" s="36"/>
      <c r="BI21" s="36"/>
      <c r="BJ21" s="36" t="s">
        <v>345</v>
      </c>
      <c r="BK21" s="36" t="s">
        <v>672</v>
      </c>
      <c r="BL21" s="36" t="s">
        <v>746</v>
      </c>
      <c r="BM21" s="36" t="s">
        <v>18</v>
      </c>
      <c r="BN21" s="36" t="s">
        <v>480</v>
      </c>
      <c r="BO21" s="36" t="s">
        <v>481</v>
      </c>
      <c r="BP21" s="36" t="s">
        <v>482</v>
      </c>
      <c r="BQ21" s="36" t="s">
        <v>483</v>
      </c>
      <c r="BR21" s="36" t="s">
        <v>484</v>
      </c>
      <c r="BS21" s="36" t="s">
        <v>671</v>
      </c>
      <c r="BT21" s="36" t="s">
        <v>672</v>
      </c>
      <c r="BU21" s="36" t="s">
        <v>746</v>
      </c>
      <c r="BV21" s="36" t="s">
        <v>20</v>
      </c>
      <c r="BW21" s="36" t="s">
        <v>491</v>
      </c>
      <c r="BX21" s="36" t="s">
        <v>671</v>
      </c>
      <c r="BY21" s="36" t="s">
        <v>740</v>
      </c>
    </row>
    <row r="22" spans="1:77" x14ac:dyDescent="0.3">
      <c r="A22" s="36" t="s">
        <v>677</v>
      </c>
      <c r="B22" s="36" t="s">
        <v>42</v>
      </c>
      <c r="C22" s="36" t="s">
        <v>348</v>
      </c>
      <c r="D22" s="36">
        <v>200</v>
      </c>
      <c r="E22" s="36" t="s">
        <v>347</v>
      </c>
      <c r="F22" s="36" t="s">
        <v>346</v>
      </c>
      <c r="G22" s="36"/>
      <c r="H22" s="36" t="s">
        <v>672</v>
      </c>
      <c r="I22" s="36">
        <v>8</v>
      </c>
      <c r="J22" s="36">
        <v>78</v>
      </c>
      <c r="K22" s="36"/>
      <c r="L22" s="36">
        <v>0</v>
      </c>
      <c r="M22" s="36">
        <v>0</v>
      </c>
      <c r="N22" s="36"/>
      <c r="O22" s="36"/>
      <c r="P22" s="36"/>
      <c r="Q22" s="36">
        <v>0</v>
      </c>
      <c r="R22" s="36"/>
      <c r="S22" s="36">
        <v>0</v>
      </c>
      <c r="T22" s="36"/>
      <c r="U22" s="36"/>
      <c r="V22" s="36"/>
      <c r="W22" s="36"/>
      <c r="X22" s="36"/>
      <c r="Y22" s="36" t="s">
        <v>677</v>
      </c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6"/>
      <c r="AM22" s="36"/>
      <c r="AN22" s="36">
        <v>1</v>
      </c>
      <c r="AO22" s="36"/>
      <c r="AP22" s="36">
        <v>4</v>
      </c>
      <c r="AQ22" s="36">
        <v>1</v>
      </c>
      <c r="AR22" s="36">
        <v>0</v>
      </c>
      <c r="AS22" s="36">
        <v>1.52</v>
      </c>
      <c r="AT22" s="36">
        <v>55</v>
      </c>
      <c r="AU22" s="36">
        <v>24</v>
      </c>
      <c r="AV22" s="36">
        <v>0</v>
      </c>
      <c r="AW22" s="36"/>
      <c r="AX22" s="36"/>
      <c r="AY22" s="36"/>
      <c r="AZ22" s="36"/>
      <c r="BA22" s="36"/>
      <c r="BB22" s="36"/>
      <c r="BC22" s="36"/>
      <c r="BD22" s="36"/>
      <c r="BE22" s="36"/>
      <c r="BF22" s="36"/>
      <c r="BG22" s="36"/>
      <c r="BH22" s="36"/>
      <c r="BI22" s="36"/>
      <c r="BJ22" s="36" t="s">
        <v>345</v>
      </c>
      <c r="BK22" s="36" t="s">
        <v>672</v>
      </c>
      <c r="BL22" s="36" t="s">
        <v>746</v>
      </c>
      <c r="BM22" s="36" t="s">
        <v>18</v>
      </c>
      <c r="BN22" s="36" t="s">
        <v>480</v>
      </c>
      <c r="BO22" s="36" t="s">
        <v>481</v>
      </c>
      <c r="BP22" s="36" t="s">
        <v>482</v>
      </c>
      <c r="BQ22" s="36" t="s">
        <v>483</v>
      </c>
      <c r="BR22" s="36" t="s">
        <v>484</v>
      </c>
      <c r="BS22" s="36" t="s">
        <v>677</v>
      </c>
      <c r="BT22" s="36" t="s">
        <v>672</v>
      </c>
      <c r="BU22" s="36" t="s">
        <v>746</v>
      </c>
      <c r="BV22" s="36" t="s">
        <v>20</v>
      </c>
      <c r="BW22" s="36" t="s">
        <v>491</v>
      </c>
      <c r="BX22" s="36" t="s">
        <v>677</v>
      </c>
      <c r="BY22" s="36" t="s">
        <v>741</v>
      </c>
    </row>
    <row r="23" spans="1:77" x14ac:dyDescent="0.3">
      <c r="A23" s="36" t="s">
        <v>543</v>
      </c>
      <c r="B23" s="36" t="s">
        <v>42</v>
      </c>
      <c r="C23" s="36" t="s">
        <v>348</v>
      </c>
      <c r="D23" s="36">
        <v>200</v>
      </c>
      <c r="E23" s="36" t="s">
        <v>347</v>
      </c>
      <c r="F23" s="36" t="s">
        <v>346</v>
      </c>
      <c r="G23" s="36"/>
      <c r="H23" s="36" t="s">
        <v>544</v>
      </c>
      <c r="I23" s="36">
        <v>8</v>
      </c>
      <c r="J23" s="36">
        <v>160</v>
      </c>
      <c r="K23" s="36"/>
      <c r="L23" s="36">
        <v>0</v>
      </c>
      <c r="M23" s="36">
        <v>0</v>
      </c>
      <c r="N23" s="36"/>
      <c r="O23" s="36"/>
      <c r="P23" s="36"/>
      <c r="Q23" s="36">
        <v>0</v>
      </c>
      <c r="R23" s="36"/>
      <c r="S23" s="36">
        <v>0</v>
      </c>
      <c r="T23" s="36"/>
      <c r="U23" s="36"/>
      <c r="V23" s="36"/>
      <c r="W23" s="36"/>
      <c r="X23" s="36"/>
      <c r="Y23" s="36" t="s">
        <v>543</v>
      </c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>
        <v>1</v>
      </c>
      <c r="AN23" s="36">
        <v>1</v>
      </c>
      <c r="AO23" s="36"/>
      <c r="AP23" s="36">
        <v>135</v>
      </c>
      <c r="AQ23" s="36">
        <v>65</v>
      </c>
      <c r="AR23" s="36">
        <v>0</v>
      </c>
      <c r="AS23" s="36">
        <v>98.48</v>
      </c>
      <c r="AT23" s="36">
        <v>55</v>
      </c>
      <c r="AU23" s="36">
        <v>22</v>
      </c>
      <c r="AV23" s="36">
        <v>0</v>
      </c>
      <c r="AW23" s="36"/>
      <c r="AX23" s="36"/>
      <c r="AY23" s="36"/>
      <c r="AZ23" s="36"/>
      <c r="BA23" s="36"/>
      <c r="BB23" s="36"/>
      <c r="BC23" s="36"/>
      <c r="BD23" s="36"/>
      <c r="BE23" s="36"/>
      <c r="BF23" s="36"/>
      <c r="BG23" s="36"/>
      <c r="BH23" s="36"/>
      <c r="BI23" s="36"/>
      <c r="BJ23" s="36" t="s">
        <v>345</v>
      </c>
      <c r="BK23" s="36" t="s">
        <v>544</v>
      </c>
      <c r="BL23" s="36" t="s">
        <v>746</v>
      </c>
      <c r="BM23" s="36" t="s">
        <v>18</v>
      </c>
      <c r="BN23" s="36" t="s">
        <v>480</v>
      </c>
      <c r="BO23" s="36" t="s">
        <v>481</v>
      </c>
      <c r="BP23" s="36" t="s">
        <v>482</v>
      </c>
      <c r="BQ23" s="36" t="s">
        <v>483</v>
      </c>
      <c r="BR23" s="36" t="s">
        <v>484</v>
      </c>
      <c r="BS23" s="36" t="s">
        <v>543</v>
      </c>
      <c r="BT23" s="36" t="s">
        <v>544</v>
      </c>
      <c r="BU23" s="36" t="s">
        <v>746</v>
      </c>
      <c r="BV23" s="36" t="s">
        <v>20</v>
      </c>
      <c r="BW23" s="36" t="s">
        <v>491</v>
      </c>
      <c r="BX23" s="36" t="s">
        <v>543</v>
      </c>
      <c r="BY23" s="36" t="s">
        <v>713</v>
      </c>
    </row>
    <row r="24" spans="1:77" x14ac:dyDescent="0.3">
      <c r="A24" s="36" t="s">
        <v>573</v>
      </c>
      <c r="B24" s="36" t="s">
        <v>42</v>
      </c>
      <c r="C24" s="36" t="s">
        <v>348</v>
      </c>
      <c r="D24" s="36">
        <v>200</v>
      </c>
      <c r="E24" s="36" t="s">
        <v>347</v>
      </c>
      <c r="F24" s="36" t="s">
        <v>346</v>
      </c>
      <c r="G24" s="36"/>
      <c r="H24" s="36" t="s">
        <v>574</v>
      </c>
      <c r="I24" s="36">
        <v>3</v>
      </c>
      <c r="J24" s="36">
        <v>60</v>
      </c>
      <c r="K24" s="36" t="s">
        <v>756</v>
      </c>
      <c r="L24" s="36">
        <v>61</v>
      </c>
      <c r="M24" s="36">
        <v>836</v>
      </c>
      <c r="N24" s="36"/>
      <c r="O24" s="36"/>
      <c r="P24" s="36"/>
      <c r="Q24" s="36">
        <v>0</v>
      </c>
      <c r="R24" s="36"/>
      <c r="S24" s="36">
        <v>0</v>
      </c>
      <c r="T24" s="36"/>
      <c r="U24" s="36"/>
      <c r="V24" s="36"/>
      <c r="W24" s="36"/>
      <c r="X24" s="36"/>
      <c r="Y24" s="36" t="s">
        <v>573</v>
      </c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6"/>
      <c r="AM24" s="36">
        <v>1</v>
      </c>
      <c r="AN24" s="36">
        <v>1</v>
      </c>
      <c r="AO24" s="36"/>
      <c r="AP24" s="36">
        <v>410</v>
      </c>
      <c r="AQ24" s="36">
        <v>65</v>
      </c>
      <c r="AR24" s="36">
        <v>0</v>
      </c>
      <c r="AS24" s="36">
        <v>98.48</v>
      </c>
      <c r="AT24" s="36">
        <v>55</v>
      </c>
      <c r="AU24" s="36">
        <v>22</v>
      </c>
      <c r="AV24" s="36">
        <v>0</v>
      </c>
      <c r="AW24" s="36"/>
      <c r="AX24" s="36"/>
      <c r="AY24" s="36"/>
      <c r="AZ24" s="36"/>
      <c r="BA24" s="36"/>
      <c r="BB24" s="36"/>
      <c r="BC24" s="36"/>
      <c r="BD24" s="36"/>
      <c r="BE24" s="36"/>
      <c r="BF24" s="36"/>
      <c r="BG24" s="36"/>
      <c r="BH24" s="36"/>
      <c r="BI24" s="36"/>
      <c r="BJ24" s="36" t="s">
        <v>345</v>
      </c>
      <c r="BK24" s="36" t="s">
        <v>574</v>
      </c>
      <c r="BL24" s="36" t="s">
        <v>756</v>
      </c>
      <c r="BM24" s="36" t="s">
        <v>18</v>
      </c>
      <c r="BN24" s="36" t="s">
        <v>480</v>
      </c>
      <c r="BO24" s="36" t="s">
        <v>576</v>
      </c>
      <c r="BP24" s="36" t="s">
        <v>577</v>
      </c>
      <c r="BQ24" s="36" t="s">
        <v>483</v>
      </c>
      <c r="BR24" s="36" t="s">
        <v>484</v>
      </c>
      <c r="BS24" s="36" t="s">
        <v>573</v>
      </c>
      <c r="BT24" s="36" t="s">
        <v>574</v>
      </c>
      <c r="BU24" s="36" t="s">
        <v>756</v>
      </c>
      <c r="BV24" s="36" t="s">
        <v>20</v>
      </c>
      <c r="BW24" s="36" t="s">
        <v>491</v>
      </c>
      <c r="BX24" s="36" t="s">
        <v>573</v>
      </c>
      <c r="BY24" s="36" t="s">
        <v>718</v>
      </c>
    </row>
    <row r="25" spans="1:77" x14ac:dyDescent="0.3">
      <c r="A25" s="36" t="s">
        <v>541</v>
      </c>
      <c r="B25" s="36" t="s">
        <v>42</v>
      </c>
      <c r="C25" s="36" t="s">
        <v>348</v>
      </c>
      <c r="D25" s="36">
        <v>200</v>
      </c>
      <c r="E25" s="36" t="s">
        <v>347</v>
      </c>
      <c r="F25" s="36" t="s">
        <v>346</v>
      </c>
      <c r="G25" s="36"/>
      <c r="H25" s="36" t="s">
        <v>542</v>
      </c>
      <c r="I25" s="36">
        <v>6</v>
      </c>
      <c r="J25" s="36">
        <v>120</v>
      </c>
      <c r="K25" s="36"/>
      <c r="L25" s="36">
        <v>0</v>
      </c>
      <c r="M25" s="36">
        <v>0</v>
      </c>
      <c r="N25" s="36"/>
      <c r="O25" s="36"/>
      <c r="P25" s="36"/>
      <c r="Q25" s="36">
        <v>0</v>
      </c>
      <c r="R25" s="36"/>
      <c r="S25" s="36">
        <v>0</v>
      </c>
      <c r="T25" s="36"/>
      <c r="U25" s="36"/>
      <c r="V25" s="36"/>
      <c r="W25" s="36"/>
      <c r="X25" s="36"/>
      <c r="Y25" s="36" t="s">
        <v>541</v>
      </c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>
        <v>1</v>
      </c>
      <c r="AN25" s="36">
        <v>1</v>
      </c>
      <c r="AO25" s="36"/>
      <c r="AP25" s="36">
        <v>135</v>
      </c>
      <c r="AQ25" s="36">
        <v>65</v>
      </c>
      <c r="AR25" s="36">
        <v>0</v>
      </c>
      <c r="AS25" s="36">
        <v>98.48</v>
      </c>
      <c r="AT25" s="36">
        <v>55</v>
      </c>
      <c r="AU25" s="36">
        <v>22</v>
      </c>
      <c r="AV25" s="36">
        <v>0</v>
      </c>
      <c r="AW25" s="36"/>
      <c r="AX25" s="36"/>
      <c r="AY25" s="36"/>
      <c r="AZ25" s="36"/>
      <c r="BA25" s="36"/>
      <c r="BB25" s="36"/>
      <c r="BC25" s="36"/>
      <c r="BD25" s="36"/>
      <c r="BE25" s="36"/>
      <c r="BF25" s="36"/>
      <c r="BG25" s="36"/>
      <c r="BH25" s="36"/>
      <c r="BI25" s="36"/>
      <c r="BJ25" s="36" t="s">
        <v>345</v>
      </c>
      <c r="BK25" s="36" t="s">
        <v>542</v>
      </c>
      <c r="BL25" s="36" t="s">
        <v>746</v>
      </c>
      <c r="BM25" s="36" t="s">
        <v>18</v>
      </c>
      <c r="BN25" s="36" t="s">
        <v>480</v>
      </c>
      <c r="BO25" s="36" t="s">
        <v>481</v>
      </c>
      <c r="BP25" s="36" t="s">
        <v>482</v>
      </c>
      <c r="BQ25" s="36" t="s">
        <v>483</v>
      </c>
      <c r="BR25" s="36" t="s">
        <v>484</v>
      </c>
      <c r="BS25" s="36" t="s">
        <v>541</v>
      </c>
      <c r="BT25" s="36" t="s">
        <v>542</v>
      </c>
      <c r="BU25" s="36" t="s">
        <v>746</v>
      </c>
      <c r="BV25" s="36" t="s">
        <v>20</v>
      </c>
      <c r="BW25" s="36" t="s">
        <v>491</v>
      </c>
      <c r="BX25" s="36" t="s">
        <v>541</v>
      </c>
      <c r="BY25" s="36" t="s">
        <v>712</v>
      </c>
    </row>
    <row r="26" spans="1:77" x14ac:dyDescent="0.3">
      <c r="A26" s="36" t="s">
        <v>683</v>
      </c>
      <c r="B26" s="36" t="s">
        <v>42</v>
      </c>
      <c r="C26" s="36" t="s">
        <v>348</v>
      </c>
      <c r="D26" s="36">
        <v>200</v>
      </c>
      <c r="E26" s="36" t="s">
        <v>347</v>
      </c>
      <c r="F26" s="36" t="s">
        <v>346</v>
      </c>
      <c r="G26" s="36"/>
      <c r="H26" s="36" t="s">
        <v>684</v>
      </c>
      <c r="I26" s="36">
        <v>11</v>
      </c>
      <c r="J26" s="36">
        <v>207</v>
      </c>
      <c r="K26" s="36"/>
      <c r="L26" s="36">
        <v>0</v>
      </c>
      <c r="M26" s="36">
        <v>0</v>
      </c>
      <c r="N26" s="36"/>
      <c r="O26" s="36"/>
      <c r="P26" s="36"/>
      <c r="Q26" s="36">
        <v>0</v>
      </c>
      <c r="R26" s="36"/>
      <c r="S26" s="36">
        <v>0</v>
      </c>
      <c r="T26" s="36"/>
      <c r="U26" s="36"/>
      <c r="V26" s="36"/>
      <c r="W26" s="36"/>
      <c r="X26" s="36"/>
      <c r="Y26" s="36" t="s">
        <v>683</v>
      </c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6"/>
      <c r="AM26" s="36"/>
      <c r="AN26" s="36">
        <v>1</v>
      </c>
      <c r="AO26" s="36"/>
      <c r="AP26" s="36">
        <v>4</v>
      </c>
      <c r="AQ26" s="36">
        <v>1</v>
      </c>
      <c r="AR26" s="36">
        <v>0</v>
      </c>
      <c r="AS26" s="36">
        <v>1.52</v>
      </c>
      <c r="AT26" s="36">
        <v>53</v>
      </c>
      <c r="AU26" s="36">
        <v>23</v>
      </c>
      <c r="AV26" s="36">
        <v>0</v>
      </c>
      <c r="AW26" s="36"/>
      <c r="AX26" s="36"/>
      <c r="AY26" s="36"/>
      <c r="AZ26" s="36"/>
      <c r="BA26" s="36"/>
      <c r="BB26" s="36"/>
      <c r="BC26" s="36"/>
      <c r="BD26" s="36"/>
      <c r="BE26" s="36"/>
      <c r="BF26" s="36"/>
      <c r="BG26" s="36"/>
      <c r="BH26" s="36"/>
      <c r="BI26" s="36"/>
      <c r="BJ26" s="36" t="s">
        <v>345</v>
      </c>
      <c r="BK26" s="36" t="s">
        <v>684</v>
      </c>
      <c r="BL26" s="36" t="s">
        <v>746</v>
      </c>
      <c r="BM26" s="36" t="s">
        <v>18</v>
      </c>
      <c r="BN26" s="36" t="s">
        <v>480</v>
      </c>
      <c r="BO26" s="36" t="s">
        <v>481</v>
      </c>
      <c r="BP26" s="36" t="s">
        <v>482</v>
      </c>
      <c r="BQ26" s="36" t="s">
        <v>483</v>
      </c>
      <c r="BR26" s="36" t="s">
        <v>484</v>
      </c>
      <c r="BS26" s="36" t="s">
        <v>685</v>
      </c>
      <c r="BT26" s="36" t="s">
        <v>684</v>
      </c>
      <c r="BU26" s="36" t="s">
        <v>746</v>
      </c>
      <c r="BV26" s="36" t="s">
        <v>20</v>
      </c>
      <c r="BW26" s="36" t="s">
        <v>491</v>
      </c>
      <c r="BX26" s="36" t="s">
        <v>686</v>
      </c>
      <c r="BY26" s="36" t="s">
        <v>742</v>
      </c>
    </row>
    <row r="27" spans="1:77" x14ac:dyDescent="0.3">
      <c r="A27" s="36" t="s">
        <v>690</v>
      </c>
      <c r="B27" s="36" t="s">
        <v>42</v>
      </c>
      <c r="C27" s="36" t="s">
        <v>348</v>
      </c>
      <c r="D27" s="36">
        <v>200</v>
      </c>
      <c r="E27" s="36" t="s">
        <v>347</v>
      </c>
      <c r="F27" s="36" t="s">
        <v>346</v>
      </c>
      <c r="G27" s="36"/>
      <c r="H27" s="36" t="s">
        <v>674</v>
      </c>
      <c r="I27" s="36">
        <v>15</v>
      </c>
      <c r="J27" s="36">
        <v>274</v>
      </c>
      <c r="K27" s="36"/>
      <c r="L27" s="36">
        <v>0</v>
      </c>
      <c r="M27" s="36">
        <v>0</v>
      </c>
      <c r="N27" s="36"/>
      <c r="O27" s="36"/>
      <c r="P27" s="36"/>
      <c r="Q27" s="36">
        <v>0</v>
      </c>
      <c r="R27" s="36"/>
      <c r="S27" s="36">
        <v>0</v>
      </c>
      <c r="T27" s="36"/>
      <c r="U27" s="36"/>
      <c r="V27" s="36"/>
      <c r="W27" s="36"/>
      <c r="X27" s="36"/>
      <c r="Y27" s="36" t="s">
        <v>690</v>
      </c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6"/>
      <c r="AM27" s="36"/>
      <c r="AN27" s="36">
        <v>1</v>
      </c>
      <c r="AO27" s="36"/>
      <c r="AP27" s="36">
        <v>4</v>
      </c>
      <c r="AQ27" s="36">
        <v>1</v>
      </c>
      <c r="AR27" s="36">
        <v>0</v>
      </c>
      <c r="AS27" s="36">
        <v>1.52</v>
      </c>
      <c r="AT27" s="36">
        <v>53</v>
      </c>
      <c r="AU27" s="36">
        <v>23</v>
      </c>
      <c r="AV27" s="36">
        <v>0</v>
      </c>
      <c r="AW27" s="36"/>
      <c r="AX27" s="36"/>
      <c r="AY27" s="36"/>
      <c r="AZ27" s="36"/>
      <c r="BA27" s="36"/>
      <c r="BB27" s="36"/>
      <c r="BC27" s="36"/>
      <c r="BD27" s="36"/>
      <c r="BE27" s="36"/>
      <c r="BF27" s="36"/>
      <c r="BG27" s="36"/>
      <c r="BH27" s="36"/>
      <c r="BI27" s="36"/>
      <c r="BJ27" s="36" t="s">
        <v>345</v>
      </c>
      <c r="BK27" s="36" t="s">
        <v>674</v>
      </c>
      <c r="BL27" s="36" t="s">
        <v>746</v>
      </c>
      <c r="BM27" s="36" t="s">
        <v>18</v>
      </c>
      <c r="BN27" s="36" t="s">
        <v>480</v>
      </c>
      <c r="BO27" s="36" t="s">
        <v>481</v>
      </c>
      <c r="BP27" s="36" t="s">
        <v>482</v>
      </c>
      <c r="BQ27" s="36" t="s">
        <v>483</v>
      </c>
      <c r="BR27" s="36" t="s">
        <v>484</v>
      </c>
      <c r="BS27" s="36" t="s">
        <v>691</v>
      </c>
      <c r="BT27" s="36" t="s">
        <v>674</v>
      </c>
      <c r="BU27" s="36" t="s">
        <v>746</v>
      </c>
      <c r="BV27" s="36" t="s">
        <v>20</v>
      </c>
      <c r="BW27" s="36" t="s">
        <v>491</v>
      </c>
      <c r="BX27" s="36" t="s">
        <v>692</v>
      </c>
      <c r="BY27" s="36" t="s">
        <v>743</v>
      </c>
    </row>
    <row r="28" spans="1:77" x14ac:dyDescent="0.3">
      <c r="A28" s="36" t="s">
        <v>698</v>
      </c>
      <c r="B28" s="36" t="s">
        <v>42</v>
      </c>
      <c r="C28" s="36" t="s">
        <v>348</v>
      </c>
      <c r="D28" s="36">
        <v>200</v>
      </c>
      <c r="E28" s="36" t="s">
        <v>347</v>
      </c>
      <c r="F28" s="36" t="s">
        <v>346</v>
      </c>
      <c r="G28" s="36"/>
      <c r="H28" s="36" t="s">
        <v>699</v>
      </c>
      <c r="I28" s="36">
        <v>15</v>
      </c>
      <c r="J28" s="36">
        <v>274</v>
      </c>
      <c r="K28" s="36"/>
      <c r="L28" s="36">
        <v>0</v>
      </c>
      <c r="M28" s="36">
        <v>0</v>
      </c>
      <c r="N28" s="36"/>
      <c r="O28" s="36"/>
      <c r="P28" s="36"/>
      <c r="Q28" s="36">
        <v>0</v>
      </c>
      <c r="R28" s="36"/>
      <c r="S28" s="36">
        <v>0</v>
      </c>
      <c r="T28" s="36"/>
      <c r="U28" s="36"/>
      <c r="V28" s="36"/>
      <c r="W28" s="36"/>
      <c r="X28" s="36"/>
      <c r="Y28" s="36" t="s">
        <v>698</v>
      </c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36"/>
      <c r="AK28" s="36"/>
      <c r="AL28" s="36"/>
      <c r="AM28" s="36"/>
      <c r="AN28" s="36">
        <v>1</v>
      </c>
      <c r="AO28" s="36"/>
      <c r="AP28" s="36">
        <v>4</v>
      </c>
      <c r="AQ28" s="36">
        <v>1</v>
      </c>
      <c r="AR28" s="36">
        <v>0</v>
      </c>
      <c r="AS28" s="36">
        <v>1.52</v>
      </c>
      <c r="AT28" s="36">
        <v>53</v>
      </c>
      <c r="AU28" s="36">
        <v>23</v>
      </c>
      <c r="AV28" s="36">
        <v>0</v>
      </c>
      <c r="AW28" s="36"/>
      <c r="AX28" s="36"/>
      <c r="AY28" s="36"/>
      <c r="AZ28" s="36"/>
      <c r="BA28" s="36"/>
      <c r="BB28" s="36"/>
      <c r="BC28" s="36"/>
      <c r="BD28" s="36"/>
      <c r="BE28" s="36"/>
      <c r="BF28" s="36"/>
      <c r="BG28" s="36"/>
      <c r="BH28" s="36"/>
      <c r="BI28" s="36"/>
      <c r="BJ28" s="36" t="s">
        <v>345</v>
      </c>
      <c r="BK28" s="36" t="s">
        <v>699</v>
      </c>
      <c r="BL28" s="36" t="s">
        <v>746</v>
      </c>
      <c r="BM28" s="36" t="s">
        <v>18</v>
      </c>
      <c r="BN28" s="36" t="s">
        <v>480</v>
      </c>
      <c r="BO28" s="36" t="s">
        <v>481</v>
      </c>
      <c r="BP28" s="36" t="s">
        <v>482</v>
      </c>
      <c r="BQ28" s="36" t="s">
        <v>483</v>
      </c>
      <c r="BR28" s="36" t="s">
        <v>484</v>
      </c>
      <c r="BS28" s="36" t="s">
        <v>700</v>
      </c>
      <c r="BT28" s="36" t="s">
        <v>699</v>
      </c>
      <c r="BU28" s="36" t="s">
        <v>746</v>
      </c>
      <c r="BV28" s="36" t="s">
        <v>20</v>
      </c>
      <c r="BW28" s="36" t="s">
        <v>491</v>
      </c>
      <c r="BX28" s="36" t="s">
        <v>701</v>
      </c>
      <c r="BY28" s="36" t="s">
        <v>744</v>
      </c>
    </row>
    <row r="29" spans="1:77" x14ac:dyDescent="0.3">
      <c r="A29" s="36" t="s">
        <v>791</v>
      </c>
      <c r="B29" s="36" t="s">
        <v>42</v>
      </c>
      <c r="C29" s="36" t="s">
        <v>348</v>
      </c>
      <c r="D29" s="36">
        <v>200</v>
      </c>
      <c r="E29" s="36" t="s">
        <v>347</v>
      </c>
      <c r="F29" s="36" t="s">
        <v>346</v>
      </c>
      <c r="G29" s="36"/>
      <c r="H29" s="36" t="s">
        <v>792</v>
      </c>
      <c r="I29" s="36">
        <v>13</v>
      </c>
      <c r="J29" s="36">
        <v>247</v>
      </c>
      <c r="K29" s="36"/>
      <c r="L29" s="36">
        <v>0</v>
      </c>
      <c r="M29" s="36">
        <v>0</v>
      </c>
      <c r="N29" s="36"/>
      <c r="O29" s="36"/>
      <c r="P29" s="36"/>
      <c r="Q29" s="36">
        <v>0</v>
      </c>
      <c r="R29" s="36"/>
      <c r="S29" s="36">
        <v>0</v>
      </c>
      <c r="T29" s="36"/>
      <c r="U29" s="36"/>
      <c r="V29" s="36"/>
      <c r="W29" s="36"/>
      <c r="X29" s="36"/>
      <c r="Y29" s="36" t="s">
        <v>791</v>
      </c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>
        <v>1</v>
      </c>
      <c r="AO29" s="36"/>
      <c r="AP29" s="36">
        <v>4</v>
      </c>
      <c r="AQ29" s="36">
        <v>1</v>
      </c>
      <c r="AR29" s="36">
        <v>0</v>
      </c>
      <c r="AS29" s="36">
        <v>1.52</v>
      </c>
      <c r="AT29" s="36">
        <v>53</v>
      </c>
      <c r="AU29" s="36">
        <v>23</v>
      </c>
      <c r="AV29" s="36">
        <v>0</v>
      </c>
      <c r="AW29" s="36"/>
      <c r="AX29" s="36"/>
      <c r="AY29" s="36"/>
      <c r="AZ29" s="36"/>
      <c r="BA29" s="36"/>
      <c r="BB29" s="36"/>
      <c r="BC29" s="36"/>
      <c r="BD29" s="36"/>
      <c r="BE29" s="36"/>
      <c r="BF29" s="36"/>
      <c r="BG29" s="36"/>
      <c r="BH29" s="36"/>
      <c r="BI29" s="36"/>
      <c r="BJ29" s="36" t="s">
        <v>345</v>
      </c>
      <c r="BK29" s="36" t="s">
        <v>792</v>
      </c>
      <c r="BL29" s="36" t="s">
        <v>746</v>
      </c>
      <c r="BM29" s="36" t="s">
        <v>18</v>
      </c>
      <c r="BN29" s="36" t="s">
        <v>480</v>
      </c>
      <c r="BO29" s="36" t="s">
        <v>481</v>
      </c>
      <c r="BP29" s="36" t="s">
        <v>482</v>
      </c>
      <c r="BQ29" s="36" t="s">
        <v>483</v>
      </c>
      <c r="BR29" s="36" t="s">
        <v>484</v>
      </c>
      <c r="BS29" s="36" t="s">
        <v>681</v>
      </c>
      <c r="BT29" s="36" t="s">
        <v>792</v>
      </c>
      <c r="BU29" s="36" t="s">
        <v>746</v>
      </c>
      <c r="BV29" s="36" t="s">
        <v>20</v>
      </c>
      <c r="BW29" s="36" t="s">
        <v>491</v>
      </c>
      <c r="BX29" s="36" t="s">
        <v>682</v>
      </c>
      <c r="BY29" s="36" t="s">
        <v>741</v>
      </c>
    </row>
    <row r="30" spans="1:77" x14ac:dyDescent="0.3">
      <c r="A30" s="36" t="s">
        <v>693</v>
      </c>
      <c r="B30" s="36" t="s">
        <v>42</v>
      </c>
      <c r="C30" s="36" t="s">
        <v>348</v>
      </c>
      <c r="D30" s="36">
        <v>200</v>
      </c>
      <c r="E30" s="36" t="s">
        <v>347</v>
      </c>
      <c r="F30" s="36" t="s">
        <v>346</v>
      </c>
      <c r="G30" s="36"/>
      <c r="H30" s="36" t="s">
        <v>669</v>
      </c>
      <c r="I30" s="36">
        <v>11</v>
      </c>
      <c r="J30" s="36">
        <v>207</v>
      </c>
      <c r="K30" s="36"/>
      <c r="L30" s="36">
        <v>0</v>
      </c>
      <c r="M30" s="36">
        <v>0</v>
      </c>
      <c r="N30" s="36"/>
      <c r="O30" s="36"/>
      <c r="P30" s="36"/>
      <c r="Q30" s="36">
        <v>0</v>
      </c>
      <c r="R30" s="36"/>
      <c r="S30" s="36">
        <v>0</v>
      </c>
      <c r="T30" s="36"/>
      <c r="U30" s="36"/>
      <c r="V30" s="36"/>
      <c r="W30" s="36"/>
      <c r="X30" s="36"/>
      <c r="Y30" s="36" t="s">
        <v>693</v>
      </c>
      <c r="Z30" s="36"/>
      <c r="AA30" s="36"/>
      <c r="AB30" s="36"/>
      <c r="AC30" s="36"/>
      <c r="AD30" s="36"/>
      <c r="AE30" s="36"/>
      <c r="AF30" s="36"/>
      <c r="AG30" s="36"/>
      <c r="AH30" s="36"/>
      <c r="AI30" s="36"/>
      <c r="AJ30" s="36"/>
      <c r="AK30" s="36"/>
      <c r="AL30" s="36"/>
      <c r="AM30" s="36"/>
      <c r="AN30" s="36">
        <v>1</v>
      </c>
      <c r="AO30" s="36"/>
      <c r="AP30" s="36">
        <v>4</v>
      </c>
      <c r="AQ30" s="36">
        <v>1</v>
      </c>
      <c r="AR30" s="36">
        <v>0</v>
      </c>
      <c r="AS30" s="36">
        <v>1.52</v>
      </c>
      <c r="AT30" s="36">
        <v>53</v>
      </c>
      <c r="AU30" s="36">
        <v>23</v>
      </c>
      <c r="AV30" s="36">
        <v>0</v>
      </c>
      <c r="AW30" s="36"/>
      <c r="AX30" s="36"/>
      <c r="AY30" s="36"/>
      <c r="AZ30" s="36"/>
      <c r="BA30" s="36"/>
      <c r="BB30" s="36"/>
      <c r="BC30" s="36"/>
      <c r="BD30" s="36"/>
      <c r="BE30" s="36"/>
      <c r="BF30" s="36"/>
      <c r="BG30" s="36"/>
      <c r="BH30" s="36"/>
      <c r="BI30" s="36"/>
      <c r="BJ30" s="36" t="s">
        <v>345</v>
      </c>
      <c r="BK30" s="36" t="s">
        <v>669</v>
      </c>
      <c r="BL30" s="36" t="s">
        <v>746</v>
      </c>
      <c r="BM30" s="36" t="s">
        <v>18</v>
      </c>
      <c r="BN30" s="36" t="s">
        <v>480</v>
      </c>
      <c r="BO30" s="36" t="s">
        <v>481</v>
      </c>
      <c r="BP30" s="36" t="s">
        <v>482</v>
      </c>
      <c r="BQ30" s="36" t="s">
        <v>483</v>
      </c>
      <c r="BR30" s="36" t="s">
        <v>484</v>
      </c>
      <c r="BS30" s="36" t="s">
        <v>694</v>
      </c>
      <c r="BT30" s="36" t="s">
        <v>669</v>
      </c>
      <c r="BU30" s="36" t="s">
        <v>746</v>
      </c>
      <c r="BV30" s="36" t="s">
        <v>20</v>
      </c>
      <c r="BW30" s="36" t="s">
        <v>491</v>
      </c>
      <c r="BX30" s="36" t="s">
        <v>695</v>
      </c>
      <c r="BY30" s="36" t="s">
        <v>744</v>
      </c>
    </row>
    <row r="31" spans="1:77" x14ac:dyDescent="0.3">
      <c r="A31" s="36" t="s">
        <v>708</v>
      </c>
      <c r="B31" s="36" t="s">
        <v>15</v>
      </c>
      <c r="C31" s="36" t="s">
        <v>348</v>
      </c>
      <c r="D31" s="36">
        <v>404</v>
      </c>
      <c r="E31" s="36" t="s">
        <v>350</v>
      </c>
      <c r="F31" s="36" t="s">
        <v>343</v>
      </c>
      <c r="G31" s="36" t="s">
        <v>349</v>
      </c>
      <c r="H31" s="36"/>
      <c r="I31" s="36">
        <v>0</v>
      </c>
      <c r="J31" s="36">
        <v>0</v>
      </c>
      <c r="K31" s="36"/>
      <c r="L31" s="36">
        <v>0</v>
      </c>
      <c r="M31" s="36">
        <v>0</v>
      </c>
      <c r="N31" s="36"/>
      <c r="O31" s="36"/>
      <c r="P31" s="36"/>
      <c r="Q31" s="36">
        <v>0</v>
      </c>
      <c r="R31" s="36"/>
      <c r="S31" s="36">
        <v>0</v>
      </c>
      <c r="T31" s="36"/>
      <c r="U31" s="36"/>
      <c r="V31" s="36"/>
      <c r="W31" s="36"/>
      <c r="X31" s="36"/>
      <c r="Y31" s="36"/>
      <c r="Z31" s="36"/>
      <c r="AA31" s="36"/>
      <c r="AB31" s="36"/>
      <c r="AC31" s="36"/>
      <c r="AD31" s="36"/>
      <c r="AE31" s="36"/>
      <c r="AF31" s="36"/>
      <c r="AG31" s="36"/>
      <c r="AH31" s="36"/>
      <c r="AI31" s="36"/>
      <c r="AJ31" s="36"/>
      <c r="AK31" s="36"/>
      <c r="AL31" s="36"/>
      <c r="AM31" s="36">
        <v>2</v>
      </c>
      <c r="AN31" s="36">
        <v>4</v>
      </c>
      <c r="AO31" s="36"/>
      <c r="AP31" s="36">
        <v>1</v>
      </c>
      <c r="AQ31" s="36">
        <v>1</v>
      </c>
      <c r="AR31" s="36">
        <v>0</v>
      </c>
      <c r="AS31" s="36">
        <v>1.52</v>
      </c>
      <c r="AT31" s="36">
        <v>0</v>
      </c>
      <c r="AU31" s="36">
        <v>0</v>
      </c>
      <c r="AV31" s="36">
        <v>0</v>
      </c>
      <c r="AW31" s="36"/>
      <c r="AX31" s="36"/>
      <c r="AY31" s="36"/>
      <c r="AZ31" s="36"/>
      <c r="BA31" s="36"/>
      <c r="BB31" s="36"/>
      <c r="BC31" s="36"/>
      <c r="BD31" s="36"/>
      <c r="BE31" s="36"/>
      <c r="BF31" s="36"/>
      <c r="BG31" s="36"/>
      <c r="BH31" s="36"/>
      <c r="BI31" s="36"/>
      <c r="BJ31" s="36" t="s">
        <v>345</v>
      </c>
      <c r="BK31" s="36"/>
      <c r="BL31" s="36"/>
      <c r="BM31" s="36"/>
      <c r="BN31" s="36"/>
      <c r="BO31" s="36"/>
      <c r="BP31" s="36"/>
      <c r="BQ31" s="36"/>
      <c r="BR31" s="36"/>
      <c r="BS31" s="36"/>
      <c r="BT31" s="36"/>
      <c r="BU31" s="36"/>
      <c r="BV31" s="36"/>
      <c r="BW31" s="36"/>
      <c r="BX31" s="36" t="s">
        <v>708</v>
      </c>
      <c r="BY31" s="36" t="s">
        <v>725</v>
      </c>
    </row>
    <row r="32" spans="1:77" x14ac:dyDescent="0.3">
      <c r="A32" s="36" t="s">
        <v>606</v>
      </c>
      <c r="B32" s="36" t="s">
        <v>15</v>
      </c>
      <c r="C32" s="36" t="s">
        <v>348</v>
      </c>
      <c r="D32" s="36">
        <v>200</v>
      </c>
      <c r="E32" s="36" t="s">
        <v>347</v>
      </c>
      <c r="F32" s="36" t="s">
        <v>346</v>
      </c>
      <c r="G32" s="36"/>
      <c r="H32" s="36" t="s">
        <v>607</v>
      </c>
      <c r="I32" s="36">
        <v>20</v>
      </c>
      <c r="J32" s="36">
        <v>242</v>
      </c>
      <c r="K32" s="36"/>
      <c r="L32" s="36">
        <v>0</v>
      </c>
      <c r="M32" s="36">
        <v>0</v>
      </c>
      <c r="N32" s="36"/>
      <c r="O32" s="36"/>
      <c r="P32" s="36" t="s">
        <v>518</v>
      </c>
      <c r="Q32" s="36">
        <v>4</v>
      </c>
      <c r="R32" s="36"/>
      <c r="S32" s="36">
        <v>0</v>
      </c>
      <c r="T32" s="36"/>
      <c r="U32" s="36"/>
      <c r="V32" s="36"/>
      <c r="W32" s="36"/>
      <c r="X32" s="36"/>
      <c r="Y32" s="36" t="s">
        <v>606</v>
      </c>
      <c r="Z32" s="36"/>
      <c r="AA32" s="36"/>
      <c r="AB32" s="36"/>
      <c r="AC32" s="36"/>
      <c r="AD32" s="36"/>
      <c r="AE32" s="36"/>
      <c r="AF32" s="36"/>
      <c r="AG32" s="36"/>
      <c r="AH32" s="36"/>
      <c r="AI32" s="36"/>
      <c r="AJ32" s="36"/>
      <c r="AK32" s="36"/>
      <c r="AL32" s="36"/>
      <c r="AM32" s="36">
        <v>2</v>
      </c>
      <c r="AN32" s="36">
        <v>1</v>
      </c>
      <c r="AO32" s="36"/>
      <c r="AP32" s="36">
        <v>9</v>
      </c>
      <c r="AQ32" s="36">
        <v>5</v>
      </c>
      <c r="AR32" s="36">
        <v>0</v>
      </c>
      <c r="AS32" s="36">
        <v>7.58</v>
      </c>
      <c r="AT32" s="36">
        <v>57</v>
      </c>
      <c r="AU32" s="36">
        <v>26</v>
      </c>
      <c r="AV32" s="36">
        <v>0</v>
      </c>
      <c r="AW32" s="36"/>
      <c r="AX32" s="36"/>
      <c r="AY32" s="36"/>
      <c r="AZ32" s="36"/>
      <c r="BA32" s="36"/>
      <c r="BB32" s="36"/>
      <c r="BC32" s="36"/>
      <c r="BD32" s="36"/>
      <c r="BE32" s="36"/>
      <c r="BF32" s="36"/>
      <c r="BG32" s="36"/>
      <c r="BH32" s="36"/>
      <c r="BI32" s="36"/>
      <c r="BJ32" s="36" t="s">
        <v>345</v>
      </c>
      <c r="BK32" s="36" t="s">
        <v>607</v>
      </c>
      <c r="BL32" s="36" t="s">
        <v>746</v>
      </c>
      <c r="BM32" s="36" t="s">
        <v>18</v>
      </c>
      <c r="BN32" s="36" t="s">
        <v>480</v>
      </c>
      <c r="BO32" s="36" t="s">
        <v>481</v>
      </c>
      <c r="BP32" s="36" t="s">
        <v>482</v>
      </c>
      <c r="BQ32" s="36" t="s">
        <v>483</v>
      </c>
      <c r="BR32" s="36" t="s">
        <v>484</v>
      </c>
      <c r="BS32" s="36" t="s">
        <v>606</v>
      </c>
      <c r="BT32" s="36" t="s">
        <v>607</v>
      </c>
      <c r="BU32" s="36" t="s">
        <v>746</v>
      </c>
      <c r="BV32" s="36" t="s">
        <v>20</v>
      </c>
      <c r="BW32" s="36" t="s">
        <v>344</v>
      </c>
      <c r="BX32" s="36" t="s">
        <v>606</v>
      </c>
      <c r="BY32" s="36" t="s">
        <v>727</v>
      </c>
    </row>
    <row r="33" spans="1:77" x14ac:dyDescent="0.3">
      <c r="A33" s="36" t="s">
        <v>608</v>
      </c>
      <c r="B33" s="36" t="s">
        <v>15</v>
      </c>
      <c r="C33" s="36" t="s">
        <v>348</v>
      </c>
      <c r="D33" s="36">
        <v>200</v>
      </c>
      <c r="E33" s="36" t="s">
        <v>347</v>
      </c>
      <c r="F33" s="36" t="s">
        <v>346</v>
      </c>
      <c r="G33" s="36"/>
      <c r="H33" s="36" t="s">
        <v>609</v>
      </c>
      <c r="I33" s="36">
        <v>20</v>
      </c>
      <c r="J33" s="36">
        <v>242</v>
      </c>
      <c r="K33" s="36"/>
      <c r="L33" s="36">
        <v>0</v>
      </c>
      <c r="M33" s="36">
        <v>0</v>
      </c>
      <c r="N33" s="36"/>
      <c r="O33" s="36"/>
      <c r="P33" s="36" t="s">
        <v>518</v>
      </c>
      <c r="Q33" s="36">
        <v>4</v>
      </c>
      <c r="R33" s="36"/>
      <c r="S33" s="36">
        <v>0</v>
      </c>
      <c r="T33" s="36"/>
      <c r="U33" s="36"/>
      <c r="V33" s="36"/>
      <c r="W33" s="36"/>
      <c r="X33" s="36"/>
      <c r="Y33" s="36" t="s">
        <v>608</v>
      </c>
      <c r="Z33" s="36"/>
      <c r="AA33" s="36"/>
      <c r="AB33" s="36"/>
      <c r="AC33" s="36"/>
      <c r="AD33" s="36"/>
      <c r="AE33" s="36"/>
      <c r="AF33" s="36"/>
      <c r="AG33" s="36"/>
      <c r="AH33" s="36"/>
      <c r="AI33" s="36"/>
      <c r="AJ33" s="36"/>
      <c r="AK33" s="36"/>
      <c r="AL33" s="36"/>
      <c r="AM33" s="36">
        <v>2</v>
      </c>
      <c r="AN33" s="36">
        <v>1</v>
      </c>
      <c r="AO33" s="36"/>
      <c r="AP33" s="36">
        <v>9</v>
      </c>
      <c r="AQ33" s="36">
        <v>5</v>
      </c>
      <c r="AR33" s="36">
        <v>0</v>
      </c>
      <c r="AS33" s="36">
        <v>7.58</v>
      </c>
      <c r="AT33" s="36">
        <v>57</v>
      </c>
      <c r="AU33" s="36">
        <v>26</v>
      </c>
      <c r="AV33" s="36">
        <v>0</v>
      </c>
      <c r="AW33" s="36"/>
      <c r="AX33" s="36"/>
      <c r="AY33" s="36"/>
      <c r="AZ33" s="36"/>
      <c r="BA33" s="36"/>
      <c r="BB33" s="36"/>
      <c r="BC33" s="36"/>
      <c r="BD33" s="36"/>
      <c r="BE33" s="36"/>
      <c r="BF33" s="36"/>
      <c r="BG33" s="36"/>
      <c r="BH33" s="36"/>
      <c r="BI33" s="36"/>
      <c r="BJ33" s="36" t="s">
        <v>345</v>
      </c>
      <c r="BK33" s="36" t="s">
        <v>609</v>
      </c>
      <c r="BL33" s="36" t="s">
        <v>746</v>
      </c>
      <c r="BM33" s="36" t="s">
        <v>18</v>
      </c>
      <c r="BN33" s="36" t="s">
        <v>480</v>
      </c>
      <c r="BO33" s="36" t="s">
        <v>481</v>
      </c>
      <c r="BP33" s="36" t="s">
        <v>482</v>
      </c>
      <c r="BQ33" s="36" t="s">
        <v>483</v>
      </c>
      <c r="BR33" s="36" t="s">
        <v>484</v>
      </c>
      <c r="BS33" s="36" t="s">
        <v>608</v>
      </c>
      <c r="BT33" s="36" t="s">
        <v>609</v>
      </c>
      <c r="BU33" s="36" t="s">
        <v>746</v>
      </c>
      <c r="BV33" s="36" t="s">
        <v>20</v>
      </c>
      <c r="BW33" s="36" t="s">
        <v>344</v>
      </c>
      <c r="BX33" s="36" t="s">
        <v>608</v>
      </c>
      <c r="BY33" s="36" t="s">
        <v>728</v>
      </c>
    </row>
    <row r="34" spans="1:77" x14ac:dyDescent="0.3">
      <c r="A34" s="36" t="s">
        <v>604</v>
      </c>
      <c r="B34" s="36" t="s">
        <v>15</v>
      </c>
      <c r="C34" s="36" t="s">
        <v>348</v>
      </c>
      <c r="D34" s="36">
        <v>200</v>
      </c>
      <c r="E34" s="36" t="s">
        <v>347</v>
      </c>
      <c r="F34" s="36" t="s">
        <v>346</v>
      </c>
      <c r="G34" s="36"/>
      <c r="H34" s="36" t="s">
        <v>605</v>
      </c>
      <c r="I34" s="36">
        <v>20</v>
      </c>
      <c r="J34" s="36">
        <v>242</v>
      </c>
      <c r="K34" s="36"/>
      <c r="L34" s="36">
        <v>0</v>
      </c>
      <c r="M34" s="36">
        <v>0</v>
      </c>
      <c r="N34" s="36"/>
      <c r="O34" s="36"/>
      <c r="P34" s="36" t="s">
        <v>518</v>
      </c>
      <c r="Q34" s="36">
        <v>4</v>
      </c>
      <c r="R34" s="36"/>
      <c r="S34" s="36">
        <v>0</v>
      </c>
      <c r="T34" s="36"/>
      <c r="U34" s="36"/>
      <c r="V34" s="36"/>
      <c r="W34" s="36"/>
      <c r="X34" s="36"/>
      <c r="Y34" s="36" t="s">
        <v>604</v>
      </c>
      <c r="Z34" s="36"/>
      <c r="AA34" s="36"/>
      <c r="AB34" s="36"/>
      <c r="AC34" s="36"/>
      <c r="AD34" s="36"/>
      <c r="AE34" s="36"/>
      <c r="AF34" s="36"/>
      <c r="AG34" s="36"/>
      <c r="AH34" s="36"/>
      <c r="AI34" s="36"/>
      <c r="AJ34" s="36"/>
      <c r="AK34" s="36"/>
      <c r="AL34" s="36"/>
      <c r="AM34" s="36">
        <v>2</v>
      </c>
      <c r="AN34" s="36">
        <v>1</v>
      </c>
      <c r="AO34" s="36"/>
      <c r="AP34" s="36">
        <v>9</v>
      </c>
      <c r="AQ34" s="36">
        <v>5</v>
      </c>
      <c r="AR34" s="36">
        <v>0</v>
      </c>
      <c r="AS34" s="36">
        <v>7.58</v>
      </c>
      <c r="AT34" s="36">
        <v>57</v>
      </c>
      <c r="AU34" s="36">
        <v>26</v>
      </c>
      <c r="AV34" s="36">
        <v>0</v>
      </c>
      <c r="AW34" s="36"/>
      <c r="AX34" s="36"/>
      <c r="AY34" s="36"/>
      <c r="AZ34" s="36"/>
      <c r="BA34" s="36"/>
      <c r="BB34" s="36"/>
      <c r="BC34" s="36"/>
      <c r="BD34" s="36"/>
      <c r="BE34" s="36"/>
      <c r="BF34" s="36"/>
      <c r="BG34" s="36"/>
      <c r="BH34" s="36"/>
      <c r="BI34" s="36"/>
      <c r="BJ34" s="36" t="s">
        <v>345</v>
      </c>
      <c r="BK34" s="36" t="s">
        <v>605</v>
      </c>
      <c r="BL34" s="36" t="s">
        <v>746</v>
      </c>
      <c r="BM34" s="36" t="s">
        <v>18</v>
      </c>
      <c r="BN34" s="36" t="s">
        <v>480</v>
      </c>
      <c r="BO34" s="36" t="s">
        <v>481</v>
      </c>
      <c r="BP34" s="36" t="s">
        <v>482</v>
      </c>
      <c r="BQ34" s="36" t="s">
        <v>483</v>
      </c>
      <c r="BR34" s="36" t="s">
        <v>484</v>
      </c>
      <c r="BS34" s="36" t="s">
        <v>604</v>
      </c>
      <c r="BT34" s="36" t="s">
        <v>605</v>
      </c>
      <c r="BU34" s="36" t="s">
        <v>746</v>
      </c>
      <c r="BV34" s="36" t="s">
        <v>20</v>
      </c>
      <c r="BW34" s="36" t="s">
        <v>344</v>
      </c>
      <c r="BX34" s="36" t="s">
        <v>604</v>
      </c>
      <c r="BY34" s="36" t="s">
        <v>726</v>
      </c>
    </row>
    <row r="35" spans="1:77" x14ac:dyDescent="0.3">
      <c r="A35" s="36" t="s">
        <v>516</v>
      </c>
      <c r="B35" s="36" t="s">
        <v>15</v>
      </c>
      <c r="C35" s="36" t="s">
        <v>348</v>
      </c>
      <c r="D35" s="36">
        <v>200</v>
      </c>
      <c r="E35" s="36" t="s">
        <v>347</v>
      </c>
      <c r="F35" s="36" t="s">
        <v>346</v>
      </c>
      <c r="G35" s="36"/>
      <c r="H35" s="36" t="s">
        <v>517</v>
      </c>
      <c r="I35" s="36">
        <v>20</v>
      </c>
      <c r="J35" s="36">
        <v>242</v>
      </c>
      <c r="K35" s="36"/>
      <c r="L35" s="36">
        <v>0</v>
      </c>
      <c r="M35" s="36">
        <v>0</v>
      </c>
      <c r="N35" s="36"/>
      <c r="O35" s="36"/>
      <c r="P35" s="36" t="s">
        <v>518</v>
      </c>
      <c r="Q35" s="36">
        <v>4</v>
      </c>
      <c r="R35" s="36"/>
      <c r="S35" s="36">
        <v>0</v>
      </c>
      <c r="T35" s="36"/>
      <c r="U35" s="36"/>
      <c r="V35" s="36"/>
      <c r="W35" s="36"/>
      <c r="X35" s="36"/>
      <c r="Y35" s="36" t="s">
        <v>516</v>
      </c>
      <c r="Z35" s="36"/>
      <c r="AA35" s="36"/>
      <c r="AB35" s="36"/>
      <c r="AC35" s="36"/>
      <c r="AD35" s="36"/>
      <c r="AE35" s="36"/>
      <c r="AF35" s="36"/>
      <c r="AG35" s="36"/>
      <c r="AH35" s="36"/>
      <c r="AI35" s="36"/>
      <c r="AJ35" s="36"/>
      <c r="AK35" s="36"/>
      <c r="AL35" s="36"/>
      <c r="AM35" s="36">
        <v>1</v>
      </c>
      <c r="AN35" s="36">
        <v>1</v>
      </c>
      <c r="AO35" s="36"/>
      <c r="AP35" s="36">
        <v>10</v>
      </c>
      <c r="AQ35" s="36">
        <v>6</v>
      </c>
      <c r="AR35" s="36">
        <v>0</v>
      </c>
      <c r="AS35" s="36">
        <v>9.09</v>
      </c>
      <c r="AT35" s="36">
        <v>57</v>
      </c>
      <c r="AU35" s="36">
        <v>26</v>
      </c>
      <c r="AV35" s="36">
        <v>0</v>
      </c>
      <c r="AW35" s="36"/>
      <c r="AX35" s="36"/>
      <c r="AY35" s="36"/>
      <c r="AZ35" s="36"/>
      <c r="BA35" s="36"/>
      <c r="BB35" s="36"/>
      <c r="BC35" s="36"/>
      <c r="BD35" s="36"/>
      <c r="BE35" s="36"/>
      <c r="BF35" s="36"/>
      <c r="BG35" s="36"/>
      <c r="BH35" s="36"/>
      <c r="BI35" s="36"/>
      <c r="BJ35" s="36" t="s">
        <v>345</v>
      </c>
      <c r="BK35" s="36" t="s">
        <v>517</v>
      </c>
      <c r="BL35" s="36" t="s">
        <v>746</v>
      </c>
      <c r="BM35" s="36" t="s">
        <v>18</v>
      </c>
      <c r="BN35" s="36" t="s">
        <v>480</v>
      </c>
      <c r="BO35" s="36" t="s">
        <v>481</v>
      </c>
      <c r="BP35" s="36" t="s">
        <v>482</v>
      </c>
      <c r="BQ35" s="36" t="s">
        <v>483</v>
      </c>
      <c r="BR35" s="36" t="s">
        <v>484</v>
      </c>
      <c r="BS35" s="36" t="s">
        <v>516</v>
      </c>
      <c r="BT35" s="36" t="s">
        <v>517</v>
      </c>
      <c r="BU35" s="36" t="s">
        <v>746</v>
      </c>
      <c r="BV35" s="36" t="s">
        <v>20</v>
      </c>
      <c r="BW35" s="36" t="s">
        <v>344</v>
      </c>
      <c r="BX35" s="36" t="s">
        <v>516</v>
      </c>
      <c r="BY35" s="36" t="s">
        <v>716</v>
      </c>
    </row>
    <row r="36" spans="1:77" x14ac:dyDescent="0.3">
      <c r="A36" s="36" t="s">
        <v>660</v>
      </c>
      <c r="B36" s="36" t="s">
        <v>15</v>
      </c>
      <c r="C36" s="36" t="s">
        <v>348</v>
      </c>
      <c r="D36" s="36">
        <v>200</v>
      </c>
      <c r="E36" s="36" t="s">
        <v>347</v>
      </c>
      <c r="F36" s="36" t="s">
        <v>346</v>
      </c>
      <c r="G36" s="36"/>
      <c r="H36" s="36" t="s">
        <v>661</v>
      </c>
      <c r="I36" s="36">
        <v>7</v>
      </c>
      <c r="J36" s="36">
        <v>70</v>
      </c>
      <c r="K36" s="36"/>
      <c r="L36" s="36">
        <v>0</v>
      </c>
      <c r="M36" s="36">
        <v>0</v>
      </c>
      <c r="N36" s="36"/>
      <c r="O36" s="36"/>
      <c r="P36" s="36" t="s">
        <v>661</v>
      </c>
      <c r="Q36" s="36">
        <v>7</v>
      </c>
      <c r="R36" s="36"/>
      <c r="S36" s="36">
        <v>0</v>
      </c>
      <c r="T36" s="36"/>
      <c r="U36" s="36"/>
      <c r="V36" s="36"/>
      <c r="W36" s="36"/>
      <c r="X36" s="36"/>
      <c r="Y36" s="36" t="s">
        <v>660</v>
      </c>
      <c r="Z36" s="36"/>
      <c r="AA36" s="36"/>
      <c r="AB36" s="36"/>
      <c r="AC36" s="36"/>
      <c r="AD36" s="36"/>
      <c r="AE36" s="36"/>
      <c r="AF36" s="36"/>
      <c r="AG36" s="36"/>
      <c r="AH36" s="36"/>
      <c r="AI36" s="36"/>
      <c r="AJ36" s="36"/>
      <c r="AK36" s="36"/>
      <c r="AL36" s="36"/>
      <c r="AM36" s="36"/>
      <c r="AN36" s="36">
        <v>1</v>
      </c>
      <c r="AO36" s="36"/>
      <c r="AP36" s="36">
        <v>4</v>
      </c>
      <c r="AQ36" s="36">
        <v>1</v>
      </c>
      <c r="AR36" s="36">
        <v>0</v>
      </c>
      <c r="AS36" s="36">
        <v>1.52</v>
      </c>
      <c r="AT36" s="36">
        <v>52</v>
      </c>
      <c r="AU36" s="36">
        <v>23</v>
      </c>
      <c r="AV36" s="36">
        <v>0</v>
      </c>
      <c r="AW36" s="36"/>
      <c r="AX36" s="36"/>
      <c r="AY36" s="36"/>
      <c r="AZ36" s="36"/>
      <c r="BA36" s="36"/>
      <c r="BB36" s="36"/>
      <c r="BC36" s="36"/>
      <c r="BD36" s="36"/>
      <c r="BE36" s="36"/>
      <c r="BF36" s="36"/>
      <c r="BG36" s="36"/>
      <c r="BH36" s="36"/>
      <c r="BI36" s="36"/>
      <c r="BJ36" s="36" t="s">
        <v>345</v>
      </c>
      <c r="BK36" s="36" t="s">
        <v>661</v>
      </c>
      <c r="BL36" s="36" t="s">
        <v>746</v>
      </c>
      <c r="BM36" s="36" t="s">
        <v>18</v>
      </c>
      <c r="BN36" s="36" t="s">
        <v>480</v>
      </c>
      <c r="BO36" s="36" t="s">
        <v>481</v>
      </c>
      <c r="BP36" s="36" t="s">
        <v>482</v>
      </c>
      <c r="BQ36" s="36" t="s">
        <v>483</v>
      </c>
      <c r="BR36" s="36" t="s">
        <v>484</v>
      </c>
      <c r="BS36" s="36" t="s">
        <v>660</v>
      </c>
      <c r="BT36" s="36" t="s">
        <v>661</v>
      </c>
      <c r="BU36" s="36" t="s">
        <v>746</v>
      </c>
      <c r="BV36" s="36" t="s">
        <v>20</v>
      </c>
      <c r="BW36" s="36" t="s">
        <v>344</v>
      </c>
      <c r="BX36" s="36" t="s">
        <v>660</v>
      </c>
      <c r="BY36" s="36" t="s">
        <v>734</v>
      </c>
    </row>
    <row r="37" spans="1:77" x14ac:dyDescent="0.3">
      <c r="A37" s="36" t="s">
        <v>662</v>
      </c>
      <c r="B37" s="36" t="s">
        <v>15</v>
      </c>
      <c r="C37" s="36" t="s">
        <v>348</v>
      </c>
      <c r="D37" s="36">
        <v>200</v>
      </c>
      <c r="E37" s="36" t="s">
        <v>347</v>
      </c>
      <c r="F37" s="36" t="s">
        <v>346</v>
      </c>
      <c r="G37" s="36"/>
      <c r="H37" s="36" t="s">
        <v>663</v>
      </c>
      <c r="I37" s="36">
        <v>22</v>
      </c>
      <c r="J37" s="36">
        <v>208</v>
      </c>
      <c r="K37" s="36"/>
      <c r="L37" s="36">
        <v>0</v>
      </c>
      <c r="M37" s="36">
        <v>0</v>
      </c>
      <c r="N37" s="36"/>
      <c r="O37" s="36"/>
      <c r="P37" s="36" t="s">
        <v>664</v>
      </c>
      <c r="Q37" s="36">
        <v>3</v>
      </c>
      <c r="R37" s="36"/>
      <c r="S37" s="36">
        <v>0</v>
      </c>
      <c r="T37" s="36"/>
      <c r="U37" s="36"/>
      <c r="V37" s="36"/>
      <c r="W37" s="36"/>
      <c r="X37" s="36"/>
      <c r="Y37" s="36" t="s">
        <v>662</v>
      </c>
      <c r="Z37" s="36"/>
      <c r="AA37" s="36"/>
      <c r="AB37" s="36"/>
      <c r="AC37" s="36"/>
      <c r="AD37" s="36"/>
      <c r="AE37" s="36"/>
      <c r="AF37" s="36"/>
      <c r="AG37" s="36"/>
      <c r="AH37" s="36"/>
      <c r="AI37" s="36"/>
      <c r="AJ37" s="36"/>
      <c r="AK37" s="36"/>
      <c r="AL37" s="36"/>
      <c r="AM37" s="36"/>
      <c r="AN37" s="36">
        <v>1</v>
      </c>
      <c r="AO37" s="36"/>
      <c r="AP37" s="36">
        <v>0</v>
      </c>
      <c r="AQ37" s="36">
        <v>0</v>
      </c>
      <c r="AR37" s="36">
        <v>0</v>
      </c>
      <c r="AS37" s="36">
        <v>0</v>
      </c>
      <c r="AT37" s="36">
        <v>0</v>
      </c>
      <c r="AU37" s="36">
        <v>0</v>
      </c>
      <c r="AV37" s="36">
        <v>0</v>
      </c>
      <c r="AW37" s="36"/>
      <c r="AX37" s="36"/>
      <c r="AY37" s="36"/>
      <c r="AZ37" s="36"/>
      <c r="BA37" s="36"/>
      <c r="BB37" s="36"/>
      <c r="BC37" s="36"/>
      <c r="BD37" s="36"/>
      <c r="BE37" s="36"/>
      <c r="BF37" s="36"/>
      <c r="BG37" s="36"/>
      <c r="BH37" s="36"/>
      <c r="BI37" s="36"/>
      <c r="BJ37" s="36" t="s">
        <v>345</v>
      </c>
      <c r="BK37" s="36"/>
      <c r="BL37" s="36"/>
      <c r="BM37" s="36"/>
      <c r="BN37" s="36"/>
      <c r="BO37" s="36" t="s">
        <v>665</v>
      </c>
      <c r="BP37" s="36" t="s">
        <v>665</v>
      </c>
      <c r="BQ37" s="36" t="s">
        <v>483</v>
      </c>
      <c r="BR37" s="36" t="s">
        <v>484</v>
      </c>
      <c r="BS37" s="36"/>
      <c r="BT37" s="36"/>
      <c r="BU37" s="36"/>
      <c r="BV37" s="36"/>
      <c r="BW37" s="36" t="s">
        <v>344</v>
      </c>
      <c r="BX37" s="36" t="s">
        <v>662</v>
      </c>
      <c r="BY37" s="36" t="s">
        <v>734</v>
      </c>
    </row>
    <row r="38" spans="1:77" x14ac:dyDescent="0.3">
      <c r="A38" s="36" t="s">
        <v>487</v>
      </c>
      <c r="B38" s="36" t="s">
        <v>15</v>
      </c>
      <c r="C38" s="36" t="s">
        <v>348</v>
      </c>
      <c r="D38" s="36">
        <v>200</v>
      </c>
      <c r="E38" s="36" t="s">
        <v>347</v>
      </c>
      <c r="F38" s="36" t="s">
        <v>346</v>
      </c>
      <c r="G38" s="36"/>
      <c r="H38" s="36" t="s">
        <v>748</v>
      </c>
      <c r="I38" s="36">
        <v>21</v>
      </c>
      <c r="J38" s="36">
        <v>262</v>
      </c>
      <c r="K38" s="36"/>
      <c r="L38" s="36">
        <v>0</v>
      </c>
      <c r="M38" s="36">
        <v>0</v>
      </c>
      <c r="N38" s="36"/>
      <c r="O38" s="36"/>
      <c r="P38" s="36"/>
      <c r="Q38" s="36">
        <v>0</v>
      </c>
      <c r="R38" s="36"/>
      <c r="S38" s="36">
        <v>0</v>
      </c>
      <c r="T38" s="36"/>
      <c r="U38" s="36"/>
      <c r="V38" s="36"/>
      <c r="W38" s="36"/>
      <c r="X38" s="36"/>
      <c r="Y38" s="36" t="s">
        <v>487</v>
      </c>
      <c r="Z38" s="36"/>
      <c r="AA38" s="36"/>
      <c r="AB38" s="36"/>
      <c r="AC38" s="36"/>
      <c r="AD38" s="36"/>
      <c r="AE38" s="36"/>
      <c r="AF38" s="36"/>
      <c r="AG38" s="36"/>
      <c r="AH38" s="36"/>
      <c r="AI38" s="36"/>
      <c r="AJ38" s="36"/>
      <c r="AK38" s="36"/>
      <c r="AL38" s="36"/>
      <c r="AM38" s="36">
        <v>1</v>
      </c>
      <c r="AN38" s="36">
        <v>1</v>
      </c>
      <c r="AO38" s="36"/>
      <c r="AP38" s="36">
        <v>135</v>
      </c>
      <c r="AQ38" s="36">
        <v>65</v>
      </c>
      <c r="AR38" s="36">
        <v>0</v>
      </c>
      <c r="AS38" s="36">
        <v>98.48</v>
      </c>
      <c r="AT38" s="36">
        <v>71</v>
      </c>
      <c r="AU38" s="36">
        <v>41</v>
      </c>
      <c r="AV38" s="36">
        <v>0</v>
      </c>
      <c r="AW38" s="36"/>
      <c r="AX38" s="36"/>
      <c r="AY38" s="36"/>
      <c r="AZ38" s="36"/>
      <c r="BA38" s="36"/>
      <c r="BB38" s="36"/>
      <c r="BC38" s="36"/>
      <c r="BD38" s="36"/>
      <c r="BE38" s="36"/>
      <c r="BF38" s="36"/>
      <c r="BG38" s="36"/>
      <c r="BH38" s="36"/>
      <c r="BI38" s="36"/>
      <c r="BJ38" s="36" t="s">
        <v>345</v>
      </c>
      <c r="BK38" s="36" t="s">
        <v>748</v>
      </c>
      <c r="BL38" s="36" t="s">
        <v>746</v>
      </c>
      <c r="BM38" s="36" t="s">
        <v>18</v>
      </c>
      <c r="BN38" s="36" t="s">
        <v>480</v>
      </c>
      <c r="BO38" s="36" t="s">
        <v>481</v>
      </c>
      <c r="BP38" s="36" t="s">
        <v>482</v>
      </c>
      <c r="BQ38" s="36" t="s">
        <v>483</v>
      </c>
      <c r="BR38" s="36" t="s">
        <v>484</v>
      </c>
      <c r="BS38" s="36" t="s">
        <v>487</v>
      </c>
      <c r="BT38" s="36" t="s">
        <v>748</v>
      </c>
      <c r="BU38" s="36" t="s">
        <v>746</v>
      </c>
      <c r="BV38" s="36" t="s">
        <v>20</v>
      </c>
      <c r="BW38" s="36" t="s">
        <v>485</v>
      </c>
      <c r="BX38" s="36" t="s">
        <v>487</v>
      </c>
      <c r="BY38" s="36" t="s">
        <v>711</v>
      </c>
    </row>
    <row r="39" spans="1:77" x14ac:dyDescent="0.3">
      <c r="A39" s="36" t="s">
        <v>598</v>
      </c>
      <c r="B39" s="36" t="s">
        <v>15</v>
      </c>
      <c r="C39" s="36" t="s">
        <v>348</v>
      </c>
      <c r="D39" s="36">
        <v>200</v>
      </c>
      <c r="E39" s="36" t="s">
        <v>347</v>
      </c>
      <c r="F39" s="36" t="s">
        <v>346</v>
      </c>
      <c r="G39" s="36"/>
      <c r="H39" s="36" t="s">
        <v>599</v>
      </c>
      <c r="I39" s="36">
        <v>20</v>
      </c>
      <c r="J39" s="36">
        <v>242</v>
      </c>
      <c r="K39" s="36"/>
      <c r="L39" s="36">
        <v>0</v>
      </c>
      <c r="M39" s="36">
        <v>0</v>
      </c>
      <c r="N39" s="36"/>
      <c r="O39" s="36"/>
      <c r="P39" s="36" t="s">
        <v>600</v>
      </c>
      <c r="Q39" s="36">
        <v>4</v>
      </c>
      <c r="R39" s="36"/>
      <c r="S39" s="36">
        <v>0</v>
      </c>
      <c r="T39" s="36"/>
      <c r="U39" s="36"/>
      <c r="V39" s="36"/>
      <c r="W39" s="36"/>
      <c r="X39" s="36"/>
      <c r="Y39" s="36" t="s">
        <v>598</v>
      </c>
      <c r="Z39" s="36"/>
      <c r="AA39" s="36"/>
      <c r="AB39" s="36"/>
      <c r="AC39" s="36"/>
      <c r="AD39" s="36"/>
      <c r="AE39" s="36"/>
      <c r="AF39" s="36"/>
      <c r="AG39" s="36"/>
      <c r="AH39" s="36"/>
      <c r="AI39" s="36"/>
      <c r="AJ39" s="36"/>
      <c r="AK39" s="36"/>
      <c r="AL39" s="36"/>
      <c r="AM39" s="36">
        <v>2</v>
      </c>
      <c r="AN39" s="36">
        <v>1</v>
      </c>
      <c r="AO39" s="36"/>
      <c r="AP39" s="36">
        <v>6</v>
      </c>
      <c r="AQ39" s="36">
        <v>2</v>
      </c>
      <c r="AR39" s="36">
        <v>0</v>
      </c>
      <c r="AS39" s="36">
        <v>3.03</v>
      </c>
      <c r="AT39" s="36">
        <v>55</v>
      </c>
      <c r="AU39" s="36">
        <v>23</v>
      </c>
      <c r="AV39" s="36">
        <v>0</v>
      </c>
      <c r="AW39" s="36"/>
      <c r="AX39" s="36"/>
      <c r="AY39" s="36"/>
      <c r="AZ39" s="36"/>
      <c r="BA39" s="36"/>
      <c r="BB39" s="36"/>
      <c r="BC39" s="36"/>
      <c r="BD39" s="36"/>
      <c r="BE39" s="36"/>
      <c r="BF39" s="36"/>
      <c r="BG39" s="36"/>
      <c r="BH39" s="36"/>
      <c r="BI39" s="36"/>
      <c r="BJ39" s="36" t="s">
        <v>345</v>
      </c>
      <c r="BK39" s="36" t="s">
        <v>599</v>
      </c>
      <c r="BL39" s="36" t="s">
        <v>746</v>
      </c>
      <c r="BM39" s="36" t="s">
        <v>18</v>
      </c>
      <c r="BN39" s="36" t="s">
        <v>480</v>
      </c>
      <c r="BO39" s="36" t="s">
        <v>481</v>
      </c>
      <c r="BP39" s="36" t="s">
        <v>482</v>
      </c>
      <c r="BQ39" s="36" t="s">
        <v>483</v>
      </c>
      <c r="BR39" s="36" t="s">
        <v>484</v>
      </c>
      <c r="BS39" s="36" t="s">
        <v>598</v>
      </c>
      <c r="BT39" s="36" t="s">
        <v>599</v>
      </c>
      <c r="BU39" s="36" t="s">
        <v>746</v>
      </c>
      <c r="BV39" s="36" t="s">
        <v>20</v>
      </c>
      <c r="BW39" s="36" t="s">
        <v>344</v>
      </c>
      <c r="BX39" s="36" t="s">
        <v>598</v>
      </c>
      <c r="BY39" s="36" t="s">
        <v>726</v>
      </c>
    </row>
    <row r="40" spans="1:77" x14ac:dyDescent="0.3">
      <c r="A40" s="36" t="s">
        <v>569</v>
      </c>
      <c r="B40" s="36" t="s">
        <v>15</v>
      </c>
      <c r="C40" s="36" t="s">
        <v>348</v>
      </c>
      <c r="D40" s="36">
        <v>200</v>
      </c>
      <c r="E40" s="36" t="s">
        <v>347</v>
      </c>
      <c r="F40" s="36" t="s">
        <v>346</v>
      </c>
      <c r="G40" s="36"/>
      <c r="H40" s="36" t="s">
        <v>754</v>
      </c>
      <c r="I40" s="36">
        <v>25</v>
      </c>
      <c r="J40" s="36">
        <v>342</v>
      </c>
      <c r="K40" s="36"/>
      <c r="L40" s="36">
        <v>0</v>
      </c>
      <c r="M40" s="36">
        <v>0</v>
      </c>
      <c r="N40" s="36"/>
      <c r="O40" s="36"/>
      <c r="P40" s="36" t="s">
        <v>755</v>
      </c>
      <c r="Q40" s="36">
        <v>9</v>
      </c>
      <c r="R40" s="36"/>
      <c r="S40" s="36">
        <v>0</v>
      </c>
      <c r="T40" s="36"/>
      <c r="U40" s="36"/>
      <c r="V40" s="36"/>
      <c r="W40" s="36"/>
      <c r="X40" s="36"/>
      <c r="Y40" s="36" t="s">
        <v>569</v>
      </c>
      <c r="Z40" s="36"/>
      <c r="AA40" s="36"/>
      <c r="AB40" s="36"/>
      <c r="AC40" s="36"/>
      <c r="AD40" s="36"/>
      <c r="AE40" s="36"/>
      <c r="AF40" s="36"/>
      <c r="AG40" s="36"/>
      <c r="AH40" s="36"/>
      <c r="AI40" s="36"/>
      <c r="AJ40" s="36"/>
      <c r="AK40" s="36"/>
      <c r="AL40" s="36"/>
      <c r="AM40" s="36">
        <v>1</v>
      </c>
      <c r="AN40" s="36">
        <v>1</v>
      </c>
      <c r="AO40" s="36"/>
      <c r="AP40" s="36">
        <v>138</v>
      </c>
      <c r="AQ40" s="36">
        <v>65</v>
      </c>
      <c r="AR40" s="36">
        <v>0</v>
      </c>
      <c r="AS40" s="36">
        <v>98.48</v>
      </c>
      <c r="AT40" s="36">
        <v>57</v>
      </c>
      <c r="AU40" s="36">
        <v>23</v>
      </c>
      <c r="AV40" s="36">
        <v>0</v>
      </c>
      <c r="AW40" s="36"/>
      <c r="AX40" s="36"/>
      <c r="AY40" s="36"/>
      <c r="AZ40" s="36"/>
      <c r="BA40" s="36"/>
      <c r="BB40" s="36"/>
      <c r="BC40" s="36"/>
      <c r="BD40" s="36"/>
      <c r="BE40" s="36"/>
      <c r="BF40" s="36"/>
      <c r="BG40" s="36"/>
      <c r="BH40" s="36"/>
      <c r="BI40" s="36"/>
      <c r="BJ40" s="36" t="s">
        <v>345</v>
      </c>
      <c r="BK40" s="36" t="s">
        <v>754</v>
      </c>
      <c r="BL40" s="36" t="s">
        <v>746</v>
      </c>
      <c r="BM40" s="36" t="s">
        <v>18</v>
      </c>
      <c r="BN40" s="36" t="s">
        <v>480</v>
      </c>
      <c r="BO40" s="36" t="s">
        <v>481</v>
      </c>
      <c r="BP40" s="36" t="s">
        <v>482</v>
      </c>
      <c r="BQ40" s="36" t="s">
        <v>483</v>
      </c>
      <c r="BR40" s="36" t="s">
        <v>484</v>
      </c>
      <c r="BS40" s="36" t="s">
        <v>569</v>
      </c>
      <c r="BT40" s="36" t="s">
        <v>754</v>
      </c>
      <c r="BU40" s="36" t="s">
        <v>746</v>
      </c>
      <c r="BV40" s="36" t="s">
        <v>20</v>
      </c>
      <c r="BW40" s="36" t="s">
        <v>344</v>
      </c>
      <c r="BX40" s="36" t="s">
        <v>569</v>
      </c>
      <c r="BY40" s="36" t="s">
        <v>717</v>
      </c>
    </row>
    <row r="41" spans="1:77" x14ac:dyDescent="0.3">
      <c r="A41" s="36" t="s">
        <v>501</v>
      </c>
      <c r="B41" s="36" t="s">
        <v>15</v>
      </c>
      <c r="C41" s="36" t="s">
        <v>348</v>
      </c>
      <c r="D41" s="36">
        <v>200</v>
      </c>
      <c r="E41" s="36" t="s">
        <v>347</v>
      </c>
      <c r="F41" s="36" t="s">
        <v>346</v>
      </c>
      <c r="G41" s="36"/>
      <c r="H41" s="36" t="s">
        <v>752</v>
      </c>
      <c r="I41" s="36">
        <v>21</v>
      </c>
      <c r="J41" s="36">
        <v>262</v>
      </c>
      <c r="K41" s="36"/>
      <c r="L41" s="36">
        <v>0</v>
      </c>
      <c r="M41" s="36">
        <v>0</v>
      </c>
      <c r="N41" s="36"/>
      <c r="O41" s="36"/>
      <c r="P41" s="36" t="s">
        <v>753</v>
      </c>
      <c r="Q41" s="36">
        <v>16</v>
      </c>
      <c r="R41" s="36"/>
      <c r="S41" s="36">
        <v>0</v>
      </c>
      <c r="T41" s="36"/>
      <c r="U41" s="36"/>
      <c r="V41" s="36"/>
      <c r="W41" s="36"/>
      <c r="X41" s="36"/>
      <c r="Y41" s="36" t="s">
        <v>501</v>
      </c>
      <c r="Z41" s="36"/>
      <c r="AA41" s="36"/>
      <c r="AB41" s="36"/>
      <c r="AC41" s="36"/>
      <c r="AD41" s="36"/>
      <c r="AE41" s="36"/>
      <c r="AF41" s="36"/>
      <c r="AG41" s="36"/>
      <c r="AH41" s="36"/>
      <c r="AI41" s="36"/>
      <c r="AJ41" s="36"/>
      <c r="AK41" s="36"/>
      <c r="AL41" s="36"/>
      <c r="AM41" s="36">
        <v>1</v>
      </c>
      <c r="AN41" s="36">
        <v>1</v>
      </c>
      <c r="AO41" s="36"/>
      <c r="AP41" s="36">
        <v>136</v>
      </c>
      <c r="AQ41" s="36">
        <v>65</v>
      </c>
      <c r="AR41" s="36">
        <v>0</v>
      </c>
      <c r="AS41" s="36">
        <v>98.48</v>
      </c>
      <c r="AT41" s="36">
        <v>55</v>
      </c>
      <c r="AU41" s="36">
        <v>22</v>
      </c>
      <c r="AV41" s="36">
        <v>0</v>
      </c>
      <c r="AW41" s="36"/>
      <c r="AX41" s="36"/>
      <c r="AY41" s="36"/>
      <c r="AZ41" s="36"/>
      <c r="BA41" s="36"/>
      <c r="BB41" s="36"/>
      <c r="BC41" s="36"/>
      <c r="BD41" s="36"/>
      <c r="BE41" s="36"/>
      <c r="BF41" s="36"/>
      <c r="BG41" s="36"/>
      <c r="BH41" s="36"/>
      <c r="BI41" s="36"/>
      <c r="BJ41" s="36" t="s">
        <v>345</v>
      </c>
      <c r="BK41" s="36" t="s">
        <v>752</v>
      </c>
      <c r="BL41" s="36" t="s">
        <v>746</v>
      </c>
      <c r="BM41" s="36" t="s">
        <v>18</v>
      </c>
      <c r="BN41" s="36" t="s">
        <v>480</v>
      </c>
      <c r="BO41" s="36" t="s">
        <v>481</v>
      </c>
      <c r="BP41" s="36" t="s">
        <v>482</v>
      </c>
      <c r="BQ41" s="36" t="s">
        <v>483</v>
      </c>
      <c r="BR41" s="36" t="s">
        <v>484</v>
      </c>
      <c r="BS41" s="36" t="s">
        <v>501</v>
      </c>
      <c r="BT41" s="36" t="s">
        <v>752</v>
      </c>
      <c r="BU41" s="36" t="s">
        <v>746</v>
      </c>
      <c r="BV41" s="36" t="s">
        <v>20</v>
      </c>
      <c r="BW41" s="36" t="s">
        <v>344</v>
      </c>
      <c r="BX41" s="36" t="s">
        <v>501</v>
      </c>
      <c r="BY41" s="36" t="s">
        <v>715</v>
      </c>
    </row>
    <row r="42" spans="1:77" x14ac:dyDescent="0.3">
      <c r="A42" s="36" t="s">
        <v>565</v>
      </c>
      <c r="B42" s="36" t="s">
        <v>15</v>
      </c>
      <c r="C42" s="36" t="s">
        <v>348</v>
      </c>
      <c r="D42" s="36">
        <v>200</v>
      </c>
      <c r="E42" s="36" t="s">
        <v>347</v>
      </c>
      <c r="F42" s="36" t="s">
        <v>346</v>
      </c>
      <c r="G42" s="36"/>
      <c r="H42" s="36" t="s">
        <v>517</v>
      </c>
      <c r="I42" s="36">
        <v>20</v>
      </c>
      <c r="J42" s="36">
        <v>242</v>
      </c>
      <c r="K42" s="36"/>
      <c r="L42" s="36">
        <v>0</v>
      </c>
      <c r="M42" s="36">
        <v>0</v>
      </c>
      <c r="N42" s="36"/>
      <c r="O42" s="36"/>
      <c r="P42" s="36" t="s">
        <v>566</v>
      </c>
      <c r="Q42" s="36">
        <v>9</v>
      </c>
      <c r="R42" s="36"/>
      <c r="S42" s="36">
        <v>0</v>
      </c>
      <c r="T42" s="36"/>
      <c r="U42" s="36"/>
      <c r="V42" s="36"/>
      <c r="W42" s="36"/>
      <c r="X42" s="36"/>
      <c r="Y42" s="36" t="s">
        <v>565</v>
      </c>
      <c r="Z42" s="36"/>
      <c r="AA42" s="36"/>
      <c r="AB42" s="36"/>
      <c r="AC42" s="36"/>
      <c r="AD42" s="36"/>
      <c r="AE42" s="36"/>
      <c r="AF42" s="36"/>
      <c r="AG42" s="36"/>
      <c r="AH42" s="36"/>
      <c r="AI42" s="36"/>
      <c r="AJ42" s="36"/>
      <c r="AK42" s="36"/>
      <c r="AL42" s="36"/>
      <c r="AM42" s="36">
        <v>1</v>
      </c>
      <c r="AN42" s="36">
        <v>1</v>
      </c>
      <c r="AO42" s="36"/>
      <c r="AP42" s="36">
        <v>271</v>
      </c>
      <c r="AQ42" s="36">
        <v>65</v>
      </c>
      <c r="AR42" s="36">
        <v>0</v>
      </c>
      <c r="AS42" s="36">
        <v>98.48</v>
      </c>
      <c r="AT42" s="36">
        <v>59</v>
      </c>
      <c r="AU42" s="36">
        <v>26</v>
      </c>
      <c r="AV42" s="36">
        <v>0</v>
      </c>
      <c r="AW42" s="36"/>
      <c r="AX42" s="36"/>
      <c r="AY42" s="36"/>
      <c r="AZ42" s="36"/>
      <c r="BA42" s="36"/>
      <c r="BB42" s="36"/>
      <c r="BC42" s="36"/>
      <c r="BD42" s="36"/>
      <c r="BE42" s="36"/>
      <c r="BF42" s="36"/>
      <c r="BG42" s="36"/>
      <c r="BH42" s="36"/>
      <c r="BI42" s="36"/>
      <c r="BJ42" s="36" t="s">
        <v>345</v>
      </c>
      <c r="BK42" s="36" t="s">
        <v>517</v>
      </c>
      <c r="BL42" s="36" t="s">
        <v>746</v>
      </c>
      <c r="BM42" s="36" t="s">
        <v>18</v>
      </c>
      <c r="BN42" s="36" t="s">
        <v>480</v>
      </c>
      <c r="BO42" s="36" t="s">
        <v>481</v>
      </c>
      <c r="BP42" s="36" t="s">
        <v>482</v>
      </c>
      <c r="BQ42" s="36" t="s">
        <v>483</v>
      </c>
      <c r="BR42" s="36" t="s">
        <v>484</v>
      </c>
      <c r="BS42" s="36" t="s">
        <v>565</v>
      </c>
      <c r="BT42" s="36" t="s">
        <v>517</v>
      </c>
      <c r="BU42" s="36" t="s">
        <v>746</v>
      </c>
      <c r="BV42" s="36" t="s">
        <v>20</v>
      </c>
      <c r="BW42" s="36" t="s">
        <v>344</v>
      </c>
      <c r="BX42" s="36" t="s">
        <v>565</v>
      </c>
      <c r="BY42" s="36" t="s">
        <v>716</v>
      </c>
    </row>
    <row r="43" spans="1:77" x14ac:dyDescent="0.3">
      <c r="A43" s="36" t="s">
        <v>562</v>
      </c>
      <c r="B43" s="36" t="s">
        <v>15</v>
      </c>
      <c r="C43" s="36" t="s">
        <v>348</v>
      </c>
      <c r="D43" s="36">
        <v>200</v>
      </c>
      <c r="E43" s="36" t="s">
        <v>347</v>
      </c>
      <c r="F43" s="36" t="s">
        <v>346</v>
      </c>
      <c r="G43" s="36"/>
      <c r="H43" s="36" t="s">
        <v>750</v>
      </c>
      <c r="I43" s="36">
        <v>20</v>
      </c>
      <c r="J43" s="36">
        <v>242</v>
      </c>
      <c r="K43" s="36"/>
      <c r="L43" s="36">
        <v>0</v>
      </c>
      <c r="M43" s="36">
        <v>0</v>
      </c>
      <c r="N43" s="36"/>
      <c r="O43" s="36"/>
      <c r="P43" s="36" t="s">
        <v>751</v>
      </c>
      <c r="Q43" s="36">
        <v>4</v>
      </c>
      <c r="R43" s="36"/>
      <c r="S43" s="36">
        <v>0</v>
      </c>
      <c r="T43" s="36"/>
      <c r="U43" s="36"/>
      <c r="V43" s="36"/>
      <c r="W43" s="36"/>
      <c r="X43" s="36"/>
      <c r="Y43" s="36" t="s">
        <v>562</v>
      </c>
      <c r="Z43" s="36"/>
      <c r="AA43" s="36"/>
      <c r="AB43" s="36"/>
      <c r="AC43" s="36"/>
      <c r="AD43" s="36"/>
      <c r="AE43" s="36"/>
      <c r="AF43" s="36"/>
      <c r="AG43" s="36"/>
      <c r="AH43" s="36"/>
      <c r="AI43" s="36"/>
      <c r="AJ43" s="36"/>
      <c r="AK43" s="36"/>
      <c r="AL43" s="36"/>
      <c r="AM43" s="36">
        <v>1</v>
      </c>
      <c r="AN43" s="36">
        <v>1</v>
      </c>
      <c r="AO43" s="36"/>
      <c r="AP43" s="36">
        <v>70</v>
      </c>
      <c r="AQ43" s="36">
        <v>65</v>
      </c>
      <c r="AR43" s="36">
        <v>0</v>
      </c>
      <c r="AS43" s="36">
        <v>98.48</v>
      </c>
      <c r="AT43" s="36">
        <v>73</v>
      </c>
      <c r="AU43" s="36">
        <v>22</v>
      </c>
      <c r="AV43" s="36">
        <v>0</v>
      </c>
      <c r="AW43" s="36"/>
      <c r="AX43" s="36"/>
      <c r="AY43" s="36"/>
      <c r="AZ43" s="36"/>
      <c r="BA43" s="36"/>
      <c r="BB43" s="36"/>
      <c r="BC43" s="36"/>
      <c r="BD43" s="36"/>
      <c r="BE43" s="36"/>
      <c r="BF43" s="36"/>
      <c r="BG43" s="36"/>
      <c r="BH43" s="36"/>
      <c r="BI43" s="36"/>
      <c r="BJ43" s="36" t="s">
        <v>345</v>
      </c>
      <c r="BK43" s="36" t="s">
        <v>750</v>
      </c>
      <c r="BL43" s="36" t="s">
        <v>746</v>
      </c>
      <c r="BM43" s="36" t="s">
        <v>18</v>
      </c>
      <c r="BN43" s="36" t="s">
        <v>480</v>
      </c>
      <c r="BO43" s="36" t="s">
        <v>481</v>
      </c>
      <c r="BP43" s="36" t="s">
        <v>482</v>
      </c>
      <c r="BQ43" s="36" t="s">
        <v>483</v>
      </c>
      <c r="BR43" s="36" t="s">
        <v>484</v>
      </c>
      <c r="BS43" s="36" t="s">
        <v>562</v>
      </c>
      <c r="BT43" s="36" t="s">
        <v>750</v>
      </c>
      <c r="BU43" s="36" t="s">
        <v>746</v>
      </c>
      <c r="BV43" s="36" t="s">
        <v>20</v>
      </c>
      <c r="BW43" s="36" t="s">
        <v>344</v>
      </c>
      <c r="BX43" s="36" t="s">
        <v>562</v>
      </c>
      <c r="BY43" s="36" t="s">
        <v>715</v>
      </c>
    </row>
    <row r="44" spans="1:77" x14ac:dyDescent="0.3">
      <c r="A44" s="36" t="s">
        <v>486</v>
      </c>
      <c r="B44" s="36" t="s">
        <v>15</v>
      </c>
      <c r="C44" s="36" t="s">
        <v>348</v>
      </c>
      <c r="D44" s="36">
        <v>200</v>
      </c>
      <c r="E44" s="36" t="s">
        <v>347</v>
      </c>
      <c r="F44" s="36" t="s">
        <v>343</v>
      </c>
      <c r="G44" s="36" t="s">
        <v>342</v>
      </c>
      <c r="H44" s="36" t="s">
        <v>706</v>
      </c>
      <c r="I44" s="36">
        <v>14</v>
      </c>
      <c r="J44" s="36">
        <v>121</v>
      </c>
      <c r="K44" s="36"/>
      <c r="L44" s="36">
        <v>0</v>
      </c>
      <c r="M44" s="36">
        <v>0</v>
      </c>
      <c r="N44" s="36"/>
      <c r="O44" s="36"/>
      <c r="P44" s="36" t="s">
        <v>706</v>
      </c>
      <c r="Q44" s="36">
        <v>14</v>
      </c>
      <c r="R44" s="36"/>
      <c r="S44" s="36">
        <v>0</v>
      </c>
      <c r="T44" s="36"/>
      <c r="U44" s="36"/>
      <c r="V44" s="36"/>
      <c r="W44" s="36"/>
      <c r="X44" s="36"/>
      <c r="Y44" s="36" t="s">
        <v>486</v>
      </c>
      <c r="Z44" s="36"/>
      <c r="AA44" s="36"/>
      <c r="AB44" s="36"/>
      <c r="AC44" s="36"/>
      <c r="AD44" s="36"/>
      <c r="AE44" s="36"/>
      <c r="AF44" s="36"/>
      <c r="AG44" s="36"/>
      <c r="AH44" s="36"/>
      <c r="AI44" s="36"/>
      <c r="AJ44" s="36"/>
      <c r="AK44" s="36"/>
      <c r="AL44" s="36"/>
      <c r="AM44" s="36">
        <v>1</v>
      </c>
      <c r="AN44" s="36">
        <v>1</v>
      </c>
      <c r="AO44" s="36"/>
      <c r="AP44" s="36">
        <v>69</v>
      </c>
      <c r="AQ44" s="36">
        <v>65</v>
      </c>
      <c r="AR44" s="36">
        <v>0</v>
      </c>
      <c r="AS44" s="36">
        <v>98.48</v>
      </c>
      <c r="AT44" s="36">
        <v>52</v>
      </c>
      <c r="AU44" s="36">
        <v>22</v>
      </c>
      <c r="AV44" s="36">
        <v>0</v>
      </c>
      <c r="AW44" s="36"/>
      <c r="AX44" s="36"/>
      <c r="AY44" s="36"/>
      <c r="AZ44" s="36"/>
      <c r="BA44" s="36"/>
      <c r="BB44" s="36"/>
      <c r="BC44" s="36"/>
      <c r="BD44" s="36"/>
      <c r="BE44" s="36"/>
      <c r="BF44" s="36"/>
      <c r="BG44" s="36"/>
      <c r="BH44" s="36"/>
      <c r="BI44" s="36"/>
      <c r="BJ44" s="36" t="s">
        <v>345</v>
      </c>
      <c r="BK44" s="36" t="s">
        <v>706</v>
      </c>
      <c r="BL44" s="36" t="s">
        <v>746</v>
      </c>
      <c r="BM44" s="36" t="s">
        <v>18</v>
      </c>
      <c r="BN44" s="36" t="s">
        <v>480</v>
      </c>
      <c r="BO44" s="36" t="s">
        <v>481</v>
      </c>
      <c r="BP44" s="36" t="s">
        <v>482</v>
      </c>
      <c r="BQ44" s="36" t="s">
        <v>483</v>
      </c>
      <c r="BR44" s="36" t="s">
        <v>484</v>
      </c>
      <c r="BS44" s="36" t="s">
        <v>486</v>
      </c>
      <c r="BT44" s="36" t="s">
        <v>706</v>
      </c>
      <c r="BU44" s="36" t="s">
        <v>746</v>
      </c>
      <c r="BV44" s="36" t="s">
        <v>20</v>
      </c>
      <c r="BW44" s="36" t="s">
        <v>344</v>
      </c>
      <c r="BX44" s="36" t="s">
        <v>486</v>
      </c>
      <c r="BY44" s="36" t="s">
        <v>711</v>
      </c>
    </row>
    <row r="45" spans="1:77" x14ac:dyDescent="0.3">
      <c r="A45" s="36" t="s">
        <v>572</v>
      </c>
      <c r="B45" s="36" t="s">
        <v>15</v>
      </c>
      <c r="C45" s="36" t="s">
        <v>348</v>
      </c>
      <c r="D45" s="36">
        <v>200</v>
      </c>
      <c r="E45" s="36" t="s">
        <v>347</v>
      </c>
      <c r="F45" s="36" t="s">
        <v>343</v>
      </c>
      <c r="G45" s="36" t="s">
        <v>342</v>
      </c>
      <c r="H45" s="36" t="s">
        <v>707</v>
      </c>
      <c r="I45" s="36">
        <v>16</v>
      </c>
      <c r="J45" s="36">
        <v>150</v>
      </c>
      <c r="K45" s="36"/>
      <c r="L45" s="36">
        <v>0</v>
      </c>
      <c r="M45" s="36">
        <v>0</v>
      </c>
      <c r="N45" s="36"/>
      <c r="O45" s="36"/>
      <c r="P45" s="36" t="s">
        <v>707</v>
      </c>
      <c r="Q45" s="36">
        <v>16</v>
      </c>
      <c r="R45" s="36"/>
      <c r="S45" s="36">
        <v>0</v>
      </c>
      <c r="T45" s="36"/>
      <c r="U45" s="36"/>
      <c r="V45" s="36"/>
      <c r="W45" s="36"/>
      <c r="X45" s="36"/>
      <c r="Y45" s="36" t="s">
        <v>572</v>
      </c>
      <c r="Z45" s="36"/>
      <c r="AA45" s="36"/>
      <c r="AB45" s="36"/>
      <c r="AC45" s="36"/>
      <c r="AD45" s="36"/>
      <c r="AE45" s="36"/>
      <c r="AF45" s="36"/>
      <c r="AG45" s="36"/>
      <c r="AH45" s="36"/>
      <c r="AI45" s="36"/>
      <c r="AJ45" s="36"/>
      <c r="AK45" s="36"/>
      <c r="AL45" s="36"/>
      <c r="AM45" s="36">
        <v>1</v>
      </c>
      <c r="AN45" s="36">
        <v>1</v>
      </c>
      <c r="AO45" s="36"/>
      <c r="AP45" s="36">
        <v>69</v>
      </c>
      <c r="AQ45" s="36">
        <v>65</v>
      </c>
      <c r="AR45" s="36">
        <v>0</v>
      </c>
      <c r="AS45" s="36">
        <v>98.48</v>
      </c>
      <c r="AT45" s="36">
        <v>53</v>
      </c>
      <c r="AU45" s="36">
        <v>23</v>
      </c>
      <c r="AV45" s="36">
        <v>0</v>
      </c>
      <c r="AW45" s="36"/>
      <c r="AX45" s="36"/>
      <c r="AY45" s="36"/>
      <c r="AZ45" s="36"/>
      <c r="BA45" s="36"/>
      <c r="BB45" s="36"/>
      <c r="BC45" s="36"/>
      <c r="BD45" s="36"/>
      <c r="BE45" s="36"/>
      <c r="BF45" s="36"/>
      <c r="BG45" s="36"/>
      <c r="BH45" s="36"/>
      <c r="BI45" s="36"/>
      <c r="BJ45" s="36" t="s">
        <v>345</v>
      </c>
      <c r="BK45" s="36" t="s">
        <v>707</v>
      </c>
      <c r="BL45" s="36" t="s">
        <v>746</v>
      </c>
      <c r="BM45" s="36" t="s">
        <v>18</v>
      </c>
      <c r="BN45" s="36" t="s">
        <v>480</v>
      </c>
      <c r="BO45" s="36" t="s">
        <v>481</v>
      </c>
      <c r="BP45" s="36" t="s">
        <v>482</v>
      </c>
      <c r="BQ45" s="36" t="s">
        <v>483</v>
      </c>
      <c r="BR45" s="36" t="s">
        <v>484</v>
      </c>
      <c r="BS45" s="36" t="s">
        <v>572</v>
      </c>
      <c r="BT45" s="36" t="s">
        <v>707</v>
      </c>
      <c r="BU45" s="36" t="s">
        <v>746</v>
      </c>
      <c r="BV45" s="36" t="s">
        <v>20</v>
      </c>
      <c r="BW45" s="36" t="s">
        <v>344</v>
      </c>
      <c r="BX45" s="36" t="s">
        <v>572</v>
      </c>
      <c r="BY45" s="36" t="s">
        <v>718</v>
      </c>
    </row>
    <row r="46" spans="1:77" x14ac:dyDescent="0.3">
      <c r="A46" s="36" t="s">
        <v>584</v>
      </c>
      <c r="B46" s="36" t="s">
        <v>22</v>
      </c>
      <c r="C46" s="36" t="s">
        <v>348</v>
      </c>
      <c r="D46" s="36">
        <v>200</v>
      </c>
      <c r="E46" s="36" t="s">
        <v>347</v>
      </c>
      <c r="F46" s="36" t="s">
        <v>346</v>
      </c>
      <c r="G46" s="36"/>
      <c r="H46" s="36" t="s">
        <v>585</v>
      </c>
      <c r="I46" s="36">
        <v>40</v>
      </c>
      <c r="J46" s="36">
        <v>548</v>
      </c>
      <c r="K46" s="36" t="s">
        <v>771</v>
      </c>
      <c r="L46" s="36">
        <v>133</v>
      </c>
      <c r="M46" s="36">
        <v>1642</v>
      </c>
      <c r="N46" s="36"/>
      <c r="O46" s="36"/>
      <c r="P46" s="36" t="s">
        <v>587</v>
      </c>
      <c r="Q46" s="36">
        <v>24</v>
      </c>
      <c r="R46" s="36"/>
      <c r="S46" s="36">
        <v>0</v>
      </c>
      <c r="T46" s="36"/>
      <c r="U46" s="36"/>
      <c r="V46" s="36"/>
      <c r="W46" s="36"/>
      <c r="X46" s="36"/>
      <c r="Y46" s="36" t="s">
        <v>584</v>
      </c>
      <c r="Z46" s="36"/>
      <c r="AA46" s="36"/>
      <c r="AB46" s="36"/>
      <c r="AC46" s="36"/>
      <c r="AD46" s="36"/>
      <c r="AE46" s="36"/>
      <c r="AF46" s="36"/>
      <c r="AG46" s="36"/>
      <c r="AH46" s="36"/>
      <c r="AI46" s="36"/>
      <c r="AJ46" s="36"/>
      <c r="AK46" s="36"/>
      <c r="AL46" s="36"/>
      <c r="AM46" s="36">
        <v>1</v>
      </c>
      <c r="AN46" s="36">
        <v>1</v>
      </c>
      <c r="AO46" s="36"/>
      <c r="AP46" s="36">
        <v>10</v>
      </c>
      <c r="AQ46" s="36">
        <v>4</v>
      </c>
      <c r="AR46" s="36">
        <v>0</v>
      </c>
      <c r="AS46" s="36">
        <v>6.06</v>
      </c>
      <c r="AT46" s="36">
        <v>56</v>
      </c>
      <c r="AU46" s="36">
        <v>24</v>
      </c>
      <c r="AV46" s="36">
        <v>0</v>
      </c>
      <c r="AW46" s="36"/>
      <c r="AX46" s="36"/>
      <c r="AY46" s="36"/>
      <c r="AZ46" s="36"/>
      <c r="BA46" s="36"/>
      <c r="BB46" s="36"/>
      <c r="BC46" s="36"/>
      <c r="BD46" s="36"/>
      <c r="BE46" s="36"/>
      <c r="BF46" s="36"/>
      <c r="BG46" s="36"/>
      <c r="BH46" s="36"/>
      <c r="BI46" s="36"/>
      <c r="BJ46" s="36" t="s">
        <v>345</v>
      </c>
      <c r="BK46" s="36" t="s">
        <v>585</v>
      </c>
      <c r="BL46" s="36" t="s">
        <v>771</v>
      </c>
      <c r="BM46" s="36" t="s">
        <v>26</v>
      </c>
      <c r="BN46" s="36" t="s">
        <v>480</v>
      </c>
      <c r="BO46" s="36" t="s">
        <v>588</v>
      </c>
      <c r="BP46" s="36" t="s">
        <v>589</v>
      </c>
      <c r="BQ46" s="36" t="s">
        <v>500</v>
      </c>
      <c r="BR46" s="36" t="s">
        <v>500</v>
      </c>
      <c r="BS46" s="36" t="s">
        <v>584</v>
      </c>
      <c r="BT46" s="36" t="s">
        <v>585</v>
      </c>
      <c r="BU46" s="36" t="s">
        <v>771</v>
      </c>
      <c r="BV46" s="36" t="s">
        <v>20</v>
      </c>
      <c r="BW46" s="36" t="s">
        <v>351</v>
      </c>
      <c r="BX46" s="36" t="s">
        <v>584</v>
      </c>
      <c r="BY46" s="36" t="s">
        <v>724</v>
      </c>
    </row>
    <row r="47" spans="1:77" x14ac:dyDescent="0.3">
      <c r="A47" s="36" t="s">
        <v>646</v>
      </c>
      <c r="B47" s="36" t="s">
        <v>22</v>
      </c>
      <c r="C47" s="36" t="s">
        <v>348</v>
      </c>
      <c r="D47" s="36">
        <v>200</v>
      </c>
      <c r="E47" s="36" t="s">
        <v>347</v>
      </c>
      <c r="F47" s="36" t="s">
        <v>346</v>
      </c>
      <c r="G47" s="36"/>
      <c r="H47" s="36" t="s">
        <v>647</v>
      </c>
      <c r="I47" s="36">
        <v>39</v>
      </c>
      <c r="J47" s="36">
        <v>541</v>
      </c>
      <c r="K47" s="36" t="s">
        <v>784</v>
      </c>
      <c r="L47" s="36">
        <v>124</v>
      </c>
      <c r="M47" s="36">
        <v>1588</v>
      </c>
      <c r="N47" s="36"/>
      <c r="O47" s="36"/>
      <c r="P47" s="36" t="s">
        <v>649</v>
      </c>
      <c r="Q47" s="36">
        <v>23</v>
      </c>
      <c r="R47" s="36"/>
      <c r="S47" s="36">
        <v>0</v>
      </c>
      <c r="T47" s="36"/>
      <c r="U47" s="36"/>
      <c r="V47" s="36"/>
      <c r="W47" s="36"/>
      <c r="X47" s="36"/>
      <c r="Y47" s="36" t="s">
        <v>646</v>
      </c>
      <c r="Z47" s="36"/>
      <c r="AA47" s="36"/>
      <c r="AB47" s="36"/>
      <c r="AC47" s="36"/>
      <c r="AD47" s="36"/>
      <c r="AE47" s="36"/>
      <c r="AF47" s="36"/>
      <c r="AG47" s="36"/>
      <c r="AH47" s="36"/>
      <c r="AI47" s="36"/>
      <c r="AJ47" s="36"/>
      <c r="AK47" s="36"/>
      <c r="AL47" s="36"/>
      <c r="AM47" s="36">
        <v>2</v>
      </c>
      <c r="AN47" s="36">
        <v>1</v>
      </c>
      <c r="AO47" s="36"/>
      <c r="AP47" s="36">
        <v>7</v>
      </c>
      <c r="AQ47" s="36">
        <v>2</v>
      </c>
      <c r="AR47" s="36">
        <v>0</v>
      </c>
      <c r="AS47" s="36">
        <v>3.03</v>
      </c>
      <c r="AT47" s="36">
        <v>55</v>
      </c>
      <c r="AU47" s="36">
        <v>23</v>
      </c>
      <c r="AV47" s="36">
        <v>0</v>
      </c>
      <c r="AW47" s="36"/>
      <c r="AX47" s="36"/>
      <c r="AY47" s="36"/>
      <c r="AZ47" s="36"/>
      <c r="BA47" s="36"/>
      <c r="BB47" s="36"/>
      <c r="BC47" s="36"/>
      <c r="BD47" s="36"/>
      <c r="BE47" s="36"/>
      <c r="BF47" s="36"/>
      <c r="BG47" s="36"/>
      <c r="BH47" s="36"/>
      <c r="BI47" s="36"/>
      <c r="BJ47" s="36" t="s">
        <v>345</v>
      </c>
      <c r="BK47" s="36" t="s">
        <v>647</v>
      </c>
      <c r="BL47" s="36" t="s">
        <v>784</v>
      </c>
      <c r="BM47" s="36" t="s">
        <v>26</v>
      </c>
      <c r="BN47" s="36" t="s">
        <v>480</v>
      </c>
      <c r="BO47" s="36" t="s">
        <v>650</v>
      </c>
      <c r="BP47" s="36" t="s">
        <v>651</v>
      </c>
      <c r="BQ47" s="36" t="s">
        <v>500</v>
      </c>
      <c r="BR47" s="36" t="s">
        <v>500</v>
      </c>
      <c r="BS47" s="36" t="s">
        <v>646</v>
      </c>
      <c r="BT47" s="36" t="s">
        <v>647</v>
      </c>
      <c r="BU47" s="36" t="s">
        <v>784</v>
      </c>
      <c r="BV47" s="36" t="s">
        <v>20</v>
      </c>
      <c r="BW47" s="36" t="s">
        <v>351</v>
      </c>
      <c r="BX47" s="36" t="s">
        <v>646</v>
      </c>
      <c r="BY47" s="36" t="s">
        <v>732</v>
      </c>
    </row>
    <row r="48" spans="1:77" x14ac:dyDescent="0.3">
      <c r="A48" s="36" t="s">
        <v>592</v>
      </c>
      <c r="B48" s="36" t="s">
        <v>22</v>
      </c>
      <c r="C48" s="36" t="s">
        <v>348</v>
      </c>
      <c r="D48" s="36">
        <v>200</v>
      </c>
      <c r="E48" s="36" t="s">
        <v>347</v>
      </c>
      <c r="F48" s="36" t="s">
        <v>346</v>
      </c>
      <c r="G48" s="36"/>
      <c r="H48" s="36" t="s">
        <v>593</v>
      </c>
      <c r="I48" s="36">
        <v>40</v>
      </c>
      <c r="J48" s="36">
        <v>548</v>
      </c>
      <c r="K48" s="36" t="s">
        <v>772</v>
      </c>
      <c r="L48" s="36">
        <v>140</v>
      </c>
      <c r="M48" s="36">
        <v>1716</v>
      </c>
      <c r="N48" s="36"/>
      <c r="O48" s="36"/>
      <c r="P48" s="36" t="s">
        <v>595</v>
      </c>
      <c r="Q48" s="36">
        <v>24</v>
      </c>
      <c r="R48" s="36"/>
      <c r="S48" s="36">
        <v>0</v>
      </c>
      <c r="T48" s="36"/>
      <c r="U48" s="36"/>
      <c r="V48" s="36"/>
      <c r="W48" s="36"/>
      <c r="X48" s="36"/>
      <c r="Y48" s="36" t="s">
        <v>592</v>
      </c>
      <c r="Z48" s="36"/>
      <c r="AA48" s="36"/>
      <c r="AB48" s="36"/>
      <c r="AC48" s="36"/>
      <c r="AD48" s="36"/>
      <c r="AE48" s="36"/>
      <c r="AF48" s="36"/>
      <c r="AG48" s="36"/>
      <c r="AH48" s="36"/>
      <c r="AI48" s="36"/>
      <c r="AJ48" s="36"/>
      <c r="AK48" s="36"/>
      <c r="AL48" s="36"/>
      <c r="AM48" s="36">
        <v>1</v>
      </c>
      <c r="AN48" s="36">
        <v>1</v>
      </c>
      <c r="AO48" s="36"/>
      <c r="AP48" s="36">
        <v>8</v>
      </c>
      <c r="AQ48" s="36">
        <v>3</v>
      </c>
      <c r="AR48" s="36">
        <v>0</v>
      </c>
      <c r="AS48" s="36">
        <v>4.55</v>
      </c>
      <c r="AT48" s="36">
        <v>55</v>
      </c>
      <c r="AU48" s="36">
        <v>23</v>
      </c>
      <c r="AV48" s="36">
        <v>0</v>
      </c>
      <c r="AW48" s="36"/>
      <c r="AX48" s="36"/>
      <c r="AY48" s="36"/>
      <c r="AZ48" s="36"/>
      <c r="BA48" s="36"/>
      <c r="BB48" s="36"/>
      <c r="BC48" s="36"/>
      <c r="BD48" s="36"/>
      <c r="BE48" s="36"/>
      <c r="BF48" s="36"/>
      <c r="BG48" s="36"/>
      <c r="BH48" s="36"/>
      <c r="BI48" s="36"/>
      <c r="BJ48" s="36" t="s">
        <v>345</v>
      </c>
      <c r="BK48" s="36" t="s">
        <v>593</v>
      </c>
      <c r="BL48" s="36" t="s">
        <v>772</v>
      </c>
      <c r="BM48" s="36" t="s">
        <v>26</v>
      </c>
      <c r="BN48" s="36" t="s">
        <v>480</v>
      </c>
      <c r="BO48" s="36" t="s">
        <v>596</v>
      </c>
      <c r="BP48" s="36" t="s">
        <v>597</v>
      </c>
      <c r="BQ48" s="36" t="s">
        <v>500</v>
      </c>
      <c r="BR48" s="36" t="s">
        <v>500</v>
      </c>
      <c r="BS48" s="36" t="s">
        <v>592</v>
      </c>
      <c r="BT48" s="36" t="s">
        <v>593</v>
      </c>
      <c r="BU48" s="36" t="s">
        <v>772</v>
      </c>
      <c r="BV48" s="36" t="s">
        <v>20</v>
      </c>
      <c r="BW48" s="36" t="s">
        <v>351</v>
      </c>
      <c r="BX48" s="36" t="s">
        <v>592</v>
      </c>
      <c r="BY48" s="36" t="s">
        <v>725</v>
      </c>
    </row>
    <row r="49" spans="1:77" x14ac:dyDescent="0.3">
      <c r="A49" s="36" t="s">
        <v>510</v>
      </c>
      <c r="B49" s="36" t="s">
        <v>22</v>
      </c>
      <c r="C49" s="36" t="s">
        <v>348</v>
      </c>
      <c r="D49" s="36">
        <v>200</v>
      </c>
      <c r="E49" s="36" t="s">
        <v>347</v>
      </c>
      <c r="F49" s="36" t="s">
        <v>346</v>
      </c>
      <c r="G49" s="36"/>
      <c r="H49" s="36" t="s">
        <v>765</v>
      </c>
      <c r="I49" s="36">
        <v>45</v>
      </c>
      <c r="J49" s="36">
        <v>648</v>
      </c>
      <c r="K49" s="36" t="s">
        <v>766</v>
      </c>
      <c r="L49" s="36">
        <v>86</v>
      </c>
      <c r="M49" s="36">
        <v>1077</v>
      </c>
      <c r="N49" s="36"/>
      <c r="O49" s="36"/>
      <c r="P49" s="36" t="s">
        <v>767</v>
      </c>
      <c r="Q49" s="36">
        <v>29</v>
      </c>
      <c r="R49" s="36"/>
      <c r="S49" s="36">
        <v>0</v>
      </c>
      <c r="T49" s="36"/>
      <c r="U49" s="36"/>
      <c r="V49" s="36"/>
      <c r="W49" s="36"/>
      <c r="X49" s="36"/>
      <c r="Y49" s="36" t="s">
        <v>510</v>
      </c>
      <c r="Z49" s="36"/>
      <c r="AA49" s="36"/>
      <c r="AB49" s="36"/>
      <c r="AC49" s="36"/>
      <c r="AD49" s="36"/>
      <c r="AE49" s="36"/>
      <c r="AF49" s="36"/>
      <c r="AG49" s="36"/>
      <c r="AH49" s="36"/>
      <c r="AI49" s="36"/>
      <c r="AJ49" s="36"/>
      <c r="AK49" s="36"/>
      <c r="AL49" s="36"/>
      <c r="AM49" s="36">
        <v>1</v>
      </c>
      <c r="AN49" s="36">
        <v>1</v>
      </c>
      <c r="AO49" s="36"/>
      <c r="AP49" s="36">
        <v>8</v>
      </c>
      <c r="AQ49" s="36">
        <v>3</v>
      </c>
      <c r="AR49" s="36">
        <v>0</v>
      </c>
      <c r="AS49" s="36">
        <v>4.55</v>
      </c>
      <c r="AT49" s="36">
        <v>57</v>
      </c>
      <c r="AU49" s="36">
        <v>25</v>
      </c>
      <c r="AV49" s="36">
        <v>0</v>
      </c>
      <c r="AW49" s="36"/>
      <c r="AX49" s="36"/>
      <c r="AY49" s="36"/>
      <c r="AZ49" s="36"/>
      <c r="BA49" s="36"/>
      <c r="BB49" s="36"/>
      <c r="BC49" s="36"/>
      <c r="BD49" s="36"/>
      <c r="BE49" s="36"/>
      <c r="BF49" s="36"/>
      <c r="BG49" s="36"/>
      <c r="BH49" s="36"/>
      <c r="BI49" s="36"/>
      <c r="BJ49" s="36" t="s">
        <v>345</v>
      </c>
      <c r="BK49" s="36" t="s">
        <v>765</v>
      </c>
      <c r="BL49" s="36" t="s">
        <v>766</v>
      </c>
      <c r="BM49" s="36" t="s">
        <v>26</v>
      </c>
      <c r="BN49" s="36" t="s">
        <v>480</v>
      </c>
      <c r="BO49" s="36" t="s">
        <v>514</v>
      </c>
      <c r="BP49" s="36" t="s">
        <v>515</v>
      </c>
      <c r="BQ49" s="36" t="s">
        <v>500</v>
      </c>
      <c r="BR49" s="36" t="s">
        <v>500</v>
      </c>
      <c r="BS49" s="36" t="s">
        <v>510</v>
      </c>
      <c r="BT49" s="36" t="s">
        <v>765</v>
      </c>
      <c r="BU49" s="36" t="s">
        <v>766</v>
      </c>
      <c r="BV49" s="36" t="s">
        <v>20</v>
      </c>
      <c r="BW49" s="36" t="s">
        <v>351</v>
      </c>
      <c r="BX49" s="36" t="s">
        <v>510</v>
      </c>
      <c r="BY49" s="36" t="s">
        <v>722</v>
      </c>
    </row>
    <row r="50" spans="1:77" x14ac:dyDescent="0.3">
      <c r="A50" s="36" t="s">
        <v>640</v>
      </c>
      <c r="B50" s="36" t="s">
        <v>22</v>
      </c>
      <c r="C50" s="36" t="s">
        <v>348</v>
      </c>
      <c r="D50" s="36">
        <v>200</v>
      </c>
      <c r="E50" s="36" t="s">
        <v>347</v>
      </c>
      <c r="F50" s="36" t="s">
        <v>346</v>
      </c>
      <c r="G50" s="36"/>
      <c r="H50" s="36" t="s">
        <v>785</v>
      </c>
      <c r="I50" s="36">
        <v>32</v>
      </c>
      <c r="J50" s="36">
        <v>410</v>
      </c>
      <c r="K50" s="36" t="s">
        <v>786</v>
      </c>
      <c r="L50" s="36">
        <v>89</v>
      </c>
      <c r="M50" s="36">
        <v>1176</v>
      </c>
      <c r="N50" s="36"/>
      <c r="O50" s="36"/>
      <c r="P50" s="36" t="s">
        <v>787</v>
      </c>
      <c r="Q50" s="36">
        <v>16</v>
      </c>
      <c r="R50" s="36"/>
      <c r="S50" s="36">
        <v>0</v>
      </c>
      <c r="T50" s="36"/>
      <c r="U50" s="36"/>
      <c r="V50" s="36"/>
      <c r="W50" s="36"/>
      <c r="X50" s="36"/>
      <c r="Y50" s="36" t="s">
        <v>640</v>
      </c>
      <c r="Z50" s="36"/>
      <c r="AA50" s="36"/>
      <c r="AB50" s="36"/>
      <c r="AC50" s="36"/>
      <c r="AD50" s="36"/>
      <c r="AE50" s="36"/>
      <c r="AF50" s="36"/>
      <c r="AG50" s="36"/>
      <c r="AH50" s="36"/>
      <c r="AI50" s="36"/>
      <c r="AJ50" s="36"/>
      <c r="AK50" s="36"/>
      <c r="AL50" s="36"/>
      <c r="AM50" s="36">
        <v>2</v>
      </c>
      <c r="AN50" s="36">
        <v>1</v>
      </c>
      <c r="AO50" s="36"/>
      <c r="AP50" s="36">
        <v>8</v>
      </c>
      <c r="AQ50" s="36">
        <v>3</v>
      </c>
      <c r="AR50" s="36">
        <v>0</v>
      </c>
      <c r="AS50" s="36">
        <v>4.55</v>
      </c>
      <c r="AT50" s="36">
        <v>56</v>
      </c>
      <c r="AU50" s="36">
        <v>24</v>
      </c>
      <c r="AV50" s="36">
        <v>0</v>
      </c>
      <c r="AW50" s="36"/>
      <c r="AX50" s="36"/>
      <c r="AY50" s="36"/>
      <c r="AZ50" s="36"/>
      <c r="BA50" s="36"/>
      <c r="BB50" s="36"/>
      <c r="BC50" s="36"/>
      <c r="BD50" s="36"/>
      <c r="BE50" s="36"/>
      <c r="BF50" s="36"/>
      <c r="BG50" s="36"/>
      <c r="BH50" s="36"/>
      <c r="BI50" s="36"/>
      <c r="BJ50" s="36" t="s">
        <v>345</v>
      </c>
      <c r="BK50" s="36" t="s">
        <v>785</v>
      </c>
      <c r="BL50" s="36" t="s">
        <v>786</v>
      </c>
      <c r="BM50" s="36" t="s">
        <v>26</v>
      </c>
      <c r="BN50" s="36" t="s">
        <v>480</v>
      </c>
      <c r="BO50" s="36" t="s">
        <v>644</v>
      </c>
      <c r="BP50" s="36" t="s">
        <v>645</v>
      </c>
      <c r="BQ50" s="36" t="s">
        <v>500</v>
      </c>
      <c r="BR50" s="36" t="s">
        <v>500</v>
      </c>
      <c r="BS50" s="36" t="s">
        <v>640</v>
      </c>
      <c r="BT50" s="36" t="s">
        <v>785</v>
      </c>
      <c r="BU50" s="36" t="s">
        <v>786</v>
      </c>
      <c r="BV50" s="36" t="s">
        <v>20</v>
      </c>
      <c r="BW50" s="36" t="s">
        <v>351</v>
      </c>
      <c r="BX50" s="36" t="s">
        <v>640</v>
      </c>
      <c r="BY50" s="36" t="s">
        <v>733</v>
      </c>
    </row>
    <row r="51" spans="1:77" x14ac:dyDescent="0.3">
      <c r="A51" s="36" t="s">
        <v>622</v>
      </c>
      <c r="B51" s="36" t="s">
        <v>22</v>
      </c>
      <c r="C51" s="36" t="s">
        <v>348</v>
      </c>
      <c r="D51" s="36">
        <v>200</v>
      </c>
      <c r="E51" s="36" t="s">
        <v>347</v>
      </c>
      <c r="F51" s="36" t="s">
        <v>346</v>
      </c>
      <c r="G51" s="36"/>
      <c r="H51" s="36" t="s">
        <v>776</v>
      </c>
      <c r="I51" s="36">
        <v>33</v>
      </c>
      <c r="J51" s="36">
        <v>430</v>
      </c>
      <c r="K51" s="36" t="s">
        <v>777</v>
      </c>
      <c r="L51" s="36">
        <v>99</v>
      </c>
      <c r="M51" s="36">
        <v>1316</v>
      </c>
      <c r="N51" s="36"/>
      <c r="O51" s="36"/>
      <c r="P51" s="36" t="s">
        <v>778</v>
      </c>
      <c r="Q51" s="36">
        <v>17</v>
      </c>
      <c r="R51" s="36"/>
      <c r="S51" s="36">
        <v>0</v>
      </c>
      <c r="T51" s="36"/>
      <c r="U51" s="36"/>
      <c r="V51" s="36"/>
      <c r="W51" s="36"/>
      <c r="X51" s="36"/>
      <c r="Y51" s="36" t="s">
        <v>622</v>
      </c>
      <c r="Z51" s="36"/>
      <c r="AA51" s="36"/>
      <c r="AB51" s="36"/>
      <c r="AC51" s="36"/>
      <c r="AD51" s="36"/>
      <c r="AE51" s="36"/>
      <c r="AF51" s="36"/>
      <c r="AG51" s="36"/>
      <c r="AH51" s="36"/>
      <c r="AI51" s="36"/>
      <c r="AJ51" s="36"/>
      <c r="AK51" s="36"/>
      <c r="AL51" s="36"/>
      <c r="AM51" s="36">
        <v>2</v>
      </c>
      <c r="AN51" s="36">
        <v>1</v>
      </c>
      <c r="AO51" s="36"/>
      <c r="AP51" s="36">
        <v>8</v>
      </c>
      <c r="AQ51" s="36">
        <v>3</v>
      </c>
      <c r="AR51" s="36">
        <v>0</v>
      </c>
      <c r="AS51" s="36">
        <v>4.55</v>
      </c>
      <c r="AT51" s="36">
        <v>56</v>
      </c>
      <c r="AU51" s="36">
        <v>24</v>
      </c>
      <c r="AV51" s="36">
        <v>0</v>
      </c>
      <c r="AW51" s="36"/>
      <c r="AX51" s="36"/>
      <c r="AY51" s="36"/>
      <c r="AZ51" s="36"/>
      <c r="BA51" s="36"/>
      <c r="BB51" s="36"/>
      <c r="BC51" s="36"/>
      <c r="BD51" s="36"/>
      <c r="BE51" s="36"/>
      <c r="BF51" s="36"/>
      <c r="BG51" s="36"/>
      <c r="BH51" s="36"/>
      <c r="BI51" s="36"/>
      <c r="BJ51" s="36" t="s">
        <v>345</v>
      </c>
      <c r="BK51" s="36" t="s">
        <v>776</v>
      </c>
      <c r="BL51" s="36" t="s">
        <v>777</v>
      </c>
      <c r="BM51" s="36" t="s">
        <v>26</v>
      </c>
      <c r="BN51" s="36" t="s">
        <v>480</v>
      </c>
      <c r="BO51" s="36" t="s">
        <v>626</v>
      </c>
      <c r="BP51" s="36" t="s">
        <v>627</v>
      </c>
      <c r="BQ51" s="36" t="s">
        <v>500</v>
      </c>
      <c r="BR51" s="36" t="s">
        <v>500</v>
      </c>
      <c r="BS51" s="36" t="s">
        <v>622</v>
      </c>
      <c r="BT51" s="36" t="s">
        <v>776</v>
      </c>
      <c r="BU51" s="36" t="s">
        <v>777</v>
      </c>
      <c r="BV51" s="36" t="s">
        <v>20</v>
      </c>
      <c r="BW51" s="36" t="s">
        <v>351</v>
      </c>
      <c r="BX51" s="36" t="s">
        <v>622</v>
      </c>
      <c r="BY51" s="36" t="s">
        <v>730</v>
      </c>
    </row>
    <row r="52" spans="1:77" x14ac:dyDescent="0.3">
      <c r="A52" s="36" t="s">
        <v>521</v>
      </c>
      <c r="B52" s="36" t="s">
        <v>22</v>
      </c>
      <c r="C52" s="36" t="s">
        <v>348</v>
      </c>
      <c r="D52" s="36">
        <v>200</v>
      </c>
      <c r="E52" s="36" t="s">
        <v>347</v>
      </c>
      <c r="F52" s="36" t="s">
        <v>346</v>
      </c>
      <c r="G52" s="36"/>
      <c r="H52" s="36" t="s">
        <v>522</v>
      </c>
      <c r="I52" s="36">
        <v>43</v>
      </c>
      <c r="J52" s="36">
        <v>608</v>
      </c>
      <c r="K52" s="36" t="s">
        <v>768</v>
      </c>
      <c r="L52" s="36">
        <v>182</v>
      </c>
      <c r="M52" s="36">
        <v>2363</v>
      </c>
      <c r="N52" s="36"/>
      <c r="O52" s="36"/>
      <c r="P52" s="36" t="s">
        <v>524</v>
      </c>
      <c r="Q52" s="36">
        <v>27</v>
      </c>
      <c r="R52" s="36"/>
      <c r="S52" s="36">
        <v>0</v>
      </c>
      <c r="T52" s="36"/>
      <c r="U52" s="36"/>
      <c r="V52" s="36"/>
      <c r="W52" s="36"/>
      <c r="X52" s="36"/>
      <c r="Y52" s="36" t="s">
        <v>521</v>
      </c>
      <c r="Z52" s="36"/>
      <c r="AA52" s="36"/>
      <c r="AB52" s="36"/>
      <c r="AC52" s="36"/>
      <c r="AD52" s="36"/>
      <c r="AE52" s="36"/>
      <c r="AF52" s="36"/>
      <c r="AG52" s="36"/>
      <c r="AH52" s="36"/>
      <c r="AI52" s="36"/>
      <c r="AJ52" s="36"/>
      <c r="AK52" s="36"/>
      <c r="AL52" s="36"/>
      <c r="AM52" s="36">
        <v>1</v>
      </c>
      <c r="AN52" s="36">
        <v>1</v>
      </c>
      <c r="AO52" s="36"/>
      <c r="AP52" s="36">
        <v>9</v>
      </c>
      <c r="AQ52" s="36">
        <v>3</v>
      </c>
      <c r="AR52" s="36">
        <v>0</v>
      </c>
      <c r="AS52" s="36">
        <v>4.55</v>
      </c>
      <c r="AT52" s="36">
        <v>57</v>
      </c>
      <c r="AU52" s="36">
        <v>25</v>
      </c>
      <c r="AV52" s="36">
        <v>0</v>
      </c>
      <c r="AW52" s="36"/>
      <c r="AX52" s="36"/>
      <c r="AY52" s="36"/>
      <c r="AZ52" s="36"/>
      <c r="BA52" s="36"/>
      <c r="BB52" s="36"/>
      <c r="BC52" s="36"/>
      <c r="BD52" s="36"/>
      <c r="BE52" s="36"/>
      <c r="BF52" s="36"/>
      <c r="BG52" s="36"/>
      <c r="BH52" s="36"/>
      <c r="BI52" s="36"/>
      <c r="BJ52" s="36" t="s">
        <v>345</v>
      </c>
      <c r="BK52" s="36" t="s">
        <v>522</v>
      </c>
      <c r="BL52" s="36" t="s">
        <v>768</v>
      </c>
      <c r="BM52" s="36" t="s">
        <v>26</v>
      </c>
      <c r="BN52" s="36" t="s">
        <v>480</v>
      </c>
      <c r="BO52" s="36" t="s">
        <v>525</v>
      </c>
      <c r="BP52" s="36" t="s">
        <v>526</v>
      </c>
      <c r="BQ52" s="36" t="s">
        <v>500</v>
      </c>
      <c r="BR52" s="36" t="s">
        <v>500</v>
      </c>
      <c r="BS52" s="36" t="s">
        <v>521</v>
      </c>
      <c r="BT52" s="36" t="s">
        <v>522</v>
      </c>
      <c r="BU52" s="36" t="s">
        <v>768</v>
      </c>
      <c r="BV52" s="36" t="s">
        <v>20</v>
      </c>
      <c r="BW52" s="36" t="s">
        <v>351</v>
      </c>
      <c r="BX52" s="36" t="s">
        <v>521</v>
      </c>
      <c r="BY52" s="36" t="s">
        <v>723</v>
      </c>
    </row>
    <row r="53" spans="1:77" x14ac:dyDescent="0.3">
      <c r="A53" s="36" t="s">
        <v>494</v>
      </c>
      <c r="B53" s="36" t="s">
        <v>22</v>
      </c>
      <c r="C53" s="36" t="s">
        <v>348</v>
      </c>
      <c r="D53" s="36">
        <v>200</v>
      </c>
      <c r="E53" s="36" t="s">
        <v>347</v>
      </c>
      <c r="F53" s="36" t="s">
        <v>346</v>
      </c>
      <c r="G53" s="36"/>
      <c r="H53" s="36" t="s">
        <v>495</v>
      </c>
      <c r="I53" s="36">
        <v>44</v>
      </c>
      <c r="J53" s="36">
        <v>628</v>
      </c>
      <c r="K53" s="36" t="s">
        <v>763</v>
      </c>
      <c r="L53" s="36">
        <v>184</v>
      </c>
      <c r="M53" s="36">
        <v>2382</v>
      </c>
      <c r="N53" s="36"/>
      <c r="O53" s="36"/>
      <c r="P53" s="36" t="s">
        <v>497</v>
      </c>
      <c r="Q53" s="36">
        <v>28</v>
      </c>
      <c r="R53" s="36"/>
      <c r="S53" s="36">
        <v>0</v>
      </c>
      <c r="T53" s="36"/>
      <c r="U53" s="36"/>
      <c r="V53" s="36"/>
      <c r="W53" s="36"/>
      <c r="X53" s="36"/>
      <c r="Y53" s="36" t="s">
        <v>494</v>
      </c>
      <c r="Z53" s="36"/>
      <c r="AA53" s="36"/>
      <c r="AB53" s="36"/>
      <c r="AC53" s="36"/>
      <c r="AD53" s="36"/>
      <c r="AE53" s="36"/>
      <c r="AF53" s="36"/>
      <c r="AG53" s="36"/>
      <c r="AH53" s="36"/>
      <c r="AI53" s="36"/>
      <c r="AJ53" s="36"/>
      <c r="AK53" s="36"/>
      <c r="AL53" s="36"/>
      <c r="AM53" s="36">
        <v>1</v>
      </c>
      <c r="AN53" s="36">
        <v>1</v>
      </c>
      <c r="AO53" s="36"/>
      <c r="AP53" s="36">
        <v>12</v>
      </c>
      <c r="AQ53" s="36">
        <v>5</v>
      </c>
      <c r="AR53" s="36">
        <v>0</v>
      </c>
      <c r="AS53" s="36">
        <v>7.58</v>
      </c>
      <c r="AT53" s="36">
        <v>57</v>
      </c>
      <c r="AU53" s="36">
        <v>25</v>
      </c>
      <c r="AV53" s="36">
        <v>0</v>
      </c>
      <c r="AW53" s="36"/>
      <c r="AX53" s="36"/>
      <c r="AY53" s="36"/>
      <c r="AZ53" s="36"/>
      <c r="BA53" s="36"/>
      <c r="BB53" s="36"/>
      <c r="BC53" s="36"/>
      <c r="BD53" s="36"/>
      <c r="BE53" s="36"/>
      <c r="BF53" s="36"/>
      <c r="BG53" s="36"/>
      <c r="BH53" s="36"/>
      <c r="BI53" s="36"/>
      <c r="BJ53" s="36" t="s">
        <v>345</v>
      </c>
      <c r="BK53" s="36" t="s">
        <v>495</v>
      </c>
      <c r="BL53" s="36" t="s">
        <v>763</v>
      </c>
      <c r="BM53" s="36" t="s">
        <v>26</v>
      </c>
      <c r="BN53" s="36" t="s">
        <v>480</v>
      </c>
      <c r="BO53" s="36" t="s">
        <v>498</v>
      </c>
      <c r="BP53" s="36" t="s">
        <v>499</v>
      </c>
      <c r="BQ53" s="36" t="s">
        <v>500</v>
      </c>
      <c r="BR53" s="36" t="s">
        <v>500</v>
      </c>
      <c r="BS53" s="36" t="s">
        <v>494</v>
      </c>
      <c r="BT53" s="36" t="s">
        <v>495</v>
      </c>
      <c r="BU53" s="36" t="s">
        <v>763</v>
      </c>
      <c r="BV53" s="36" t="s">
        <v>20</v>
      </c>
      <c r="BW53" s="36" t="s">
        <v>351</v>
      </c>
      <c r="BX53" s="36" t="s">
        <v>494</v>
      </c>
      <c r="BY53" s="36" t="s">
        <v>721</v>
      </c>
    </row>
    <row r="54" spans="1:77" x14ac:dyDescent="0.3">
      <c r="A54" s="36" t="s">
        <v>578</v>
      </c>
      <c r="B54" s="36" t="s">
        <v>22</v>
      </c>
      <c r="C54" s="36" t="s">
        <v>348</v>
      </c>
      <c r="D54" s="36">
        <v>200</v>
      </c>
      <c r="E54" s="36" t="s">
        <v>347</v>
      </c>
      <c r="F54" s="36" t="s">
        <v>346</v>
      </c>
      <c r="G54" s="36"/>
      <c r="H54" s="36" t="s">
        <v>579</v>
      </c>
      <c r="I54" s="36">
        <v>43</v>
      </c>
      <c r="J54" s="36">
        <v>608</v>
      </c>
      <c r="K54" s="36" t="s">
        <v>769</v>
      </c>
      <c r="L54" s="36">
        <v>183</v>
      </c>
      <c r="M54" s="36">
        <v>2368</v>
      </c>
      <c r="N54" s="36"/>
      <c r="O54" s="36"/>
      <c r="P54" s="36" t="s">
        <v>581</v>
      </c>
      <c r="Q54" s="36">
        <v>27</v>
      </c>
      <c r="R54" s="36"/>
      <c r="S54" s="36">
        <v>0</v>
      </c>
      <c r="T54" s="36"/>
      <c r="U54" s="36"/>
      <c r="V54" s="36"/>
      <c r="W54" s="36"/>
      <c r="X54" s="36"/>
      <c r="Y54" s="36" t="s">
        <v>578</v>
      </c>
      <c r="Z54" s="36"/>
      <c r="AA54" s="36"/>
      <c r="AB54" s="36"/>
      <c r="AC54" s="36"/>
      <c r="AD54" s="36"/>
      <c r="AE54" s="36"/>
      <c r="AF54" s="36"/>
      <c r="AG54" s="36"/>
      <c r="AH54" s="36"/>
      <c r="AI54" s="36"/>
      <c r="AJ54" s="36"/>
      <c r="AK54" s="36"/>
      <c r="AL54" s="36"/>
      <c r="AM54" s="36">
        <v>1</v>
      </c>
      <c r="AN54" s="36">
        <v>1</v>
      </c>
      <c r="AO54" s="36"/>
      <c r="AP54" s="36">
        <v>12</v>
      </c>
      <c r="AQ54" s="36">
        <v>5</v>
      </c>
      <c r="AR54" s="36">
        <v>0</v>
      </c>
      <c r="AS54" s="36">
        <v>7.58</v>
      </c>
      <c r="AT54" s="36">
        <v>57</v>
      </c>
      <c r="AU54" s="36">
        <v>25</v>
      </c>
      <c r="AV54" s="36">
        <v>0</v>
      </c>
      <c r="AW54" s="36"/>
      <c r="AX54" s="36"/>
      <c r="AY54" s="36"/>
      <c r="AZ54" s="36"/>
      <c r="BA54" s="36"/>
      <c r="BB54" s="36"/>
      <c r="BC54" s="36"/>
      <c r="BD54" s="36"/>
      <c r="BE54" s="36"/>
      <c r="BF54" s="36"/>
      <c r="BG54" s="36"/>
      <c r="BH54" s="36"/>
      <c r="BI54" s="36"/>
      <c r="BJ54" s="36" t="s">
        <v>345</v>
      </c>
      <c r="BK54" s="36" t="s">
        <v>579</v>
      </c>
      <c r="BL54" s="36" t="s">
        <v>769</v>
      </c>
      <c r="BM54" s="36" t="s">
        <v>26</v>
      </c>
      <c r="BN54" s="36" t="s">
        <v>480</v>
      </c>
      <c r="BO54" s="36" t="s">
        <v>582</v>
      </c>
      <c r="BP54" s="36" t="s">
        <v>583</v>
      </c>
      <c r="BQ54" s="36" t="s">
        <v>500</v>
      </c>
      <c r="BR54" s="36" t="s">
        <v>500</v>
      </c>
      <c r="BS54" s="36" t="s">
        <v>578</v>
      </c>
      <c r="BT54" s="36" t="s">
        <v>579</v>
      </c>
      <c r="BU54" s="36" t="s">
        <v>769</v>
      </c>
      <c r="BV54" s="36" t="s">
        <v>20</v>
      </c>
      <c r="BW54" s="36" t="s">
        <v>351</v>
      </c>
      <c r="BX54" s="36" t="s">
        <v>578</v>
      </c>
      <c r="BY54" s="36" t="s">
        <v>723</v>
      </c>
    </row>
    <row r="55" spans="1:77" x14ac:dyDescent="0.3">
      <c r="A55" s="36" t="s">
        <v>529</v>
      </c>
      <c r="B55" s="36" t="s">
        <v>22</v>
      </c>
      <c r="C55" s="36" t="s">
        <v>348</v>
      </c>
      <c r="D55" s="36">
        <v>200</v>
      </c>
      <c r="E55" s="36" t="s">
        <v>347</v>
      </c>
      <c r="F55" s="36" t="s">
        <v>346</v>
      </c>
      <c r="G55" s="36"/>
      <c r="H55" s="36" t="s">
        <v>530</v>
      </c>
      <c r="I55" s="36">
        <v>44</v>
      </c>
      <c r="J55" s="36">
        <v>628</v>
      </c>
      <c r="K55" s="36" t="s">
        <v>770</v>
      </c>
      <c r="L55" s="36">
        <v>186</v>
      </c>
      <c r="M55" s="36">
        <v>2410</v>
      </c>
      <c r="N55" s="36"/>
      <c r="O55" s="36"/>
      <c r="P55" s="36" t="s">
        <v>532</v>
      </c>
      <c r="Q55" s="36">
        <v>28</v>
      </c>
      <c r="R55" s="36"/>
      <c r="S55" s="36">
        <v>0</v>
      </c>
      <c r="T55" s="36"/>
      <c r="U55" s="36"/>
      <c r="V55" s="36"/>
      <c r="W55" s="36"/>
      <c r="X55" s="36"/>
      <c r="Y55" s="36" t="s">
        <v>529</v>
      </c>
      <c r="Z55" s="36"/>
      <c r="AA55" s="36"/>
      <c r="AB55" s="36"/>
      <c r="AC55" s="36"/>
      <c r="AD55" s="36"/>
      <c r="AE55" s="36"/>
      <c r="AF55" s="36"/>
      <c r="AG55" s="36"/>
      <c r="AH55" s="36"/>
      <c r="AI55" s="36"/>
      <c r="AJ55" s="36"/>
      <c r="AK55" s="36"/>
      <c r="AL55" s="36"/>
      <c r="AM55" s="36">
        <v>1</v>
      </c>
      <c r="AN55" s="36">
        <v>1</v>
      </c>
      <c r="AO55" s="36"/>
      <c r="AP55" s="36">
        <v>10</v>
      </c>
      <c r="AQ55" s="36">
        <v>5</v>
      </c>
      <c r="AR55" s="36">
        <v>0</v>
      </c>
      <c r="AS55" s="36">
        <v>7.58</v>
      </c>
      <c r="AT55" s="36">
        <v>57</v>
      </c>
      <c r="AU55" s="36">
        <v>25</v>
      </c>
      <c r="AV55" s="36">
        <v>0</v>
      </c>
      <c r="AW55" s="36"/>
      <c r="AX55" s="36"/>
      <c r="AY55" s="36"/>
      <c r="AZ55" s="36"/>
      <c r="BA55" s="36"/>
      <c r="BB55" s="36"/>
      <c r="BC55" s="36"/>
      <c r="BD55" s="36"/>
      <c r="BE55" s="36"/>
      <c r="BF55" s="36"/>
      <c r="BG55" s="36"/>
      <c r="BH55" s="36"/>
      <c r="BI55" s="36"/>
      <c r="BJ55" s="36" t="s">
        <v>345</v>
      </c>
      <c r="BK55" s="36" t="s">
        <v>530</v>
      </c>
      <c r="BL55" s="36" t="s">
        <v>770</v>
      </c>
      <c r="BM55" s="36" t="s">
        <v>26</v>
      </c>
      <c r="BN55" s="36" t="s">
        <v>480</v>
      </c>
      <c r="BO55" s="36" t="s">
        <v>533</v>
      </c>
      <c r="BP55" s="36" t="s">
        <v>534</v>
      </c>
      <c r="BQ55" s="36" t="s">
        <v>500</v>
      </c>
      <c r="BR55" s="36" t="s">
        <v>500</v>
      </c>
      <c r="BS55" s="36" t="s">
        <v>529</v>
      </c>
      <c r="BT55" s="36" t="s">
        <v>530</v>
      </c>
      <c r="BU55" s="36" t="s">
        <v>770</v>
      </c>
      <c r="BV55" s="36" t="s">
        <v>20</v>
      </c>
      <c r="BW55" s="36" t="s">
        <v>351</v>
      </c>
      <c r="BX55" s="36" t="s">
        <v>529</v>
      </c>
      <c r="BY55" s="36" t="s">
        <v>724</v>
      </c>
    </row>
    <row r="56" spans="1:77" x14ac:dyDescent="0.3">
      <c r="A56" s="36" t="s">
        <v>535</v>
      </c>
      <c r="B56" s="36" t="s">
        <v>22</v>
      </c>
      <c r="C56" s="36" t="s">
        <v>348</v>
      </c>
      <c r="D56" s="36">
        <v>200</v>
      </c>
      <c r="E56" s="36" t="s">
        <v>347</v>
      </c>
      <c r="F56" s="36" t="s">
        <v>346</v>
      </c>
      <c r="G56" s="36"/>
      <c r="H56" s="36" t="s">
        <v>536</v>
      </c>
      <c r="I56" s="36">
        <v>45</v>
      </c>
      <c r="J56" s="36">
        <v>648</v>
      </c>
      <c r="K56" s="36" t="s">
        <v>758</v>
      </c>
      <c r="L56" s="36">
        <v>187</v>
      </c>
      <c r="M56" s="36">
        <v>2424</v>
      </c>
      <c r="N56" s="36"/>
      <c r="O56" s="36"/>
      <c r="P56" s="36" t="s">
        <v>538</v>
      </c>
      <c r="Q56" s="36">
        <v>29</v>
      </c>
      <c r="R56" s="36"/>
      <c r="S56" s="36">
        <v>0</v>
      </c>
      <c r="T56" s="36"/>
      <c r="U56" s="36"/>
      <c r="V56" s="36"/>
      <c r="W56" s="36"/>
      <c r="X56" s="36"/>
      <c r="Y56" s="36" t="s">
        <v>535</v>
      </c>
      <c r="Z56" s="36"/>
      <c r="AA56" s="36"/>
      <c r="AB56" s="36"/>
      <c r="AC56" s="36"/>
      <c r="AD56" s="36"/>
      <c r="AE56" s="36"/>
      <c r="AF56" s="36"/>
      <c r="AG56" s="36"/>
      <c r="AH56" s="36"/>
      <c r="AI56" s="36"/>
      <c r="AJ56" s="36"/>
      <c r="AK56" s="36"/>
      <c r="AL56" s="36"/>
      <c r="AM56" s="36">
        <v>1</v>
      </c>
      <c r="AN56" s="36">
        <v>1</v>
      </c>
      <c r="AO56" s="36"/>
      <c r="AP56" s="36">
        <v>12</v>
      </c>
      <c r="AQ56" s="36">
        <v>5</v>
      </c>
      <c r="AR56" s="36">
        <v>0</v>
      </c>
      <c r="AS56" s="36">
        <v>7.58</v>
      </c>
      <c r="AT56" s="36">
        <v>57</v>
      </c>
      <c r="AU56" s="36">
        <v>25</v>
      </c>
      <c r="AV56" s="36">
        <v>0</v>
      </c>
      <c r="AW56" s="36"/>
      <c r="AX56" s="36"/>
      <c r="AY56" s="36"/>
      <c r="AZ56" s="36"/>
      <c r="BA56" s="36"/>
      <c r="BB56" s="36"/>
      <c r="BC56" s="36"/>
      <c r="BD56" s="36"/>
      <c r="BE56" s="36"/>
      <c r="BF56" s="36"/>
      <c r="BG56" s="36"/>
      <c r="BH56" s="36"/>
      <c r="BI56" s="36"/>
      <c r="BJ56" s="36" t="s">
        <v>345</v>
      </c>
      <c r="BK56" s="36" t="s">
        <v>536</v>
      </c>
      <c r="BL56" s="36" t="s">
        <v>758</v>
      </c>
      <c r="BM56" s="36" t="s">
        <v>26</v>
      </c>
      <c r="BN56" s="36" t="s">
        <v>480</v>
      </c>
      <c r="BO56" s="36" t="s">
        <v>539</v>
      </c>
      <c r="BP56" s="36" t="s">
        <v>540</v>
      </c>
      <c r="BQ56" s="36" t="s">
        <v>500</v>
      </c>
      <c r="BR56" s="36" t="s">
        <v>500</v>
      </c>
      <c r="BS56" s="36" t="s">
        <v>535</v>
      </c>
      <c r="BT56" s="36" t="s">
        <v>536</v>
      </c>
      <c r="BU56" s="36" t="s">
        <v>758</v>
      </c>
      <c r="BV56" s="36" t="s">
        <v>20</v>
      </c>
      <c r="BW56" s="36" t="s">
        <v>351</v>
      </c>
      <c r="BX56" s="36" t="s">
        <v>535</v>
      </c>
      <c r="BY56" s="36" t="s">
        <v>719</v>
      </c>
    </row>
    <row r="57" spans="1:77" x14ac:dyDescent="0.3">
      <c r="A57" s="36" t="s">
        <v>550</v>
      </c>
      <c r="B57" s="36" t="s">
        <v>22</v>
      </c>
      <c r="C57" s="36" t="s">
        <v>348</v>
      </c>
      <c r="D57" s="36">
        <v>200</v>
      </c>
      <c r="E57" s="36" t="s">
        <v>347</v>
      </c>
      <c r="F57" s="36" t="s">
        <v>346</v>
      </c>
      <c r="G57" s="36"/>
      <c r="H57" s="36" t="s">
        <v>551</v>
      </c>
      <c r="I57" s="36">
        <v>44</v>
      </c>
      <c r="J57" s="36">
        <v>628</v>
      </c>
      <c r="K57" s="36" t="s">
        <v>759</v>
      </c>
      <c r="L57" s="36">
        <v>193</v>
      </c>
      <c r="M57" s="36">
        <v>2508</v>
      </c>
      <c r="N57" s="36"/>
      <c r="O57" s="36"/>
      <c r="P57" s="36" t="s">
        <v>553</v>
      </c>
      <c r="Q57" s="36">
        <v>28</v>
      </c>
      <c r="R57" s="36"/>
      <c r="S57" s="36">
        <v>0</v>
      </c>
      <c r="T57" s="36"/>
      <c r="U57" s="36"/>
      <c r="V57" s="36"/>
      <c r="W57" s="36"/>
      <c r="X57" s="36"/>
      <c r="Y57" s="36" t="s">
        <v>550</v>
      </c>
      <c r="Z57" s="36"/>
      <c r="AA57" s="36"/>
      <c r="AB57" s="36"/>
      <c r="AC57" s="36"/>
      <c r="AD57" s="36"/>
      <c r="AE57" s="36"/>
      <c r="AF57" s="36"/>
      <c r="AG57" s="36"/>
      <c r="AH57" s="36"/>
      <c r="AI57" s="36"/>
      <c r="AJ57" s="36"/>
      <c r="AK57" s="36"/>
      <c r="AL57" s="36"/>
      <c r="AM57" s="36">
        <v>1</v>
      </c>
      <c r="AN57" s="36">
        <v>1</v>
      </c>
      <c r="AO57" s="36"/>
      <c r="AP57" s="36">
        <v>14</v>
      </c>
      <c r="AQ57" s="36">
        <v>9</v>
      </c>
      <c r="AR57" s="36">
        <v>0</v>
      </c>
      <c r="AS57" s="36">
        <v>13.64</v>
      </c>
      <c r="AT57" s="36">
        <v>59</v>
      </c>
      <c r="AU57" s="36">
        <v>27</v>
      </c>
      <c r="AV57" s="36">
        <v>0</v>
      </c>
      <c r="AW57" s="36"/>
      <c r="AX57" s="36"/>
      <c r="AY57" s="36"/>
      <c r="AZ57" s="36"/>
      <c r="BA57" s="36"/>
      <c r="BB57" s="36"/>
      <c r="BC57" s="36"/>
      <c r="BD57" s="36"/>
      <c r="BE57" s="36"/>
      <c r="BF57" s="36"/>
      <c r="BG57" s="36"/>
      <c r="BH57" s="36"/>
      <c r="BI57" s="36"/>
      <c r="BJ57" s="36" t="s">
        <v>345</v>
      </c>
      <c r="BK57" s="36" t="s">
        <v>551</v>
      </c>
      <c r="BL57" s="36" t="s">
        <v>759</v>
      </c>
      <c r="BM57" s="36" t="s">
        <v>26</v>
      </c>
      <c r="BN57" s="36" t="s">
        <v>480</v>
      </c>
      <c r="BO57" s="36" t="s">
        <v>554</v>
      </c>
      <c r="BP57" s="36" t="s">
        <v>555</v>
      </c>
      <c r="BQ57" s="36" t="s">
        <v>500</v>
      </c>
      <c r="BR57" s="36" t="s">
        <v>500</v>
      </c>
      <c r="BS57" s="36" t="s">
        <v>550</v>
      </c>
      <c r="BT57" s="36" t="s">
        <v>551</v>
      </c>
      <c r="BU57" s="36" t="s">
        <v>759</v>
      </c>
      <c r="BV57" s="36" t="s">
        <v>20</v>
      </c>
      <c r="BW57" s="36" t="s">
        <v>351</v>
      </c>
      <c r="BX57" s="36" t="s">
        <v>550</v>
      </c>
      <c r="BY57" s="36" t="s">
        <v>720</v>
      </c>
    </row>
    <row r="58" spans="1:77" x14ac:dyDescent="0.3">
      <c r="A58" s="36" t="s">
        <v>556</v>
      </c>
      <c r="B58" s="36" t="s">
        <v>22</v>
      </c>
      <c r="C58" s="36" t="s">
        <v>348</v>
      </c>
      <c r="D58" s="36">
        <v>200</v>
      </c>
      <c r="E58" s="36" t="s">
        <v>347</v>
      </c>
      <c r="F58" s="36" t="s">
        <v>346</v>
      </c>
      <c r="G58" s="36"/>
      <c r="H58" s="36" t="s">
        <v>760</v>
      </c>
      <c r="I58" s="36">
        <v>44</v>
      </c>
      <c r="J58" s="36">
        <v>628</v>
      </c>
      <c r="K58" s="36" t="s">
        <v>761</v>
      </c>
      <c r="L58" s="36">
        <v>193</v>
      </c>
      <c r="M58" s="36">
        <v>2508</v>
      </c>
      <c r="N58" s="36"/>
      <c r="O58" s="36"/>
      <c r="P58" s="36" t="s">
        <v>762</v>
      </c>
      <c r="Q58" s="36">
        <v>28</v>
      </c>
      <c r="R58" s="36"/>
      <c r="S58" s="36">
        <v>0</v>
      </c>
      <c r="T58" s="36"/>
      <c r="U58" s="36"/>
      <c r="V58" s="36"/>
      <c r="W58" s="36"/>
      <c r="X58" s="36"/>
      <c r="Y58" s="36" t="s">
        <v>556</v>
      </c>
      <c r="Z58" s="36"/>
      <c r="AA58" s="36"/>
      <c r="AB58" s="36"/>
      <c r="AC58" s="36"/>
      <c r="AD58" s="36"/>
      <c r="AE58" s="36"/>
      <c r="AF58" s="36"/>
      <c r="AG58" s="36"/>
      <c r="AH58" s="36"/>
      <c r="AI58" s="36"/>
      <c r="AJ58" s="36"/>
      <c r="AK58" s="36"/>
      <c r="AL58" s="36"/>
      <c r="AM58" s="36">
        <v>1</v>
      </c>
      <c r="AN58" s="36">
        <v>1</v>
      </c>
      <c r="AO58" s="36"/>
      <c r="AP58" s="36">
        <v>14</v>
      </c>
      <c r="AQ58" s="36">
        <v>9</v>
      </c>
      <c r="AR58" s="36">
        <v>0</v>
      </c>
      <c r="AS58" s="36">
        <v>13.64</v>
      </c>
      <c r="AT58" s="36">
        <v>59</v>
      </c>
      <c r="AU58" s="36">
        <v>27</v>
      </c>
      <c r="AV58" s="36">
        <v>0</v>
      </c>
      <c r="AW58" s="36"/>
      <c r="AX58" s="36"/>
      <c r="AY58" s="36"/>
      <c r="AZ58" s="36"/>
      <c r="BA58" s="36"/>
      <c r="BB58" s="36"/>
      <c r="BC58" s="36"/>
      <c r="BD58" s="36"/>
      <c r="BE58" s="36"/>
      <c r="BF58" s="36"/>
      <c r="BG58" s="36"/>
      <c r="BH58" s="36"/>
      <c r="BI58" s="36"/>
      <c r="BJ58" s="36" t="s">
        <v>345</v>
      </c>
      <c r="BK58" s="36" t="s">
        <v>760</v>
      </c>
      <c r="BL58" s="36" t="s">
        <v>761</v>
      </c>
      <c r="BM58" s="36" t="s">
        <v>26</v>
      </c>
      <c r="BN58" s="36" t="s">
        <v>480</v>
      </c>
      <c r="BO58" s="36" t="s">
        <v>560</v>
      </c>
      <c r="BP58" s="36" t="s">
        <v>561</v>
      </c>
      <c r="BQ58" s="36" t="s">
        <v>500</v>
      </c>
      <c r="BR58" s="36" t="s">
        <v>500</v>
      </c>
      <c r="BS58" s="36" t="s">
        <v>556</v>
      </c>
      <c r="BT58" s="36" t="s">
        <v>760</v>
      </c>
      <c r="BU58" s="36" t="s">
        <v>761</v>
      </c>
      <c r="BV58" s="36" t="s">
        <v>20</v>
      </c>
      <c r="BW58" s="36" t="s">
        <v>351</v>
      </c>
      <c r="BX58" s="36" t="s">
        <v>556</v>
      </c>
      <c r="BY58" s="36" t="s">
        <v>720</v>
      </c>
    </row>
    <row r="59" spans="1:77" x14ac:dyDescent="0.3">
      <c r="A59" s="36" t="s">
        <v>616</v>
      </c>
      <c r="B59" s="36" t="s">
        <v>22</v>
      </c>
      <c r="C59" s="36" t="s">
        <v>348</v>
      </c>
      <c r="D59" s="36">
        <v>200</v>
      </c>
      <c r="E59" s="36" t="s">
        <v>347</v>
      </c>
      <c r="F59" s="36" t="s">
        <v>346</v>
      </c>
      <c r="G59" s="36"/>
      <c r="H59" s="36" t="s">
        <v>773</v>
      </c>
      <c r="I59" s="36">
        <v>40</v>
      </c>
      <c r="J59" s="36">
        <v>548</v>
      </c>
      <c r="K59" s="36" t="s">
        <v>774</v>
      </c>
      <c r="L59" s="36">
        <v>131</v>
      </c>
      <c r="M59" s="36">
        <v>1686</v>
      </c>
      <c r="N59" s="36"/>
      <c r="O59" s="36"/>
      <c r="P59" s="36" t="s">
        <v>775</v>
      </c>
      <c r="Q59" s="36">
        <v>24</v>
      </c>
      <c r="R59" s="36"/>
      <c r="S59" s="36">
        <v>0</v>
      </c>
      <c r="T59" s="36"/>
      <c r="U59" s="36"/>
      <c r="V59" s="36"/>
      <c r="W59" s="36"/>
      <c r="X59" s="36"/>
      <c r="Y59" s="36" t="s">
        <v>616</v>
      </c>
      <c r="Z59" s="36"/>
      <c r="AA59" s="36"/>
      <c r="AB59" s="36"/>
      <c r="AC59" s="36"/>
      <c r="AD59" s="36"/>
      <c r="AE59" s="36"/>
      <c r="AF59" s="36"/>
      <c r="AG59" s="36"/>
      <c r="AH59" s="36"/>
      <c r="AI59" s="36"/>
      <c r="AJ59" s="36"/>
      <c r="AK59" s="36"/>
      <c r="AL59" s="36"/>
      <c r="AM59" s="36">
        <v>2</v>
      </c>
      <c r="AN59" s="36">
        <v>1</v>
      </c>
      <c r="AO59" s="36"/>
      <c r="AP59" s="36">
        <v>8</v>
      </c>
      <c r="AQ59" s="36">
        <v>3</v>
      </c>
      <c r="AR59" s="36">
        <v>0</v>
      </c>
      <c r="AS59" s="36">
        <v>4.55</v>
      </c>
      <c r="AT59" s="36">
        <v>56</v>
      </c>
      <c r="AU59" s="36">
        <v>24</v>
      </c>
      <c r="AV59" s="36">
        <v>0</v>
      </c>
      <c r="AW59" s="36"/>
      <c r="AX59" s="36"/>
      <c r="AY59" s="36"/>
      <c r="AZ59" s="36"/>
      <c r="BA59" s="36"/>
      <c r="BB59" s="36"/>
      <c r="BC59" s="36"/>
      <c r="BD59" s="36"/>
      <c r="BE59" s="36"/>
      <c r="BF59" s="36"/>
      <c r="BG59" s="36"/>
      <c r="BH59" s="36"/>
      <c r="BI59" s="36"/>
      <c r="BJ59" s="36" t="s">
        <v>345</v>
      </c>
      <c r="BK59" s="36" t="s">
        <v>773</v>
      </c>
      <c r="BL59" s="36" t="s">
        <v>774</v>
      </c>
      <c r="BM59" s="36" t="s">
        <v>26</v>
      </c>
      <c r="BN59" s="36" t="s">
        <v>480</v>
      </c>
      <c r="BO59" s="36" t="s">
        <v>620</v>
      </c>
      <c r="BP59" s="36" t="s">
        <v>621</v>
      </c>
      <c r="BQ59" s="36" t="s">
        <v>500</v>
      </c>
      <c r="BR59" s="36" t="s">
        <v>500</v>
      </c>
      <c r="BS59" s="36" t="s">
        <v>616</v>
      </c>
      <c r="BT59" s="36" t="s">
        <v>773</v>
      </c>
      <c r="BU59" s="36" t="s">
        <v>774</v>
      </c>
      <c r="BV59" s="36" t="s">
        <v>20</v>
      </c>
      <c r="BW59" s="36" t="s">
        <v>351</v>
      </c>
      <c r="BX59" s="36" t="s">
        <v>616</v>
      </c>
      <c r="BY59" s="36" t="s">
        <v>729</v>
      </c>
    </row>
    <row r="60" spans="1:77" x14ac:dyDescent="0.3">
      <c r="A60" s="36" t="s">
        <v>652</v>
      </c>
      <c r="B60" s="36" t="s">
        <v>22</v>
      </c>
      <c r="C60" s="36" t="s">
        <v>348</v>
      </c>
      <c r="D60" s="36">
        <v>200</v>
      </c>
      <c r="E60" s="36" t="s">
        <v>347</v>
      </c>
      <c r="F60" s="36" t="s">
        <v>346</v>
      </c>
      <c r="G60" s="36"/>
      <c r="H60" s="36" t="s">
        <v>653</v>
      </c>
      <c r="I60" s="36">
        <v>40</v>
      </c>
      <c r="J60" s="36">
        <v>548</v>
      </c>
      <c r="K60" s="36" t="s">
        <v>783</v>
      </c>
      <c r="L60" s="36">
        <v>139</v>
      </c>
      <c r="M60" s="36">
        <v>1789</v>
      </c>
      <c r="N60" s="36"/>
      <c r="O60" s="36"/>
      <c r="P60" s="36" t="s">
        <v>655</v>
      </c>
      <c r="Q60" s="36">
        <v>24</v>
      </c>
      <c r="R60" s="36"/>
      <c r="S60" s="36">
        <v>0</v>
      </c>
      <c r="T60" s="36"/>
      <c r="U60" s="36"/>
      <c r="V60" s="36"/>
      <c r="W60" s="36"/>
      <c r="X60" s="36"/>
      <c r="Y60" s="36" t="s">
        <v>652</v>
      </c>
      <c r="Z60" s="36"/>
      <c r="AA60" s="36"/>
      <c r="AB60" s="36"/>
      <c r="AC60" s="36"/>
      <c r="AD60" s="36"/>
      <c r="AE60" s="36"/>
      <c r="AF60" s="36"/>
      <c r="AG60" s="36"/>
      <c r="AH60" s="36"/>
      <c r="AI60" s="36"/>
      <c r="AJ60" s="36"/>
      <c r="AK60" s="36"/>
      <c r="AL60" s="36"/>
      <c r="AM60" s="36">
        <v>2</v>
      </c>
      <c r="AN60" s="36">
        <v>1</v>
      </c>
      <c r="AO60" s="36"/>
      <c r="AP60" s="36">
        <v>8</v>
      </c>
      <c r="AQ60" s="36">
        <v>3</v>
      </c>
      <c r="AR60" s="36">
        <v>0</v>
      </c>
      <c r="AS60" s="36">
        <v>4.55</v>
      </c>
      <c r="AT60" s="36">
        <v>56</v>
      </c>
      <c r="AU60" s="36">
        <v>24</v>
      </c>
      <c r="AV60" s="36">
        <v>0</v>
      </c>
      <c r="AW60" s="36"/>
      <c r="AX60" s="36"/>
      <c r="AY60" s="36"/>
      <c r="AZ60" s="36"/>
      <c r="BA60" s="36"/>
      <c r="BB60" s="36"/>
      <c r="BC60" s="36"/>
      <c r="BD60" s="36"/>
      <c r="BE60" s="36"/>
      <c r="BF60" s="36"/>
      <c r="BG60" s="36"/>
      <c r="BH60" s="36"/>
      <c r="BI60" s="36"/>
      <c r="BJ60" s="36" t="s">
        <v>345</v>
      </c>
      <c r="BK60" s="36" t="s">
        <v>653</v>
      </c>
      <c r="BL60" s="36" t="s">
        <v>783</v>
      </c>
      <c r="BM60" s="36" t="s">
        <v>26</v>
      </c>
      <c r="BN60" s="36" t="s">
        <v>480</v>
      </c>
      <c r="BO60" s="36" t="s">
        <v>656</v>
      </c>
      <c r="BP60" s="36" t="s">
        <v>657</v>
      </c>
      <c r="BQ60" s="36" t="s">
        <v>500</v>
      </c>
      <c r="BR60" s="36" t="s">
        <v>500</v>
      </c>
      <c r="BS60" s="36" t="s">
        <v>652</v>
      </c>
      <c r="BT60" s="36" t="s">
        <v>653</v>
      </c>
      <c r="BU60" s="36" t="s">
        <v>783</v>
      </c>
      <c r="BV60" s="36" t="s">
        <v>20</v>
      </c>
      <c r="BW60" s="36" t="s">
        <v>351</v>
      </c>
      <c r="BX60" s="36" t="s">
        <v>652</v>
      </c>
      <c r="BY60" s="36" t="s">
        <v>732</v>
      </c>
    </row>
    <row r="61" spans="1:77" x14ac:dyDescent="0.3">
      <c r="A61" s="36" t="s">
        <v>628</v>
      </c>
      <c r="B61" s="36" t="s">
        <v>22</v>
      </c>
      <c r="C61" s="36" t="s">
        <v>348</v>
      </c>
      <c r="D61" s="36">
        <v>200</v>
      </c>
      <c r="E61" s="36" t="s">
        <v>347</v>
      </c>
      <c r="F61" s="36" t="s">
        <v>346</v>
      </c>
      <c r="G61" s="36"/>
      <c r="H61" s="36" t="s">
        <v>779</v>
      </c>
      <c r="I61" s="36">
        <v>40</v>
      </c>
      <c r="J61" s="36">
        <v>548</v>
      </c>
      <c r="K61" s="36" t="s">
        <v>780</v>
      </c>
      <c r="L61" s="36">
        <v>133</v>
      </c>
      <c r="M61" s="36">
        <v>1642</v>
      </c>
      <c r="N61" s="36"/>
      <c r="O61" s="36"/>
      <c r="P61" s="36" t="s">
        <v>781</v>
      </c>
      <c r="Q61" s="36">
        <v>24</v>
      </c>
      <c r="R61" s="36"/>
      <c r="S61" s="36">
        <v>0</v>
      </c>
      <c r="T61" s="36"/>
      <c r="U61" s="36"/>
      <c r="V61" s="36"/>
      <c r="W61" s="36"/>
      <c r="X61" s="36"/>
      <c r="Y61" s="36" t="s">
        <v>628</v>
      </c>
      <c r="Z61" s="36"/>
      <c r="AA61" s="36"/>
      <c r="AB61" s="36"/>
      <c r="AC61" s="36"/>
      <c r="AD61" s="36"/>
      <c r="AE61" s="36"/>
      <c r="AF61" s="36"/>
      <c r="AG61" s="36"/>
      <c r="AH61" s="36"/>
      <c r="AI61" s="36"/>
      <c r="AJ61" s="36"/>
      <c r="AK61" s="36"/>
      <c r="AL61" s="36"/>
      <c r="AM61" s="36">
        <v>2</v>
      </c>
      <c r="AN61" s="36">
        <v>1</v>
      </c>
      <c r="AO61" s="36"/>
      <c r="AP61" s="36">
        <v>8</v>
      </c>
      <c r="AQ61" s="36">
        <v>3</v>
      </c>
      <c r="AR61" s="36">
        <v>0</v>
      </c>
      <c r="AS61" s="36">
        <v>4.55</v>
      </c>
      <c r="AT61" s="36">
        <v>56</v>
      </c>
      <c r="AU61" s="36">
        <v>24</v>
      </c>
      <c r="AV61" s="36">
        <v>0</v>
      </c>
      <c r="AW61" s="36"/>
      <c r="AX61" s="36"/>
      <c r="AY61" s="36"/>
      <c r="AZ61" s="36"/>
      <c r="BA61" s="36"/>
      <c r="BB61" s="36"/>
      <c r="BC61" s="36"/>
      <c r="BD61" s="36"/>
      <c r="BE61" s="36"/>
      <c r="BF61" s="36"/>
      <c r="BG61" s="36"/>
      <c r="BH61" s="36"/>
      <c r="BI61" s="36"/>
      <c r="BJ61" s="36" t="s">
        <v>345</v>
      </c>
      <c r="BK61" s="36" t="s">
        <v>779</v>
      </c>
      <c r="BL61" s="36" t="s">
        <v>780</v>
      </c>
      <c r="BM61" s="36" t="s">
        <v>26</v>
      </c>
      <c r="BN61" s="36" t="s">
        <v>480</v>
      </c>
      <c r="BO61" s="36" t="s">
        <v>632</v>
      </c>
      <c r="BP61" s="36" t="s">
        <v>633</v>
      </c>
      <c r="BQ61" s="36" t="s">
        <v>500</v>
      </c>
      <c r="BR61" s="36" t="s">
        <v>500</v>
      </c>
      <c r="BS61" s="36" t="s">
        <v>628</v>
      </c>
      <c r="BT61" s="36" t="s">
        <v>779</v>
      </c>
      <c r="BU61" s="36" t="s">
        <v>780</v>
      </c>
      <c r="BV61" s="36" t="s">
        <v>20</v>
      </c>
      <c r="BW61" s="36" t="s">
        <v>351</v>
      </c>
      <c r="BX61" s="36" t="s">
        <v>628</v>
      </c>
      <c r="BY61" s="36" t="s">
        <v>731</v>
      </c>
    </row>
    <row r="62" spans="1:77" x14ac:dyDescent="0.3">
      <c r="A62" s="36" t="s">
        <v>610</v>
      </c>
      <c r="B62" s="36" t="s">
        <v>22</v>
      </c>
      <c r="C62" s="36" t="s">
        <v>348</v>
      </c>
      <c r="D62" s="36">
        <v>200</v>
      </c>
      <c r="E62" s="36" t="s">
        <v>347</v>
      </c>
      <c r="F62" s="36" t="s">
        <v>346</v>
      </c>
      <c r="G62" s="36"/>
      <c r="H62" s="36" t="s">
        <v>611</v>
      </c>
      <c r="I62" s="36">
        <v>35</v>
      </c>
      <c r="J62" s="36">
        <v>489</v>
      </c>
      <c r="K62" s="36" t="s">
        <v>747</v>
      </c>
      <c r="L62" s="36">
        <v>153</v>
      </c>
      <c r="M62" s="36">
        <v>2049</v>
      </c>
      <c r="N62" s="36"/>
      <c r="O62" s="36"/>
      <c r="P62" s="36" t="s">
        <v>613</v>
      </c>
      <c r="Q62" s="36">
        <v>19</v>
      </c>
      <c r="R62" s="36"/>
      <c r="S62" s="36">
        <v>0</v>
      </c>
      <c r="T62" s="36"/>
      <c r="U62" s="36"/>
      <c r="V62" s="36"/>
      <c r="W62" s="36"/>
      <c r="X62" s="36"/>
      <c r="Y62" s="36" t="s">
        <v>610</v>
      </c>
      <c r="Z62" s="36"/>
      <c r="AA62" s="36"/>
      <c r="AB62" s="36"/>
      <c r="AC62" s="36"/>
      <c r="AD62" s="36"/>
      <c r="AE62" s="36"/>
      <c r="AF62" s="36"/>
      <c r="AG62" s="36"/>
      <c r="AH62" s="36"/>
      <c r="AI62" s="36"/>
      <c r="AJ62" s="36"/>
      <c r="AK62" s="36"/>
      <c r="AL62" s="36"/>
      <c r="AM62" s="36">
        <v>2</v>
      </c>
      <c r="AN62" s="36">
        <v>1</v>
      </c>
      <c r="AO62" s="36"/>
      <c r="AP62" s="36">
        <v>9</v>
      </c>
      <c r="AQ62" s="36">
        <v>4</v>
      </c>
      <c r="AR62" s="36">
        <v>0</v>
      </c>
      <c r="AS62" s="36">
        <v>6.06</v>
      </c>
      <c r="AT62" s="36">
        <v>57</v>
      </c>
      <c r="AU62" s="36">
        <v>25</v>
      </c>
      <c r="AV62" s="36">
        <v>0</v>
      </c>
      <c r="AW62" s="36"/>
      <c r="AX62" s="36"/>
      <c r="AY62" s="36"/>
      <c r="AZ62" s="36"/>
      <c r="BA62" s="36"/>
      <c r="BB62" s="36"/>
      <c r="BC62" s="36"/>
      <c r="BD62" s="36"/>
      <c r="BE62" s="36"/>
      <c r="BF62" s="36"/>
      <c r="BG62" s="36"/>
      <c r="BH62" s="36"/>
      <c r="BI62" s="36"/>
      <c r="BJ62" s="36" t="s">
        <v>345</v>
      </c>
      <c r="BK62" s="36" t="s">
        <v>611</v>
      </c>
      <c r="BL62" s="36" t="s">
        <v>747</v>
      </c>
      <c r="BM62" s="36" t="s">
        <v>26</v>
      </c>
      <c r="BN62" s="36" t="s">
        <v>480</v>
      </c>
      <c r="BO62" s="36" t="s">
        <v>614</v>
      </c>
      <c r="BP62" s="36" t="s">
        <v>615</v>
      </c>
      <c r="BQ62" s="36" t="s">
        <v>500</v>
      </c>
      <c r="BR62" s="36" t="s">
        <v>500</v>
      </c>
      <c r="BS62" s="36" t="s">
        <v>610</v>
      </c>
      <c r="BT62" s="36" t="s">
        <v>611</v>
      </c>
      <c r="BU62" s="36" t="s">
        <v>747</v>
      </c>
      <c r="BV62" s="36" t="s">
        <v>20</v>
      </c>
      <c r="BW62" s="36" t="s">
        <v>351</v>
      </c>
      <c r="BX62" s="36" t="s">
        <v>610</v>
      </c>
      <c r="BY62" s="36" t="s">
        <v>710</v>
      </c>
    </row>
    <row r="63" spans="1:77" x14ac:dyDescent="0.3">
      <c r="A63" s="36" t="s">
        <v>634</v>
      </c>
      <c r="B63" s="36" t="s">
        <v>22</v>
      </c>
      <c r="C63" s="36" t="s">
        <v>348</v>
      </c>
      <c r="D63" s="36">
        <v>200</v>
      </c>
      <c r="E63" s="36" t="s">
        <v>347</v>
      </c>
      <c r="F63" s="36" t="s">
        <v>346</v>
      </c>
      <c r="G63" s="36"/>
      <c r="H63" s="36" t="s">
        <v>635</v>
      </c>
      <c r="I63" s="36">
        <v>34</v>
      </c>
      <c r="J63" s="36">
        <v>469</v>
      </c>
      <c r="K63" s="36" t="s">
        <v>782</v>
      </c>
      <c r="L63" s="36">
        <v>152</v>
      </c>
      <c r="M63" s="36">
        <v>2035</v>
      </c>
      <c r="N63" s="36"/>
      <c r="O63" s="36"/>
      <c r="P63" s="36" t="s">
        <v>637</v>
      </c>
      <c r="Q63" s="36">
        <v>18</v>
      </c>
      <c r="R63" s="36"/>
      <c r="S63" s="36">
        <v>0</v>
      </c>
      <c r="T63" s="36"/>
      <c r="U63" s="36"/>
      <c r="V63" s="36"/>
      <c r="W63" s="36"/>
      <c r="X63" s="36"/>
      <c r="Y63" s="36" t="s">
        <v>634</v>
      </c>
      <c r="Z63" s="36"/>
      <c r="AA63" s="36"/>
      <c r="AB63" s="36"/>
      <c r="AC63" s="36"/>
      <c r="AD63" s="36"/>
      <c r="AE63" s="36"/>
      <c r="AF63" s="36"/>
      <c r="AG63" s="36"/>
      <c r="AH63" s="36"/>
      <c r="AI63" s="36"/>
      <c r="AJ63" s="36"/>
      <c r="AK63" s="36"/>
      <c r="AL63" s="36"/>
      <c r="AM63" s="36">
        <v>2</v>
      </c>
      <c r="AN63" s="36">
        <v>1</v>
      </c>
      <c r="AO63" s="36"/>
      <c r="AP63" s="36">
        <v>9</v>
      </c>
      <c r="AQ63" s="36">
        <v>4</v>
      </c>
      <c r="AR63" s="36">
        <v>0</v>
      </c>
      <c r="AS63" s="36">
        <v>6.06</v>
      </c>
      <c r="AT63" s="36">
        <v>57</v>
      </c>
      <c r="AU63" s="36">
        <v>25</v>
      </c>
      <c r="AV63" s="36">
        <v>0</v>
      </c>
      <c r="AW63" s="36"/>
      <c r="AX63" s="36"/>
      <c r="AY63" s="36"/>
      <c r="AZ63" s="36"/>
      <c r="BA63" s="36"/>
      <c r="BB63" s="36"/>
      <c r="BC63" s="36"/>
      <c r="BD63" s="36"/>
      <c r="BE63" s="36"/>
      <c r="BF63" s="36"/>
      <c r="BG63" s="36"/>
      <c r="BH63" s="36"/>
      <c r="BI63" s="36"/>
      <c r="BJ63" s="36" t="s">
        <v>345</v>
      </c>
      <c r="BK63" s="36" t="s">
        <v>635</v>
      </c>
      <c r="BL63" s="36" t="s">
        <v>782</v>
      </c>
      <c r="BM63" s="36" t="s">
        <v>26</v>
      </c>
      <c r="BN63" s="36" t="s">
        <v>480</v>
      </c>
      <c r="BO63" s="36" t="s">
        <v>638</v>
      </c>
      <c r="BP63" s="36" t="s">
        <v>639</v>
      </c>
      <c r="BQ63" s="36" t="s">
        <v>500</v>
      </c>
      <c r="BR63" s="36" t="s">
        <v>500</v>
      </c>
      <c r="BS63" s="36" t="s">
        <v>634</v>
      </c>
      <c r="BT63" s="36" t="s">
        <v>635</v>
      </c>
      <c r="BU63" s="36" t="s">
        <v>782</v>
      </c>
      <c r="BV63" s="36" t="s">
        <v>20</v>
      </c>
      <c r="BW63" s="36" t="s">
        <v>351</v>
      </c>
      <c r="BX63" s="36" t="s">
        <v>634</v>
      </c>
      <c r="BY63" s="36" t="s">
        <v>731</v>
      </c>
    </row>
    <row r="64" spans="1:77" x14ac:dyDescent="0.3">
      <c r="A64" s="36" t="s">
        <v>504</v>
      </c>
      <c r="B64" s="36" t="s">
        <v>22</v>
      </c>
      <c r="C64" s="36" t="s">
        <v>348</v>
      </c>
      <c r="D64" s="36">
        <v>200</v>
      </c>
      <c r="E64" s="36" t="s">
        <v>347</v>
      </c>
      <c r="F64" s="36" t="s">
        <v>346</v>
      </c>
      <c r="G64" s="36"/>
      <c r="H64" s="36" t="s">
        <v>505</v>
      </c>
      <c r="I64" s="36">
        <v>29</v>
      </c>
      <c r="J64" s="36">
        <v>409</v>
      </c>
      <c r="K64" s="36" t="s">
        <v>764</v>
      </c>
      <c r="L64" s="36">
        <v>147</v>
      </c>
      <c r="M64" s="36">
        <v>1992</v>
      </c>
      <c r="N64" s="36"/>
      <c r="O64" s="36"/>
      <c r="P64" s="36" t="s">
        <v>507</v>
      </c>
      <c r="Q64" s="36">
        <v>13</v>
      </c>
      <c r="R64" s="36"/>
      <c r="S64" s="36">
        <v>0</v>
      </c>
      <c r="T64" s="36"/>
      <c r="U64" s="36"/>
      <c r="V64" s="36"/>
      <c r="W64" s="36"/>
      <c r="X64" s="36"/>
      <c r="Y64" s="36" t="s">
        <v>504</v>
      </c>
      <c r="Z64" s="36"/>
      <c r="AA64" s="36"/>
      <c r="AB64" s="36"/>
      <c r="AC64" s="36"/>
      <c r="AD64" s="36"/>
      <c r="AE64" s="36"/>
      <c r="AF64" s="36"/>
      <c r="AG64" s="36"/>
      <c r="AH64" s="36"/>
      <c r="AI64" s="36"/>
      <c r="AJ64" s="36"/>
      <c r="AK64" s="36"/>
      <c r="AL64" s="36"/>
      <c r="AM64" s="36">
        <v>1</v>
      </c>
      <c r="AN64" s="36">
        <v>1</v>
      </c>
      <c r="AO64" s="36"/>
      <c r="AP64" s="36">
        <v>10</v>
      </c>
      <c r="AQ64" s="36">
        <v>5</v>
      </c>
      <c r="AR64" s="36">
        <v>0</v>
      </c>
      <c r="AS64" s="36">
        <v>7.58</v>
      </c>
      <c r="AT64" s="36">
        <v>57</v>
      </c>
      <c r="AU64" s="36">
        <v>25</v>
      </c>
      <c r="AV64" s="36">
        <v>0</v>
      </c>
      <c r="AW64" s="36"/>
      <c r="AX64" s="36"/>
      <c r="AY64" s="36"/>
      <c r="AZ64" s="36"/>
      <c r="BA64" s="36"/>
      <c r="BB64" s="36"/>
      <c r="BC64" s="36"/>
      <c r="BD64" s="36"/>
      <c r="BE64" s="36"/>
      <c r="BF64" s="36"/>
      <c r="BG64" s="36"/>
      <c r="BH64" s="36"/>
      <c r="BI64" s="36"/>
      <c r="BJ64" s="36" t="s">
        <v>345</v>
      </c>
      <c r="BK64" s="36" t="s">
        <v>505</v>
      </c>
      <c r="BL64" s="36" t="s">
        <v>764</v>
      </c>
      <c r="BM64" s="36" t="s">
        <v>26</v>
      </c>
      <c r="BN64" s="36" t="s">
        <v>480</v>
      </c>
      <c r="BO64" s="36" t="s">
        <v>508</v>
      </c>
      <c r="BP64" s="36" t="s">
        <v>509</v>
      </c>
      <c r="BQ64" s="36" t="s">
        <v>500</v>
      </c>
      <c r="BR64" s="36" t="s">
        <v>500</v>
      </c>
      <c r="BS64" s="36" t="s">
        <v>504</v>
      </c>
      <c r="BT64" s="36" t="s">
        <v>505</v>
      </c>
      <c r="BU64" s="36" t="s">
        <v>764</v>
      </c>
      <c r="BV64" s="36" t="s">
        <v>20</v>
      </c>
      <c r="BW64" s="36" t="s">
        <v>351</v>
      </c>
      <c r="BX64" s="36" t="s">
        <v>504</v>
      </c>
      <c r="BY64" s="36" t="s">
        <v>722</v>
      </c>
    </row>
  </sheetData>
  <autoFilter ref="A1:BY58" xr:uid="{6E9D41FE-E472-4155-8C59-672450CD0BA4}">
    <sortState xmlns:xlrd2="http://schemas.microsoft.com/office/spreadsheetml/2017/richdata2" ref="A2:BY64">
      <sortCondition ref="A1:A58"/>
    </sortState>
  </autoFilter>
  <phoneticPr fontId="2" type="noConversion"/>
  <conditionalFormatting sqref="A1:A1048576">
    <cfRule type="duplicateValues" dxfId="0" priority="1"/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1A548-03CA-4CCA-B4B6-583AA5FCA2CA}">
  <dimension ref="A1:O130"/>
  <sheetViews>
    <sheetView topLeftCell="A18" workbookViewId="0">
      <selection activeCell="D30" sqref="D30"/>
    </sheetView>
  </sheetViews>
  <sheetFormatPr defaultRowHeight="16.5" x14ac:dyDescent="0.3"/>
  <cols>
    <col min="1" max="16384" width="9" style="1"/>
  </cols>
  <sheetData>
    <row r="1" spans="1:15" x14ac:dyDescent="0.3">
      <c r="A1" t="s">
        <v>414</v>
      </c>
      <c r="B1" t="s">
        <v>0</v>
      </c>
      <c r="C1" t="s">
        <v>469</v>
      </c>
      <c r="D1" t="s">
        <v>468</v>
      </c>
      <c r="E1" t="s">
        <v>467</v>
      </c>
      <c r="F1" t="s">
        <v>466</v>
      </c>
      <c r="G1" t="s">
        <v>465</v>
      </c>
      <c r="H1" t="s">
        <v>464</v>
      </c>
      <c r="I1" t="s">
        <v>463</v>
      </c>
      <c r="J1" t="s">
        <v>462</v>
      </c>
      <c r="K1" t="s">
        <v>461</v>
      </c>
      <c r="L1" t="s">
        <v>471</v>
      </c>
      <c r="M1" t="s">
        <v>702</v>
      </c>
      <c r="N1" t="s">
        <v>411</v>
      </c>
      <c r="O1" t="s">
        <v>410</v>
      </c>
    </row>
    <row r="2" spans="1:15" x14ac:dyDescent="0.3">
      <c r="A2" t="s">
        <v>477</v>
      </c>
      <c r="B2" t="s">
        <v>15</v>
      </c>
      <c r="C2">
        <v>0</v>
      </c>
      <c r="D2">
        <v>0</v>
      </c>
      <c r="E2">
        <v>5</v>
      </c>
      <c r="F2">
        <v>5</v>
      </c>
      <c r="G2" t="s">
        <v>271</v>
      </c>
      <c r="H2" t="s">
        <v>272</v>
      </c>
      <c r="I2" t="s">
        <v>273</v>
      </c>
      <c r="J2" t="s">
        <v>337</v>
      </c>
      <c r="K2" t="s">
        <v>338</v>
      </c>
      <c r="L2"/>
      <c r="M2"/>
      <c r="N2" t="s">
        <v>346</v>
      </c>
      <c r="O2"/>
    </row>
    <row r="3" spans="1:15" x14ac:dyDescent="0.3">
      <c r="A3" t="s">
        <v>487</v>
      </c>
      <c r="B3" t="s">
        <v>15</v>
      </c>
      <c r="C3">
        <v>0</v>
      </c>
      <c r="D3">
        <v>0</v>
      </c>
      <c r="E3">
        <v>4</v>
      </c>
      <c r="F3">
        <v>3</v>
      </c>
      <c r="G3" t="s">
        <v>271</v>
      </c>
      <c r="H3" t="s">
        <v>272</v>
      </c>
      <c r="I3" t="s">
        <v>273</v>
      </c>
      <c r="J3"/>
      <c r="K3"/>
      <c r="L3"/>
      <c r="M3"/>
      <c r="N3" t="s">
        <v>346</v>
      </c>
      <c r="O3"/>
    </row>
    <row r="4" spans="1:15" x14ac:dyDescent="0.3">
      <c r="A4" t="s">
        <v>489</v>
      </c>
      <c r="B4" t="s">
        <v>42</v>
      </c>
      <c r="C4">
        <v>0</v>
      </c>
      <c r="D4">
        <v>0</v>
      </c>
      <c r="E4">
        <v>4</v>
      </c>
      <c r="F4">
        <v>3</v>
      </c>
      <c r="G4" t="s">
        <v>271</v>
      </c>
      <c r="H4" t="s">
        <v>272</v>
      </c>
      <c r="I4" t="s">
        <v>273</v>
      </c>
      <c r="J4"/>
      <c r="K4"/>
      <c r="L4"/>
      <c r="M4"/>
      <c r="N4" t="s">
        <v>346</v>
      </c>
      <c r="O4"/>
    </row>
    <row r="5" spans="1:15" x14ac:dyDescent="0.3">
      <c r="A5" t="s">
        <v>492</v>
      </c>
      <c r="B5" t="s">
        <v>42</v>
      </c>
      <c r="C5">
        <v>0</v>
      </c>
      <c r="D5">
        <v>0</v>
      </c>
      <c r="E5">
        <v>4</v>
      </c>
      <c r="F5">
        <v>3</v>
      </c>
      <c r="G5" t="s">
        <v>271</v>
      </c>
      <c r="H5" t="s">
        <v>272</v>
      </c>
      <c r="I5" t="s">
        <v>273</v>
      </c>
      <c r="J5"/>
      <c r="K5"/>
      <c r="L5"/>
      <c r="M5"/>
      <c r="N5" t="s">
        <v>346</v>
      </c>
      <c r="O5"/>
    </row>
    <row r="6" spans="1:15" x14ac:dyDescent="0.3">
      <c r="A6" t="s">
        <v>494</v>
      </c>
      <c r="B6" t="s">
        <v>22</v>
      </c>
      <c r="C6">
        <v>0</v>
      </c>
      <c r="D6">
        <v>6</v>
      </c>
      <c r="E6">
        <v>8</v>
      </c>
      <c r="F6">
        <v>7</v>
      </c>
      <c r="G6" t="s">
        <v>274</v>
      </c>
      <c r="H6" t="s">
        <v>271</v>
      </c>
      <c r="I6" t="s">
        <v>275</v>
      </c>
      <c r="J6" t="s">
        <v>272</v>
      </c>
      <c r="K6" t="s">
        <v>335</v>
      </c>
      <c r="L6" t="s">
        <v>273</v>
      </c>
      <c r="M6" t="s">
        <v>336</v>
      </c>
      <c r="N6" t="s">
        <v>346</v>
      </c>
      <c r="O6"/>
    </row>
    <row r="7" spans="1:15" x14ac:dyDescent="0.3">
      <c r="A7" t="s">
        <v>501</v>
      </c>
      <c r="B7" t="s">
        <v>15</v>
      </c>
      <c r="C7">
        <v>0</v>
      </c>
      <c r="D7">
        <v>0</v>
      </c>
      <c r="E7">
        <v>4</v>
      </c>
      <c r="F7">
        <v>3</v>
      </c>
      <c r="G7" t="s">
        <v>271</v>
      </c>
      <c r="H7" t="s">
        <v>272</v>
      </c>
      <c r="I7" t="s">
        <v>273</v>
      </c>
      <c r="J7"/>
      <c r="K7"/>
      <c r="L7"/>
      <c r="M7"/>
      <c r="N7" t="s">
        <v>346</v>
      </c>
      <c r="O7"/>
    </row>
    <row r="8" spans="1:15" x14ac:dyDescent="0.3">
      <c r="A8" t="s">
        <v>504</v>
      </c>
      <c r="B8" t="s">
        <v>22</v>
      </c>
      <c r="C8">
        <v>0</v>
      </c>
      <c r="D8">
        <v>6</v>
      </c>
      <c r="E8">
        <v>8</v>
      </c>
      <c r="F8">
        <v>7</v>
      </c>
      <c r="G8" t="s">
        <v>274</v>
      </c>
      <c r="H8" t="s">
        <v>271</v>
      </c>
      <c r="I8" t="s">
        <v>275</v>
      </c>
      <c r="J8" t="s">
        <v>272</v>
      </c>
      <c r="K8" t="s">
        <v>335</v>
      </c>
      <c r="L8" t="s">
        <v>273</v>
      </c>
      <c r="M8" t="s">
        <v>336</v>
      </c>
      <c r="N8" t="s">
        <v>346</v>
      </c>
      <c r="O8"/>
    </row>
    <row r="9" spans="1:15" x14ac:dyDescent="0.3">
      <c r="A9" t="s">
        <v>510</v>
      </c>
      <c r="B9" t="s">
        <v>22</v>
      </c>
      <c r="C9">
        <v>0</v>
      </c>
      <c r="D9">
        <v>6</v>
      </c>
      <c r="E9">
        <v>8</v>
      </c>
      <c r="F9">
        <v>7</v>
      </c>
      <c r="G9" t="s">
        <v>274</v>
      </c>
      <c r="H9" t="s">
        <v>271</v>
      </c>
      <c r="I9" t="s">
        <v>275</v>
      </c>
      <c r="J9" t="s">
        <v>272</v>
      </c>
      <c r="K9" t="s">
        <v>335</v>
      </c>
      <c r="L9" t="s">
        <v>273</v>
      </c>
      <c r="M9" t="s">
        <v>336</v>
      </c>
      <c r="N9" t="s">
        <v>346</v>
      </c>
      <c r="O9"/>
    </row>
    <row r="10" spans="1:15" x14ac:dyDescent="0.3">
      <c r="A10" t="s">
        <v>516</v>
      </c>
      <c r="B10" t="s">
        <v>15</v>
      </c>
      <c r="C10">
        <v>0</v>
      </c>
      <c r="D10">
        <v>0</v>
      </c>
      <c r="E10">
        <v>4</v>
      </c>
      <c r="F10">
        <v>3</v>
      </c>
      <c r="G10" t="s">
        <v>271</v>
      </c>
      <c r="H10" t="s">
        <v>272</v>
      </c>
      <c r="I10" t="s">
        <v>273</v>
      </c>
      <c r="J10"/>
      <c r="K10"/>
      <c r="L10"/>
      <c r="M10"/>
      <c r="N10" t="s">
        <v>346</v>
      </c>
      <c r="O10"/>
    </row>
    <row r="11" spans="1:15" x14ac:dyDescent="0.3">
      <c r="A11" t="s">
        <v>519</v>
      </c>
      <c r="B11" t="s">
        <v>42</v>
      </c>
      <c r="C11">
        <v>0</v>
      </c>
      <c r="D11">
        <v>0</v>
      </c>
      <c r="E11">
        <v>4</v>
      </c>
      <c r="F11">
        <v>3</v>
      </c>
      <c r="G11" t="s">
        <v>271</v>
      </c>
      <c r="H11" t="s">
        <v>272</v>
      </c>
      <c r="I11" t="s">
        <v>273</v>
      </c>
      <c r="J11"/>
      <c r="K11"/>
      <c r="L11"/>
      <c r="M11"/>
      <c r="N11" t="s">
        <v>346</v>
      </c>
      <c r="O11"/>
    </row>
    <row r="12" spans="1:15" x14ac:dyDescent="0.3">
      <c r="A12" t="s">
        <v>521</v>
      </c>
      <c r="B12" t="s">
        <v>22</v>
      </c>
      <c r="C12">
        <v>0</v>
      </c>
      <c r="D12">
        <v>6</v>
      </c>
      <c r="E12">
        <v>8</v>
      </c>
      <c r="F12">
        <v>7</v>
      </c>
      <c r="G12" t="s">
        <v>274</v>
      </c>
      <c r="H12" t="s">
        <v>271</v>
      </c>
      <c r="I12" t="s">
        <v>275</v>
      </c>
      <c r="J12" t="s">
        <v>272</v>
      </c>
      <c r="K12" t="s">
        <v>335</v>
      </c>
      <c r="L12" t="s">
        <v>273</v>
      </c>
      <c r="M12" t="s">
        <v>336</v>
      </c>
      <c r="N12" t="s">
        <v>346</v>
      </c>
      <c r="O12"/>
    </row>
    <row r="13" spans="1:15" x14ac:dyDescent="0.3">
      <c r="A13" t="s">
        <v>527</v>
      </c>
      <c r="B13" t="s">
        <v>42</v>
      </c>
      <c r="C13">
        <v>0</v>
      </c>
      <c r="D13">
        <v>0</v>
      </c>
      <c r="E13">
        <v>4</v>
      </c>
      <c r="F13">
        <v>3</v>
      </c>
      <c r="G13" t="s">
        <v>271</v>
      </c>
      <c r="H13" t="s">
        <v>272</v>
      </c>
      <c r="I13" t="s">
        <v>273</v>
      </c>
      <c r="J13"/>
      <c r="K13"/>
      <c r="L13"/>
      <c r="M13"/>
      <c r="N13" t="s">
        <v>346</v>
      </c>
      <c r="O13"/>
    </row>
    <row r="14" spans="1:15" x14ac:dyDescent="0.3">
      <c r="A14" t="s">
        <v>529</v>
      </c>
      <c r="B14" t="s">
        <v>22</v>
      </c>
      <c r="C14">
        <v>0</v>
      </c>
      <c r="D14">
        <v>6</v>
      </c>
      <c r="E14">
        <v>8</v>
      </c>
      <c r="F14">
        <v>7</v>
      </c>
      <c r="G14" t="s">
        <v>274</v>
      </c>
      <c r="H14" t="s">
        <v>271</v>
      </c>
      <c r="I14" t="s">
        <v>275</v>
      </c>
      <c r="J14" t="s">
        <v>272</v>
      </c>
      <c r="K14" t="s">
        <v>335</v>
      </c>
      <c r="L14" t="s">
        <v>273</v>
      </c>
      <c r="M14" t="s">
        <v>336</v>
      </c>
      <c r="N14" t="s">
        <v>346</v>
      </c>
      <c r="O14"/>
    </row>
    <row r="15" spans="1:15" x14ac:dyDescent="0.3">
      <c r="A15" t="s">
        <v>535</v>
      </c>
      <c r="B15" t="s">
        <v>22</v>
      </c>
      <c r="C15">
        <v>0</v>
      </c>
      <c r="D15">
        <v>6</v>
      </c>
      <c r="E15">
        <v>8</v>
      </c>
      <c r="F15">
        <v>7</v>
      </c>
      <c r="G15" t="s">
        <v>274</v>
      </c>
      <c r="H15" t="s">
        <v>271</v>
      </c>
      <c r="I15" t="s">
        <v>275</v>
      </c>
      <c r="J15" t="s">
        <v>272</v>
      </c>
      <c r="K15" t="s">
        <v>335</v>
      </c>
      <c r="L15" t="s">
        <v>273</v>
      </c>
      <c r="M15" t="s">
        <v>336</v>
      </c>
      <c r="N15" t="s">
        <v>346</v>
      </c>
      <c r="O15"/>
    </row>
    <row r="16" spans="1:15" x14ac:dyDescent="0.3">
      <c r="A16" t="s">
        <v>541</v>
      </c>
      <c r="B16" t="s">
        <v>42</v>
      </c>
      <c r="C16">
        <v>0</v>
      </c>
      <c r="D16">
        <v>0</v>
      </c>
      <c r="E16">
        <v>4</v>
      </c>
      <c r="F16">
        <v>3</v>
      </c>
      <c r="G16" t="s">
        <v>271</v>
      </c>
      <c r="H16" t="s">
        <v>272</v>
      </c>
      <c r="I16" t="s">
        <v>273</v>
      </c>
      <c r="J16"/>
      <c r="K16"/>
      <c r="L16"/>
      <c r="M16"/>
      <c r="N16" t="s">
        <v>346</v>
      </c>
      <c r="O16"/>
    </row>
    <row r="17" spans="1:15" x14ac:dyDescent="0.3">
      <c r="A17" t="s">
        <v>543</v>
      </c>
      <c r="B17" t="s">
        <v>42</v>
      </c>
      <c r="C17">
        <v>0</v>
      </c>
      <c r="D17">
        <v>0</v>
      </c>
      <c r="E17">
        <v>4</v>
      </c>
      <c r="F17">
        <v>3</v>
      </c>
      <c r="G17" t="s">
        <v>271</v>
      </c>
      <c r="H17" t="s">
        <v>272</v>
      </c>
      <c r="I17" t="s">
        <v>273</v>
      </c>
      <c r="J17"/>
      <c r="K17"/>
      <c r="L17"/>
      <c r="M17"/>
      <c r="N17" t="s">
        <v>346</v>
      </c>
      <c r="O17"/>
    </row>
    <row r="18" spans="1:15" x14ac:dyDescent="0.3">
      <c r="A18" t="s">
        <v>545</v>
      </c>
      <c r="B18" t="s">
        <v>231</v>
      </c>
      <c r="C18">
        <v>0</v>
      </c>
      <c r="D18">
        <v>1</v>
      </c>
      <c r="E18">
        <v>9</v>
      </c>
      <c r="F18">
        <v>6</v>
      </c>
      <c r="G18" t="s">
        <v>703</v>
      </c>
      <c r="H18" t="s">
        <v>271</v>
      </c>
      <c r="I18" t="s">
        <v>275</v>
      </c>
      <c r="J18" t="s">
        <v>272</v>
      </c>
      <c r="K18" t="s">
        <v>273</v>
      </c>
      <c r="L18" t="s">
        <v>704</v>
      </c>
      <c r="M18"/>
      <c r="N18" t="s">
        <v>346</v>
      </c>
      <c r="O18"/>
    </row>
    <row r="19" spans="1:15" x14ac:dyDescent="0.3">
      <c r="A19" t="s">
        <v>548</v>
      </c>
      <c r="B19" t="s">
        <v>42</v>
      </c>
      <c r="C19">
        <v>0</v>
      </c>
      <c r="D19">
        <v>0</v>
      </c>
      <c r="E19">
        <v>4</v>
      </c>
      <c r="F19">
        <v>3</v>
      </c>
      <c r="G19" t="s">
        <v>271</v>
      </c>
      <c r="H19" t="s">
        <v>272</v>
      </c>
      <c r="I19" t="s">
        <v>273</v>
      </c>
      <c r="J19"/>
      <c r="K19"/>
      <c r="L19"/>
      <c r="M19"/>
      <c r="N19" t="s">
        <v>346</v>
      </c>
      <c r="O19"/>
    </row>
    <row r="20" spans="1:15" x14ac:dyDescent="0.3">
      <c r="A20" t="s">
        <v>550</v>
      </c>
      <c r="B20" t="s">
        <v>22</v>
      </c>
      <c r="C20">
        <v>0</v>
      </c>
      <c r="D20">
        <v>6</v>
      </c>
      <c r="E20">
        <v>8</v>
      </c>
      <c r="F20">
        <v>7</v>
      </c>
      <c r="G20" t="s">
        <v>274</v>
      </c>
      <c r="H20" t="s">
        <v>271</v>
      </c>
      <c r="I20" t="s">
        <v>275</v>
      </c>
      <c r="J20" t="s">
        <v>272</v>
      </c>
      <c r="K20" t="s">
        <v>335</v>
      </c>
      <c r="L20" t="s">
        <v>273</v>
      </c>
      <c r="M20" t="s">
        <v>336</v>
      </c>
      <c r="N20" t="s">
        <v>346</v>
      </c>
      <c r="O20"/>
    </row>
    <row r="21" spans="1:15" x14ac:dyDescent="0.3">
      <c r="A21" t="s">
        <v>556</v>
      </c>
      <c r="B21" t="s">
        <v>22</v>
      </c>
      <c r="C21">
        <v>0</v>
      </c>
      <c r="D21">
        <v>6</v>
      </c>
      <c r="E21">
        <v>8</v>
      </c>
      <c r="F21">
        <v>7</v>
      </c>
      <c r="G21" t="s">
        <v>274</v>
      </c>
      <c r="H21" t="s">
        <v>271</v>
      </c>
      <c r="I21" t="s">
        <v>275</v>
      </c>
      <c r="J21" t="s">
        <v>272</v>
      </c>
      <c r="K21" t="s">
        <v>335</v>
      </c>
      <c r="L21" t="s">
        <v>273</v>
      </c>
      <c r="M21" t="s">
        <v>336</v>
      </c>
      <c r="N21" t="s">
        <v>346</v>
      </c>
      <c r="O21"/>
    </row>
    <row r="22" spans="1:15" x14ac:dyDescent="0.3">
      <c r="A22" t="s">
        <v>562</v>
      </c>
      <c r="B22" t="s">
        <v>15</v>
      </c>
      <c r="C22">
        <v>0</v>
      </c>
      <c r="D22">
        <v>0</v>
      </c>
      <c r="E22">
        <v>4</v>
      </c>
      <c r="F22">
        <v>3</v>
      </c>
      <c r="G22" t="s">
        <v>271</v>
      </c>
      <c r="H22" t="s">
        <v>272</v>
      </c>
      <c r="I22" t="s">
        <v>273</v>
      </c>
      <c r="J22"/>
      <c r="K22"/>
      <c r="L22"/>
      <c r="M22"/>
      <c r="N22" t="s">
        <v>346</v>
      </c>
      <c r="O22"/>
    </row>
    <row r="23" spans="1:15" x14ac:dyDescent="0.3">
      <c r="A23" t="s">
        <v>565</v>
      </c>
      <c r="B23" t="s">
        <v>15</v>
      </c>
      <c r="C23">
        <v>0</v>
      </c>
      <c r="D23">
        <v>0</v>
      </c>
      <c r="E23">
        <v>4</v>
      </c>
      <c r="F23">
        <v>3</v>
      </c>
      <c r="G23" t="s">
        <v>271</v>
      </c>
      <c r="H23" t="s">
        <v>272</v>
      </c>
      <c r="I23" t="s">
        <v>273</v>
      </c>
      <c r="J23"/>
      <c r="K23"/>
      <c r="L23"/>
      <c r="M23"/>
      <c r="N23" t="s">
        <v>346</v>
      </c>
      <c r="O23"/>
    </row>
    <row r="24" spans="1:15" x14ac:dyDescent="0.3">
      <c r="A24" t="s">
        <v>567</v>
      </c>
      <c r="B24" t="s">
        <v>42</v>
      </c>
      <c r="C24">
        <v>0</v>
      </c>
      <c r="D24">
        <v>0</v>
      </c>
      <c r="E24">
        <v>4</v>
      </c>
      <c r="F24">
        <v>3</v>
      </c>
      <c r="G24" t="s">
        <v>271</v>
      </c>
      <c r="H24" t="s">
        <v>272</v>
      </c>
      <c r="I24" t="s">
        <v>273</v>
      </c>
      <c r="J24"/>
      <c r="K24"/>
      <c r="L24"/>
      <c r="M24"/>
      <c r="N24" t="s">
        <v>346</v>
      </c>
      <c r="O24"/>
    </row>
    <row r="25" spans="1:15" x14ac:dyDescent="0.3">
      <c r="A25" t="s">
        <v>569</v>
      </c>
      <c r="B25" t="s">
        <v>15</v>
      </c>
      <c r="C25">
        <v>0</v>
      </c>
      <c r="D25">
        <v>0</v>
      </c>
      <c r="E25">
        <v>4</v>
      </c>
      <c r="F25">
        <v>3</v>
      </c>
      <c r="G25" t="s">
        <v>271</v>
      </c>
      <c r="H25" t="s">
        <v>272</v>
      </c>
      <c r="I25" t="s">
        <v>273</v>
      </c>
      <c r="J25"/>
      <c r="K25"/>
      <c r="L25"/>
      <c r="M25"/>
      <c r="N25" t="s">
        <v>346</v>
      </c>
      <c r="O25"/>
    </row>
    <row r="26" spans="1:15" x14ac:dyDescent="0.3">
      <c r="A26" t="s">
        <v>573</v>
      </c>
      <c r="B26" t="s">
        <v>42</v>
      </c>
      <c r="C26">
        <v>0</v>
      </c>
      <c r="D26">
        <v>0</v>
      </c>
      <c r="E26">
        <v>4</v>
      </c>
      <c r="F26">
        <v>3</v>
      </c>
      <c r="G26" t="s">
        <v>271</v>
      </c>
      <c r="H26" t="s">
        <v>272</v>
      </c>
      <c r="I26" t="s">
        <v>273</v>
      </c>
      <c r="J26"/>
      <c r="K26"/>
      <c r="L26"/>
      <c r="M26"/>
      <c r="N26" t="s">
        <v>346</v>
      </c>
      <c r="O26"/>
    </row>
    <row r="27" spans="1:15" x14ac:dyDescent="0.3">
      <c r="A27" t="s">
        <v>578</v>
      </c>
      <c r="B27" t="s">
        <v>22</v>
      </c>
      <c r="C27">
        <v>0</v>
      </c>
      <c r="D27">
        <v>6</v>
      </c>
      <c r="E27">
        <v>8</v>
      </c>
      <c r="F27">
        <v>7</v>
      </c>
      <c r="G27" t="s">
        <v>274</v>
      </c>
      <c r="H27" t="s">
        <v>271</v>
      </c>
      <c r="I27" t="s">
        <v>275</v>
      </c>
      <c r="J27" t="s">
        <v>272</v>
      </c>
      <c r="K27" t="s">
        <v>335</v>
      </c>
      <c r="L27" t="s">
        <v>273</v>
      </c>
      <c r="M27" t="s">
        <v>336</v>
      </c>
      <c r="N27" t="s">
        <v>346</v>
      </c>
      <c r="O27"/>
    </row>
    <row r="28" spans="1:15" x14ac:dyDescent="0.3">
      <c r="A28" t="s">
        <v>584</v>
      </c>
      <c r="B28" t="s">
        <v>22</v>
      </c>
      <c r="C28">
        <v>0</v>
      </c>
      <c r="D28">
        <v>6</v>
      </c>
      <c r="E28">
        <v>8</v>
      </c>
      <c r="F28">
        <v>7</v>
      </c>
      <c r="G28" t="s">
        <v>274</v>
      </c>
      <c r="H28" t="s">
        <v>271</v>
      </c>
      <c r="I28" t="s">
        <v>275</v>
      </c>
      <c r="J28" t="s">
        <v>272</v>
      </c>
      <c r="K28" t="s">
        <v>335</v>
      </c>
      <c r="L28" t="s">
        <v>273</v>
      </c>
      <c r="M28" t="s">
        <v>336</v>
      </c>
      <c r="N28" t="s">
        <v>346</v>
      </c>
      <c r="O28"/>
    </row>
    <row r="29" spans="1:15" x14ac:dyDescent="0.3">
      <c r="A29" t="s">
        <v>590</v>
      </c>
      <c r="B29" t="s">
        <v>42</v>
      </c>
      <c r="C29">
        <v>0</v>
      </c>
      <c r="D29">
        <v>0</v>
      </c>
      <c r="E29">
        <v>4</v>
      </c>
      <c r="F29">
        <v>3</v>
      </c>
      <c r="G29" t="s">
        <v>271</v>
      </c>
      <c r="H29" t="s">
        <v>272</v>
      </c>
      <c r="I29" t="s">
        <v>273</v>
      </c>
      <c r="J29"/>
      <c r="K29"/>
      <c r="L29"/>
      <c r="M29"/>
      <c r="N29" t="s">
        <v>346</v>
      </c>
      <c r="O29"/>
    </row>
    <row r="30" spans="1:15" x14ac:dyDescent="0.3">
      <c r="A30" t="s">
        <v>592</v>
      </c>
      <c r="B30" t="s">
        <v>22</v>
      </c>
      <c r="C30">
        <v>0</v>
      </c>
      <c r="D30">
        <v>6</v>
      </c>
      <c r="E30">
        <v>8</v>
      </c>
      <c r="F30">
        <v>7</v>
      </c>
      <c r="G30" t="s">
        <v>274</v>
      </c>
      <c r="H30" t="s">
        <v>271</v>
      </c>
      <c r="I30" t="s">
        <v>275</v>
      </c>
      <c r="J30" t="s">
        <v>272</v>
      </c>
      <c r="K30" t="s">
        <v>335</v>
      </c>
      <c r="L30" t="s">
        <v>273</v>
      </c>
      <c r="M30" t="s">
        <v>336</v>
      </c>
      <c r="N30" t="s">
        <v>346</v>
      </c>
      <c r="O30"/>
    </row>
    <row r="31" spans="1:15" x14ac:dyDescent="0.3">
      <c r="A31" t="s">
        <v>598</v>
      </c>
      <c r="B31" t="s">
        <v>15</v>
      </c>
      <c r="C31">
        <v>0</v>
      </c>
      <c r="D31">
        <v>0</v>
      </c>
      <c r="E31">
        <v>4</v>
      </c>
      <c r="F31">
        <v>3</v>
      </c>
      <c r="G31" t="s">
        <v>271</v>
      </c>
      <c r="H31" t="s">
        <v>272</v>
      </c>
      <c r="I31" t="s">
        <v>273</v>
      </c>
      <c r="J31"/>
      <c r="K31"/>
      <c r="L31"/>
      <c r="M31"/>
      <c r="N31" t="s">
        <v>346</v>
      </c>
      <c r="O31"/>
    </row>
    <row r="32" spans="1:15" x14ac:dyDescent="0.3">
      <c r="A32" t="s">
        <v>601</v>
      </c>
      <c r="B32" t="s">
        <v>231</v>
      </c>
      <c r="C32">
        <v>0</v>
      </c>
      <c r="D32">
        <v>1</v>
      </c>
      <c r="E32">
        <v>9</v>
      </c>
      <c r="F32">
        <v>6</v>
      </c>
      <c r="G32" t="s">
        <v>703</v>
      </c>
      <c r="H32" t="s">
        <v>271</v>
      </c>
      <c r="I32" t="s">
        <v>275</v>
      </c>
      <c r="J32" t="s">
        <v>272</v>
      </c>
      <c r="K32" t="s">
        <v>273</v>
      </c>
      <c r="L32" t="s">
        <v>704</v>
      </c>
      <c r="M32"/>
      <c r="N32" t="s">
        <v>346</v>
      </c>
      <c r="O32"/>
    </row>
    <row r="33" spans="1:15" x14ac:dyDescent="0.3">
      <c r="A33" t="s">
        <v>602</v>
      </c>
      <c r="B33" t="s">
        <v>231</v>
      </c>
      <c r="C33">
        <v>0</v>
      </c>
      <c r="D33">
        <v>1</v>
      </c>
      <c r="E33">
        <v>9</v>
      </c>
      <c r="F33">
        <v>6</v>
      </c>
      <c r="G33" t="s">
        <v>703</v>
      </c>
      <c r="H33" t="s">
        <v>271</v>
      </c>
      <c r="I33" t="s">
        <v>275</v>
      </c>
      <c r="J33" t="s">
        <v>272</v>
      </c>
      <c r="K33" t="s">
        <v>273</v>
      </c>
      <c r="L33" t="s">
        <v>704</v>
      </c>
      <c r="M33"/>
      <c r="N33" t="s">
        <v>346</v>
      </c>
      <c r="O33"/>
    </row>
    <row r="34" spans="1:15" x14ac:dyDescent="0.3">
      <c r="A34" t="s">
        <v>603</v>
      </c>
      <c r="B34" t="s">
        <v>231</v>
      </c>
      <c r="C34">
        <v>0</v>
      </c>
      <c r="D34">
        <v>1</v>
      </c>
      <c r="E34">
        <v>9</v>
      </c>
      <c r="F34">
        <v>6</v>
      </c>
      <c r="G34" t="s">
        <v>703</v>
      </c>
      <c r="H34" t="s">
        <v>271</v>
      </c>
      <c r="I34" t="s">
        <v>275</v>
      </c>
      <c r="J34" t="s">
        <v>272</v>
      </c>
      <c r="K34" t="s">
        <v>273</v>
      </c>
      <c r="L34" t="s">
        <v>704</v>
      </c>
      <c r="M34"/>
      <c r="N34" t="s">
        <v>346</v>
      </c>
      <c r="O34"/>
    </row>
    <row r="35" spans="1:15" x14ac:dyDescent="0.3">
      <c r="A35" t="s">
        <v>604</v>
      </c>
      <c r="B35" t="s">
        <v>15</v>
      </c>
      <c r="C35">
        <v>0</v>
      </c>
      <c r="D35">
        <v>0</v>
      </c>
      <c r="E35">
        <v>4</v>
      </c>
      <c r="F35">
        <v>3</v>
      </c>
      <c r="G35" t="s">
        <v>271</v>
      </c>
      <c r="H35" t="s">
        <v>272</v>
      </c>
      <c r="I35" t="s">
        <v>273</v>
      </c>
      <c r="J35"/>
      <c r="K35"/>
      <c r="L35"/>
      <c r="M35"/>
      <c r="N35" t="s">
        <v>346</v>
      </c>
      <c r="O35"/>
    </row>
    <row r="36" spans="1:15" x14ac:dyDescent="0.3">
      <c r="A36" t="s">
        <v>606</v>
      </c>
      <c r="B36" t="s">
        <v>15</v>
      </c>
      <c r="C36">
        <v>0</v>
      </c>
      <c r="D36">
        <v>0</v>
      </c>
      <c r="E36">
        <v>4</v>
      </c>
      <c r="F36">
        <v>3</v>
      </c>
      <c r="G36" t="s">
        <v>271</v>
      </c>
      <c r="H36" t="s">
        <v>272</v>
      </c>
      <c r="I36" t="s">
        <v>273</v>
      </c>
      <c r="J36"/>
      <c r="K36"/>
      <c r="L36"/>
      <c r="M36"/>
      <c r="N36" t="s">
        <v>346</v>
      </c>
      <c r="O36"/>
    </row>
    <row r="37" spans="1:15" x14ac:dyDescent="0.3">
      <c r="A37" t="s">
        <v>608</v>
      </c>
      <c r="B37" t="s">
        <v>15</v>
      </c>
      <c r="C37">
        <v>0</v>
      </c>
      <c r="D37">
        <v>0</v>
      </c>
      <c r="E37">
        <v>4</v>
      </c>
      <c r="F37">
        <v>3</v>
      </c>
      <c r="G37" t="s">
        <v>271</v>
      </c>
      <c r="H37" t="s">
        <v>272</v>
      </c>
      <c r="I37" t="s">
        <v>273</v>
      </c>
      <c r="J37"/>
      <c r="K37"/>
      <c r="L37"/>
      <c r="M37"/>
      <c r="N37" t="s">
        <v>346</v>
      </c>
      <c r="O37"/>
    </row>
    <row r="38" spans="1:15" x14ac:dyDescent="0.3">
      <c r="A38" t="s">
        <v>610</v>
      </c>
      <c r="B38" t="s">
        <v>22</v>
      </c>
      <c r="C38">
        <v>0</v>
      </c>
      <c r="D38">
        <v>6</v>
      </c>
      <c r="E38">
        <v>8</v>
      </c>
      <c r="F38">
        <v>7</v>
      </c>
      <c r="G38" t="s">
        <v>274</v>
      </c>
      <c r="H38" t="s">
        <v>271</v>
      </c>
      <c r="I38" t="s">
        <v>275</v>
      </c>
      <c r="J38" t="s">
        <v>272</v>
      </c>
      <c r="K38" t="s">
        <v>335</v>
      </c>
      <c r="L38" t="s">
        <v>273</v>
      </c>
      <c r="M38" t="s">
        <v>336</v>
      </c>
      <c r="N38" t="s">
        <v>346</v>
      </c>
      <c r="O38"/>
    </row>
    <row r="39" spans="1:15" x14ac:dyDescent="0.3">
      <c r="A39" t="s">
        <v>616</v>
      </c>
      <c r="B39" t="s">
        <v>22</v>
      </c>
      <c r="C39">
        <v>0</v>
      </c>
      <c r="D39">
        <v>6</v>
      </c>
      <c r="E39">
        <v>8</v>
      </c>
      <c r="F39">
        <v>7</v>
      </c>
      <c r="G39" t="s">
        <v>274</v>
      </c>
      <c r="H39" t="s">
        <v>271</v>
      </c>
      <c r="I39" t="s">
        <v>275</v>
      </c>
      <c r="J39" t="s">
        <v>272</v>
      </c>
      <c r="K39" t="s">
        <v>335</v>
      </c>
      <c r="L39" t="s">
        <v>273</v>
      </c>
      <c r="M39" t="s">
        <v>336</v>
      </c>
      <c r="N39" t="s">
        <v>346</v>
      </c>
      <c r="O39"/>
    </row>
    <row r="40" spans="1:15" x14ac:dyDescent="0.3">
      <c r="A40" t="s">
        <v>622</v>
      </c>
      <c r="B40" t="s">
        <v>22</v>
      </c>
      <c r="C40">
        <v>0</v>
      </c>
      <c r="D40">
        <v>6</v>
      </c>
      <c r="E40">
        <v>8</v>
      </c>
      <c r="F40">
        <v>7</v>
      </c>
      <c r="G40" t="s">
        <v>274</v>
      </c>
      <c r="H40" t="s">
        <v>271</v>
      </c>
      <c r="I40" t="s">
        <v>275</v>
      </c>
      <c r="J40" t="s">
        <v>272</v>
      </c>
      <c r="K40" t="s">
        <v>335</v>
      </c>
      <c r="L40" t="s">
        <v>273</v>
      </c>
      <c r="M40" t="s">
        <v>336</v>
      </c>
      <c r="N40" t="s">
        <v>346</v>
      </c>
      <c r="O40"/>
    </row>
    <row r="41" spans="1:15" x14ac:dyDescent="0.3">
      <c r="A41" t="s">
        <v>628</v>
      </c>
      <c r="B41" t="s">
        <v>22</v>
      </c>
      <c r="C41">
        <v>0</v>
      </c>
      <c r="D41">
        <v>6</v>
      </c>
      <c r="E41">
        <v>8</v>
      </c>
      <c r="F41">
        <v>7</v>
      </c>
      <c r="G41" t="s">
        <v>274</v>
      </c>
      <c r="H41" t="s">
        <v>271</v>
      </c>
      <c r="I41" t="s">
        <v>275</v>
      </c>
      <c r="J41" t="s">
        <v>272</v>
      </c>
      <c r="K41" t="s">
        <v>335</v>
      </c>
      <c r="L41" t="s">
        <v>273</v>
      </c>
      <c r="M41" t="s">
        <v>336</v>
      </c>
      <c r="N41" t="s">
        <v>346</v>
      </c>
      <c r="O41"/>
    </row>
    <row r="42" spans="1:15" x14ac:dyDescent="0.3">
      <c r="A42" t="s">
        <v>634</v>
      </c>
      <c r="B42" t="s">
        <v>22</v>
      </c>
      <c r="C42">
        <v>0</v>
      </c>
      <c r="D42">
        <v>6</v>
      </c>
      <c r="E42">
        <v>8</v>
      </c>
      <c r="F42">
        <v>7</v>
      </c>
      <c r="G42" t="s">
        <v>274</v>
      </c>
      <c r="H42" t="s">
        <v>271</v>
      </c>
      <c r="I42" t="s">
        <v>275</v>
      </c>
      <c r="J42" t="s">
        <v>272</v>
      </c>
      <c r="K42" t="s">
        <v>335</v>
      </c>
      <c r="L42" t="s">
        <v>273</v>
      </c>
      <c r="M42" t="s">
        <v>336</v>
      </c>
      <c r="N42" t="s">
        <v>346</v>
      </c>
      <c r="O42"/>
    </row>
    <row r="43" spans="1:15" x14ac:dyDescent="0.3">
      <c r="A43" t="s">
        <v>640</v>
      </c>
      <c r="B43" t="s">
        <v>22</v>
      </c>
      <c r="C43">
        <v>0</v>
      </c>
      <c r="D43">
        <v>6</v>
      </c>
      <c r="E43">
        <v>8</v>
      </c>
      <c r="F43">
        <v>7</v>
      </c>
      <c r="G43" t="s">
        <v>274</v>
      </c>
      <c r="H43" t="s">
        <v>271</v>
      </c>
      <c r="I43" t="s">
        <v>275</v>
      </c>
      <c r="J43" t="s">
        <v>272</v>
      </c>
      <c r="K43" t="s">
        <v>335</v>
      </c>
      <c r="L43" t="s">
        <v>273</v>
      </c>
      <c r="M43" t="s">
        <v>336</v>
      </c>
      <c r="N43" t="s">
        <v>346</v>
      </c>
      <c r="O43"/>
    </row>
    <row r="44" spans="1:15" x14ac:dyDescent="0.3">
      <c r="A44" t="s">
        <v>646</v>
      </c>
      <c r="B44" t="s">
        <v>22</v>
      </c>
      <c r="C44">
        <v>0</v>
      </c>
      <c r="D44">
        <v>6</v>
      </c>
      <c r="E44">
        <v>8</v>
      </c>
      <c r="F44">
        <v>7</v>
      </c>
      <c r="G44" t="s">
        <v>274</v>
      </c>
      <c r="H44" t="s">
        <v>271</v>
      </c>
      <c r="I44" t="s">
        <v>275</v>
      </c>
      <c r="J44" t="s">
        <v>272</v>
      </c>
      <c r="K44" t="s">
        <v>335</v>
      </c>
      <c r="L44" t="s">
        <v>273</v>
      </c>
      <c r="M44" t="s">
        <v>336</v>
      </c>
      <c r="N44" t="s">
        <v>346</v>
      </c>
      <c r="O44"/>
    </row>
    <row r="45" spans="1:15" x14ac:dyDescent="0.3">
      <c r="A45" t="s">
        <v>652</v>
      </c>
      <c r="B45" t="s">
        <v>22</v>
      </c>
      <c r="C45">
        <v>0</v>
      </c>
      <c r="D45">
        <v>6</v>
      </c>
      <c r="E45">
        <v>8</v>
      </c>
      <c r="F45">
        <v>7</v>
      </c>
      <c r="G45" t="s">
        <v>274</v>
      </c>
      <c r="H45" t="s">
        <v>271</v>
      </c>
      <c r="I45" t="s">
        <v>275</v>
      </c>
      <c r="J45" t="s">
        <v>272</v>
      </c>
      <c r="K45" t="s">
        <v>335</v>
      </c>
      <c r="L45" t="s">
        <v>273</v>
      </c>
      <c r="M45" t="s">
        <v>336</v>
      </c>
      <c r="N45" t="s">
        <v>346</v>
      </c>
      <c r="O45"/>
    </row>
    <row r="46" spans="1:15" x14ac:dyDescent="0.3">
      <c r="A46" t="s">
        <v>658</v>
      </c>
      <c r="B46" t="s">
        <v>231</v>
      </c>
      <c r="C46">
        <v>0</v>
      </c>
      <c r="D46">
        <v>0</v>
      </c>
      <c r="E46">
        <v>4</v>
      </c>
      <c r="F46">
        <v>3</v>
      </c>
      <c r="G46" t="s">
        <v>271</v>
      </c>
      <c r="H46" t="s">
        <v>272</v>
      </c>
      <c r="I46" t="s">
        <v>273</v>
      </c>
      <c r="J46"/>
      <c r="K46"/>
      <c r="L46"/>
      <c r="M46"/>
      <c r="N46" t="s">
        <v>346</v>
      </c>
      <c r="O46"/>
    </row>
    <row r="47" spans="1:15" x14ac:dyDescent="0.3">
      <c r="A47" t="s">
        <v>660</v>
      </c>
      <c r="B47" t="s">
        <v>15</v>
      </c>
      <c r="C47">
        <v>0</v>
      </c>
      <c r="D47">
        <v>0</v>
      </c>
      <c r="E47">
        <v>4</v>
      </c>
      <c r="F47">
        <v>3</v>
      </c>
      <c r="G47" t="s">
        <v>271</v>
      </c>
      <c r="H47" t="s">
        <v>272</v>
      </c>
      <c r="I47" t="s">
        <v>273</v>
      </c>
      <c r="J47"/>
      <c r="K47"/>
      <c r="L47"/>
      <c r="M47"/>
      <c r="N47" t="s">
        <v>346</v>
      </c>
      <c r="O47"/>
    </row>
    <row r="48" spans="1:15" x14ac:dyDescent="0.3">
      <c r="A48" t="s">
        <v>662</v>
      </c>
      <c r="B48" t="s">
        <v>15</v>
      </c>
      <c r="C48">
        <v>0</v>
      </c>
      <c r="D48">
        <v>0</v>
      </c>
      <c r="E48">
        <v>0</v>
      </c>
      <c r="F48">
        <v>0</v>
      </c>
      <c r="G48"/>
      <c r="H48"/>
      <c r="I48"/>
      <c r="J48"/>
      <c r="K48"/>
      <c r="L48"/>
      <c r="M48"/>
      <c r="N48" t="s">
        <v>346</v>
      </c>
      <c r="O48"/>
    </row>
    <row r="49" spans="1:15" x14ac:dyDescent="0.3">
      <c r="A49" t="s">
        <v>666</v>
      </c>
      <c r="B49" t="s">
        <v>231</v>
      </c>
      <c r="C49">
        <v>0</v>
      </c>
      <c r="D49">
        <v>0</v>
      </c>
      <c r="E49">
        <v>4</v>
      </c>
      <c r="F49">
        <v>3</v>
      </c>
      <c r="G49" t="s">
        <v>271</v>
      </c>
      <c r="H49" t="s">
        <v>272</v>
      </c>
      <c r="I49" t="s">
        <v>273</v>
      </c>
      <c r="J49"/>
      <c r="K49"/>
      <c r="L49"/>
      <c r="M49"/>
      <c r="N49" t="s">
        <v>346</v>
      </c>
      <c r="O49"/>
    </row>
    <row r="50" spans="1:15" x14ac:dyDescent="0.3">
      <c r="A50" t="s">
        <v>668</v>
      </c>
      <c r="B50" t="s">
        <v>42</v>
      </c>
      <c r="C50">
        <v>0</v>
      </c>
      <c r="D50">
        <v>0</v>
      </c>
      <c r="E50">
        <v>4</v>
      </c>
      <c r="F50">
        <v>3</v>
      </c>
      <c r="G50" t="s">
        <v>271</v>
      </c>
      <c r="H50" t="s">
        <v>272</v>
      </c>
      <c r="I50" t="s">
        <v>273</v>
      </c>
      <c r="J50"/>
      <c r="K50"/>
      <c r="L50"/>
      <c r="M50"/>
      <c r="N50" t="s">
        <v>346</v>
      </c>
      <c r="O50"/>
    </row>
    <row r="51" spans="1:15" x14ac:dyDescent="0.3">
      <c r="A51" t="s">
        <v>671</v>
      </c>
      <c r="B51" t="s">
        <v>42</v>
      </c>
      <c r="C51">
        <v>0</v>
      </c>
      <c r="D51">
        <v>0</v>
      </c>
      <c r="E51">
        <v>4</v>
      </c>
      <c r="F51">
        <v>3</v>
      </c>
      <c r="G51" t="s">
        <v>271</v>
      </c>
      <c r="H51" t="s">
        <v>272</v>
      </c>
      <c r="I51" t="s">
        <v>273</v>
      </c>
      <c r="J51"/>
      <c r="K51"/>
      <c r="L51"/>
      <c r="M51"/>
      <c r="N51" t="s">
        <v>346</v>
      </c>
      <c r="O51"/>
    </row>
    <row r="52" spans="1:15" x14ac:dyDescent="0.3">
      <c r="A52" t="s">
        <v>673</v>
      </c>
      <c r="B52" t="s">
        <v>42</v>
      </c>
      <c r="C52">
        <v>0</v>
      </c>
      <c r="D52">
        <v>0</v>
      </c>
      <c r="E52">
        <v>4</v>
      </c>
      <c r="F52">
        <v>3</v>
      </c>
      <c r="G52" t="s">
        <v>271</v>
      </c>
      <c r="H52" t="s">
        <v>272</v>
      </c>
      <c r="I52" t="s">
        <v>273</v>
      </c>
      <c r="J52"/>
      <c r="K52"/>
      <c r="L52"/>
      <c r="M52"/>
      <c r="N52" t="s">
        <v>346</v>
      </c>
      <c r="O52"/>
    </row>
    <row r="53" spans="1:15" x14ac:dyDescent="0.3">
      <c r="A53" t="s">
        <v>676</v>
      </c>
      <c r="B53" t="s">
        <v>42</v>
      </c>
      <c r="C53">
        <v>0</v>
      </c>
      <c r="D53">
        <v>0</v>
      </c>
      <c r="E53">
        <v>4</v>
      </c>
      <c r="F53">
        <v>3</v>
      </c>
      <c r="G53" t="s">
        <v>271</v>
      </c>
      <c r="H53" t="s">
        <v>272</v>
      </c>
      <c r="I53" t="s">
        <v>273</v>
      </c>
      <c r="J53"/>
      <c r="K53"/>
      <c r="L53"/>
      <c r="M53"/>
      <c r="N53" t="s">
        <v>346</v>
      </c>
      <c r="O53"/>
    </row>
    <row r="54" spans="1:15" x14ac:dyDescent="0.3">
      <c r="A54" t="s">
        <v>678</v>
      </c>
      <c r="B54" t="s">
        <v>42</v>
      </c>
      <c r="C54">
        <v>0</v>
      </c>
      <c r="D54">
        <v>0</v>
      </c>
      <c r="E54">
        <v>4</v>
      </c>
      <c r="F54">
        <v>3</v>
      </c>
      <c r="G54" t="s">
        <v>271</v>
      </c>
      <c r="H54" t="s">
        <v>272</v>
      </c>
      <c r="I54" t="s">
        <v>273</v>
      </c>
      <c r="J54"/>
      <c r="K54"/>
      <c r="L54"/>
      <c r="M54"/>
      <c r="N54" t="s">
        <v>346</v>
      </c>
      <c r="O54"/>
    </row>
    <row r="55" spans="1:15" x14ac:dyDescent="0.3">
      <c r="A55" t="s">
        <v>679</v>
      </c>
      <c r="B55" t="s">
        <v>42</v>
      </c>
      <c r="C55">
        <v>0</v>
      </c>
      <c r="D55">
        <v>0</v>
      </c>
      <c r="E55">
        <v>4</v>
      </c>
      <c r="F55">
        <v>3</v>
      </c>
      <c r="G55" t="s">
        <v>271</v>
      </c>
      <c r="H55" t="s">
        <v>272</v>
      </c>
      <c r="I55" t="s">
        <v>273</v>
      </c>
      <c r="J55"/>
      <c r="K55"/>
      <c r="L55"/>
      <c r="M55"/>
      <c r="N55" t="s">
        <v>346</v>
      </c>
      <c r="O55"/>
    </row>
    <row r="56" spans="1:15" x14ac:dyDescent="0.3">
      <c r="A56" t="s">
        <v>683</v>
      </c>
      <c r="B56" t="s">
        <v>42</v>
      </c>
      <c r="C56">
        <v>0</v>
      </c>
      <c r="D56">
        <v>0</v>
      </c>
      <c r="E56">
        <v>4</v>
      </c>
      <c r="F56">
        <v>3</v>
      </c>
      <c r="G56" t="s">
        <v>271</v>
      </c>
      <c r="H56" t="s">
        <v>272</v>
      </c>
      <c r="I56" t="s">
        <v>273</v>
      </c>
      <c r="J56"/>
      <c r="K56"/>
      <c r="L56"/>
      <c r="M56"/>
      <c r="N56" t="s">
        <v>346</v>
      </c>
      <c r="O56"/>
    </row>
    <row r="57" spans="1:15" x14ac:dyDescent="0.3">
      <c r="A57" t="s">
        <v>687</v>
      </c>
      <c r="B57" t="s">
        <v>42</v>
      </c>
      <c r="C57">
        <v>0</v>
      </c>
      <c r="D57">
        <v>0</v>
      </c>
      <c r="E57">
        <v>4</v>
      </c>
      <c r="F57">
        <v>3</v>
      </c>
      <c r="G57" t="s">
        <v>271</v>
      </c>
      <c r="H57" t="s">
        <v>272</v>
      </c>
      <c r="I57" t="s">
        <v>273</v>
      </c>
      <c r="J57"/>
      <c r="K57"/>
      <c r="L57"/>
      <c r="M57"/>
      <c r="N57" t="s">
        <v>346</v>
      </c>
      <c r="O57"/>
    </row>
    <row r="58" spans="1:15" x14ac:dyDescent="0.3">
      <c r="A58" t="s">
        <v>690</v>
      </c>
      <c r="B58" t="s">
        <v>42</v>
      </c>
      <c r="C58">
        <v>0</v>
      </c>
      <c r="D58">
        <v>0</v>
      </c>
      <c r="E58">
        <v>4</v>
      </c>
      <c r="F58">
        <v>3</v>
      </c>
      <c r="G58" t="s">
        <v>271</v>
      </c>
      <c r="H58" t="s">
        <v>272</v>
      </c>
      <c r="I58" t="s">
        <v>273</v>
      </c>
      <c r="J58"/>
      <c r="K58"/>
      <c r="L58"/>
      <c r="M58"/>
      <c r="N58" t="s">
        <v>346</v>
      </c>
      <c r="O58"/>
    </row>
    <row r="59" spans="1:15" x14ac:dyDescent="0.3">
      <c r="A59" t="s">
        <v>693</v>
      </c>
      <c r="B59" t="s">
        <v>42</v>
      </c>
      <c r="C59">
        <v>0</v>
      </c>
      <c r="D59">
        <v>0</v>
      </c>
      <c r="E59">
        <v>4</v>
      </c>
      <c r="F59">
        <v>3</v>
      </c>
      <c r="G59" t="s">
        <v>271</v>
      </c>
      <c r="H59" t="s">
        <v>272</v>
      </c>
      <c r="I59" t="s">
        <v>273</v>
      </c>
      <c r="J59"/>
      <c r="K59"/>
      <c r="L59"/>
      <c r="M59"/>
      <c r="N59" t="s">
        <v>346</v>
      </c>
      <c r="O59"/>
    </row>
    <row r="60" spans="1:15" x14ac:dyDescent="0.3">
      <c r="A60" t="s">
        <v>696</v>
      </c>
      <c r="B60" t="s">
        <v>42</v>
      </c>
      <c r="C60">
        <v>0</v>
      </c>
      <c r="D60">
        <v>0</v>
      </c>
      <c r="E60">
        <v>4</v>
      </c>
      <c r="F60">
        <v>3</v>
      </c>
      <c r="G60" t="s">
        <v>271</v>
      </c>
      <c r="H60" t="s">
        <v>272</v>
      </c>
      <c r="I60" t="s">
        <v>273</v>
      </c>
      <c r="J60"/>
      <c r="K60"/>
      <c r="L60"/>
      <c r="M60"/>
      <c r="N60" t="s">
        <v>346</v>
      </c>
      <c r="O60"/>
    </row>
    <row r="61" spans="1:15" x14ac:dyDescent="0.3">
      <c r="A61" t="s">
        <v>698</v>
      </c>
      <c r="B61" t="s">
        <v>42</v>
      </c>
      <c r="C61">
        <v>0</v>
      </c>
      <c r="D61">
        <v>0</v>
      </c>
      <c r="E61">
        <v>4</v>
      </c>
      <c r="F61">
        <v>3</v>
      </c>
      <c r="G61" t="s">
        <v>271</v>
      </c>
      <c r="H61" t="s">
        <v>272</v>
      </c>
      <c r="I61" t="s">
        <v>273</v>
      </c>
      <c r="J61"/>
      <c r="K61"/>
      <c r="L61"/>
      <c r="M61"/>
      <c r="N61" t="s">
        <v>346</v>
      </c>
      <c r="O61"/>
    </row>
    <row r="62" spans="1:15" x14ac:dyDescent="0.3">
      <c r="A62" s="1" t="s">
        <v>460</v>
      </c>
      <c r="C62" s="1">
        <v>0</v>
      </c>
      <c r="D62" s="1">
        <v>0</v>
      </c>
      <c r="E62" s="1">
        <v>0</v>
      </c>
      <c r="F62" s="1">
        <v>0</v>
      </c>
      <c r="L62" s="1" t="s">
        <v>346</v>
      </c>
    </row>
    <row r="63" spans="1:15" x14ac:dyDescent="0.3">
      <c r="A63" s="1" t="s">
        <v>459</v>
      </c>
      <c r="C63" s="1">
        <v>0</v>
      </c>
      <c r="D63" s="1">
        <v>0</v>
      </c>
      <c r="E63" s="1">
        <v>0</v>
      </c>
      <c r="F63" s="1">
        <v>0</v>
      </c>
      <c r="L63" s="1" t="s">
        <v>346</v>
      </c>
    </row>
    <row r="64" spans="1:15" x14ac:dyDescent="0.3">
      <c r="A64" s="1" t="s">
        <v>41</v>
      </c>
      <c r="B64" s="1" t="s">
        <v>42</v>
      </c>
      <c r="C64" s="1">
        <v>0</v>
      </c>
      <c r="D64" s="1">
        <v>0</v>
      </c>
      <c r="E64" s="1">
        <v>4</v>
      </c>
      <c r="F64" s="1">
        <v>3</v>
      </c>
      <c r="G64" s="1" t="s">
        <v>271</v>
      </c>
      <c r="H64" s="1" t="s">
        <v>272</v>
      </c>
      <c r="I64" s="1" t="s">
        <v>273</v>
      </c>
      <c r="L64" s="1" t="s">
        <v>346</v>
      </c>
    </row>
    <row r="65" spans="1:13" x14ac:dyDescent="0.3">
      <c r="A65" s="1" t="s">
        <v>193</v>
      </c>
      <c r="B65" s="1" t="s">
        <v>22</v>
      </c>
      <c r="C65" s="1">
        <v>0</v>
      </c>
      <c r="D65" s="1">
        <v>6</v>
      </c>
      <c r="E65" s="1">
        <v>8</v>
      </c>
      <c r="F65" s="1">
        <v>7</v>
      </c>
      <c r="G65" s="1" t="s">
        <v>274</v>
      </c>
      <c r="H65" s="1" t="s">
        <v>271</v>
      </c>
      <c r="I65" s="1" t="s">
        <v>275</v>
      </c>
      <c r="J65" s="1" t="s">
        <v>272</v>
      </c>
      <c r="K65" s="1" t="s">
        <v>335</v>
      </c>
      <c r="L65" s="1" t="s">
        <v>346</v>
      </c>
    </row>
    <row r="66" spans="1:13" x14ac:dyDescent="0.3">
      <c r="A66" s="1" t="s">
        <v>458</v>
      </c>
      <c r="C66" s="1">
        <v>1</v>
      </c>
      <c r="D66" s="1">
        <v>3</v>
      </c>
      <c r="E66" s="1">
        <v>5</v>
      </c>
      <c r="F66" s="1">
        <v>4</v>
      </c>
      <c r="G66" s="1" t="s">
        <v>271</v>
      </c>
      <c r="H66" s="1" t="s">
        <v>272</v>
      </c>
      <c r="I66" s="1" t="s">
        <v>336</v>
      </c>
      <c r="J66" s="1" t="s">
        <v>417</v>
      </c>
      <c r="L66" s="1" t="s">
        <v>346</v>
      </c>
    </row>
    <row r="67" spans="1:13" x14ac:dyDescent="0.3">
      <c r="A67" s="1" t="s">
        <v>457</v>
      </c>
      <c r="C67" s="1">
        <v>1</v>
      </c>
      <c r="D67" s="1">
        <v>3</v>
      </c>
      <c r="E67" s="1">
        <v>5</v>
      </c>
      <c r="F67" s="1">
        <v>4</v>
      </c>
      <c r="G67" s="1" t="s">
        <v>271</v>
      </c>
      <c r="H67" s="1" t="s">
        <v>272</v>
      </c>
      <c r="I67" s="1" t="s">
        <v>336</v>
      </c>
      <c r="J67" s="1" t="s">
        <v>417</v>
      </c>
      <c r="L67" s="1" t="s">
        <v>346</v>
      </c>
    </row>
    <row r="68" spans="1:13" x14ac:dyDescent="0.3">
      <c r="A68" s="1" t="s">
        <v>456</v>
      </c>
      <c r="C68" s="1">
        <v>0</v>
      </c>
      <c r="D68" s="1">
        <v>0</v>
      </c>
      <c r="E68" s="1">
        <v>4</v>
      </c>
      <c r="F68" s="1">
        <v>2</v>
      </c>
      <c r="G68" s="1" t="s">
        <v>271</v>
      </c>
      <c r="H68" s="1" t="s">
        <v>272</v>
      </c>
      <c r="L68" s="1" t="s">
        <v>343</v>
      </c>
      <c r="M68" s="1" t="s">
        <v>428</v>
      </c>
    </row>
    <row r="69" spans="1:13" x14ac:dyDescent="0.3">
      <c r="A69" s="1" t="s">
        <v>455</v>
      </c>
      <c r="C69" s="1">
        <v>0</v>
      </c>
      <c r="D69" s="1">
        <v>0</v>
      </c>
      <c r="E69" s="1">
        <v>4</v>
      </c>
      <c r="F69" s="1">
        <v>2</v>
      </c>
      <c r="G69" s="1" t="s">
        <v>271</v>
      </c>
      <c r="H69" s="1" t="s">
        <v>272</v>
      </c>
      <c r="L69" s="1" t="s">
        <v>346</v>
      </c>
    </row>
    <row r="70" spans="1:13" x14ac:dyDescent="0.3">
      <c r="A70" s="1" t="s">
        <v>454</v>
      </c>
      <c r="C70" s="1">
        <v>0</v>
      </c>
      <c r="D70" s="1">
        <v>0</v>
      </c>
      <c r="E70" s="1">
        <v>0</v>
      </c>
      <c r="F70" s="1">
        <v>0</v>
      </c>
      <c r="L70" s="1" t="s">
        <v>346</v>
      </c>
    </row>
    <row r="71" spans="1:13" x14ac:dyDescent="0.3">
      <c r="A71" s="1" t="s">
        <v>453</v>
      </c>
      <c r="C71" s="1">
        <v>0</v>
      </c>
      <c r="D71" s="1">
        <v>0</v>
      </c>
      <c r="E71" s="1">
        <v>4</v>
      </c>
      <c r="F71" s="1">
        <v>2</v>
      </c>
      <c r="G71" s="1" t="s">
        <v>271</v>
      </c>
      <c r="H71" s="1" t="s">
        <v>272</v>
      </c>
      <c r="L71" s="1" t="s">
        <v>346</v>
      </c>
    </row>
    <row r="72" spans="1:13" x14ac:dyDescent="0.3">
      <c r="A72" s="1" t="s">
        <v>452</v>
      </c>
      <c r="C72" s="1">
        <v>1</v>
      </c>
      <c r="D72" s="1">
        <v>3</v>
      </c>
      <c r="E72" s="1">
        <v>5</v>
      </c>
      <c r="F72" s="1">
        <v>4</v>
      </c>
      <c r="G72" s="1" t="s">
        <v>271</v>
      </c>
      <c r="H72" s="1" t="s">
        <v>272</v>
      </c>
      <c r="I72" s="1" t="s">
        <v>336</v>
      </c>
      <c r="J72" s="1" t="s">
        <v>417</v>
      </c>
      <c r="L72" s="1" t="s">
        <v>346</v>
      </c>
    </row>
    <row r="73" spans="1:13" x14ac:dyDescent="0.3">
      <c r="A73" s="1" t="s">
        <v>451</v>
      </c>
      <c r="C73" s="1">
        <v>0</v>
      </c>
      <c r="D73" s="1">
        <v>0</v>
      </c>
      <c r="E73" s="1">
        <v>3</v>
      </c>
      <c r="F73" s="1">
        <v>2</v>
      </c>
      <c r="G73" s="1" t="s">
        <v>271</v>
      </c>
      <c r="H73" s="1" t="s">
        <v>272</v>
      </c>
      <c r="L73" s="1" t="s">
        <v>346</v>
      </c>
    </row>
    <row r="74" spans="1:13" x14ac:dyDescent="0.3">
      <c r="A74" s="1" t="s">
        <v>450</v>
      </c>
      <c r="C74" s="1">
        <v>0</v>
      </c>
      <c r="D74" s="1">
        <v>0</v>
      </c>
      <c r="E74" s="1">
        <v>3</v>
      </c>
      <c r="F74" s="1">
        <v>2</v>
      </c>
      <c r="G74" s="1" t="s">
        <v>271</v>
      </c>
      <c r="H74" s="1" t="s">
        <v>272</v>
      </c>
      <c r="L74" s="1" t="s">
        <v>346</v>
      </c>
    </row>
    <row r="75" spans="1:13" x14ac:dyDescent="0.3">
      <c r="A75" s="1" t="s">
        <v>449</v>
      </c>
      <c r="C75" s="1">
        <v>1</v>
      </c>
      <c r="D75" s="1">
        <v>3</v>
      </c>
      <c r="E75" s="1">
        <v>5</v>
      </c>
      <c r="F75" s="1">
        <v>4</v>
      </c>
      <c r="G75" s="1" t="s">
        <v>271</v>
      </c>
      <c r="H75" s="1" t="s">
        <v>272</v>
      </c>
      <c r="I75" s="1" t="s">
        <v>336</v>
      </c>
      <c r="J75" s="1" t="s">
        <v>417</v>
      </c>
      <c r="L75" s="1" t="s">
        <v>346</v>
      </c>
    </row>
    <row r="76" spans="1:13" x14ac:dyDescent="0.3">
      <c r="A76" s="1" t="s">
        <v>77</v>
      </c>
      <c r="B76" s="1" t="s">
        <v>22</v>
      </c>
      <c r="C76" s="1">
        <v>0</v>
      </c>
      <c r="D76" s="1">
        <v>6</v>
      </c>
      <c r="E76" s="1">
        <v>8</v>
      </c>
      <c r="F76" s="1">
        <v>7</v>
      </c>
      <c r="G76" s="1" t="s">
        <v>274</v>
      </c>
      <c r="H76" s="1" t="s">
        <v>271</v>
      </c>
      <c r="I76" s="1" t="s">
        <v>275</v>
      </c>
      <c r="J76" s="1" t="s">
        <v>272</v>
      </c>
      <c r="K76" s="1" t="s">
        <v>335</v>
      </c>
      <c r="L76" s="1" t="s">
        <v>346</v>
      </c>
    </row>
    <row r="77" spans="1:13" x14ac:dyDescent="0.3">
      <c r="A77" s="1" t="s">
        <v>74</v>
      </c>
      <c r="B77" s="1" t="s">
        <v>22</v>
      </c>
      <c r="C77" s="1">
        <v>0</v>
      </c>
      <c r="D77" s="1">
        <v>6</v>
      </c>
      <c r="E77" s="1">
        <v>8</v>
      </c>
      <c r="F77" s="1">
        <v>7</v>
      </c>
      <c r="G77" s="1" t="s">
        <v>274</v>
      </c>
      <c r="H77" s="1" t="s">
        <v>271</v>
      </c>
      <c r="I77" s="1" t="s">
        <v>275</v>
      </c>
      <c r="J77" s="1" t="s">
        <v>272</v>
      </c>
      <c r="K77" s="1" t="s">
        <v>335</v>
      </c>
      <c r="L77" s="1" t="s">
        <v>346</v>
      </c>
    </row>
    <row r="78" spans="1:13" x14ac:dyDescent="0.3">
      <c r="A78" s="1" t="s">
        <v>205</v>
      </c>
      <c r="B78" s="1" t="s">
        <v>22</v>
      </c>
      <c r="C78" s="1">
        <v>0</v>
      </c>
      <c r="D78" s="1">
        <v>6</v>
      </c>
      <c r="E78" s="1">
        <v>8</v>
      </c>
      <c r="F78" s="1">
        <v>7</v>
      </c>
      <c r="G78" s="1" t="s">
        <v>274</v>
      </c>
      <c r="H78" s="1" t="s">
        <v>271</v>
      </c>
      <c r="I78" s="1" t="s">
        <v>275</v>
      </c>
      <c r="J78" s="1" t="s">
        <v>272</v>
      </c>
      <c r="K78" s="1" t="s">
        <v>335</v>
      </c>
      <c r="L78" s="1" t="s">
        <v>346</v>
      </c>
    </row>
    <row r="79" spans="1:13" x14ac:dyDescent="0.3">
      <c r="A79" s="1" t="s">
        <v>65</v>
      </c>
      <c r="B79" s="1" t="s">
        <v>42</v>
      </c>
      <c r="C79" s="1">
        <v>0</v>
      </c>
      <c r="D79" s="1">
        <v>0</v>
      </c>
      <c r="E79" s="1">
        <v>4</v>
      </c>
      <c r="F79" s="1">
        <v>3</v>
      </c>
      <c r="G79" s="1" t="s">
        <v>271</v>
      </c>
      <c r="H79" s="1" t="s">
        <v>272</v>
      </c>
      <c r="I79" s="1" t="s">
        <v>273</v>
      </c>
      <c r="L79" s="1" t="s">
        <v>346</v>
      </c>
    </row>
    <row r="80" spans="1:13" x14ac:dyDescent="0.3">
      <c r="A80" s="1" t="s">
        <v>448</v>
      </c>
      <c r="C80" s="1">
        <v>0</v>
      </c>
      <c r="D80" s="1">
        <v>0</v>
      </c>
      <c r="E80" s="1">
        <v>4</v>
      </c>
      <c r="F80" s="1">
        <v>2</v>
      </c>
      <c r="G80" s="1" t="s">
        <v>271</v>
      </c>
      <c r="H80" s="1" t="s">
        <v>272</v>
      </c>
      <c r="L80" s="1" t="s">
        <v>346</v>
      </c>
    </row>
    <row r="81" spans="1:12" x14ac:dyDescent="0.3">
      <c r="A81" s="1" t="s">
        <v>447</v>
      </c>
      <c r="C81" s="1">
        <v>0</v>
      </c>
      <c r="D81" s="1">
        <v>0</v>
      </c>
      <c r="E81" s="1">
        <v>4</v>
      </c>
      <c r="F81" s="1">
        <v>2</v>
      </c>
      <c r="G81" s="1" t="s">
        <v>271</v>
      </c>
      <c r="H81" s="1" t="s">
        <v>272</v>
      </c>
      <c r="L81" s="1" t="s">
        <v>346</v>
      </c>
    </row>
    <row r="82" spans="1:12" x14ac:dyDescent="0.3">
      <c r="A82" s="1" t="s">
        <v>230</v>
      </c>
      <c r="B82" s="1" t="s">
        <v>231</v>
      </c>
      <c r="C82" s="1">
        <v>0</v>
      </c>
      <c r="D82" s="1">
        <v>0</v>
      </c>
      <c r="E82" s="1">
        <v>4</v>
      </c>
      <c r="F82" s="1">
        <v>3</v>
      </c>
      <c r="G82" s="1" t="s">
        <v>271</v>
      </c>
      <c r="H82" s="1" t="s">
        <v>272</v>
      </c>
      <c r="I82" s="1" t="s">
        <v>273</v>
      </c>
      <c r="L82" s="1" t="s">
        <v>346</v>
      </c>
    </row>
    <row r="83" spans="1:12" x14ac:dyDescent="0.3">
      <c r="A83" s="1" t="s">
        <v>61</v>
      </c>
      <c r="B83" s="1" t="s">
        <v>15</v>
      </c>
      <c r="C83" s="1">
        <v>0</v>
      </c>
      <c r="D83" s="1">
        <v>0</v>
      </c>
      <c r="E83" s="1">
        <v>4</v>
      </c>
      <c r="F83" s="1">
        <v>3</v>
      </c>
      <c r="G83" s="1" t="s">
        <v>271</v>
      </c>
      <c r="H83" s="1" t="s">
        <v>272</v>
      </c>
      <c r="I83" s="1" t="s">
        <v>273</v>
      </c>
      <c r="L83" s="1" t="s">
        <v>346</v>
      </c>
    </row>
    <row r="84" spans="1:12" x14ac:dyDescent="0.3">
      <c r="A84" s="1" t="s">
        <v>446</v>
      </c>
      <c r="C84" s="1">
        <v>1</v>
      </c>
      <c r="D84" s="1">
        <v>3</v>
      </c>
      <c r="E84" s="1">
        <v>5</v>
      </c>
      <c r="F84" s="1">
        <v>4</v>
      </c>
      <c r="G84" s="1" t="s">
        <v>271</v>
      </c>
      <c r="H84" s="1" t="s">
        <v>272</v>
      </c>
      <c r="I84" s="1" t="s">
        <v>336</v>
      </c>
      <c r="J84" s="1" t="s">
        <v>417</v>
      </c>
      <c r="L84" s="1" t="s">
        <v>346</v>
      </c>
    </row>
    <row r="85" spans="1:12" x14ac:dyDescent="0.3">
      <c r="A85" s="1" t="s">
        <v>445</v>
      </c>
      <c r="C85" s="1">
        <v>1</v>
      </c>
      <c r="D85" s="1">
        <v>3</v>
      </c>
      <c r="E85" s="1">
        <v>5</v>
      </c>
      <c r="F85" s="1">
        <v>4</v>
      </c>
      <c r="G85" s="1" t="s">
        <v>271</v>
      </c>
      <c r="H85" s="1" t="s">
        <v>272</v>
      </c>
      <c r="I85" s="1" t="s">
        <v>336</v>
      </c>
      <c r="J85" s="1" t="s">
        <v>417</v>
      </c>
      <c r="L85" s="1" t="s">
        <v>346</v>
      </c>
    </row>
    <row r="86" spans="1:12" x14ac:dyDescent="0.3">
      <c r="A86" s="1" t="s">
        <v>53</v>
      </c>
      <c r="B86" s="1" t="s">
        <v>42</v>
      </c>
      <c r="C86" s="1">
        <v>0</v>
      </c>
      <c r="D86" s="1">
        <v>0</v>
      </c>
      <c r="E86" s="1">
        <v>4</v>
      </c>
      <c r="F86" s="1">
        <v>3</v>
      </c>
      <c r="G86" s="1" t="s">
        <v>271</v>
      </c>
      <c r="H86" s="1" t="s">
        <v>272</v>
      </c>
      <c r="I86" s="1" t="s">
        <v>273</v>
      </c>
      <c r="L86" s="1" t="s">
        <v>346</v>
      </c>
    </row>
    <row r="87" spans="1:12" x14ac:dyDescent="0.3">
      <c r="A87" s="1" t="s">
        <v>163</v>
      </c>
      <c r="B87" s="1" t="s">
        <v>22</v>
      </c>
      <c r="C87" s="1">
        <v>0</v>
      </c>
      <c r="D87" s="1">
        <v>6</v>
      </c>
      <c r="E87" s="1">
        <v>8</v>
      </c>
      <c r="F87" s="1">
        <v>7</v>
      </c>
      <c r="G87" s="1" t="s">
        <v>274</v>
      </c>
      <c r="H87" s="1" t="s">
        <v>271</v>
      </c>
      <c r="I87" s="1" t="s">
        <v>275</v>
      </c>
      <c r="J87" s="1" t="s">
        <v>272</v>
      </c>
      <c r="K87" s="1" t="s">
        <v>335</v>
      </c>
      <c r="L87" s="1" t="s">
        <v>346</v>
      </c>
    </row>
    <row r="88" spans="1:12" x14ac:dyDescent="0.3">
      <c r="A88" s="1" t="s">
        <v>51</v>
      </c>
      <c r="B88" s="1" t="s">
        <v>42</v>
      </c>
      <c r="C88" s="1">
        <v>0</v>
      </c>
      <c r="D88" s="1">
        <v>0</v>
      </c>
      <c r="E88" s="1">
        <v>4</v>
      </c>
      <c r="F88" s="1">
        <v>3</v>
      </c>
      <c r="G88" s="1" t="s">
        <v>271</v>
      </c>
      <c r="H88" s="1" t="s">
        <v>272</v>
      </c>
      <c r="I88" s="1" t="s">
        <v>273</v>
      </c>
      <c r="L88" s="1" t="s">
        <v>346</v>
      </c>
    </row>
    <row r="89" spans="1:12" x14ac:dyDescent="0.3">
      <c r="A89" s="1" t="s">
        <v>217</v>
      </c>
      <c r="B89" s="1" t="s">
        <v>22</v>
      </c>
      <c r="C89" s="1">
        <v>0</v>
      </c>
      <c r="D89" s="1">
        <v>6</v>
      </c>
      <c r="E89" s="1">
        <v>8</v>
      </c>
      <c r="F89" s="1">
        <v>7</v>
      </c>
      <c r="G89" s="1" t="s">
        <v>274</v>
      </c>
      <c r="H89" s="1" t="s">
        <v>271</v>
      </c>
      <c r="I89" s="1" t="s">
        <v>275</v>
      </c>
      <c r="J89" s="1" t="s">
        <v>272</v>
      </c>
      <c r="K89" s="1" t="s">
        <v>335</v>
      </c>
      <c r="L89" s="1" t="s">
        <v>346</v>
      </c>
    </row>
    <row r="90" spans="1:12" x14ac:dyDescent="0.3">
      <c r="A90" s="1" t="s">
        <v>157</v>
      </c>
      <c r="B90" s="1" t="s">
        <v>22</v>
      </c>
      <c r="C90" s="1">
        <v>0</v>
      </c>
      <c r="D90" s="1">
        <v>6</v>
      </c>
      <c r="E90" s="1">
        <v>8</v>
      </c>
      <c r="F90" s="1">
        <v>7</v>
      </c>
      <c r="G90" s="1" t="s">
        <v>274</v>
      </c>
      <c r="H90" s="1" t="s">
        <v>271</v>
      </c>
      <c r="I90" s="1" t="s">
        <v>275</v>
      </c>
      <c r="J90" s="1" t="s">
        <v>272</v>
      </c>
      <c r="K90" s="1" t="s">
        <v>335</v>
      </c>
      <c r="L90" s="1" t="s">
        <v>346</v>
      </c>
    </row>
    <row r="91" spans="1:12" x14ac:dyDescent="0.3">
      <c r="A91" s="1" t="s">
        <v>48</v>
      </c>
      <c r="B91" s="1" t="s">
        <v>15</v>
      </c>
      <c r="C91" s="1">
        <v>0</v>
      </c>
      <c r="D91" s="1">
        <v>0</v>
      </c>
      <c r="E91" s="1">
        <v>4</v>
      </c>
      <c r="F91" s="1">
        <v>3</v>
      </c>
      <c r="G91" s="1" t="s">
        <v>271</v>
      </c>
      <c r="H91" s="1" t="s">
        <v>272</v>
      </c>
      <c r="I91" s="1" t="s">
        <v>273</v>
      </c>
      <c r="L91" s="1" t="s">
        <v>346</v>
      </c>
    </row>
    <row r="92" spans="1:12" x14ac:dyDescent="0.3">
      <c r="A92" s="1" t="s">
        <v>444</v>
      </c>
      <c r="C92" s="1">
        <v>1</v>
      </c>
      <c r="D92" s="1">
        <v>3</v>
      </c>
      <c r="E92" s="1">
        <v>5</v>
      </c>
      <c r="F92" s="1">
        <v>4</v>
      </c>
      <c r="G92" s="1" t="s">
        <v>271</v>
      </c>
      <c r="H92" s="1" t="s">
        <v>272</v>
      </c>
      <c r="I92" s="1" t="s">
        <v>336</v>
      </c>
      <c r="J92" s="1" t="s">
        <v>417</v>
      </c>
      <c r="L92" s="1" t="s">
        <v>346</v>
      </c>
    </row>
    <row r="93" spans="1:12" x14ac:dyDescent="0.3">
      <c r="A93" s="1" t="s">
        <v>443</v>
      </c>
      <c r="C93" s="1">
        <v>0</v>
      </c>
      <c r="D93" s="1">
        <v>0</v>
      </c>
      <c r="E93" s="1">
        <v>0</v>
      </c>
      <c r="F93" s="1">
        <v>0</v>
      </c>
      <c r="L93" s="1" t="s">
        <v>346</v>
      </c>
    </row>
    <row r="94" spans="1:12" x14ac:dyDescent="0.3">
      <c r="A94" s="1" t="s">
        <v>442</v>
      </c>
      <c r="C94" s="1">
        <v>0</v>
      </c>
      <c r="D94" s="1">
        <v>0</v>
      </c>
      <c r="E94" s="1">
        <v>0</v>
      </c>
      <c r="F94" s="1">
        <v>0</v>
      </c>
      <c r="L94" s="1" t="s">
        <v>346</v>
      </c>
    </row>
    <row r="95" spans="1:12" x14ac:dyDescent="0.3">
      <c r="A95" s="1" t="s">
        <v>109</v>
      </c>
      <c r="B95" s="1" t="s">
        <v>22</v>
      </c>
      <c r="C95" s="1">
        <v>0</v>
      </c>
      <c r="D95" s="1">
        <v>6</v>
      </c>
      <c r="E95" s="1">
        <v>8</v>
      </c>
      <c r="F95" s="1">
        <v>7</v>
      </c>
      <c r="G95" s="1" t="s">
        <v>274</v>
      </c>
      <c r="H95" s="1" t="s">
        <v>271</v>
      </c>
      <c r="I95" s="1" t="s">
        <v>275</v>
      </c>
      <c r="J95" s="1" t="s">
        <v>272</v>
      </c>
      <c r="K95" s="1" t="s">
        <v>335</v>
      </c>
      <c r="L95" s="1" t="s">
        <v>346</v>
      </c>
    </row>
    <row r="96" spans="1:12" x14ac:dyDescent="0.3">
      <c r="A96" s="1" t="s">
        <v>441</v>
      </c>
      <c r="C96" s="1">
        <v>1</v>
      </c>
      <c r="D96" s="1">
        <v>3</v>
      </c>
      <c r="E96" s="1">
        <v>5</v>
      </c>
      <c r="F96" s="1">
        <v>4</v>
      </c>
      <c r="G96" s="1" t="s">
        <v>271</v>
      </c>
      <c r="H96" s="1" t="s">
        <v>272</v>
      </c>
      <c r="I96" s="1" t="s">
        <v>336</v>
      </c>
      <c r="J96" s="1" t="s">
        <v>417</v>
      </c>
      <c r="L96" s="1" t="s">
        <v>346</v>
      </c>
    </row>
    <row r="97" spans="1:13" x14ac:dyDescent="0.3">
      <c r="A97" s="1" t="s">
        <v>29</v>
      </c>
      <c r="B97" s="1" t="s">
        <v>22</v>
      </c>
      <c r="C97" s="1">
        <v>0</v>
      </c>
      <c r="D97" s="1">
        <v>6</v>
      </c>
      <c r="E97" s="1">
        <v>8</v>
      </c>
      <c r="F97" s="1">
        <v>7</v>
      </c>
      <c r="G97" s="1" t="s">
        <v>274</v>
      </c>
      <c r="H97" s="1" t="s">
        <v>271</v>
      </c>
      <c r="I97" s="1" t="s">
        <v>275</v>
      </c>
      <c r="J97" s="1" t="s">
        <v>272</v>
      </c>
      <c r="K97" s="1" t="s">
        <v>335</v>
      </c>
      <c r="L97" s="1" t="s">
        <v>346</v>
      </c>
    </row>
    <row r="98" spans="1:13" x14ac:dyDescent="0.3">
      <c r="A98" s="1" t="s">
        <v>440</v>
      </c>
      <c r="C98" s="1">
        <v>1</v>
      </c>
      <c r="D98" s="1">
        <v>3</v>
      </c>
      <c r="E98" s="1">
        <v>5</v>
      </c>
      <c r="F98" s="1">
        <v>4</v>
      </c>
      <c r="G98" s="1" t="s">
        <v>271</v>
      </c>
      <c r="H98" s="1" t="s">
        <v>272</v>
      </c>
      <c r="I98" s="1" t="s">
        <v>336</v>
      </c>
      <c r="J98" s="1" t="s">
        <v>417</v>
      </c>
      <c r="L98" s="1" t="s">
        <v>346</v>
      </c>
    </row>
    <row r="99" spans="1:13" x14ac:dyDescent="0.3">
      <c r="A99" s="1" t="s">
        <v>175</v>
      </c>
      <c r="B99" s="1" t="s">
        <v>22</v>
      </c>
      <c r="C99" s="1">
        <v>0</v>
      </c>
      <c r="D99" s="1">
        <v>6</v>
      </c>
      <c r="E99" s="1">
        <v>8</v>
      </c>
      <c r="F99" s="1">
        <v>7</v>
      </c>
      <c r="G99" s="1" t="s">
        <v>274</v>
      </c>
      <c r="H99" s="1" t="s">
        <v>271</v>
      </c>
      <c r="I99" s="1" t="s">
        <v>275</v>
      </c>
      <c r="J99" s="1" t="s">
        <v>272</v>
      </c>
      <c r="K99" s="1" t="s">
        <v>335</v>
      </c>
      <c r="L99" s="1" t="s">
        <v>346</v>
      </c>
    </row>
    <row r="100" spans="1:13" x14ac:dyDescent="0.3">
      <c r="A100" s="1" t="s">
        <v>94</v>
      </c>
      <c r="B100" s="1" t="s">
        <v>42</v>
      </c>
      <c r="C100" s="1">
        <v>0</v>
      </c>
      <c r="D100" s="1">
        <v>0</v>
      </c>
      <c r="E100" s="1">
        <v>4</v>
      </c>
      <c r="F100" s="1">
        <v>3</v>
      </c>
      <c r="G100" s="1" t="s">
        <v>271</v>
      </c>
      <c r="H100" s="1" t="s">
        <v>272</v>
      </c>
      <c r="I100" s="1" t="s">
        <v>273</v>
      </c>
      <c r="L100" s="1" t="s">
        <v>346</v>
      </c>
    </row>
    <row r="101" spans="1:13" x14ac:dyDescent="0.3">
      <c r="A101" s="1" t="s">
        <v>439</v>
      </c>
      <c r="C101" s="1">
        <v>1</v>
      </c>
      <c r="D101" s="1">
        <v>3</v>
      </c>
      <c r="E101" s="1">
        <v>5</v>
      </c>
      <c r="F101" s="1">
        <v>4</v>
      </c>
      <c r="G101" s="1" t="s">
        <v>271</v>
      </c>
      <c r="H101" s="1" t="s">
        <v>272</v>
      </c>
      <c r="I101" s="1" t="s">
        <v>336</v>
      </c>
      <c r="J101" s="1" t="s">
        <v>417</v>
      </c>
      <c r="L101" s="1" t="s">
        <v>346</v>
      </c>
    </row>
    <row r="102" spans="1:13" x14ac:dyDescent="0.3">
      <c r="A102" s="1" t="s">
        <v>438</v>
      </c>
      <c r="C102" s="1">
        <v>0</v>
      </c>
      <c r="D102" s="1">
        <v>0</v>
      </c>
      <c r="E102" s="1">
        <v>4</v>
      </c>
      <c r="F102" s="1">
        <v>2</v>
      </c>
      <c r="G102" s="1" t="s">
        <v>271</v>
      </c>
      <c r="H102" s="1" t="s">
        <v>272</v>
      </c>
      <c r="L102" s="1" t="s">
        <v>343</v>
      </c>
      <c r="M102" s="1" t="s">
        <v>428</v>
      </c>
    </row>
    <row r="103" spans="1:13" x14ac:dyDescent="0.3">
      <c r="A103" s="1" t="s">
        <v>83</v>
      </c>
      <c r="B103" s="1" t="s">
        <v>42</v>
      </c>
      <c r="C103" s="1">
        <v>0</v>
      </c>
      <c r="D103" s="1">
        <v>0</v>
      </c>
      <c r="E103" s="1">
        <v>4</v>
      </c>
      <c r="F103" s="1">
        <v>3</v>
      </c>
      <c r="G103" s="1" t="s">
        <v>271</v>
      </c>
      <c r="H103" s="1" t="s">
        <v>272</v>
      </c>
      <c r="I103" s="1" t="s">
        <v>273</v>
      </c>
      <c r="L103" s="1" t="s">
        <v>346</v>
      </c>
    </row>
    <row r="104" spans="1:13" x14ac:dyDescent="0.3">
      <c r="A104" s="1" t="s">
        <v>437</v>
      </c>
      <c r="C104" s="1">
        <v>1</v>
      </c>
      <c r="D104" s="1">
        <v>3</v>
      </c>
      <c r="E104" s="1">
        <v>5</v>
      </c>
      <c r="F104" s="1">
        <v>4</v>
      </c>
      <c r="G104" s="1" t="s">
        <v>271</v>
      </c>
      <c r="H104" s="1" t="s">
        <v>272</v>
      </c>
      <c r="I104" s="1" t="s">
        <v>336</v>
      </c>
      <c r="J104" s="1" t="s">
        <v>417</v>
      </c>
      <c r="L104" s="1" t="s">
        <v>346</v>
      </c>
    </row>
    <row r="105" spans="1:13" x14ac:dyDescent="0.3">
      <c r="A105" s="1" t="s">
        <v>436</v>
      </c>
      <c r="C105" s="1">
        <v>0</v>
      </c>
      <c r="D105" s="1">
        <v>0</v>
      </c>
      <c r="E105" s="1">
        <v>4</v>
      </c>
      <c r="F105" s="1">
        <v>2</v>
      </c>
      <c r="G105" s="1" t="s">
        <v>271</v>
      </c>
      <c r="H105" s="1" t="s">
        <v>272</v>
      </c>
      <c r="L105" s="1" t="s">
        <v>346</v>
      </c>
    </row>
    <row r="106" spans="1:13" x14ac:dyDescent="0.3">
      <c r="A106" s="1" t="s">
        <v>435</v>
      </c>
      <c r="C106" s="1">
        <v>0</v>
      </c>
      <c r="D106" s="1">
        <v>0</v>
      </c>
      <c r="E106" s="1">
        <v>4</v>
      </c>
      <c r="F106" s="1">
        <v>2</v>
      </c>
      <c r="G106" s="1" t="s">
        <v>271</v>
      </c>
      <c r="H106" s="1" t="s">
        <v>272</v>
      </c>
      <c r="L106" s="1" t="s">
        <v>346</v>
      </c>
    </row>
    <row r="107" spans="1:13" x14ac:dyDescent="0.3">
      <c r="A107" s="1" t="s">
        <v>121</v>
      </c>
      <c r="B107" s="1" t="s">
        <v>22</v>
      </c>
      <c r="C107" s="1">
        <v>0</v>
      </c>
      <c r="D107" s="1">
        <v>6</v>
      </c>
      <c r="E107" s="1">
        <v>8</v>
      </c>
      <c r="F107" s="1">
        <v>7</v>
      </c>
      <c r="G107" s="1" t="s">
        <v>274</v>
      </c>
      <c r="H107" s="1" t="s">
        <v>271</v>
      </c>
      <c r="I107" s="1" t="s">
        <v>275</v>
      </c>
      <c r="J107" s="1" t="s">
        <v>272</v>
      </c>
      <c r="K107" s="1" t="s">
        <v>335</v>
      </c>
      <c r="L107" s="1" t="s">
        <v>346</v>
      </c>
    </row>
    <row r="108" spans="1:13" x14ac:dyDescent="0.3">
      <c r="A108" s="1" t="s">
        <v>434</v>
      </c>
      <c r="C108" s="1">
        <v>0</v>
      </c>
      <c r="D108" s="1">
        <v>0</v>
      </c>
      <c r="E108" s="1">
        <v>4</v>
      </c>
      <c r="F108" s="1">
        <v>2</v>
      </c>
      <c r="G108" s="1" t="s">
        <v>271</v>
      </c>
      <c r="H108" s="1" t="s">
        <v>272</v>
      </c>
      <c r="L108" s="1" t="s">
        <v>346</v>
      </c>
    </row>
    <row r="109" spans="1:13" x14ac:dyDescent="0.3">
      <c r="A109" s="1" t="s">
        <v>433</v>
      </c>
      <c r="C109" s="1">
        <v>1</v>
      </c>
      <c r="D109" s="1">
        <v>3</v>
      </c>
      <c r="E109" s="1">
        <v>5</v>
      </c>
      <c r="F109" s="1">
        <v>4</v>
      </c>
      <c r="G109" s="1" t="s">
        <v>271</v>
      </c>
      <c r="H109" s="1" t="s">
        <v>272</v>
      </c>
      <c r="I109" s="1" t="s">
        <v>336</v>
      </c>
      <c r="J109" s="1" t="s">
        <v>417</v>
      </c>
      <c r="L109" s="1" t="s">
        <v>346</v>
      </c>
    </row>
    <row r="110" spans="1:13" x14ac:dyDescent="0.3">
      <c r="A110" s="1" t="s">
        <v>151</v>
      </c>
      <c r="B110" s="1" t="s">
        <v>22</v>
      </c>
      <c r="C110" s="1">
        <v>0</v>
      </c>
      <c r="D110" s="1">
        <v>6</v>
      </c>
      <c r="E110" s="1">
        <v>8</v>
      </c>
      <c r="F110" s="1">
        <v>7</v>
      </c>
      <c r="G110" s="1" t="s">
        <v>274</v>
      </c>
      <c r="H110" s="1" t="s">
        <v>271</v>
      </c>
      <c r="I110" s="1" t="s">
        <v>275</v>
      </c>
      <c r="J110" s="1" t="s">
        <v>272</v>
      </c>
      <c r="K110" s="1" t="s">
        <v>335</v>
      </c>
      <c r="L110" s="1" t="s">
        <v>346</v>
      </c>
    </row>
    <row r="111" spans="1:13" x14ac:dyDescent="0.3">
      <c r="A111" s="1" t="s">
        <v>432</v>
      </c>
      <c r="C111" s="1">
        <v>0</v>
      </c>
      <c r="D111" s="1">
        <v>0</v>
      </c>
      <c r="E111" s="1">
        <v>4</v>
      </c>
      <c r="F111" s="1">
        <v>2</v>
      </c>
      <c r="G111" s="1" t="s">
        <v>271</v>
      </c>
      <c r="H111" s="1" t="s">
        <v>272</v>
      </c>
      <c r="L111" s="1" t="s">
        <v>346</v>
      </c>
    </row>
    <row r="112" spans="1:13" x14ac:dyDescent="0.3">
      <c r="A112" s="1" t="s">
        <v>431</v>
      </c>
      <c r="C112" s="1">
        <v>1</v>
      </c>
      <c r="D112" s="1">
        <v>3</v>
      </c>
      <c r="E112" s="1">
        <v>5</v>
      </c>
      <c r="F112" s="1">
        <v>4</v>
      </c>
      <c r="G112" s="1" t="s">
        <v>271</v>
      </c>
      <c r="H112" s="1" t="s">
        <v>272</v>
      </c>
      <c r="I112" s="1" t="s">
        <v>336</v>
      </c>
      <c r="J112" s="1" t="s">
        <v>417</v>
      </c>
      <c r="L112" s="1" t="s">
        <v>346</v>
      </c>
    </row>
    <row r="113" spans="1:13" x14ac:dyDescent="0.3">
      <c r="A113" s="1" t="s">
        <v>187</v>
      </c>
      <c r="B113" s="1" t="s">
        <v>22</v>
      </c>
      <c r="C113" s="1">
        <v>0</v>
      </c>
      <c r="D113" s="1">
        <v>6</v>
      </c>
      <c r="E113" s="1">
        <v>8</v>
      </c>
      <c r="F113" s="1">
        <v>7</v>
      </c>
      <c r="G113" s="1" t="s">
        <v>274</v>
      </c>
      <c r="H113" s="1" t="s">
        <v>271</v>
      </c>
      <c r="I113" s="1" t="s">
        <v>275</v>
      </c>
      <c r="J113" s="1" t="s">
        <v>272</v>
      </c>
      <c r="K113" s="1" t="s">
        <v>335</v>
      </c>
      <c r="L113" s="1" t="s">
        <v>346</v>
      </c>
    </row>
    <row r="114" spans="1:13" x14ac:dyDescent="0.3">
      <c r="A114" s="1" t="s">
        <v>68</v>
      </c>
      <c r="B114" s="1" t="s">
        <v>42</v>
      </c>
      <c r="C114" s="1">
        <v>0</v>
      </c>
      <c r="D114" s="1">
        <v>0</v>
      </c>
      <c r="E114" s="1">
        <v>4</v>
      </c>
      <c r="F114" s="1">
        <v>3</v>
      </c>
      <c r="G114" s="1" t="s">
        <v>271</v>
      </c>
      <c r="H114" s="1" t="s">
        <v>272</v>
      </c>
      <c r="I114" s="1" t="s">
        <v>273</v>
      </c>
      <c r="L114" s="1" t="s">
        <v>346</v>
      </c>
    </row>
    <row r="115" spans="1:13" x14ac:dyDescent="0.3">
      <c r="A115" s="1" t="s">
        <v>430</v>
      </c>
      <c r="C115" s="1">
        <v>0</v>
      </c>
      <c r="D115" s="1">
        <v>0</v>
      </c>
      <c r="E115" s="1">
        <v>4</v>
      </c>
      <c r="F115" s="1">
        <v>2</v>
      </c>
      <c r="G115" s="1" t="s">
        <v>271</v>
      </c>
      <c r="H115" s="1" t="s">
        <v>272</v>
      </c>
      <c r="L115" s="1" t="s">
        <v>346</v>
      </c>
    </row>
    <row r="116" spans="1:13" x14ac:dyDescent="0.3">
      <c r="A116" s="1" t="s">
        <v>429</v>
      </c>
      <c r="C116" s="1">
        <v>0</v>
      </c>
      <c r="D116" s="1">
        <v>0</v>
      </c>
      <c r="E116" s="1">
        <v>4</v>
      </c>
      <c r="F116" s="1">
        <v>2</v>
      </c>
      <c r="G116" s="1" t="s">
        <v>271</v>
      </c>
      <c r="H116" s="1" t="s">
        <v>272</v>
      </c>
      <c r="L116" s="1" t="s">
        <v>343</v>
      </c>
      <c r="M116" s="1" t="s">
        <v>428</v>
      </c>
    </row>
    <row r="117" spans="1:13" x14ac:dyDescent="0.3">
      <c r="A117" s="1" t="s">
        <v>427</v>
      </c>
      <c r="C117" s="1">
        <v>0</v>
      </c>
      <c r="D117" s="1">
        <v>0</v>
      </c>
      <c r="E117" s="1">
        <v>3</v>
      </c>
      <c r="F117" s="1">
        <v>3</v>
      </c>
      <c r="G117" s="1" t="s">
        <v>273</v>
      </c>
      <c r="H117" s="1" t="s">
        <v>337</v>
      </c>
      <c r="I117" s="1" t="s">
        <v>338</v>
      </c>
      <c r="L117" s="1" t="s">
        <v>346</v>
      </c>
    </row>
    <row r="118" spans="1:13" x14ac:dyDescent="0.3">
      <c r="A118" s="1" t="s">
        <v>426</v>
      </c>
      <c r="C118" s="1">
        <v>1</v>
      </c>
      <c r="D118" s="1">
        <v>3</v>
      </c>
      <c r="E118" s="1">
        <v>5</v>
      </c>
      <c r="F118" s="1">
        <v>4</v>
      </c>
      <c r="G118" s="1" t="s">
        <v>271</v>
      </c>
      <c r="H118" s="1" t="s">
        <v>272</v>
      </c>
      <c r="I118" s="1" t="s">
        <v>336</v>
      </c>
      <c r="J118" s="1" t="s">
        <v>417</v>
      </c>
      <c r="L118" s="1" t="s">
        <v>346</v>
      </c>
    </row>
    <row r="119" spans="1:13" x14ac:dyDescent="0.3">
      <c r="A119" s="1" t="s">
        <v>425</v>
      </c>
      <c r="C119" s="1">
        <v>0</v>
      </c>
      <c r="D119" s="1">
        <v>0</v>
      </c>
      <c r="E119" s="1">
        <v>4</v>
      </c>
      <c r="F119" s="1">
        <v>2</v>
      </c>
      <c r="G119" s="1" t="s">
        <v>271</v>
      </c>
      <c r="H119" s="1" t="s">
        <v>272</v>
      </c>
      <c r="L119" s="1" t="s">
        <v>346</v>
      </c>
    </row>
    <row r="120" spans="1:13" x14ac:dyDescent="0.3">
      <c r="A120" s="1" t="s">
        <v>424</v>
      </c>
      <c r="C120" s="1">
        <v>0</v>
      </c>
      <c r="D120" s="1">
        <v>0</v>
      </c>
      <c r="E120" s="1">
        <v>4</v>
      </c>
      <c r="F120" s="1">
        <v>2</v>
      </c>
      <c r="G120" s="1" t="s">
        <v>271</v>
      </c>
      <c r="H120" s="1" t="s">
        <v>272</v>
      </c>
      <c r="L120" s="1" t="s">
        <v>346</v>
      </c>
    </row>
    <row r="121" spans="1:13" x14ac:dyDescent="0.3">
      <c r="A121" s="1" t="s">
        <v>423</v>
      </c>
      <c r="C121" s="1">
        <v>1</v>
      </c>
      <c r="D121" s="1">
        <v>3</v>
      </c>
      <c r="E121" s="1">
        <v>5</v>
      </c>
      <c r="F121" s="1">
        <v>4</v>
      </c>
      <c r="G121" s="1" t="s">
        <v>271</v>
      </c>
      <c r="H121" s="1" t="s">
        <v>272</v>
      </c>
      <c r="I121" s="1" t="s">
        <v>336</v>
      </c>
      <c r="J121" s="1" t="s">
        <v>417</v>
      </c>
      <c r="L121" s="1" t="s">
        <v>346</v>
      </c>
    </row>
    <row r="122" spans="1:13" x14ac:dyDescent="0.3">
      <c r="A122" s="1" t="s">
        <v>422</v>
      </c>
      <c r="C122" s="1">
        <v>0</v>
      </c>
      <c r="D122" s="1">
        <v>0</v>
      </c>
      <c r="E122" s="1">
        <v>3</v>
      </c>
      <c r="F122" s="1">
        <v>2</v>
      </c>
      <c r="G122" s="1" t="s">
        <v>271</v>
      </c>
      <c r="H122" s="1" t="s">
        <v>272</v>
      </c>
      <c r="L122" s="1" t="s">
        <v>346</v>
      </c>
    </row>
    <row r="123" spans="1:13" x14ac:dyDescent="0.3">
      <c r="A123" s="1" t="s">
        <v>54</v>
      </c>
      <c r="B123" s="1" t="s">
        <v>22</v>
      </c>
      <c r="C123" s="1">
        <v>0</v>
      </c>
      <c r="D123" s="1">
        <v>6</v>
      </c>
      <c r="E123" s="1">
        <v>8</v>
      </c>
      <c r="F123" s="1">
        <v>7</v>
      </c>
      <c r="G123" s="1" t="s">
        <v>274</v>
      </c>
      <c r="H123" s="1" t="s">
        <v>271</v>
      </c>
      <c r="I123" s="1" t="s">
        <v>275</v>
      </c>
      <c r="J123" s="1" t="s">
        <v>272</v>
      </c>
      <c r="K123" s="1" t="s">
        <v>335</v>
      </c>
      <c r="L123" s="1" t="s">
        <v>346</v>
      </c>
    </row>
    <row r="124" spans="1:13" x14ac:dyDescent="0.3">
      <c r="A124" s="1" t="s">
        <v>421</v>
      </c>
      <c r="C124" s="1">
        <v>1</v>
      </c>
      <c r="D124" s="1">
        <v>3</v>
      </c>
      <c r="E124" s="1">
        <v>5</v>
      </c>
      <c r="F124" s="1">
        <v>4</v>
      </c>
      <c r="G124" s="1" t="s">
        <v>271</v>
      </c>
      <c r="H124" s="1" t="s">
        <v>272</v>
      </c>
      <c r="I124" s="1" t="s">
        <v>336</v>
      </c>
      <c r="J124" s="1" t="s">
        <v>417</v>
      </c>
      <c r="L124" s="1" t="s">
        <v>346</v>
      </c>
    </row>
    <row r="125" spans="1:13" x14ac:dyDescent="0.3">
      <c r="A125" s="1" t="s">
        <v>420</v>
      </c>
      <c r="C125" s="1">
        <v>0</v>
      </c>
      <c r="D125" s="1">
        <v>0</v>
      </c>
      <c r="E125" s="1">
        <v>4</v>
      </c>
      <c r="F125" s="1">
        <v>2</v>
      </c>
      <c r="G125" s="1" t="s">
        <v>271</v>
      </c>
      <c r="H125" s="1" t="s">
        <v>272</v>
      </c>
      <c r="L125" s="1" t="s">
        <v>346</v>
      </c>
    </row>
    <row r="126" spans="1:13" x14ac:dyDescent="0.3">
      <c r="A126" s="1" t="s">
        <v>145</v>
      </c>
      <c r="B126" s="1" t="s">
        <v>22</v>
      </c>
      <c r="C126" s="1">
        <v>0</v>
      </c>
      <c r="D126" s="1">
        <v>6</v>
      </c>
      <c r="E126" s="1">
        <v>8</v>
      </c>
      <c r="F126" s="1">
        <v>7</v>
      </c>
      <c r="G126" s="1" t="s">
        <v>274</v>
      </c>
      <c r="H126" s="1" t="s">
        <v>271</v>
      </c>
      <c r="I126" s="1" t="s">
        <v>275</v>
      </c>
      <c r="J126" s="1" t="s">
        <v>272</v>
      </c>
      <c r="K126" s="1" t="s">
        <v>335</v>
      </c>
      <c r="L126" s="1" t="s">
        <v>346</v>
      </c>
    </row>
    <row r="127" spans="1:13" x14ac:dyDescent="0.3">
      <c r="A127" s="1" t="s">
        <v>139</v>
      </c>
      <c r="B127" s="1" t="s">
        <v>22</v>
      </c>
      <c r="C127" s="1">
        <v>0</v>
      </c>
      <c r="D127" s="1">
        <v>6</v>
      </c>
      <c r="E127" s="1">
        <v>8</v>
      </c>
      <c r="F127" s="1">
        <v>7</v>
      </c>
      <c r="G127" s="1" t="s">
        <v>274</v>
      </c>
      <c r="H127" s="1" t="s">
        <v>271</v>
      </c>
      <c r="I127" s="1" t="s">
        <v>275</v>
      </c>
      <c r="J127" s="1" t="s">
        <v>272</v>
      </c>
      <c r="K127" s="1" t="s">
        <v>335</v>
      </c>
      <c r="L127" s="1" t="s">
        <v>346</v>
      </c>
    </row>
    <row r="128" spans="1:13" x14ac:dyDescent="0.3">
      <c r="A128" s="1" t="s">
        <v>133</v>
      </c>
      <c r="B128" s="1" t="s">
        <v>22</v>
      </c>
      <c r="C128" s="1">
        <v>0</v>
      </c>
      <c r="D128" s="1">
        <v>6</v>
      </c>
      <c r="E128" s="1">
        <v>8</v>
      </c>
      <c r="F128" s="1">
        <v>7</v>
      </c>
      <c r="G128" s="1" t="s">
        <v>274</v>
      </c>
      <c r="H128" s="1" t="s">
        <v>271</v>
      </c>
      <c r="I128" s="1" t="s">
        <v>275</v>
      </c>
      <c r="J128" s="1" t="s">
        <v>272</v>
      </c>
      <c r="K128" s="1" t="s">
        <v>335</v>
      </c>
      <c r="L128" s="1" t="s">
        <v>346</v>
      </c>
    </row>
    <row r="129" spans="1:12" x14ac:dyDescent="0.3">
      <c r="A129" s="1" t="s">
        <v>419</v>
      </c>
      <c r="C129" s="1">
        <v>1</v>
      </c>
      <c r="D129" s="1">
        <v>3</v>
      </c>
      <c r="E129" s="1">
        <v>5</v>
      </c>
      <c r="F129" s="1">
        <v>4</v>
      </c>
      <c r="G129" s="1" t="s">
        <v>271</v>
      </c>
      <c r="H129" s="1" t="s">
        <v>272</v>
      </c>
      <c r="I129" s="1" t="s">
        <v>336</v>
      </c>
      <c r="J129" s="1" t="s">
        <v>417</v>
      </c>
      <c r="L129" s="1" t="s">
        <v>346</v>
      </c>
    </row>
    <row r="130" spans="1:12" x14ac:dyDescent="0.3">
      <c r="A130" s="1" t="s">
        <v>418</v>
      </c>
      <c r="C130" s="1">
        <v>1</v>
      </c>
      <c r="D130" s="1">
        <v>3</v>
      </c>
      <c r="E130" s="1">
        <v>5</v>
      </c>
      <c r="F130" s="1">
        <v>4</v>
      </c>
      <c r="G130" s="1" t="s">
        <v>271</v>
      </c>
      <c r="H130" s="1" t="s">
        <v>272</v>
      </c>
      <c r="I130" s="1" t="s">
        <v>336</v>
      </c>
      <c r="J130" s="1" t="s">
        <v>417</v>
      </c>
      <c r="L130" s="1" t="s">
        <v>346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Summary (New)</vt:lpstr>
      <vt:lpstr>Raw (New)</vt:lpstr>
      <vt:lpstr>Summary</vt:lpstr>
      <vt:lpstr>Raw</vt:lpstr>
      <vt:lpstr>raw-sheet</vt:lpstr>
      <vt:lpstr>raw-schema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Soocheol You</dc:creator>
  <cp:lastModifiedBy>Bongbeen Kim</cp:lastModifiedBy>
  <dcterms:created xsi:type="dcterms:W3CDTF">2025-07-07T00:58:36Z</dcterms:created>
  <dcterms:modified xsi:type="dcterms:W3CDTF">2025-07-28T08:02:31Z</dcterms:modified>
</cp:coreProperties>
</file>