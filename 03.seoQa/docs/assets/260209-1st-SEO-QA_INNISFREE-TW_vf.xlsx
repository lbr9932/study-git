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nxmail-my.sharepoint.com/personal/yerin_joo_concentrix_com/Documents/Documents/★WORKING/Support/16_AMORE (INISFREE)/03_QA/04_TW/"/>
    </mc:Choice>
  </mc:AlternateContent>
  <xr:revisionPtr revIDLastSave="236" documentId="8_{63189F7C-2149-4A39-8374-D7FFB2F0D56D}" xr6:coauthVersionLast="47" xr6:coauthVersionMax="47" xr10:uidLastSave="{26308545-09FA-4EB3-B779-2D922D788DBA}"/>
  <bookViews>
    <workbookView xWindow="-30" yWindow="-16320" windowWidth="29040" windowHeight="16440" activeTab="2" xr2:uid="{00000000-000D-0000-FFFF-FFFF00000000}"/>
  </bookViews>
  <sheets>
    <sheet name="Summary" sheetId="1" r:id="rId1"/>
    <sheet name="Raw (QA 완료)" sheetId="2" state="hidden" r:id="rId2"/>
    <sheet name="QA 결과" sheetId="3" r:id="rId3"/>
    <sheet name="raw-sheet" sheetId="4" state="hidden" r:id="rId4"/>
    <sheet name="raw-schema" sheetId="5" state="hidden" r:id="rId5"/>
    <sheet name="404 Inlinks" sheetId="6" r:id="rId6"/>
    <sheet name="302 Inlinks" sheetId="7" r:id="rId7"/>
  </sheets>
  <definedNames>
    <definedName name="_xlnm._FilterDatabase" localSheetId="2" hidden="1">'QA 결과'!$A$1:$AG$424</definedName>
    <definedName name="_xlnm._FilterDatabase" localSheetId="3" hidden="1">'raw-sheet'!$A$1:$CK$406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4" i="3" l="1"/>
  <c r="E424" i="3" a="1"/>
  <c r="E424" i="3" s="1"/>
  <c r="O423" i="3"/>
  <c r="E423" i="3" a="1"/>
  <c r="E423" i="3" s="1"/>
  <c r="Y422" i="3" a="1"/>
  <c r="Y422" i="3" s="1"/>
  <c r="X422" i="3" a="1"/>
  <c r="X422" i="3" s="1"/>
  <c r="W422" i="3" a="1"/>
  <c r="W422" i="3" s="1"/>
  <c r="V422" i="3" a="1"/>
  <c r="V422" i="3" s="1"/>
  <c r="U422" i="3" a="1"/>
  <c r="U422" i="3" s="1"/>
  <c r="T422" i="3" a="1"/>
  <c r="T422" i="3" s="1"/>
  <c r="S422" i="3" a="1"/>
  <c r="S422" i="3" s="1"/>
  <c r="R422" i="3" a="1"/>
  <c r="R422" i="3" s="1"/>
  <c r="Q422" i="3" a="1"/>
  <c r="Q422" i="3" s="1"/>
  <c r="P422" i="3" a="1"/>
  <c r="P422" i="3" s="1"/>
  <c r="N422" i="3" a="1"/>
  <c r="N422" i="3" s="1"/>
  <c r="O422" i="3" s="1"/>
  <c r="L422" i="3" a="1"/>
  <c r="L422" i="3" s="1"/>
  <c r="K422" i="3" a="1"/>
  <c r="K422" i="3" s="1"/>
  <c r="I422" i="3" a="1"/>
  <c r="I422" i="3" s="1"/>
  <c r="G422" i="3" a="1"/>
  <c r="G422" i="3" s="1"/>
  <c r="E422" i="3" a="1"/>
  <c r="E422" i="3" s="1"/>
  <c r="D422" i="3" a="1"/>
  <c r="D422" i="3" s="1"/>
  <c r="Y421" i="3" a="1"/>
  <c r="Y421" i="3" s="1"/>
  <c r="X421" i="3" a="1"/>
  <c r="X421" i="3" s="1"/>
  <c r="W421" i="3" a="1"/>
  <c r="W421" i="3" s="1"/>
  <c r="V421" i="3" a="1"/>
  <c r="V421" i="3" s="1"/>
  <c r="U421" i="3" a="1"/>
  <c r="U421" i="3" s="1"/>
  <c r="T421" i="3" a="1"/>
  <c r="T421" i="3" s="1"/>
  <c r="S421" i="3" a="1"/>
  <c r="S421" i="3" s="1"/>
  <c r="R421" i="3" a="1"/>
  <c r="R421" i="3" s="1"/>
  <c r="Q421" i="3" a="1"/>
  <c r="Q421" i="3" s="1"/>
  <c r="P421" i="3" a="1"/>
  <c r="P421" i="3" s="1"/>
  <c r="N421" i="3" a="1"/>
  <c r="N421" i="3" s="1"/>
  <c r="O421" i="3" s="1"/>
  <c r="L421" i="3" a="1"/>
  <c r="L421" i="3" s="1"/>
  <c r="K421" i="3" a="1"/>
  <c r="K421" i="3" s="1"/>
  <c r="I421" i="3" a="1"/>
  <c r="I421" i="3" s="1"/>
  <c r="G421" i="3" a="1"/>
  <c r="G421" i="3" s="1"/>
  <c r="E421" i="3" a="1"/>
  <c r="E421" i="3" s="1"/>
  <c r="D421" i="3" a="1"/>
  <c r="D421" i="3" s="1"/>
  <c r="Y420" i="3" a="1"/>
  <c r="Y420" i="3" s="1"/>
  <c r="X420" i="3" a="1"/>
  <c r="X420" i="3" s="1"/>
  <c r="W420" i="3" a="1"/>
  <c r="W420" i="3" s="1"/>
  <c r="V420" i="3" a="1"/>
  <c r="V420" i="3" s="1"/>
  <c r="U420" i="3" a="1"/>
  <c r="U420" i="3" s="1"/>
  <c r="T420" i="3" a="1"/>
  <c r="T420" i="3" s="1"/>
  <c r="S420" i="3" a="1"/>
  <c r="S420" i="3" s="1"/>
  <c r="R420" i="3" a="1"/>
  <c r="R420" i="3" s="1"/>
  <c r="Q420" i="3" a="1"/>
  <c r="Q420" i="3" s="1"/>
  <c r="P420" i="3" a="1"/>
  <c r="P420" i="3" s="1"/>
  <c r="N420" i="3" a="1"/>
  <c r="N420" i="3" s="1"/>
  <c r="O420" i="3" s="1"/>
  <c r="L420" i="3" a="1"/>
  <c r="L420" i="3" s="1"/>
  <c r="K420" i="3" a="1"/>
  <c r="K420" i="3" s="1"/>
  <c r="I420" i="3" a="1"/>
  <c r="I420" i="3" s="1"/>
  <c r="G420" i="3" a="1"/>
  <c r="G420" i="3" s="1"/>
  <c r="E420" i="3" a="1"/>
  <c r="E420" i="3" s="1"/>
  <c r="D420" i="3" a="1"/>
  <c r="D420" i="3" s="1"/>
  <c r="Y419" i="3" a="1"/>
  <c r="Y419" i="3" s="1"/>
  <c r="X419" i="3" a="1"/>
  <c r="X419" i="3" s="1"/>
  <c r="W419" i="3" a="1"/>
  <c r="W419" i="3" s="1"/>
  <c r="V419" i="3" a="1"/>
  <c r="V419" i="3" s="1"/>
  <c r="U419" i="3" a="1"/>
  <c r="U419" i="3" s="1"/>
  <c r="T419" i="3" a="1"/>
  <c r="T419" i="3" s="1"/>
  <c r="S419" i="3" a="1"/>
  <c r="S419" i="3" s="1"/>
  <c r="R419" i="3" a="1"/>
  <c r="R419" i="3" s="1"/>
  <c r="Q419" i="3" a="1"/>
  <c r="Q419" i="3" s="1"/>
  <c r="P419" i="3" a="1"/>
  <c r="P419" i="3" s="1"/>
  <c r="N419" i="3" a="1"/>
  <c r="N419" i="3" s="1"/>
  <c r="O419" i="3" s="1"/>
  <c r="L419" i="3" a="1"/>
  <c r="L419" i="3" s="1"/>
  <c r="K419" i="3" a="1"/>
  <c r="K419" i="3" s="1"/>
  <c r="I419" i="3" a="1"/>
  <c r="I419" i="3" s="1"/>
  <c r="G419" i="3" a="1"/>
  <c r="G419" i="3" s="1"/>
  <c r="E419" i="3" a="1"/>
  <c r="E419" i="3" s="1"/>
  <c r="D419" i="3" a="1"/>
  <c r="D419" i="3" s="1"/>
  <c r="Y418" i="3" a="1"/>
  <c r="Y418" i="3" s="1"/>
  <c r="X418" i="3" a="1"/>
  <c r="X418" i="3" s="1"/>
  <c r="W418" i="3" a="1"/>
  <c r="W418" i="3" s="1"/>
  <c r="V418" i="3" a="1"/>
  <c r="V418" i="3" s="1"/>
  <c r="U418" i="3" a="1"/>
  <c r="U418" i="3" s="1"/>
  <c r="T418" i="3" a="1"/>
  <c r="T418" i="3" s="1"/>
  <c r="S418" i="3" a="1"/>
  <c r="S418" i="3" s="1"/>
  <c r="R418" i="3" a="1"/>
  <c r="R418" i="3" s="1"/>
  <c r="Q418" i="3" a="1"/>
  <c r="Q418" i="3" s="1"/>
  <c r="P418" i="3" a="1"/>
  <c r="P418" i="3" s="1"/>
  <c r="N418" i="3" a="1"/>
  <c r="N418" i="3" s="1"/>
  <c r="O418" i="3" s="1"/>
  <c r="L418" i="3" a="1"/>
  <c r="L418" i="3" s="1"/>
  <c r="K418" i="3" a="1"/>
  <c r="K418" i="3" s="1"/>
  <c r="I418" i="3" a="1"/>
  <c r="I418" i="3" s="1"/>
  <c r="G418" i="3" a="1"/>
  <c r="G418" i="3" s="1"/>
  <c r="E418" i="3" a="1"/>
  <c r="E418" i="3" s="1"/>
  <c r="D418" i="3" a="1"/>
  <c r="D418" i="3" s="1"/>
  <c r="Y417" i="3" a="1"/>
  <c r="Y417" i="3" s="1"/>
  <c r="X417" i="3" a="1"/>
  <c r="X417" i="3" s="1"/>
  <c r="W417" i="3" a="1"/>
  <c r="W417" i="3" s="1"/>
  <c r="V417" i="3" a="1"/>
  <c r="V417" i="3" s="1"/>
  <c r="U417" i="3" a="1"/>
  <c r="U417" i="3" s="1"/>
  <c r="T417" i="3" a="1"/>
  <c r="T417" i="3" s="1"/>
  <c r="S417" i="3" a="1"/>
  <c r="S417" i="3" s="1"/>
  <c r="R417" i="3" a="1"/>
  <c r="R417" i="3" s="1"/>
  <c r="Q417" i="3" a="1"/>
  <c r="Q417" i="3" s="1"/>
  <c r="P417" i="3" a="1"/>
  <c r="P417" i="3" s="1"/>
  <c r="N417" i="3" a="1"/>
  <c r="N417" i="3" s="1"/>
  <c r="O417" i="3" s="1"/>
  <c r="L417" i="3" a="1"/>
  <c r="L417" i="3" s="1"/>
  <c r="K417" i="3" a="1"/>
  <c r="K417" i="3" s="1"/>
  <c r="I417" i="3" a="1"/>
  <c r="I417" i="3" s="1"/>
  <c r="G417" i="3" a="1"/>
  <c r="G417" i="3" s="1"/>
  <c r="E417" i="3" a="1"/>
  <c r="E417" i="3" s="1"/>
  <c r="D417" i="3" a="1"/>
  <c r="D417" i="3" s="1"/>
  <c r="Y416" i="3" a="1"/>
  <c r="Y416" i="3" s="1"/>
  <c r="X416" i="3" a="1"/>
  <c r="X416" i="3" s="1"/>
  <c r="W416" i="3" a="1"/>
  <c r="W416" i="3" s="1"/>
  <c r="V416" i="3" a="1"/>
  <c r="V416" i="3" s="1"/>
  <c r="U416" i="3" a="1"/>
  <c r="U416" i="3" s="1"/>
  <c r="T416" i="3" a="1"/>
  <c r="T416" i="3" s="1"/>
  <c r="S416" i="3" a="1"/>
  <c r="S416" i="3" s="1"/>
  <c r="R416" i="3" a="1"/>
  <c r="R416" i="3" s="1"/>
  <c r="Q416" i="3" a="1"/>
  <c r="Q416" i="3" s="1"/>
  <c r="P416" i="3" a="1"/>
  <c r="P416" i="3" s="1"/>
  <c r="N416" i="3" a="1"/>
  <c r="N416" i="3" s="1"/>
  <c r="O416" i="3" s="1"/>
  <c r="L416" i="3" a="1"/>
  <c r="L416" i="3" s="1"/>
  <c r="K416" i="3" a="1"/>
  <c r="K416" i="3" s="1"/>
  <c r="G416" i="3" a="1"/>
  <c r="G416" i="3" s="1"/>
  <c r="E416" i="3" a="1"/>
  <c r="E416" i="3" s="1"/>
  <c r="D416" i="3" a="1"/>
  <c r="D416" i="3" s="1"/>
  <c r="Y415" i="3" a="1"/>
  <c r="Y415" i="3" s="1"/>
  <c r="X415" i="3" a="1"/>
  <c r="X415" i="3" s="1"/>
  <c r="W415" i="3" a="1"/>
  <c r="W415" i="3" s="1"/>
  <c r="V415" i="3" a="1"/>
  <c r="V415" i="3" s="1"/>
  <c r="U415" i="3" a="1"/>
  <c r="U415" i="3" s="1"/>
  <c r="T415" i="3" a="1"/>
  <c r="T415" i="3" s="1"/>
  <c r="S415" i="3" a="1"/>
  <c r="S415" i="3" s="1"/>
  <c r="R415" i="3" a="1"/>
  <c r="R415" i="3" s="1"/>
  <c r="Q415" i="3" a="1"/>
  <c r="Q415" i="3" s="1"/>
  <c r="P415" i="3" a="1"/>
  <c r="P415" i="3" s="1"/>
  <c r="N415" i="3" a="1"/>
  <c r="N415" i="3" s="1"/>
  <c r="O415" i="3" s="1"/>
  <c r="L415" i="3" a="1"/>
  <c r="L415" i="3" s="1"/>
  <c r="K415" i="3" a="1"/>
  <c r="K415" i="3" s="1"/>
  <c r="I415" i="3" a="1"/>
  <c r="I415" i="3" s="1"/>
  <c r="G415" i="3" a="1"/>
  <c r="G415" i="3" s="1"/>
  <c r="E415" i="3" a="1"/>
  <c r="E415" i="3" s="1"/>
  <c r="D415" i="3" a="1"/>
  <c r="D415" i="3" s="1"/>
  <c r="Y414" i="3" a="1"/>
  <c r="Y414" i="3" s="1"/>
  <c r="X414" i="3" a="1"/>
  <c r="X414" i="3" s="1"/>
  <c r="W414" i="3" a="1"/>
  <c r="W414" i="3" s="1"/>
  <c r="V414" i="3" a="1"/>
  <c r="V414" i="3" s="1"/>
  <c r="U414" i="3" a="1"/>
  <c r="U414" i="3" s="1"/>
  <c r="T414" i="3" a="1"/>
  <c r="T414" i="3" s="1"/>
  <c r="S414" i="3" a="1"/>
  <c r="S414" i="3" s="1"/>
  <c r="R414" i="3" a="1"/>
  <c r="R414" i="3" s="1"/>
  <c r="Q414" i="3" a="1"/>
  <c r="Q414" i="3" s="1"/>
  <c r="P414" i="3" a="1"/>
  <c r="P414" i="3" s="1"/>
  <c r="N414" i="3" a="1"/>
  <c r="N414" i="3" s="1"/>
  <c r="O414" i="3" s="1"/>
  <c r="L414" i="3" a="1"/>
  <c r="L414" i="3" s="1"/>
  <c r="K414" i="3" a="1"/>
  <c r="K414" i="3" s="1"/>
  <c r="I414" i="3" a="1"/>
  <c r="I414" i="3" s="1"/>
  <c r="G414" i="3" a="1"/>
  <c r="G414" i="3" s="1"/>
  <c r="E414" i="3" a="1"/>
  <c r="E414" i="3" s="1"/>
  <c r="D414" i="3" a="1"/>
  <c r="D414" i="3" s="1"/>
  <c r="Y413" i="3" a="1"/>
  <c r="Y413" i="3" s="1"/>
  <c r="X413" i="3" a="1"/>
  <c r="X413" i="3" s="1"/>
  <c r="W413" i="3" a="1"/>
  <c r="W413" i="3" s="1"/>
  <c r="V413" i="3" a="1"/>
  <c r="V413" i="3" s="1"/>
  <c r="U413" i="3" a="1"/>
  <c r="U413" i="3" s="1"/>
  <c r="T413" i="3" a="1"/>
  <c r="T413" i="3" s="1"/>
  <c r="S413" i="3" a="1"/>
  <c r="S413" i="3" s="1"/>
  <c r="R413" i="3" a="1"/>
  <c r="R413" i="3" s="1"/>
  <c r="Q413" i="3" a="1"/>
  <c r="Q413" i="3" s="1"/>
  <c r="P413" i="3" a="1"/>
  <c r="P413" i="3" s="1"/>
  <c r="N413" i="3" a="1"/>
  <c r="N413" i="3" s="1"/>
  <c r="O413" i="3" s="1"/>
  <c r="L413" i="3" a="1"/>
  <c r="L413" i="3" s="1"/>
  <c r="K413" i="3" a="1"/>
  <c r="K413" i="3" s="1"/>
  <c r="I413" i="3" a="1"/>
  <c r="I413" i="3" s="1"/>
  <c r="G413" i="3" a="1"/>
  <c r="G413" i="3" s="1"/>
  <c r="E413" i="3" a="1"/>
  <c r="E413" i="3" s="1"/>
  <c r="D413" i="3" a="1"/>
  <c r="D413" i="3" s="1"/>
  <c r="Y412" i="3" a="1"/>
  <c r="Y412" i="3" s="1"/>
  <c r="X412" i="3" a="1"/>
  <c r="X412" i="3" s="1"/>
  <c r="W412" i="3" a="1"/>
  <c r="W412" i="3" s="1"/>
  <c r="V412" i="3" a="1"/>
  <c r="V412" i="3" s="1"/>
  <c r="U412" i="3" a="1"/>
  <c r="U412" i="3" s="1"/>
  <c r="T412" i="3" a="1"/>
  <c r="T412" i="3" s="1"/>
  <c r="S412" i="3" a="1"/>
  <c r="S412" i="3" s="1"/>
  <c r="R412" i="3" a="1"/>
  <c r="R412" i="3" s="1"/>
  <c r="Q412" i="3" a="1"/>
  <c r="Q412" i="3" s="1"/>
  <c r="P412" i="3" a="1"/>
  <c r="P412" i="3" s="1"/>
  <c r="N412" i="3" a="1"/>
  <c r="N412" i="3" s="1"/>
  <c r="O412" i="3" s="1"/>
  <c r="L412" i="3" a="1"/>
  <c r="L412" i="3" s="1"/>
  <c r="K412" i="3" a="1"/>
  <c r="K412" i="3" s="1"/>
  <c r="I412" i="3" a="1"/>
  <c r="I412" i="3" s="1"/>
  <c r="G412" i="3" a="1"/>
  <c r="G412" i="3" s="1"/>
  <c r="E412" i="3" a="1"/>
  <c r="E412" i="3" s="1"/>
  <c r="D412" i="3" a="1"/>
  <c r="D412" i="3" s="1"/>
  <c r="Y411" i="3" a="1"/>
  <c r="Y411" i="3" s="1"/>
  <c r="X411" i="3" a="1"/>
  <c r="X411" i="3" s="1"/>
  <c r="W411" i="3" a="1"/>
  <c r="W411" i="3" s="1"/>
  <c r="V411" i="3" a="1"/>
  <c r="V411" i="3" s="1"/>
  <c r="U411" i="3" a="1"/>
  <c r="U411" i="3" s="1"/>
  <c r="T411" i="3" a="1"/>
  <c r="T411" i="3" s="1"/>
  <c r="S411" i="3" a="1"/>
  <c r="S411" i="3" s="1"/>
  <c r="R411" i="3" a="1"/>
  <c r="R411" i="3" s="1"/>
  <c r="Q411" i="3" a="1"/>
  <c r="Q411" i="3" s="1"/>
  <c r="P411" i="3" a="1"/>
  <c r="P411" i="3" s="1"/>
  <c r="N411" i="3" a="1"/>
  <c r="N411" i="3" s="1"/>
  <c r="L411" i="3" a="1"/>
  <c r="L411" i="3" s="1"/>
  <c r="K411" i="3" a="1"/>
  <c r="K411" i="3" s="1"/>
  <c r="G411" i="3" a="1"/>
  <c r="G411" i="3" s="1"/>
  <c r="E411" i="3" a="1"/>
  <c r="E411" i="3" s="1"/>
  <c r="D411" i="3" a="1"/>
  <c r="D411" i="3" s="1"/>
  <c r="Y410" i="3" a="1"/>
  <c r="Y410" i="3" s="1"/>
  <c r="X410" i="3" a="1"/>
  <c r="X410" i="3" s="1"/>
  <c r="W410" i="3" a="1"/>
  <c r="W410" i="3" s="1"/>
  <c r="V410" i="3" a="1"/>
  <c r="V410" i="3" s="1"/>
  <c r="U410" i="3" a="1"/>
  <c r="U410" i="3" s="1"/>
  <c r="T410" i="3" a="1"/>
  <c r="T410" i="3" s="1"/>
  <c r="S410" i="3" a="1"/>
  <c r="S410" i="3" s="1"/>
  <c r="R410" i="3" a="1"/>
  <c r="R410" i="3" s="1"/>
  <c r="Q410" i="3" a="1"/>
  <c r="Q410" i="3" s="1"/>
  <c r="P410" i="3" a="1"/>
  <c r="P410" i="3" s="1"/>
  <c r="N410" i="3" a="1"/>
  <c r="N410" i="3" s="1"/>
  <c r="L410" i="3" a="1"/>
  <c r="L410" i="3" s="1"/>
  <c r="K410" i="3" a="1"/>
  <c r="K410" i="3" s="1"/>
  <c r="G410" i="3" a="1"/>
  <c r="G410" i="3" s="1"/>
  <c r="E410" i="3" a="1"/>
  <c r="E410" i="3" s="1"/>
  <c r="D410" i="3" a="1"/>
  <c r="D410" i="3" s="1"/>
  <c r="Y409" i="3" a="1"/>
  <c r="Y409" i="3" s="1"/>
  <c r="X409" i="3" a="1"/>
  <c r="X409" i="3" s="1"/>
  <c r="W409" i="3" a="1"/>
  <c r="W409" i="3" s="1"/>
  <c r="V409" i="3" a="1"/>
  <c r="V409" i="3" s="1"/>
  <c r="U409" i="3" a="1"/>
  <c r="U409" i="3" s="1"/>
  <c r="T409" i="3" a="1"/>
  <c r="T409" i="3" s="1"/>
  <c r="S409" i="3" a="1"/>
  <c r="S409" i="3" s="1"/>
  <c r="R409" i="3" a="1"/>
  <c r="R409" i="3" s="1"/>
  <c r="Q409" i="3" a="1"/>
  <c r="Q409" i="3" s="1"/>
  <c r="P409" i="3" a="1"/>
  <c r="P409" i="3" s="1"/>
  <c r="N409" i="3" a="1"/>
  <c r="N409" i="3" s="1"/>
  <c r="O409" i="3" s="1"/>
  <c r="L409" i="3" a="1"/>
  <c r="L409" i="3" s="1"/>
  <c r="K409" i="3" a="1"/>
  <c r="K409" i="3" s="1"/>
  <c r="I409" i="3" a="1"/>
  <c r="I409" i="3" s="1"/>
  <c r="G409" i="3" a="1"/>
  <c r="G409" i="3" s="1"/>
  <c r="E409" i="3" a="1"/>
  <c r="E409" i="3" s="1"/>
  <c r="D409" i="3" a="1"/>
  <c r="D409" i="3" s="1"/>
  <c r="Y408" i="3" a="1"/>
  <c r="Y408" i="3" s="1"/>
  <c r="X408" i="3" a="1"/>
  <c r="X408" i="3" s="1"/>
  <c r="W408" i="3" a="1"/>
  <c r="W408" i="3" s="1"/>
  <c r="V408" i="3" a="1"/>
  <c r="V408" i="3" s="1"/>
  <c r="U408" i="3" a="1"/>
  <c r="U408" i="3" s="1"/>
  <c r="T408" i="3" a="1"/>
  <c r="T408" i="3" s="1"/>
  <c r="S408" i="3" a="1"/>
  <c r="S408" i="3" s="1"/>
  <c r="R408" i="3" a="1"/>
  <c r="R408" i="3" s="1"/>
  <c r="Q408" i="3" a="1"/>
  <c r="Q408" i="3" s="1"/>
  <c r="P408" i="3" a="1"/>
  <c r="P408" i="3" s="1"/>
  <c r="N408" i="3" a="1"/>
  <c r="N408" i="3" s="1"/>
  <c r="O408" i="3" s="1"/>
  <c r="L408" i="3" a="1"/>
  <c r="L408" i="3" s="1"/>
  <c r="K408" i="3" a="1"/>
  <c r="K408" i="3" s="1"/>
  <c r="I408" i="3" a="1"/>
  <c r="I408" i="3" s="1"/>
  <c r="G408" i="3" a="1"/>
  <c r="G408" i="3" s="1"/>
  <c r="E408" i="3" a="1"/>
  <c r="E408" i="3" s="1"/>
  <c r="D408" i="3" a="1"/>
  <c r="D408" i="3" s="1"/>
  <c r="Y407" i="3" a="1"/>
  <c r="Y407" i="3" s="1"/>
  <c r="X407" i="3" a="1"/>
  <c r="X407" i="3" s="1"/>
  <c r="W407" i="3" a="1"/>
  <c r="W407" i="3" s="1"/>
  <c r="V407" i="3" a="1"/>
  <c r="V407" i="3" s="1"/>
  <c r="U407" i="3" a="1"/>
  <c r="U407" i="3" s="1"/>
  <c r="T407" i="3" a="1"/>
  <c r="T407" i="3" s="1"/>
  <c r="S407" i="3" a="1"/>
  <c r="S407" i="3" s="1"/>
  <c r="R407" i="3" a="1"/>
  <c r="R407" i="3" s="1"/>
  <c r="Q407" i="3" a="1"/>
  <c r="Q407" i="3" s="1"/>
  <c r="P407" i="3" a="1"/>
  <c r="P407" i="3" s="1"/>
  <c r="N407" i="3" a="1"/>
  <c r="N407" i="3" s="1"/>
  <c r="O407" i="3" s="1"/>
  <c r="L407" i="3" a="1"/>
  <c r="L407" i="3" s="1"/>
  <c r="G407" i="3" a="1"/>
  <c r="G407" i="3" s="1"/>
  <c r="E407" i="3" a="1"/>
  <c r="E407" i="3" s="1"/>
  <c r="Y406" i="3" a="1"/>
  <c r="Y406" i="3" s="1"/>
  <c r="X406" i="3" a="1"/>
  <c r="X406" i="3" s="1"/>
  <c r="W406" i="3" a="1"/>
  <c r="W406" i="3" s="1"/>
  <c r="V406" i="3" a="1"/>
  <c r="V406" i="3" s="1"/>
  <c r="U406" i="3" a="1"/>
  <c r="U406" i="3" s="1"/>
  <c r="T406" i="3" a="1"/>
  <c r="T406" i="3" s="1"/>
  <c r="S406" i="3" a="1"/>
  <c r="S406" i="3" s="1"/>
  <c r="R406" i="3" a="1"/>
  <c r="R406" i="3" s="1"/>
  <c r="Q406" i="3" a="1"/>
  <c r="Q406" i="3" s="1"/>
  <c r="P406" i="3" a="1"/>
  <c r="P406" i="3" s="1"/>
  <c r="N406" i="3" a="1"/>
  <c r="N406" i="3" s="1"/>
  <c r="O406" i="3" s="1"/>
  <c r="L406" i="3" a="1"/>
  <c r="L406" i="3" s="1"/>
  <c r="K406" i="3" a="1"/>
  <c r="K406" i="3" s="1"/>
  <c r="I406" i="3" a="1"/>
  <c r="I406" i="3" s="1"/>
  <c r="G406" i="3" a="1"/>
  <c r="G406" i="3" s="1"/>
  <c r="E406" i="3" a="1"/>
  <c r="E406" i="3" s="1"/>
  <c r="D406" i="3" a="1"/>
  <c r="D406" i="3" s="1"/>
  <c r="Y405" i="3" a="1"/>
  <c r="Y405" i="3" s="1"/>
  <c r="X405" i="3" a="1"/>
  <c r="X405" i="3" s="1"/>
  <c r="W405" i="3" a="1"/>
  <c r="W405" i="3" s="1"/>
  <c r="V405" i="3" a="1"/>
  <c r="V405" i="3" s="1"/>
  <c r="U405" i="3" a="1"/>
  <c r="U405" i="3" s="1"/>
  <c r="T405" i="3" a="1"/>
  <c r="T405" i="3" s="1"/>
  <c r="S405" i="3" a="1"/>
  <c r="S405" i="3" s="1"/>
  <c r="R405" i="3" a="1"/>
  <c r="R405" i="3" s="1"/>
  <c r="Q405" i="3" a="1"/>
  <c r="Q405" i="3" s="1"/>
  <c r="P405" i="3" a="1"/>
  <c r="P405" i="3" s="1"/>
  <c r="N405" i="3" a="1"/>
  <c r="N405" i="3" s="1"/>
  <c r="O405" i="3" s="1"/>
  <c r="L405" i="3" a="1"/>
  <c r="L405" i="3" s="1"/>
  <c r="K405" i="3" a="1"/>
  <c r="K405" i="3" s="1"/>
  <c r="I405" i="3" a="1"/>
  <c r="I405" i="3" s="1"/>
  <c r="G405" i="3" a="1"/>
  <c r="G405" i="3" s="1"/>
  <c r="E405" i="3" a="1"/>
  <c r="E405" i="3" s="1"/>
  <c r="D405" i="3" a="1"/>
  <c r="D405" i="3" s="1"/>
  <c r="Y404" i="3" a="1"/>
  <c r="Y404" i="3" s="1"/>
  <c r="X404" i="3" a="1"/>
  <c r="X404" i="3" s="1"/>
  <c r="W404" i="3" a="1"/>
  <c r="W404" i="3" s="1"/>
  <c r="V404" i="3" a="1"/>
  <c r="V404" i="3" s="1"/>
  <c r="U404" i="3" a="1"/>
  <c r="U404" i="3" s="1"/>
  <c r="T404" i="3" a="1"/>
  <c r="T404" i="3" s="1"/>
  <c r="S404" i="3" a="1"/>
  <c r="S404" i="3" s="1"/>
  <c r="R404" i="3" a="1"/>
  <c r="R404" i="3" s="1"/>
  <c r="Q404" i="3" a="1"/>
  <c r="Q404" i="3" s="1"/>
  <c r="P404" i="3" a="1"/>
  <c r="P404" i="3" s="1"/>
  <c r="N404" i="3" a="1"/>
  <c r="N404" i="3" s="1"/>
  <c r="O404" i="3" s="1"/>
  <c r="L404" i="3" a="1"/>
  <c r="L404" i="3" s="1"/>
  <c r="K404" i="3" a="1"/>
  <c r="K404" i="3" s="1"/>
  <c r="I404" i="3" a="1"/>
  <c r="I404" i="3" s="1"/>
  <c r="G404" i="3" a="1"/>
  <c r="G404" i="3" s="1"/>
  <c r="E404" i="3" a="1"/>
  <c r="E404" i="3" s="1"/>
  <c r="D404" i="3" a="1"/>
  <c r="D404" i="3" s="1"/>
  <c r="Y403" i="3" a="1"/>
  <c r="Y403" i="3" s="1"/>
  <c r="X403" i="3" a="1"/>
  <c r="X403" i="3" s="1"/>
  <c r="W403" i="3" a="1"/>
  <c r="W403" i="3" s="1"/>
  <c r="V403" i="3" a="1"/>
  <c r="V403" i="3" s="1"/>
  <c r="U403" i="3" a="1"/>
  <c r="U403" i="3" s="1"/>
  <c r="T403" i="3" a="1"/>
  <c r="T403" i="3" s="1"/>
  <c r="S403" i="3" a="1"/>
  <c r="S403" i="3" s="1"/>
  <c r="R403" i="3" a="1"/>
  <c r="R403" i="3" s="1"/>
  <c r="Q403" i="3" a="1"/>
  <c r="Q403" i="3" s="1"/>
  <c r="P403" i="3" a="1"/>
  <c r="P403" i="3" s="1"/>
  <c r="N403" i="3" a="1"/>
  <c r="N403" i="3" s="1"/>
  <c r="O403" i="3" s="1"/>
  <c r="L403" i="3" a="1"/>
  <c r="L403" i="3" s="1"/>
  <c r="K403" i="3" a="1"/>
  <c r="K403" i="3" s="1"/>
  <c r="I403" i="3" a="1"/>
  <c r="I403" i="3" s="1"/>
  <c r="G403" i="3" a="1"/>
  <c r="G403" i="3" s="1"/>
  <c r="E403" i="3" a="1"/>
  <c r="E403" i="3" s="1"/>
  <c r="D403" i="3" a="1"/>
  <c r="D403" i="3" s="1"/>
  <c r="Y402" i="3" a="1"/>
  <c r="Y402" i="3" s="1"/>
  <c r="X402" i="3" a="1"/>
  <c r="X402" i="3" s="1"/>
  <c r="W402" i="3" a="1"/>
  <c r="W402" i="3" s="1"/>
  <c r="V402" i="3" a="1"/>
  <c r="V402" i="3" s="1"/>
  <c r="U402" i="3" a="1"/>
  <c r="U402" i="3" s="1"/>
  <c r="T402" i="3" a="1"/>
  <c r="T402" i="3" s="1"/>
  <c r="S402" i="3" a="1"/>
  <c r="S402" i="3" s="1"/>
  <c r="R402" i="3" a="1"/>
  <c r="R402" i="3" s="1"/>
  <c r="Q402" i="3" a="1"/>
  <c r="Q402" i="3" s="1"/>
  <c r="P402" i="3" a="1"/>
  <c r="P402" i="3" s="1"/>
  <c r="N402" i="3" a="1"/>
  <c r="N402" i="3" s="1"/>
  <c r="O402" i="3" s="1"/>
  <c r="L402" i="3" a="1"/>
  <c r="L402" i="3" s="1"/>
  <c r="K402" i="3" a="1"/>
  <c r="K402" i="3" s="1"/>
  <c r="I402" i="3" a="1"/>
  <c r="I402" i="3" s="1"/>
  <c r="G402" i="3" a="1"/>
  <c r="G402" i="3" s="1"/>
  <c r="E402" i="3" a="1"/>
  <c r="E402" i="3" s="1"/>
  <c r="D402" i="3" a="1"/>
  <c r="D402" i="3" s="1"/>
  <c r="A424" i="3" a="1"/>
  <c r="A424" i="3" s="1"/>
  <c r="A423" i="3" a="1"/>
  <c r="A423" i="3" s="1"/>
  <c r="A422" i="3" a="1"/>
  <c r="A422" i="3" s="1"/>
  <c r="AB422" i="3" s="1"/>
  <c r="A421" i="3" a="1"/>
  <c r="A421" i="3" s="1"/>
  <c r="A420" i="3" a="1"/>
  <c r="A420" i="3" s="1"/>
  <c r="A419" i="3" a="1"/>
  <c r="A419" i="3" s="1"/>
  <c r="AC419" i="3" s="1"/>
  <c r="A418" i="3" a="1"/>
  <c r="A418" i="3" s="1"/>
  <c r="AA418" i="3" s="1"/>
  <c r="A417" i="3" a="1"/>
  <c r="A417" i="3" s="1"/>
  <c r="A416" i="3" a="1"/>
  <c r="A416" i="3" s="1"/>
  <c r="AD416" i="3" s="1"/>
  <c r="A415" i="3" a="1"/>
  <c r="A415" i="3" s="1"/>
  <c r="AC415" i="3" s="1"/>
  <c r="A414" i="3" a="1"/>
  <c r="A414" i="3" s="1"/>
  <c r="AC414" i="3" s="1"/>
  <c r="A413" i="3" a="1"/>
  <c r="A413" i="3" s="1"/>
  <c r="A412" i="3" a="1"/>
  <c r="A412" i="3" s="1"/>
  <c r="AC412" i="3" s="1"/>
  <c r="A411" i="3" a="1"/>
  <c r="A411" i="3" s="1"/>
  <c r="AA411" i="3" s="1"/>
  <c r="A410" i="3" a="1"/>
  <c r="A410" i="3" s="1"/>
  <c r="A409" i="3" a="1"/>
  <c r="A409" i="3" s="1"/>
  <c r="A408" i="3" a="1"/>
  <c r="A408" i="3" s="1"/>
  <c r="AA408" i="3" s="1"/>
  <c r="A407" i="3" a="1"/>
  <c r="A407" i="3" s="1"/>
  <c r="A406" i="3" a="1"/>
  <c r="A406" i="3" s="1"/>
  <c r="A405" i="3" a="1"/>
  <c r="A405" i="3" s="1"/>
  <c r="AD405" i="3" s="1"/>
  <c r="A404" i="3" a="1"/>
  <c r="A404" i="3" s="1"/>
  <c r="A403" i="3" a="1"/>
  <c r="A403" i="3" s="1"/>
  <c r="AC403" i="3" s="1"/>
  <c r="A402" i="3" a="1"/>
  <c r="A402" i="3" s="1"/>
  <c r="X424" i="2" a="1"/>
  <c r="X424" i="2" s="1"/>
  <c r="W424" i="2"/>
  <c r="W424" i="2" a="1"/>
  <c r="V424" i="2" a="1"/>
  <c r="V424" i="2" s="1"/>
  <c r="U424" i="2" a="1"/>
  <c r="U424" i="2" s="1"/>
  <c r="T424" i="2" a="1"/>
  <c r="T424" i="2" s="1"/>
  <c r="S424" i="2" a="1"/>
  <c r="S424" i="2" s="1"/>
  <c r="R424" i="2" a="1"/>
  <c r="R424" i="2" s="1"/>
  <c r="Q424" i="2"/>
  <c r="Q424" i="2" a="1"/>
  <c r="P424" i="2" a="1"/>
  <c r="P424" i="2" s="1"/>
  <c r="O424" i="2" a="1"/>
  <c r="O424" i="2" s="1"/>
  <c r="M424" i="2"/>
  <c r="M424" i="2" a="1"/>
  <c r="K424" i="2"/>
  <c r="K424" i="2" a="1"/>
  <c r="J424" i="2" a="1"/>
  <c r="J424" i="2" s="1"/>
  <c r="H424" i="2"/>
  <c r="H424" i="2" a="1"/>
  <c r="F424" i="2"/>
  <c r="F424" i="2" a="1"/>
  <c r="D424" i="2" a="1"/>
  <c r="D424" i="2" s="1"/>
  <c r="E424" i="2" s="1"/>
  <c r="C424" i="2" a="1"/>
  <c r="C424" i="2" s="1"/>
  <c r="A424" i="2" a="1"/>
  <c r="A424" i="2" s="1"/>
  <c r="AD423" i="2"/>
  <c r="X423" i="2"/>
  <c r="X423" i="2" a="1"/>
  <c r="W423" i="2"/>
  <c r="W423" i="2" a="1"/>
  <c r="V423" i="2" a="1"/>
  <c r="V423" i="2" s="1"/>
  <c r="U423" i="2" a="1"/>
  <c r="U423" i="2" s="1"/>
  <c r="T423" i="2" a="1"/>
  <c r="T423" i="2" s="1"/>
  <c r="S423" i="2" a="1"/>
  <c r="S423" i="2" s="1"/>
  <c r="R423" i="2"/>
  <c r="R423" i="2" a="1"/>
  <c r="Q423" i="2" a="1"/>
  <c r="Q423" i="2" s="1"/>
  <c r="P423" i="2" a="1"/>
  <c r="P423" i="2" s="1"/>
  <c r="O423" i="2" a="1"/>
  <c r="O423" i="2" s="1"/>
  <c r="M423" i="2" a="1"/>
  <c r="M423" i="2" s="1"/>
  <c r="K423" i="2" a="1"/>
  <c r="K423" i="2" s="1"/>
  <c r="J423" i="2" a="1"/>
  <c r="J423" i="2" s="1"/>
  <c r="H423" i="2"/>
  <c r="H423" i="2" a="1"/>
  <c r="F423" i="2" a="1"/>
  <c r="F423" i="2" s="1"/>
  <c r="D423" i="2" a="1"/>
  <c r="D423" i="2" s="1"/>
  <c r="E423" i="2" s="1"/>
  <c r="C423" i="2" a="1"/>
  <c r="C423" i="2" s="1"/>
  <c r="A423" i="2"/>
  <c r="AC423" i="2" s="1"/>
  <c r="A423" i="2" a="1"/>
  <c r="X422" i="2"/>
  <c r="X422" i="2" a="1"/>
  <c r="W422" i="2" a="1"/>
  <c r="W422" i="2" s="1"/>
  <c r="V422" i="2" a="1"/>
  <c r="V422" i="2" s="1"/>
  <c r="U422" i="2" a="1"/>
  <c r="U422" i="2" s="1"/>
  <c r="T422" i="2" a="1"/>
  <c r="T422" i="2" s="1"/>
  <c r="S422" i="2" a="1"/>
  <c r="S422" i="2" s="1"/>
  <c r="R422" i="2"/>
  <c r="R422" i="2" a="1"/>
  <c r="Q422" i="2" a="1"/>
  <c r="Q422" i="2" s="1"/>
  <c r="P422" i="2" a="1"/>
  <c r="P422" i="2" s="1"/>
  <c r="O422" i="2" a="1"/>
  <c r="O422" i="2" s="1"/>
  <c r="M422" i="2"/>
  <c r="M422" i="2" a="1"/>
  <c r="K422" i="2" a="1"/>
  <c r="K422" i="2" s="1"/>
  <c r="J422" i="2"/>
  <c r="J422" i="2" a="1"/>
  <c r="H422" i="2"/>
  <c r="H422" i="2" a="1"/>
  <c r="F422" i="2"/>
  <c r="F422" i="2" a="1"/>
  <c r="D422" i="2" a="1"/>
  <c r="D422" i="2" s="1"/>
  <c r="E422" i="2" s="1"/>
  <c r="C422" i="2" a="1"/>
  <c r="C422" i="2" s="1"/>
  <c r="A422" i="2"/>
  <c r="AD422" i="2" s="1"/>
  <c r="A422" i="2" a="1"/>
  <c r="X421" i="2"/>
  <c r="X421" i="2" a="1"/>
  <c r="W421" i="2" a="1"/>
  <c r="W421" i="2" s="1"/>
  <c r="V421" i="2" a="1"/>
  <c r="V421" i="2" s="1"/>
  <c r="U421" i="2" a="1"/>
  <c r="U421" i="2" s="1"/>
  <c r="T421" i="2" a="1"/>
  <c r="T421" i="2" s="1"/>
  <c r="S421" i="2"/>
  <c r="S421" i="2" a="1"/>
  <c r="R421" i="2"/>
  <c r="R421" i="2" a="1"/>
  <c r="Q421" i="2" a="1"/>
  <c r="Q421" i="2" s="1"/>
  <c r="P421" i="2" a="1"/>
  <c r="P421" i="2" s="1"/>
  <c r="O421" i="2" a="1"/>
  <c r="O421" i="2" s="1"/>
  <c r="M421" i="2" a="1"/>
  <c r="M421" i="2" s="1"/>
  <c r="K421" i="2" a="1"/>
  <c r="K421" i="2" s="1"/>
  <c r="J421" i="2" a="1"/>
  <c r="J421" i="2" s="1"/>
  <c r="H421" i="2" a="1"/>
  <c r="H421" i="2" s="1"/>
  <c r="F421" i="2"/>
  <c r="F421" i="2" a="1"/>
  <c r="D421" i="2" a="1"/>
  <c r="D421" i="2" s="1"/>
  <c r="E421" i="2" s="1"/>
  <c r="C421" i="2"/>
  <c r="C421" i="2" a="1"/>
  <c r="A421" i="2"/>
  <c r="AA421" i="2" s="1"/>
  <c r="A421" i="2" a="1"/>
  <c r="AB420" i="2"/>
  <c r="AA420" i="2"/>
  <c r="X420" i="2"/>
  <c r="X420" i="2" a="1"/>
  <c r="W420" i="2" a="1"/>
  <c r="W420" i="2" s="1"/>
  <c r="V420" i="2" a="1"/>
  <c r="V420" i="2" s="1"/>
  <c r="U420" i="2" a="1"/>
  <c r="U420" i="2" s="1"/>
  <c r="T420" i="2" a="1"/>
  <c r="T420" i="2" s="1"/>
  <c r="S420" i="2"/>
  <c r="S420" i="2" a="1"/>
  <c r="R420" i="2"/>
  <c r="R420" i="2" a="1"/>
  <c r="Q420" i="2" a="1"/>
  <c r="Q420" i="2" s="1"/>
  <c r="P420" i="2" a="1"/>
  <c r="P420" i="2" s="1"/>
  <c r="O420" i="2" a="1"/>
  <c r="O420" i="2" s="1"/>
  <c r="M420" i="2" a="1"/>
  <c r="M420" i="2" s="1"/>
  <c r="K420" i="2" a="1"/>
  <c r="K420" i="2" s="1"/>
  <c r="J420" i="2" a="1"/>
  <c r="J420" i="2" s="1"/>
  <c r="H420" i="2"/>
  <c r="H420" i="2" a="1"/>
  <c r="F420" i="2"/>
  <c r="F420" i="2" a="1"/>
  <c r="D420" i="2" a="1"/>
  <c r="D420" i="2" s="1"/>
  <c r="E420" i="2" s="1"/>
  <c r="C420" i="2"/>
  <c r="C420" i="2" a="1"/>
  <c r="A420" i="2"/>
  <c r="AD420" i="2" s="1"/>
  <c r="A420" i="2" a="1"/>
  <c r="X419" i="2"/>
  <c r="X419" i="2" a="1"/>
  <c r="W419" i="2" a="1"/>
  <c r="W419" i="2" s="1"/>
  <c r="V419" i="2" a="1"/>
  <c r="V419" i="2" s="1"/>
  <c r="U419" i="2" a="1"/>
  <c r="U419" i="2" s="1"/>
  <c r="T419" i="2"/>
  <c r="T419" i="2" a="1"/>
  <c r="S419" i="2"/>
  <c r="S419" i="2" a="1"/>
  <c r="R419" i="2" a="1"/>
  <c r="R419" i="2" s="1"/>
  <c r="Q419" i="2" a="1"/>
  <c r="Q419" i="2" s="1"/>
  <c r="P419" i="2" a="1"/>
  <c r="P419" i="2" s="1"/>
  <c r="O419" i="2" a="1"/>
  <c r="O419" i="2" s="1"/>
  <c r="M419" i="2" a="1"/>
  <c r="M419" i="2" s="1"/>
  <c r="K419" i="2" a="1"/>
  <c r="K419" i="2" s="1"/>
  <c r="J419" i="2" a="1"/>
  <c r="J419" i="2" s="1"/>
  <c r="H419" i="2"/>
  <c r="H419" i="2" a="1"/>
  <c r="F419" i="2"/>
  <c r="F419" i="2" a="1"/>
  <c r="D419" i="2"/>
  <c r="E419" i="2" s="1"/>
  <c r="D419" i="2" a="1"/>
  <c r="C419" i="2"/>
  <c r="C419" i="2" a="1"/>
  <c r="A419" i="2"/>
  <c r="AC419" i="2" s="1"/>
  <c r="A419" i="2" a="1"/>
  <c r="X418" i="2" a="1"/>
  <c r="X418" i="2" s="1"/>
  <c r="W418" i="2" a="1"/>
  <c r="W418" i="2" s="1"/>
  <c r="V418" i="2" a="1"/>
  <c r="V418" i="2" s="1"/>
  <c r="U418" i="2" a="1"/>
  <c r="U418" i="2" s="1"/>
  <c r="T418" i="2"/>
  <c r="T418" i="2" a="1"/>
  <c r="S418" i="2"/>
  <c r="S418" i="2" a="1"/>
  <c r="R418" i="2" a="1"/>
  <c r="R418" i="2" s="1"/>
  <c r="Q418" i="2" a="1"/>
  <c r="Q418" i="2" s="1"/>
  <c r="P418" i="2" a="1"/>
  <c r="P418" i="2" s="1"/>
  <c r="O418" i="2" a="1"/>
  <c r="O418" i="2" s="1"/>
  <c r="M418" i="2" a="1"/>
  <c r="M418" i="2" s="1"/>
  <c r="K418" i="2" a="1"/>
  <c r="K418" i="2" s="1"/>
  <c r="J418" i="2"/>
  <c r="J418" i="2" a="1"/>
  <c r="H418" i="2"/>
  <c r="H418" i="2" a="1"/>
  <c r="F418" i="2"/>
  <c r="F418" i="2" a="1"/>
  <c r="D418" i="2"/>
  <c r="E418" i="2" s="1"/>
  <c r="D418" i="2" a="1"/>
  <c r="C418" i="2"/>
  <c r="C418" i="2" a="1"/>
  <c r="A418" i="2" a="1"/>
  <c r="A418" i="2" s="1"/>
  <c r="X417" i="2" a="1"/>
  <c r="X417" i="2" s="1"/>
  <c r="W417" i="2" a="1"/>
  <c r="W417" i="2" s="1"/>
  <c r="V417" i="2" a="1"/>
  <c r="V417" i="2" s="1"/>
  <c r="U417" i="2"/>
  <c r="U417" i="2" a="1"/>
  <c r="T417" i="2"/>
  <c r="T417" i="2" a="1"/>
  <c r="S417" i="2"/>
  <c r="S417" i="2" a="1"/>
  <c r="R417" i="2" a="1"/>
  <c r="R417" i="2" s="1"/>
  <c r="Q417" i="2" a="1"/>
  <c r="Q417" i="2" s="1"/>
  <c r="P417" i="2" a="1"/>
  <c r="P417" i="2" s="1"/>
  <c r="O417" i="2"/>
  <c r="O417" i="2" a="1"/>
  <c r="M417" i="2" a="1"/>
  <c r="M417" i="2" s="1"/>
  <c r="K417" i="2" a="1"/>
  <c r="K417" i="2" s="1"/>
  <c r="J417" i="2"/>
  <c r="J417" i="2" a="1"/>
  <c r="H417" i="2"/>
  <c r="H417" i="2" a="1"/>
  <c r="F417" i="2" a="1"/>
  <c r="F417" i="2" s="1"/>
  <c r="D417" i="2"/>
  <c r="E417" i="2" s="1"/>
  <c r="D417" i="2" a="1"/>
  <c r="C417" i="2"/>
  <c r="C417" i="2" a="1"/>
  <c r="A417" i="2" a="1"/>
  <c r="A417" i="2" s="1"/>
  <c r="X416" i="2" a="1"/>
  <c r="X416" i="2" s="1"/>
  <c r="W416" i="2" a="1"/>
  <c r="W416" i="2" s="1"/>
  <c r="V416" i="2" a="1"/>
  <c r="V416" i="2" s="1"/>
  <c r="U416" i="2"/>
  <c r="U416" i="2" a="1"/>
  <c r="T416" i="2"/>
  <c r="T416" i="2" a="1"/>
  <c r="S416" i="2" a="1"/>
  <c r="S416" i="2" s="1"/>
  <c r="R416" i="2" a="1"/>
  <c r="R416" i="2" s="1"/>
  <c r="Q416" i="2" a="1"/>
  <c r="Q416" i="2" s="1"/>
  <c r="P416" i="2" a="1"/>
  <c r="P416" i="2" s="1"/>
  <c r="O416" i="2"/>
  <c r="O416" i="2" a="1"/>
  <c r="M416" i="2" a="1"/>
  <c r="M416" i="2" s="1"/>
  <c r="K416" i="2"/>
  <c r="K416" i="2" a="1"/>
  <c r="J416" i="2"/>
  <c r="J416" i="2" a="1"/>
  <c r="H416" i="2"/>
  <c r="H416" i="2" a="1"/>
  <c r="F416" i="2" a="1"/>
  <c r="F416" i="2" s="1"/>
  <c r="D416" i="2"/>
  <c r="E416" i="2" s="1"/>
  <c r="D416" i="2" a="1"/>
  <c r="C416" i="2" a="1"/>
  <c r="C416" i="2" s="1"/>
  <c r="A416" i="2" a="1"/>
  <c r="A416" i="2" s="1"/>
  <c r="X415" i="2" a="1"/>
  <c r="X415" i="2" s="1"/>
  <c r="W415" i="2" a="1"/>
  <c r="W415" i="2" s="1"/>
  <c r="V415" i="2"/>
  <c r="V415" i="2" a="1"/>
  <c r="U415" i="2"/>
  <c r="U415" i="2" a="1"/>
  <c r="T415" i="2"/>
  <c r="T415" i="2" a="1"/>
  <c r="S415" i="2" a="1"/>
  <c r="S415" i="2" s="1"/>
  <c r="R415" i="2" a="1"/>
  <c r="R415" i="2" s="1"/>
  <c r="Q415" i="2" a="1"/>
  <c r="Q415" i="2" s="1"/>
  <c r="P415" i="2" a="1"/>
  <c r="P415" i="2" s="1"/>
  <c r="O415" i="2"/>
  <c r="O415" i="2" a="1"/>
  <c r="M415" i="2" a="1"/>
  <c r="M415" i="2" s="1"/>
  <c r="K415" i="2"/>
  <c r="K415" i="2" a="1"/>
  <c r="J415" i="2"/>
  <c r="J415" i="2" a="1"/>
  <c r="H415" i="2" a="1"/>
  <c r="H415" i="2" s="1"/>
  <c r="F415" i="2" a="1"/>
  <c r="F415" i="2" s="1"/>
  <c r="D415" i="2"/>
  <c r="E415" i="2" s="1"/>
  <c r="D415" i="2" a="1"/>
  <c r="C415" i="2" a="1"/>
  <c r="C415" i="2" s="1"/>
  <c r="A415" i="2" a="1"/>
  <c r="A415" i="2" s="1"/>
  <c r="X414" i="2" a="1"/>
  <c r="X414" i="2" s="1"/>
  <c r="W414" i="2" a="1"/>
  <c r="W414" i="2" s="1"/>
  <c r="V414" i="2"/>
  <c r="V414" i="2" a="1"/>
  <c r="U414" i="2"/>
  <c r="U414" i="2" a="1"/>
  <c r="T414" i="2" a="1"/>
  <c r="T414" i="2" s="1"/>
  <c r="S414" i="2" a="1"/>
  <c r="S414" i="2" s="1"/>
  <c r="R414" i="2" a="1"/>
  <c r="R414" i="2" s="1"/>
  <c r="Q414" i="2" a="1"/>
  <c r="Q414" i="2" s="1"/>
  <c r="P414" i="2"/>
  <c r="P414" i="2" a="1"/>
  <c r="O414" i="2"/>
  <c r="O414" i="2" a="1"/>
  <c r="M414" i="2"/>
  <c r="M414" i="2" a="1"/>
  <c r="K414" i="2"/>
  <c r="K414" i="2" a="1"/>
  <c r="J414" i="2"/>
  <c r="J414" i="2" a="1"/>
  <c r="H414" i="2" a="1"/>
  <c r="H414" i="2" s="1"/>
  <c r="F414" i="2" a="1"/>
  <c r="F414" i="2" s="1"/>
  <c r="D414" i="2" a="1"/>
  <c r="D414" i="2" s="1"/>
  <c r="E414" i="2" s="1"/>
  <c r="C414" i="2" a="1"/>
  <c r="C414" i="2" s="1"/>
  <c r="A414" i="2" a="1"/>
  <c r="A414" i="2" s="1"/>
  <c r="X413" i="2" a="1"/>
  <c r="X413" i="2" s="1"/>
  <c r="W413" i="2"/>
  <c r="W413" i="2" a="1"/>
  <c r="V413" i="2"/>
  <c r="V413" i="2" a="1"/>
  <c r="U413" i="2"/>
  <c r="U413" i="2" a="1"/>
  <c r="T413" i="2" a="1"/>
  <c r="T413" i="2" s="1"/>
  <c r="S413" i="2" a="1"/>
  <c r="S413" i="2" s="1"/>
  <c r="R413" i="2" a="1"/>
  <c r="R413" i="2" s="1"/>
  <c r="Q413" i="2" a="1"/>
  <c r="Q413" i="2" s="1"/>
  <c r="P413" i="2" a="1"/>
  <c r="P413" i="2" s="1"/>
  <c r="O413" i="2" a="1"/>
  <c r="O413" i="2" s="1"/>
  <c r="M413" i="2"/>
  <c r="M413" i="2" a="1"/>
  <c r="K413" i="2"/>
  <c r="K413" i="2" a="1"/>
  <c r="J413" i="2" a="1"/>
  <c r="J413" i="2" s="1"/>
  <c r="H413" i="2" a="1"/>
  <c r="H413" i="2" s="1"/>
  <c r="F413" i="2" a="1"/>
  <c r="F413" i="2" s="1"/>
  <c r="D413" i="2" a="1"/>
  <c r="D413" i="2" s="1"/>
  <c r="E413" i="2" s="1"/>
  <c r="C413" i="2" a="1"/>
  <c r="C413" i="2" s="1"/>
  <c r="A413" i="2" a="1"/>
  <c r="A413" i="2" s="1"/>
  <c r="X412" i="2" a="1"/>
  <c r="X412" i="2" s="1"/>
  <c r="W412" i="2"/>
  <c r="W412" i="2" a="1"/>
  <c r="V412" i="2"/>
  <c r="V412" i="2" a="1"/>
  <c r="U412" i="2" a="1"/>
  <c r="U412" i="2" s="1"/>
  <c r="T412" i="2" a="1"/>
  <c r="T412" i="2" s="1"/>
  <c r="S412" i="2" a="1"/>
  <c r="S412" i="2" s="1"/>
  <c r="R412" i="2" a="1"/>
  <c r="R412" i="2" s="1"/>
  <c r="Q412" i="2"/>
  <c r="Q412" i="2" a="1"/>
  <c r="P412" i="2"/>
  <c r="P412" i="2" a="1"/>
  <c r="O412" i="2" a="1"/>
  <c r="O412" i="2" s="1"/>
  <c r="M412" i="2"/>
  <c r="M412" i="2" a="1"/>
  <c r="K412" i="2"/>
  <c r="K412" i="2" a="1"/>
  <c r="J412" i="2" a="1"/>
  <c r="J412" i="2" s="1"/>
  <c r="H412" i="2" a="1"/>
  <c r="H412" i="2" s="1"/>
  <c r="F412" i="2" a="1"/>
  <c r="F412" i="2" s="1"/>
  <c r="D412" i="2" a="1"/>
  <c r="D412" i="2" s="1"/>
  <c r="E412" i="2" s="1"/>
  <c r="C412" i="2" a="1"/>
  <c r="C412" i="2" s="1"/>
  <c r="A412" i="2" a="1"/>
  <c r="A412" i="2" s="1"/>
  <c r="AD411" i="2"/>
  <c r="X411" i="2"/>
  <c r="X411" i="2" a="1"/>
  <c r="W411" i="2"/>
  <c r="W411" i="2" a="1"/>
  <c r="V411" i="2" a="1"/>
  <c r="V411" i="2" s="1"/>
  <c r="U411" i="2" a="1"/>
  <c r="U411" i="2" s="1"/>
  <c r="T411" i="2" a="1"/>
  <c r="T411" i="2" s="1"/>
  <c r="S411" i="2" a="1"/>
  <c r="S411" i="2" s="1"/>
  <c r="R411" i="2"/>
  <c r="R411" i="2" a="1"/>
  <c r="Q411" i="2" a="1"/>
  <c r="Q411" i="2" s="1"/>
  <c r="P411" i="2" a="1"/>
  <c r="P411" i="2" s="1"/>
  <c r="O411" i="2" a="1"/>
  <c r="O411" i="2" s="1"/>
  <c r="M411" i="2"/>
  <c r="M411" i="2" a="1"/>
  <c r="K411" i="2" a="1"/>
  <c r="K411" i="2" s="1"/>
  <c r="J411" i="2" a="1"/>
  <c r="J411" i="2" s="1"/>
  <c r="H411" i="2"/>
  <c r="H411" i="2" a="1"/>
  <c r="F411" i="2" a="1"/>
  <c r="F411" i="2" s="1"/>
  <c r="D411" i="2" a="1"/>
  <c r="D411" i="2" s="1"/>
  <c r="E411" i="2" s="1"/>
  <c r="C411" i="2" a="1"/>
  <c r="C411" i="2" s="1"/>
  <c r="A411" i="2"/>
  <c r="AC411" i="2" s="1"/>
  <c r="A411" i="2" a="1"/>
  <c r="X410" i="2"/>
  <c r="X410" i="2" a="1"/>
  <c r="W410" i="2"/>
  <c r="W410" i="2" a="1"/>
  <c r="V410" i="2" a="1"/>
  <c r="V410" i="2" s="1"/>
  <c r="U410" i="2" a="1"/>
  <c r="U410" i="2" s="1"/>
  <c r="T410" i="2" a="1"/>
  <c r="T410" i="2" s="1"/>
  <c r="S410" i="2" a="1"/>
  <c r="S410" i="2" s="1"/>
  <c r="R410" i="2"/>
  <c r="R410" i="2" a="1"/>
  <c r="Q410" i="2"/>
  <c r="Q410" i="2" a="1"/>
  <c r="P410" i="2" a="1"/>
  <c r="P410" i="2" s="1"/>
  <c r="O410" i="2" a="1"/>
  <c r="O410" i="2" s="1"/>
  <c r="M410" i="2" a="1"/>
  <c r="M410" i="2" s="1"/>
  <c r="K410" i="2" a="1"/>
  <c r="K410" i="2" s="1"/>
  <c r="J410" i="2" a="1"/>
  <c r="J410" i="2" s="1"/>
  <c r="H410" i="2"/>
  <c r="H410" i="2" a="1"/>
  <c r="F410" i="2"/>
  <c r="F410" i="2" a="1"/>
  <c r="D410" i="2" a="1"/>
  <c r="D410" i="2" s="1"/>
  <c r="E410" i="2" s="1"/>
  <c r="C410" i="2" a="1"/>
  <c r="C410" i="2" s="1"/>
  <c r="A410" i="2"/>
  <c r="Z410" i="2" s="1"/>
  <c r="A410" i="2" a="1"/>
  <c r="AA409" i="2"/>
  <c r="X409" i="2"/>
  <c r="X409" i="2" a="1"/>
  <c r="W409" i="2" a="1"/>
  <c r="W409" i="2" s="1"/>
  <c r="V409" i="2" a="1"/>
  <c r="V409" i="2" s="1"/>
  <c r="U409" i="2" a="1"/>
  <c r="U409" i="2" s="1"/>
  <c r="T409" i="2" a="1"/>
  <c r="T409" i="2" s="1"/>
  <c r="S409" i="2"/>
  <c r="S409" i="2" a="1"/>
  <c r="R409" i="2"/>
  <c r="R409" i="2" a="1"/>
  <c r="Q409" i="2" a="1"/>
  <c r="Q409" i="2" s="1"/>
  <c r="P409" i="2" a="1"/>
  <c r="P409" i="2" s="1"/>
  <c r="O409" i="2" a="1"/>
  <c r="O409" i="2" s="1"/>
  <c r="M409" i="2" a="1"/>
  <c r="M409" i="2" s="1"/>
  <c r="K409" i="2" a="1"/>
  <c r="K409" i="2" s="1"/>
  <c r="J409" i="2"/>
  <c r="J409" i="2" a="1"/>
  <c r="H409" i="2" a="1"/>
  <c r="H409" i="2" s="1"/>
  <c r="F409" i="2"/>
  <c r="F409" i="2" a="1"/>
  <c r="D409" i="2" a="1"/>
  <c r="D409" i="2" s="1"/>
  <c r="E409" i="2" s="1"/>
  <c r="C409" i="2"/>
  <c r="C409" i="2" a="1"/>
  <c r="A409" i="2"/>
  <c r="Z409" i="2" s="1"/>
  <c r="A409" i="2" a="1"/>
  <c r="AC408" i="2"/>
  <c r="AB408" i="2"/>
  <c r="AA408" i="2"/>
  <c r="X408" i="2"/>
  <c r="X408" i="2" a="1"/>
  <c r="W408" i="2" a="1"/>
  <c r="W408" i="2" s="1"/>
  <c r="V408" i="2" a="1"/>
  <c r="V408" i="2" s="1"/>
  <c r="U408" i="2" a="1"/>
  <c r="U408" i="2" s="1"/>
  <c r="T408" i="2" a="1"/>
  <c r="T408" i="2" s="1"/>
  <c r="S408" i="2"/>
  <c r="S408" i="2" a="1"/>
  <c r="R408" i="2"/>
  <c r="R408" i="2" a="1"/>
  <c r="Q408" i="2" a="1"/>
  <c r="Q408" i="2" s="1"/>
  <c r="P408" i="2" a="1"/>
  <c r="P408" i="2" s="1"/>
  <c r="O408" i="2" a="1"/>
  <c r="O408" i="2" s="1"/>
  <c r="M408" i="2" a="1"/>
  <c r="M408" i="2" s="1"/>
  <c r="N408" i="2" s="1"/>
  <c r="K408" i="2" a="1"/>
  <c r="K408" i="2" s="1"/>
  <c r="J408" i="2"/>
  <c r="J408" i="2" a="1"/>
  <c r="H408" i="2"/>
  <c r="H408" i="2" a="1"/>
  <c r="F408" i="2"/>
  <c r="F408" i="2" a="1"/>
  <c r="D408" i="2" a="1"/>
  <c r="D408" i="2" s="1"/>
  <c r="E408" i="2" s="1"/>
  <c r="C408" i="2"/>
  <c r="C408" i="2" a="1"/>
  <c r="A408" i="2"/>
  <c r="AD408" i="2" s="1"/>
  <c r="A408" i="2" a="1"/>
  <c r="X407" i="2" a="1"/>
  <c r="X407" i="2" s="1"/>
  <c r="W407" i="2" a="1"/>
  <c r="W407" i="2" s="1"/>
  <c r="V407" i="2" a="1"/>
  <c r="V407" i="2" s="1"/>
  <c r="U407" i="2"/>
  <c r="U407" i="2" a="1"/>
  <c r="T407" i="2" a="1"/>
  <c r="T407" i="2" s="1"/>
  <c r="S407" i="2" a="1"/>
  <c r="S407" i="2" s="1"/>
  <c r="R407" i="2" a="1"/>
  <c r="R407" i="2" s="1"/>
  <c r="Q407" i="2" a="1"/>
  <c r="Q407" i="2" s="1"/>
  <c r="P407" i="2" a="1"/>
  <c r="P407" i="2" s="1"/>
  <c r="O407" i="2"/>
  <c r="O407" i="2" a="1"/>
  <c r="M407" i="2"/>
  <c r="M407" i="2" a="1"/>
  <c r="K407" i="2"/>
  <c r="K407" i="2" a="1"/>
  <c r="J407" i="2"/>
  <c r="J407" i="2" a="1"/>
  <c r="H407" i="2" a="1"/>
  <c r="H407" i="2" s="1"/>
  <c r="F407" i="2" a="1"/>
  <c r="F407" i="2" s="1"/>
  <c r="D407" i="2" a="1"/>
  <c r="D407" i="2" s="1"/>
  <c r="E407" i="2" s="1"/>
  <c r="C407" i="2" a="1"/>
  <c r="C407" i="2" s="1"/>
  <c r="A407" i="2" a="1"/>
  <c r="A407" i="2" s="1"/>
  <c r="AB406" i="2"/>
  <c r="AA406" i="2"/>
  <c r="Z406" i="2"/>
  <c r="X406" i="2"/>
  <c r="X406" i="2" a="1"/>
  <c r="W406" i="2" a="1"/>
  <c r="W406" i="2" s="1"/>
  <c r="V406" i="2" a="1"/>
  <c r="V406" i="2" s="1"/>
  <c r="U406" i="2"/>
  <c r="U406" i="2" a="1"/>
  <c r="T406" i="2" a="1"/>
  <c r="T406" i="2" s="1"/>
  <c r="S406" i="2" a="1"/>
  <c r="S406" i="2" s="1"/>
  <c r="R406" i="2"/>
  <c r="R406" i="2" a="1"/>
  <c r="Q406" i="2" a="1"/>
  <c r="Q406" i="2" s="1"/>
  <c r="P406" i="2" a="1"/>
  <c r="P406" i="2" s="1"/>
  <c r="O406" i="2"/>
  <c r="O406" i="2" a="1"/>
  <c r="M406" i="2" a="1"/>
  <c r="M406" i="2" s="1"/>
  <c r="K406" i="2"/>
  <c r="K406" i="2" a="1"/>
  <c r="J406" i="2" a="1"/>
  <c r="J406" i="2" s="1"/>
  <c r="H406" i="2"/>
  <c r="H406" i="2" a="1"/>
  <c r="F406" i="2" a="1"/>
  <c r="F406" i="2" s="1"/>
  <c r="D406" i="2" a="1"/>
  <c r="D406" i="2" s="1"/>
  <c r="E406" i="2" s="1"/>
  <c r="C406" i="2" a="1"/>
  <c r="C406" i="2" s="1"/>
  <c r="A406" i="2"/>
  <c r="AD406" i="2" s="1"/>
  <c r="A406" i="2" a="1"/>
  <c r="Z405" i="2"/>
  <c r="X405" i="2" a="1"/>
  <c r="X405" i="2" s="1"/>
  <c r="W405" i="2" a="1"/>
  <c r="W405" i="2" s="1"/>
  <c r="V405" i="2"/>
  <c r="V405" i="2" a="1"/>
  <c r="U405" i="2" a="1"/>
  <c r="U405" i="2" s="1"/>
  <c r="T405" i="2" a="1"/>
  <c r="T405" i="2" s="1"/>
  <c r="S405" i="2" a="1"/>
  <c r="S405" i="2" s="1"/>
  <c r="R405" i="2" a="1"/>
  <c r="R405" i="2" s="1"/>
  <c r="Q405" i="2" a="1"/>
  <c r="Q405" i="2" s="1"/>
  <c r="P405" i="2"/>
  <c r="P405" i="2" a="1"/>
  <c r="O405" i="2" a="1"/>
  <c r="O405" i="2" s="1"/>
  <c r="M405" i="2"/>
  <c r="M405" i="2" a="1"/>
  <c r="K405" i="2"/>
  <c r="K405" i="2" a="1"/>
  <c r="J405" i="2" a="1"/>
  <c r="J405" i="2" s="1"/>
  <c r="H405" i="2" a="1"/>
  <c r="H405" i="2" s="1"/>
  <c r="F405" i="2"/>
  <c r="F405" i="2" a="1"/>
  <c r="D405" i="2" a="1"/>
  <c r="D405" i="2" s="1"/>
  <c r="E405" i="2" s="1"/>
  <c r="C405" i="2" a="1"/>
  <c r="C405" i="2" s="1"/>
  <c r="A405" i="2"/>
  <c r="AD405" i="2" s="1"/>
  <c r="A405" i="2" a="1"/>
  <c r="AD404" i="2"/>
  <c r="AC404" i="2"/>
  <c r="AB404" i="2"/>
  <c r="X404" i="2"/>
  <c r="X404" i="2" a="1"/>
  <c r="W404" i="2" a="1"/>
  <c r="W404" i="2" s="1"/>
  <c r="V404" i="2"/>
  <c r="V404" i="2" a="1"/>
  <c r="U404" i="2" a="1"/>
  <c r="U404" i="2" s="1"/>
  <c r="T404" i="2" a="1"/>
  <c r="T404" i="2" s="1"/>
  <c r="S404" i="2"/>
  <c r="S404" i="2" a="1"/>
  <c r="R404" i="2"/>
  <c r="R404" i="2" a="1"/>
  <c r="Q404" i="2" a="1"/>
  <c r="Q404" i="2" s="1"/>
  <c r="P404" i="2"/>
  <c r="P404" i="2" a="1"/>
  <c r="O404" i="2" a="1"/>
  <c r="O404" i="2" s="1"/>
  <c r="M404" i="2"/>
  <c r="N404" i="2" s="1"/>
  <c r="M404" i="2" a="1"/>
  <c r="K404" i="2" a="1"/>
  <c r="K404" i="2" s="1"/>
  <c r="J404" i="2" a="1"/>
  <c r="J404" i="2" s="1"/>
  <c r="H404" i="2" a="1"/>
  <c r="H404" i="2" s="1"/>
  <c r="F404" i="2"/>
  <c r="F404" i="2" a="1"/>
  <c r="D404" i="2" a="1"/>
  <c r="D404" i="2" s="1"/>
  <c r="E404" i="2" s="1"/>
  <c r="C404" i="2"/>
  <c r="C404" i="2" a="1"/>
  <c r="A404" i="2"/>
  <c r="AA404" i="2" s="1"/>
  <c r="A404" i="2" a="1"/>
  <c r="X403" i="2" a="1"/>
  <c r="X403" i="2" s="1"/>
  <c r="W403" i="2"/>
  <c r="W403" i="2" a="1"/>
  <c r="V403" i="2" a="1"/>
  <c r="V403" i="2" s="1"/>
  <c r="U403" i="2" a="1"/>
  <c r="U403" i="2" s="1"/>
  <c r="T403" i="2" a="1"/>
  <c r="T403" i="2" s="1"/>
  <c r="S403" i="2" a="1"/>
  <c r="S403" i="2" s="1"/>
  <c r="R403" i="2" a="1"/>
  <c r="R403" i="2" s="1"/>
  <c r="Q403" i="2"/>
  <c r="Q403" i="2" a="1"/>
  <c r="P403" i="2" a="1"/>
  <c r="P403" i="2" s="1"/>
  <c r="O403" i="2" a="1"/>
  <c r="O403" i="2" s="1"/>
  <c r="M403" i="2"/>
  <c r="M403" i="2" a="1"/>
  <c r="K403" i="2" a="1"/>
  <c r="K403" i="2" s="1"/>
  <c r="J403" i="2" a="1"/>
  <c r="J403" i="2" s="1"/>
  <c r="H403" i="2"/>
  <c r="H403" i="2" a="1"/>
  <c r="F403" i="2"/>
  <c r="F403" i="2" a="1"/>
  <c r="D403" i="2" a="1"/>
  <c r="D403" i="2" s="1"/>
  <c r="E403" i="2" s="1"/>
  <c r="C403" i="2"/>
  <c r="C403" i="2" a="1"/>
  <c r="A403" i="2" a="1"/>
  <c r="A403" i="2" s="1"/>
  <c r="X402" i="2" a="1"/>
  <c r="X402" i="2" s="1"/>
  <c r="W402" i="2" a="1"/>
  <c r="W402" i="2" s="1"/>
  <c r="V402" i="2" a="1"/>
  <c r="V402" i="2" s="1"/>
  <c r="U402" i="2" a="1"/>
  <c r="U402" i="2" s="1"/>
  <c r="T402" i="2" a="1"/>
  <c r="T402" i="2" s="1"/>
  <c r="S402" i="2" a="1"/>
  <c r="S402" i="2" s="1"/>
  <c r="R402" i="2" a="1"/>
  <c r="R402" i="2" s="1"/>
  <c r="Q402" i="2" a="1"/>
  <c r="Q402" i="2" s="1"/>
  <c r="P402" i="2" a="1"/>
  <c r="P402" i="2" s="1"/>
  <c r="O402" i="2" a="1"/>
  <c r="O402" i="2" s="1"/>
  <c r="M402" i="2" a="1"/>
  <c r="M402" i="2" s="1"/>
  <c r="K402" i="2" a="1"/>
  <c r="K402" i="2" s="1"/>
  <c r="J402" i="2" a="1"/>
  <c r="J402" i="2" s="1"/>
  <c r="H402" i="2" a="1"/>
  <c r="H402" i="2" s="1"/>
  <c r="F402" i="2"/>
  <c r="F402" i="2" a="1"/>
  <c r="D402" i="2" a="1"/>
  <c r="D402" i="2" s="1"/>
  <c r="E402" i="2" s="1"/>
  <c r="C402" i="2" a="1"/>
  <c r="C402" i="2" s="1"/>
  <c r="A402" i="2" a="1"/>
  <c r="A402" i="2" s="1"/>
  <c r="Z189" i="3"/>
  <c r="Z180" i="3"/>
  <c r="Z170" i="3"/>
  <c r="Z160" i="3"/>
  <c r="Z151" i="3"/>
  <c r="Z148" i="3"/>
  <c r="Z142" i="3"/>
  <c r="Z136" i="3"/>
  <c r="Z120" i="3"/>
  <c r="Z117" i="3"/>
  <c r="Z114" i="3"/>
  <c r="Z107" i="3"/>
  <c r="Z101" i="3"/>
  <c r="Z98" i="3"/>
  <c r="Z93" i="3"/>
  <c r="Z75" i="3"/>
  <c r="Z71" i="3"/>
  <c r="Z50" i="3"/>
  <c r="Z49" i="3"/>
  <c r="Z48" i="3"/>
  <c r="Z29" i="3"/>
  <c r="Z16" i="3"/>
  <c r="Z15" i="3"/>
  <c r="Z10" i="3"/>
  <c r="Z8" i="3"/>
  <c r="Z6" i="3"/>
  <c r="AD412" i="3" l="1"/>
  <c r="AA415" i="3"/>
  <c r="AD419" i="3"/>
  <c r="AD403" i="3"/>
  <c r="AC422" i="3"/>
  <c r="AA409" i="3"/>
  <c r="AD414" i="3"/>
  <c r="AD422" i="3"/>
  <c r="AA421" i="3"/>
  <c r="AB413" i="3"/>
  <c r="AB421" i="3"/>
  <c r="AD402" i="3"/>
  <c r="AD421" i="3"/>
  <c r="AA413" i="3"/>
  <c r="AB415" i="3"/>
  <c r="AC421" i="3"/>
  <c r="AA404" i="3"/>
  <c r="AB406" i="3"/>
  <c r="AC413" i="3"/>
  <c r="AD415" i="3"/>
  <c r="AA417" i="3"/>
  <c r="AB418" i="3"/>
  <c r="AA406" i="3"/>
  <c r="AB404" i="3"/>
  <c r="AC406" i="3"/>
  <c r="AD413" i="3"/>
  <c r="AB417" i="3"/>
  <c r="AC418" i="3"/>
  <c r="AA420" i="3"/>
  <c r="AC404" i="3"/>
  <c r="AD406" i="3"/>
  <c r="AC417" i="3"/>
  <c r="AD418" i="3"/>
  <c r="AB420" i="3"/>
  <c r="AA402" i="3"/>
  <c r="AD404" i="3"/>
  <c r="AD417" i="3"/>
  <c r="AC420" i="3"/>
  <c r="AB402" i="3"/>
  <c r="AA405" i="3"/>
  <c r="AA416" i="3"/>
  <c r="AD420" i="3"/>
  <c r="AC402" i="3"/>
  <c r="AA403" i="3"/>
  <c r="AB405" i="3"/>
  <c r="AA410" i="3"/>
  <c r="AA412" i="3"/>
  <c r="AA414" i="3"/>
  <c r="AB416" i="3"/>
  <c r="AA419" i="3"/>
  <c r="AB412" i="3"/>
  <c r="AB414" i="3"/>
  <c r="AC416" i="3"/>
  <c r="AB419" i="3"/>
  <c r="AA422" i="3"/>
  <c r="AB403" i="3"/>
  <c r="AC405" i="3"/>
  <c r="AD417" i="2"/>
  <c r="AC417" i="2"/>
  <c r="N417" i="2"/>
  <c r="AB417" i="2"/>
  <c r="AA417" i="2"/>
  <c r="Z417" i="2"/>
  <c r="AD418" i="2"/>
  <c r="AB418" i="2"/>
  <c r="AA418" i="2"/>
  <c r="Z418" i="2"/>
  <c r="AC418" i="2"/>
  <c r="N418" i="2"/>
  <c r="N413" i="2"/>
  <c r="AB413" i="2"/>
  <c r="AC413" i="2"/>
  <c r="AD413" i="2"/>
  <c r="AA413" i="2"/>
  <c r="Z413" i="2"/>
  <c r="AB414" i="2"/>
  <c r="AA414" i="2"/>
  <c r="Z414" i="2"/>
  <c r="AD414" i="2"/>
  <c r="AC414" i="2"/>
  <c r="N414" i="2"/>
  <c r="AD424" i="2"/>
  <c r="AC424" i="2"/>
  <c r="N424" i="2"/>
  <c r="AB424" i="2"/>
  <c r="AA424" i="2"/>
  <c r="Z424" i="2"/>
  <c r="AD412" i="2"/>
  <c r="AC412" i="2"/>
  <c r="N412" i="2"/>
  <c r="AB412" i="2"/>
  <c r="AA412" i="2"/>
  <c r="Z412" i="2"/>
  <c r="AA415" i="2"/>
  <c r="AD415" i="2"/>
  <c r="AC415" i="2"/>
  <c r="N415" i="2"/>
  <c r="AB415" i="2"/>
  <c r="Z415" i="2"/>
  <c r="Z416" i="2"/>
  <c r="AD416" i="2"/>
  <c r="AC416" i="2"/>
  <c r="N416" i="2"/>
  <c r="AB416" i="2"/>
  <c r="AA416" i="2"/>
  <c r="AB409" i="2"/>
  <c r="Z411" i="2"/>
  <c r="AD419" i="2"/>
  <c r="AB421" i="2"/>
  <c r="Z423" i="2"/>
  <c r="N409" i="2"/>
  <c r="AC409" i="2"/>
  <c r="AA411" i="2"/>
  <c r="N421" i="2"/>
  <c r="AC421" i="2"/>
  <c r="AA423" i="2"/>
  <c r="AD409" i="2"/>
  <c r="AB411" i="2"/>
  <c r="AD421" i="2"/>
  <c r="AB423" i="2"/>
  <c r="Z422" i="2"/>
  <c r="Z408" i="2"/>
  <c r="N411" i="2"/>
  <c r="Z420" i="2"/>
  <c r="N423" i="2"/>
  <c r="AA410" i="2"/>
  <c r="N420" i="2"/>
  <c r="AC420" i="2"/>
  <c r="AA422" i="2"/>
  <c r="AB410" i="2"/>
  <c r="AB422" i="2"/>
  <c r="N410" i="2"/>
  <c r="AC410" i="2"/>
  <c r="Z419" i="2"/>
  <c r="N422" i="2"/>
  <c r="AC422" i="2"/>
  <c r="AD410" i="2"/>
  <c r="AA419" i="2"/>
  <c r="AB419" i="2"/>
  <c r="Z421" i="2"/>
  <c r="N419" i="2"/>
  <c r="AD407" i="2"/>
  <c r="AC407" i="2"/>
  <c r="N407" i="2"/>
  <c r="AB407" i="2"/>
  <c r="AA407" i="2"/>
  <c r="Z407" i="2"/>
  <c r="AD403" i="2"/>
  <c r="AB403" i="2"/>
  <c r="AC403" i="2"/>
  <c r="N403" i="2"/>
  <c r="AA403" i="2"/>
  <c r="Z403" i="2"/>
  <c r="N406" i="2"/>
  <c r="AC406" i="2"/>
  <c r="AA405" i="2"/>
  <c r="AB405" i="2"/>
  <c r="N405" i="2"/>
  <c r="AC405" i="2"/>
  <c r="Z404" i="2"/>
  <c r="AD402" i="2"/>
  <c r="AC402" i="2"/>
  <c r="N402" i="2"/>
  <c r="AB402" i="2"/>
  <c r="AA402" i="2"/>
  <c r="Z402" i="2"/>
  <c r="X401" i="2" a="1"/>
  <c r="X401" i="2" s="1"/>
  <c r="W401" i="2" a="1"/>
  <c r="W401" i="2" s="1"/>
  <c r="V401" i="2" a="1"/>
  <c r="V401" i="2" s="1"/>
  <c r="U401" i="2" a="1"/>
  <c r="U401" i="2" s="1"/>
  <c r="T401" i="2" a="1"/>
  <c r="T401" i="2" s="1"/>
  <c r="S401" i="2" a="1"/>
  <c r="S401" i="2" s="1"/>
  <c r="R401" i="2" a="1"/>
  <c r="R401" i="2" s="1"/>
  <c r="Q401" i="2" a="1"/>
  <c r="Q401" i="2" s="1"/>
  <c r="P401" i="2" a="1"/>
  <c r="P401" i="2" s="1"/>
  <c r="O401" i="2" a="1"/>
  <c r="O401" i="2" s="1"/>
  <c r="M401" i="2" a="1"/>
  <c r="M401" i="2" s="1"/>
  <c r="K401" i="2" a="1"/>
  <c r="K401" i="2" s="1"/>
  <c r="J401" i="2" a="1"/>
  <c r="J401" i="2" s="1"/>
  <c r="H401" i="2" a="1"/>
  <c r="H401" i="2" s="1"/>
  <c r="F401" i="2" a="1"/>
  <c r="F401" i="2" s="1"/>
  <c r="D401" i="2" a="1"/>
  <c r="D401" i="2" s="1"/>
  <c r="E401" i="2" s="1"/>
  <c r="C401" i="2" a="1"/>
  <c r="C401" i="2" s="1"/>
  <c r="A401" i="2" a="1"/>
  <c r="A401" i="2" s="1"/>
  <c r="AA401" i="2" s="1"/>
  <c r="X400" i="2" a="1"/>
  <c r="X400" i="2" s="1"/>
  <c r="W400" i="2" a="1"/>
  <c r="W400" i="2" s="1"/>
  <c r="V400" i="2" a="1"/>
  <c r="V400" i="2" s="1"/>
  <c r="U400" i="2" a="1"/>
  <c r="U400" i="2" s="1"/>
  <c r="T400" i="2" a="1"/>
  <c r="T400" i="2" s="1"/>
  <c r="S400" i="2" a="1"/>
  <c r="S400" i="2" s="1"/>
  <c r="R400" i="2" a="1"/>
  <c r="R400" i="2" s="1"/>
  <c r="Q400" i="2" a="1"/>
  <c r="Q400" i="2" s="1"/>
  <c r="P400" i="2" a="1"/>
  <c r="P400" i="2" s="1"/>
  <c r="O400" i="2" a="1"/>
  <c r="O400" i="2" s="1"/>
  <c r="M400" i="2" a="1"/>
  <c r="M400" i="2" s="1"/>
  <c r="K400" i="2" a="1"/>
  <c r="K400" i="2" s="1"/>
  <c r="J400" i="2" a="1"/>
  <c r="J400" i="2" s="1"/>
  <c r="H400" i="2" a="1"/>
  <c r="H400" i="2" s="1"/>
  <c r="F400" i="2" a="1"/>
  <c r="F400" i="2" s="1"/>
  <c r="D400" i="2" a="1"/>
  <c r="D400" i="2" s="1"/>
  <c r="E400" i="2" s="1"/>
  <c r="C400" i="2" a="1"/>
  <c r="C400" i="2" s="1"/>
  <c r="A400" i="2" a="1"/>
  <c r="A400" i="2" s="1"/>
  <c r="AD400" i="2" s="1"/>
  <c r="X399" i="2" a="1"/>
  <c r="X399" i="2" s="1"/>
  <c r="W399" i="2" a="1"/>
  <c r="W399" i="2" s="1"/>
  <c r="V399" i="2" a="1"/>
  <c r="V399" i="2" s="1"/>
  <c r="U399" i="2" a="1"/>
  <c r="U399" i="2" s="1"/>
  <c r="T399" i="2" a="1"/>
  <c r="T399" i="2" s="1"/>
  <c r="S399" i="2" a="1"/>
  <c r="S399" i="2" s="1"/>
  <c r="R399" i="2" a="1"/>
  <c r="R399" i="2" s="1"/>
  <c r="Q399" i="2" a="1"/>
  <c r="Q399" i="2" s="1"/>
  <c r="P399" i="2" a="1"/>
  <c r="P399" i="2" s="1"/>
  <c r="O399" i="2" a="1"/>
  <c r="O399" i="2" s="1"/>
  <c r="M399" i="2" a="1"/>
  <c r="M399" i="2" s="1"/>
  <c r="K399" i="2" a="1"/>
  <c r="K399" i="2" s="1"/>
  <c r="J399" i="2" a="1"/>
  <c r="J399" i="2" s="1"/>
  <c r="H399" i="2" a="1"/>
  <c r="H399" i="2" s="1"/>
  <c r="F399" i="2" a="1"/>
  <c r="F399" i="2" s="1"/>
  <c r="D399" i="2" a="1"/>
  <c r="D399" i="2" s="1"/>
  <c r="E399" i="2" s="1"/>
  <c r="C399" i="2" a="1"/>
  <c r="C399" i="2" s="1"/>
  <c r="A399" i="2" a="1"/>
  <c r="A399" i="2" s="1"/>
  <c r="X398" i="2" a="1"/>
  <c r="X398" i="2" s="1"/>
  <c r="W398" i="2" a="1"/>
  <c r="W398" i="2" s="1"/>
  <c r="V398" i="2" a="1"/>
  <c r="V398" i="2" s="1"/>
  <c r="U398" i="2" a="1"/>
  <c r="U398" i="2" s="1"/>
  <c r="T398" i="2" a="1"/>
  <c r="T398" i="2" s="1"/>
  <c r="S398" i="2" a="1"/>
  <c r="S398" i="2" s="1"/>
  <c r="R398" i="2" a="1"/>
  <c r="R398" i="2" s="1"/>
  <c r="Q398" i="2" a="1"/>
  <c r="Q398" i="2" s="1"/>
  <c r="P398" i="2" a="1"/>
  <c r="P398" i="2" s="1"/>
  <c r="O398" i="2" a="1"/>
  <c r="O398" i="2" s="1"/>
  <c r="M398" i="2" a="1"/>
  <c r="M398" i="2" s="1"/>
  <c r="K398" i="2" a="1"/>
  <c r="K398" i="2" s="1"/>
  <c r="J398" i="2" a="1"/>
  <c r="J398" i="2" s="1"/>
  <c r="H398" i="2" a="1"/>
  <c r="H398" i="2" s="1"/>
  <c r="F398" i="2" a="1"/>
  <c r="F398" i="2" s="1"/>
  <c r="D398" i="2" a="1"/>
  <c r="D398" i="2" s="1"/>
  <c r="E398" i="2" s="1"/>
  <c r="C398" i="2" a="1"/>
  <c r="C398" i="2" s="1"/>
  <c r="A398" i="2" a="1"/>
  <c r="A398" i="2" s="1"/>
  <c r="X397" i="2" a="1"/>
  <c r="X397" i="2" s="1"/>
  <c r="W397" i="2" a="1"/>
  <c r="W397" i="2" s="1"/>
  <c r="V397" i="2" a="1"/>
  <c r="V397" i="2" s="1"/>
  <c r="U397" i="2" a="1"/>
  <c r="U397" i="2" s="1"/>
  <c r="T397" i="2" a="1"/>
  <c r="T397" i="2" s="1"/>
  <c r="S397" i="2" a="1"/>
  <c r="S397" i="2" s="1"/>
  <c r="R397" i="2" a="1"/>
  <c r="R397" i="2" s="1"/>
  <c r="Q397" i="2" a="1"/>
  <c r="Q397" i="2" s="1"/>
  <c r="P397" i="2" a="1"/>
  <c r="P397" i="2" s="1"/>
  <c r="O397" i="2" a="1"/>
  <c r="O397" i="2" s="1"/>
  <c r="M397" i="2" a="1"/>
  <c r="M397" i="2" s="1"/>
  <c r="K397" i="2" a="1"/>
  <c r="K397" i="2" s="1"/>
  <c r="J397" i="2" a="1"/>
  <c r="J397" i="2" s="1"/>
  <c r="H397" i="2" a="1"/>
  <c r="H397" i="2" s="1"/>
  <c r="F397" i="2" a="1"/>
  <c r="F397" i="2" s="1"/>
  <c r="D397" i="2" a="1"/>
  <c r="D397" i="2" s="1"/>
  <c r="E397" i="2" s="1"/>
  <c r="C397" i="2" a="1"/>
  <c r="C397" i="2" s="1"/>
  <c r="A397" i="2" a="1"/>
  <c r="A397" i="2" s="1"/>
  <c r="X396" i="2" a="1"/>
  <c r="X396" i="2" s="1"/>
  <c r="W396" i="2" a="1"/>
  <c r="W396" i="2" s="1"/>
  <c r="V396" i="2" a="1"/>
  <c r="V396" i="2" s="1"/>
  <c r="U396" i="2" a="1"/>
  <c r="U396" i="2" s="1"/>
  <c r="T396" i="2" a="1"/>
  <c r="T396" i="2" s="1"/>
  <c r="S396" i="2" a="1"/>
  <c r="S396" i="2" s="1"/>
  <c r="R396" i="2" a="1"/>
  <c r="R396" i="2" s="1"/>
  <c r="Q396" i="2" a="1"/>
  <c r="Q396" i="2" s="1"/>
  <c r="P396" i="2" a="1"/>
  <c r="P396" i="2" s="1"/>
  <c r="O396" i="2" a="1"/>
  <c r="O396" i="2" s="1"/>
  <c r="M396" i="2" a="1"/>
  <c r="M396" i="2" s="1"/>
  <c r="K396" i="2" a="1"/>
  <c r="K396" i="2" s="1"/>
  <c r="J396" i="2" a="1"/>
  <c r="J396" i="2" s="1"/>
  <c r="H396" i="2" a="1"/>
  <c r="H396" i="2" s="1"/>
  <c r="F396" i="2" a="1"/>
  <c r="F396" i="2" s="1"/>
  <c r="D396" i="2" a="1"/>
  <c r="D396" i="2" s="1"/>
  <c r="E396" i="2" s="1"/>
  <c r="C396" i="2" a="1"/>
  <c r="C396" i="2" s="1"/>
  <c r="A396" i="2" a="1"/>
  <c r="A396" i="2" s="1"/>
  <c r="Z396" i="2" s="1"/>
  <c r="X395" i="2" a="1"/>
  <c r="X395" i="2" s="1"/>
  <c r="W395" i="2" a="1"/>
  <c r="W395" i="2" s="1"/>
  <c r="V395" i="2" a="1"/>
  <c r="V395" i="2" s="1"/>
  <c r="U395" i="2" a="1"/>
  <c r="U395" i="2" s="1"/>
  <c r="T395" i="2" a="1"/>
  <c r="T395" i="2" s="1"/>
  <c r="S395" i="2" a="1"/>
  <c r="S395" i="2" s="1"/>
  <c r="R395" i="2" a="1"/>
  <c r="R395" i="2" s="1"/>
  <c r="Q395" i="2" a="1"/>
  <c r="Q395" i="2" s="1"/>
  <c r="P395" i="2" a="1"/>
  <c r="P395" i="2" s="1"/>
  <c r="O395" i="2" a="1"/>
  <c r="O395" i="2" s="1"/>
  <c r="M395" i="2" a="1"/>
  <c r="M395" i="2" s="1"/>
  <c r="K395" i="2" a="1"/>
  <c r="K395" i="2" s="1"/>
  <c r="J395" i="2" a="1"/>
  <c r="J395" i="2" s="1"/>
  <c r="H395" i="2" a="1"/>
  <c r="H395" i="2" s="1"/>
  <c r="F395" i="2" a="1"/>
  <c r="F395" i="2" s="1"/>
  <c r="D395" i="2" a="1"/>
  <c r="D395" i="2" s="1"/>
  <c r="E395" i="2" s="1"/>
  <c r="C395" i="2" a="1"/>
  <c r="C395" i="2" s="1"/>
  <c r="A395" i="2" a="1"/>
  <c r="A395" i="2" s="1"/>
  <c r="AD395" i="2" s="1"/>
  <c r="X394" i="2" a="1"/>
  <c r="X394" i="2" s="1"/>
  <c r="W394" i="2" a="1"/>
  <c r="W394" i="2" s="1"/>
  <c r="V394" i="2" a="1"/>
  <c r="V394" i="2" s="1"/>
  <c r="U394" i="2" a="1"/>
  <c r="U394" i="2" s="1"/>
  <c r="T394" i="2" a="1"/>
  <c r="T394" i="2" s="1"/>
  <c r="S394" i="2" a="1"/>
  <c r="S394" i="2" s="1"/>
  <c r="R394" i="2" a="1"/>
  <c r="R394" i="2" s="1"/>
  <c r="Q394" i="2" a="1"/>
  <c r="Q394" i="2" s="1"/>
  <c r="P394" i="2" a="1"/>
  <c r="P394" i="2" s="1"/>
  <c r="O394" i="2" a="1"/>
  <c r="O394" i="2" s="1"/>
  <c r="M394" i="2" a="1"/>
  <c r="M394" i="2" s="1"/>
  <c r="K394" i="2" a="1"/>
  <c r="K394" i="2" s="1"/>
  <c r="J394" i="2" a="1"/>
  <c r="J394" i="2" s="1"/>
  <c r="H394" i="2" a="1"/>
  <c r="H394" i="2" s="1"/>
  <c r="F394" i="2" a="1"/>
  <c r="F394" i="2" s="1"/>
  <c r="D394" i="2" a="1"/>
  <c r="D394" i="2" s="1"/>
  <c r="E394" i="2" s="1"/>
  <c r="C394" i="2" a="1"/>
  <c r="C394" i="2" s="1"/>
  <c r="A394" i="2" a="1"/>
  <c r="A394" i="2" s="1"/>
  <c r="X393" i="2" a="1"/>
  <c r="X393" i="2" s="1"/>
  <c r="W393" i="2" a="1"/>
  <c r="W393" i="2" s="1"/>
  <c r="V393" i="2" a="1"/>
  <c r="V393" i="2" s="1"/>
  <c r="U393" i="2" a="1"/>
  <c r="U393" i="2" s="1"/>
  <c r="T393" i="2" a="1"/>
  <c r="T393" i="2" s="1"/>
  <c r="S393" i="2" a="1"/>
  <c r="S393" i="2" s="1"/>
  <c r="R393" i="2" a="1"/>
  <c r="R393" i="2" s="1"/>
  <c r="Q393" i="2" a="1"/>
  <c r="Q393" i="2" s="1"/>
  <c r="P393" i="2" a="1"/>
  <c r="P393" i="2" s="1"/>
  <c r="O393" i="2" a="1"/>
  <c r="O393" i="2" s="1"/>
  <c r="M393" i="2" a="1"/>
  <c r="M393" i="2" s="1"/>
  <c r="K393" i="2" a="1"/>
  <c r="K393" i="2" s="1"/>
  <c r="J393" i="2" a="1"/>
  <c r="J393" i="2" s="1"/>
  <c r="H393" i="2" a="1"/>
  <c r="H393" i="2" s="1"/>
  <c r="F393" i="2" a="1"/>
  <c r="F393" i="2" s="1"/>
  <c r="D393" i="2" a="1"/>
  <c r="D393" i="2" s="1"/>
  <c r="E393" i="2" s="1"/>
  <c r="C393" i="2" a="1"/>
  <c r="C393" i="2" s="1"/>
  <c r="A393" i="2" a="1"/>
  <c r="A393" i="2" s="1"/>
  <c r="AD393" i="2" s="1"/>
  <c r="X392" i="2" a="1"/>
  <c r="X392" i="2" s="1"/>
  <c r="W392" i="2" a="1"/>
  <c r="W392" i="2" s="1"/>
  <c r="V392" i="2" a="1"/>
  <c r="V392" i="2" s="1"/>
  <c r="U392" i="2" a="1"/>
  <c r="U392" i="2" s="1"/>
  <c r="T392" i="2" a="1"/>
  <c r="T392" i="2" s="1"/>
  <c r="S392" i="2" a="1"/>
  <c r="S392" i="2" s="1"/>
  <c r="R392" i="2" a="1"/>
  <c r="R392" i="2" s="1"/>
  <c r="Q392" i="2" a="1"/>
  <c r="Q392" i="2" s="1"/>
  <c r="P392" i="2" a="1"/>
  <c r="P392" i="2" s="1"/>
  <c r="O392" i="2" a="1"/>
  <c r="O392" i="2" s="1"/>
  <c r="M392" i="2" a="1"/>
  <c r="M392" i="2" s="1"/>
  <c r="K392" i="2" a="1"/>
  <c r="K392" i="2" s="1"/>
  <c r="J392" i="2" a="1"/>
  <c r="J392" i="2" s="1"/>
  <c r="H392" i="2" a="1"/>
  <c r="H392" i="2" s="1"/>
  <c r="F392" i="2" a="1"/>
  <c r="F392" i="2" s="1"/>
  <c r="D392" i="2" a="1"/>
  <c r="D392" i="2" s="1"/>
  <c r="E392" i="2" s="1"/>
  <c r="C392" i="2" a="1"/>
  <c r="C392" i="2" s="1"/>
  <c r="A392" i="2" a="1"/>
  <c r="A392" i="2" s="1"/>
  <c r="AB392" i="2" s="1"/>
  <c r="X391" i="2" a="1"/>
  <c r="X391" i="2" s="1"/>
  <c r="W391" i="2" a="1"/>
  <c r="W391" i="2" s="1"/>
  <c r="V391" i="2" a="1"/>
  <c r="V391" i="2" s="1"/>
  <c r="U391" i="2" a="1"/>
  <c r="U391" i="2" s="1"/>
  <c r="T391" i="2" a="1"/>
  <c r="T391" i="2" s="1"/>
  <c r="S391" i="2" a="1"/>
  <c r="S391" i="2" s="1"/>
  <c r="R391" i="2" a="1"/>
  <c r="R391" i="2" s="1"/>
  <c r="Q391" i="2" a="1"/>
  <c r="Q391" i="2" s="1"/>
  <c r="P391" i="2" a="1"/>
  <c r="P391" i="2" s="1"/>
  <c r="O391" i="2" a="1"/>
  <c r="O391" i="2" s="1"/>
  <c r="M391" i="2" a="1"/>
  <c r="M391" i="2" s="1"/>
  <c r="K391" i="2" a="1"/>
  <c r="K391" i="2" s="1"/>
  <c r="J391" i="2" a="1"/>
  <c r="J391" i="2" s="1"/>
  <c r="H391" i="2" a="1"/>
  <c r="H391" i="2" s="1"/>
  <c r="F391" i="2" a="1"/>
  <c r="F391" i="2" s="1"/>
  <c r="D391" i="2" a="1"/>
  <c r="D391" i="2" s="1"/>
  <c r="E391" i="2" s="1"/>
  <c r="C391" i="2" a="1"/>
  <c r="C391" i="2" s="1"/>
  <c r="A391" i="2" a="1"/>
  <c r="A391" i="2" s="1"/>
  <c r="X390" i="2" a="1"/>
  <c r="X390" i="2" s="1"/>
  <c r="W390" i="2" a="1"/>
  <c r="W390" i="2" s="1"/>
  <c r="V390" i="2" a="1"/>
  <c r="V390" i="2" s="1"/>
  <c r="U390" i="2" a="1"/>
  <c r="U390" i="2" s="1"/>
  <c r="T390" i="2" a="1"/>
  <c r="T390" i="2" s="1"/>
  <c r="S390" i="2" a="1"/>
  <c r="S390" i="2" s="1"/>
  <c r="R390" i="2" a="1"/>
  <c r="R390" i="2" s="1"/>
  <c r="Q390" i="2" a="1"/>
  <c r="Q390" i="2" s="1"/>
  <c r="P390" i="2" a="1"/>
  <c r="P390" i="2" s="1"/>
  <c r="O390" i="2" a="1"/>
  <c r="O390" i="2" s="1"/>
  <c r="M390" i="2" a="1"/>
  <c r="M390" i="2" s="1"/>
  <c r="K390" i="2" a="1"/>
  <c r="K390" i="2" s="1"/>
  <c r="J390" i="2" a="1"/>
  <c r="J390" i="2" s="1"/>
  <c r="H390" i="2" a="1"/>
  <c r="H390" i="2" s="1"/>
  <c r="F390" i="2" a="1"/>
  <c r="F390" i="2" s="1"/>
  <c r="D390" i="2" a="1"/>
  <c r="D390" i="2" s="1"/>
  <c r="E390" i="2" s="1"/>
  <c r="C390" i="2" a="1"/>
  <c r="C390" i="2" s="1"/>
  <c r="A390" i="2" a="1"/>
  <c r="A390" i="2" s="1"/>
  <c r="X389" i="2" a="1"/>
  <c r="X389" i="2" s="1"/>
  <c r="W389" i="2" a="1"/>
  <c r="W389" i="2" s="1"/>
  <c r="V389" i="2" a="1"/>
  <c r="V389" i="2" s="1"/>
  <c r="U389" i="2" a="1"/>
  <c r="U389" i="2" s="1"/>
  <c r="T389" i="2" a="1"/>
  <c r="T389" i="2" s="1"/>
  <c r="S389" i="2" a="1"/>
  <c r="S389" i="2" s="1"/>
  <c r="R389" i="2" a="1"/>
  <c r="R389" i="2" s="1"/>
  <c r="Q389" i="2" a="1"/>
  <c r="Q389" i="2" s="1"/>
  <c r="P389" i="2" a="1"/>
  <c r="P389" i="2" s="1"/>
  <c r="O389" i="2" a="1"/>
  <c r="O389" i="2" s="1"/>
  <c r="M389" i="2" a="1"/>
  <c r="M389" i="2" s="1"/>
  <c r="K389" i="2" a="1"/>
  <c r="K389" i="2" s="1"/>
  <c r="J389" i="2" a="1"/>
  <c r="J389" i="2" s="1"/>
  <c r="H389" i="2" a="1"/>
  <c r="H389" i="2" s="1"/>
  <c r="F389" i="2" a="1"/>
  <c r="F389" i="2" s="1"/>
  <c r="D389" i="2" a="1"/>
  <c r="D389" i="2" s="1"/>
  <c r="E389" i="2" s="1"/>
  <c r="C389" i="2" a="1"/>
  <c r="C389" i="2" s="1"/>
  <c r="A389" i="2" a="1"/>
  <c r="A389" i="2" s="1"/>
  <c r="AB389" i="2" s="1"/>
  <c r="X388" i="2" a="1"/>
  <c r="X388" i="2" s="1"/>
  <c r="W388" i="2" a="1"/>
  <c r="W388" i="2" s="1"/>
  <c r="V388" i="2" a="1"/>
  <c r="V388" i="2" s="1"/>
  <c r="U388" i="2" a="1"/>
  <c r="U388" i="2" s="1"/>
  <c r="T388" i="2" a="1"/>
  <c r="T388" i="2" s="1"/>
  <c r="S388" i="2" a="1"/>
  <c r="S388" i="2" s="1"/>
  <c r="R388" i="2" a="1"/>
  <c r="R388" i="2" s="1"/>
  <c r="Q388" i="2" a="1"/>
  <c r="Q388" i="2" s="1"/>
  <c r="P388" i="2" a="1"/>
  <c r="P388" i="2" s="1"/>
  <c r="O388" i="2" a="1"/>
  <c r="O388" i="2" s="1"/>
  <c r="M388" i="2" a="1"/>
  <c r="M388" i="2" s="1"/>
  <c r="K388" i="2" a="1"/>
  <c r="K388" i="2" s="1"/>
  <c r="J388" i="2" a="1"/>
  <c r="J388" i="2" s="1"/>
  <c r="H388" i="2" a="1"/>
  <c r="H388" i="2" s="1"/>
  <c r="F388" i="2" a="1"/>
  <c r="F388" i="2" s="1"/>
  <c r="D388" i="2" a="1"/>
  <c r="D388" i="2" s="1"/>
  <c r="E388" i="2" s="1"/>
  <c r="C388" i="2" a="1"/>
  <c r="C388" i="2" s="1"/>
  <c r="A388" i="2" a="1"/>
  <c r="A388" i="2" s="1"/>
  <c r="X387" i="2" a="1"/>
  <c r="X387" i="2" s="1"/>
  <c r="W387" i="2" a="1"/>
  <c r="W387" i="2" s="1"/>
  <c r="V387" i="2" a="1"/>
  <c r="V387" i="2" s="1"/>
  <c r="U387" i="2" a="1"/>
  <c r="U387" i="2" s="1"/>
  <c r="T387" i="2" a="1"/>
  <c r="T387" i="2" s="1"/>
  <c r="S387" i="2" a="1"/>
  <c r="S387" i="2" s="1"/>
  <c r="R387" i="2" a="1"/>
  <c r="R387" i="2" s="1"/>
  <c r="Q387" i="2" a="1"/>
  <c r="Q387" i="2" s="1"/>
  <c r="P387" i="2" a="1"/>
  <c r="P387" i="2" s="1"/>
  <c r="O387" i="2" a="1"/>
  <c r="O387" i="2" s="1"/>
  <c r="M387" i="2" a="1"/>
  <c r="M387" i="2" s="1"/>
  <c r="K387" i="2" a="1"/>
  <c r="K387" i="2" s="1"/>
  <c r="J387" i="2" a="1"/>
  <c r="J387" i="2" s="1"/>
  <c r="H387" i="2" a="1"/>
  <c r="H387" i="2" s="1"/>
  <c r="F387" i="2" a="1"/>
  <c r="F387" i="2" s="1"/>
  <c r="D387" i="2" a="1"/>
  <c r="D387" i="2" s="1"/>
  <c r="E387" i="2" s="1"/>
  <c r="C387" i="2" a="1"/>
  <c r="C387" i="2" s="1"/>
  <c r="A387" i="2" a="1"/>
  <c r="A387" i="2" s="1"/>
  <c r="X386" i="2" a="1"/>
  <c r="X386" i="2" s="1"/>
  <c r="W386" i="2" a="1"/>
  <c r="W386" i="2" s="1"/>
  <c r="V386" i="2" a="1"/>
  <c r="V386" i="2" s="1"/>
  <c r="U386" i="2" a="1"/>
  <c r="U386" i="2" s="1"/>
  <c r="T386" i="2" a="1"/>
  <c r="T386" i="2" s="1"/>
  <c r="S386" i="2" a="1"/>
  <c r="S386" i="2" s="1"/>
  <c r="R386" i="2" a="1"/>
  <c r="R386" i="2" s="1"/>
  <c r="Q386" i="2" a="1"/>
  <c r="Q386" i="2" s="1"/>
  <c r="P386" i="2" a="1"/>
  <c r="P386" i="2" s="1"/>
  <c r="O386" i="2" a="1"/>
  <c r="O386" i="2" s="1"/>
  <c r="M386" i="2" a="1"/>
  <c r="M386" i="2" s="1"/>
  <c r="K386" i="2" a="1"/>
  <c r="K386" i="2" s="1"/>
  <c r="J386" i="2" a="1"/>
  <c r="J386" i="2" s="1"/>
  <c r="H386" i="2" a="1"/>
  <c r="H386" i="2" s="1"/>
  <c r="F386" i="2" a="1"/>
  <c r="F386" i="2" s="1"/>
  <c r="D386" i="2" a="1"/>
  <c r="D386" i="2" s="1"/>
  <c r="E386" i="2" s="1"/>
  <c r="C386" i="2" a="1"/>
  <c r="C386" i="2" s="1"/>
  <c r="A386" i="2" a="1"/>
  <c r="A386" i="2" s="1"/>
  <c r="X385" i="2" a="1"/>
  <c r="X385" i="2" s="1"/>
  <c r="W385" i="2" a="1"/>
  <c r="W385" i="2" s="1"/>
  <c r="V385" i="2" a="1"/>
  <c r="V385" i="2" s="1"/>
  <c r="U385" i="2" a="1"/>
  <c r="U385" i="2" s="1"/>
  <c r="T385" i="2" a="1"/>
  <c r="T385" i="2" s="1"/>
  <c r="S385" i="2" a="1"/>
  <c r="S385" i="2" s="1"/>
  <c r="R385" i="2" a="1"/>
  <c r="R385" i="2" s="1"/>
  <c r="Q385" i="2" a="1"/>
  <c r="Q385" i="2" s="1"/>
  <c r="P385" i="2" a="1"/>
  <c r="P385" i="2" s="1"/>
  <c r="O385" i="2" a="1"/>
  <c r="O385" i="2" s="1"/>
  <c r="M385" i="2" a="1"/>
  <c r="M385" i="2" s="1"/>
  <c r="K385" i="2" a="1"/>
  <c r="K385" i="2" s="1"/>
  <c r="J385" i="2" a="1"/>
  <c r="J385" i="2" s="1"/>
  <c r="H385" i="2" a="1"/>
  <c r="H385" i="2" s="1"/>
  <c r="F385" i="2" a="1"/>
  <c r="F385" i="2" s="1"/>
  <c r="D385" i="2" a="1"/>
  <c r="D385" i="2" s="1"/>
  <c r="E385" i="2" s="1"/>
  <c r="C385" i="2" a="1"/>
  <c r="C385" i="2" s="1"/>
  <c r="A385" i="2" a="1"/>
  <c r="A385" i="2" s="1"/>
  <c r="AB385" i="2" s="1"/>
  <c r="X384" i="2" a="1"/>
  <c r="X384" i="2" s="1"/>
  <c r="W384" i="2" a="1"/>
  <c r="W384" i="2" s="1"/>
  <c r="V384" i="2" a="1"/>
  <c r="V384" i="2" s="1"/>
  <c r="U384" i="2" a="1"/>
  <c r="U384" i="2" s="1"/>
  <c r="T384" i="2" a="1"/>
  <c r="T384" i="2" s="1"/>
  <c r="S384" i="2" a="1"/>
  <c r="S384" i="2" s="1"/>
  <c r="R384" i="2" a="1"/>
  <c r="R384" i="2" s="1"/>
  <c r="Q384" i="2" a="1"/>
  <c r="Q384" i="2" s="1"/>
  <c r="P384" i="2" a="1"/>
  <c r="P384" i="2" s="1"/>
  <c r="O384" i="2" a="1"/>
  <c r="O384" i="2" s="1"/>
  <c r="M384" i="2" a="1"/>
  <c r="M384" i="2" s="1"/>
  <c r="K384" i="2" a="1"/>
  <c r="K384" i="2" s="1"/>
  <c r="J384" i="2" a="1"/>
  <c r="J384" i="2" s="1"/>
  <c r="H384" i="2" a="1"/>
  <c r="H384" i="2" s="1"/>
  <c r="F384" i="2" a="1"/>
  <c r="F384" i="2" s="1"/>
  <c r="D384" i="2" a="1"/>
  <c r="D384" i="2" s="1"/>
  <c r="E384" i="2" s="1"/>
  <c r="C384" i="2" a="1"/>
  <c r="C384" i="2" s="1"/>
  <c r="A384" i="2" a="1"/>
  <c r="A384" i="2" s="1"/>
  <c r="AA384" i="2" s="1"/>
  <c r="X383" i="2" a="1"/>
  <c r="X383" i="2" s="1"/>
  <c r="W383" i="2" a="1"/>
  <c r="W383" i="2" s="1"/>
  <c r="V383" i="2" a="1"/>
  <c r="V383" i="2" s="1"/>
  <c r="U383" i="2" a="1"/>
  <c r="U383" i="2" s="1"/>
  <c r="T383" i="2" a="1"/>
  <c r="T383" i="2" s="1"/>
  <c r="S383" i="2" a="1"/>
  <c r="S383" i="2" s="1"/>
  <c r="R383" i="2" a="1"/>
  <c r="R383" i="2" s="1"/>
  <c r="Q383" i="2" a="1"/>
  <c r="Q383" i="2" s="1"/>
  <c r="P383" i="2" a="1"/>
  <c r="P383" i="2" s="1"/>
  <c r="O383" i="2" a="1"/>
  <c r="O383" i="2" s="1"/>
  <c r="M383" i="2" a="1"/>
  <c r="M383" i="2" s="1"/>
  <c r="K383" i="2" a="1"/>
  <c r="K383" i="2" s="1"/>
  <c r="J383" i="2" a="1"/>
  <c r="J383" i="2" s="1"/>
  <c r="H383" i="2" a="1"/>
  <c r="H383" i="2" s="1"/>
  <c r="F383" i="2" a="1"/>
  <c r="F383" i="2" s="1"/>
  <c r="D383" i="2" a="1"/>
  <c r="D383" i="2" s="1"/>
  <c r="E383" i="2" s="1"/>
  <c r="C383" i="2" a="1"/>
  <c r="C383" i="2" s="1"/>
  <c r="A383" i="2" a="1"/>
  <c r="A383" i="2" s="1"/>
  <c r="X382" i="2" a="1"/>
  <c r="X382" i="2" s="1"/>
  <c r="W382" i="2" a="1"/>
  <c r="W382" i="2" s="1"/>
  <c r="V382" i="2" a="1"/>
  <c r="V382" i="2" s="1"/>
  <c r="U382" i="2" a="1"/>
  <c r="U382" i="2" s="1"/>
  <c r="T382" i="2" a="1"/>
  <c r="T382" i="2" s="1"/>
  <c r="S382" i="2" a="1"/>
  <c r="S382" i="2" s="1"/>
  <c r="R382" i="2" a="1"/>
  <c r="R382" i="2" s="1"/>
  <c r="Q382" i="2" a="1"/>
  <c r="Q382" i="2" s="1"/>
  <c r="P382" i="2" a="1"/>
  <c r="P382" i="2" s="1"/>
  <c r="O382" i="2" a="1"/>
  <c r="O382" i="2" s="1"/>
  <c r="M382" i="2" a="1"/>
  <c r="M382" i="2" s="1"/>
  <c r="K382" i="2" a="1"/>
  <c r="K382" i="2" s="1"/>
  <c r="J382" i="2" a="1"/>
  <c r="J382" i="2" s="1"/>
  <c r="H382" i="2" a="1"/>
  <c r="H382" i="2" s="1"/>
  <c r="F382" i="2" a="1"/>
  <c r="F382" i="2" s="1"/>
  <c r="D382" i="2" a="1"/>
  <c r="D382" i="2" s="1"/>
  <c r="E382" i="2" s="1"/>
  <c r="C382" i="2" a="1"/>
  <c r="C382" i="2" s="1"/>
  <c r="A382" i="2" a="1"/>
  <c r="A382" i="2" s="1"/>
  <c r="X381" i="2" a="1"/>
  <c r="X381" i="2" s="1"/>
  <c r="W381" i="2" a="1"/>
  <c r="W381" i="2" s="1"/>
  <c r="V381" i="2" a="1"/>
  <c r="V381" i="2" s="1"/>
  <c r="U381" i="2" a="1"/>
  <c r="U381" i="2" s="1"/>
  <c r="T381" i="2" a="1"/>
  <c r="T381" i="2" s="1"/>
  <c r="S381" i="2" a="1"/>
  <c r="S381" i="2" s="1"/>
  <c r="R381" i="2" a="1"/>
  <c r="R381" i="2" s="1"/>
  <c r="Q381" i="2" a="1"/>
  <c r="Q381" i="2" s="1"/>
  <c r="P381" i="2" a="1"/>
  <c r="P381" i="2" s="1"/>
  <c r="O381" i="2" a="1"/>
  <c r="O381" i="2" s="1"/>
  <c r="M381" i="2" a="1"/>
  <c r="M381" i="2" s="1"/>
  <c r="K381" i="2" a="1"/>
  <c r="K381" i="2" s="1"/>
  <c r="J381" i="2" a="1"/>
  <c r="J381" i="2" s="1"/>
  <c r="H381" i="2" a="1"/>
  <c r="H381" i="2" s="1"/>
  <c r="F381" i="2" a="1"/>
  <c r="F381" i="2" s="1"/>
  <c r="D381" i="2" a="1"/>
  <c r="D381" i="2" s="1"/>
  <c r="E381" i="2" s="1"/>
  <c r="C381" i="2" a="1"/>
  <c r="C381" i="2" s="1"/>
  <c r="A381" i="2" a="1"/>
  <c r="A381" i="2" s="1"/>
  <c r="X380" i="2" a="1"/>
  <c r="X380" i="2" s="1"/>
  <c r="W380" i="2" a="1"/>
  <c r="W380" i="2" s="1"/>
  <c r="V380" i="2" a="1"/>
  <c r="V380" i="2" s="1"/>
  <c r="U380" i="2" a="1"/>
  <c r="U380" i="2" s="1"/>
  <c r="T380" i="2" a="1"/>
  <c r="T380" i="2" s="1"/>
  <c r="S380" i="2" a="1"/>
  <c r="S380" i="2" s="1"/>
  <c r="R380" i="2" a="1"/>
  <c r="R380" i="2" s="1"/>
  <c r="Q380" i="2" a="1"/>
  <c r="Q380" i="2" s="1"/>
  <c r="P380" i="2" a="1"/>
  <c r="P380" i="2" s="1"/>
  <c r="O380" i="2" a="1"/>
  <c r="O380" i="2" s="1"/>
  <c r="M380" i="2" a="1"/>
  <c r="M380" i="2" s="1"/>
  <c r="K380" i="2" a="1"/>
  <c r="K380" i="2" s="1"/>
  <c r="J380" i="2" a="1"/>
  <c r="J380" i="2" s="1"/>
  <c r="H380" i="2" a="1"/>
  <c r="H380" i="2" s="1"/>
  <c r="F380" i="2" a="1"/>
  <c r="F380" i="2" s="1"/>
  <c r="D380" i="2" a="1"/>
  <c r="D380" i="2" s="1"/>
  <c r="E380" i="2" s="1"/>
  <c r="C380" i="2" a="1"/>
  <c r="C380" i="2" s="1"/>
  <c r="A380" i="2" a="1"/>
  <c r="A380" i="2" s="1"/>
  <c r="AC380" i="2" s="1"/>
  <c r="X379" i="2" a="1"/>
  <c r="X379" i="2" s="1"/>
  <c r="W379" i="2" a="1"/>
  <c r="W379" i="2" s="1"/>
  <c r="V379" i="2" a="1"/>
  <c r="V379" i="2" s="1"/>
  <c r="U379" i="2" a="1"/>
  <c r="U379" i="2" s="1"/>
  <c r="T379" i="2" a="1"/>
  <c r="T379" i="2" s="1"/>
  <c r="S379" i="2" a="1"/>
  <c r="S379" i="2" s="1"/>
  <c r="R379" i="2" a="1"/>
  <c r="R379" i="2" s="1"/>
  <c r="Q379" i="2" a="1"/>
  <c r="Q379" i="2" s="1"/>
  <c r="P379" i="2" a="1"/>
  <c r="P379" i="2" s="1"/>
  <c r="O379" i="2" a="1"/>
  <c r="O379" i="2" s="1"/>
  <c r="M379" i="2" a="1"/>
  <c r="M379" i="2" s="1"/>
  <c r="K379" i="2" a="1"/>
  <c r="K379" i="2" s="1"/>
  <c r="J379" i="2" a="1"/>
  <c r="J379" i="2" s="1"/>
  <c r="H379" i="2" a="1"/>
  <c r="H379" i="2" s="1"/>
  <c r="F379" i="2" a="1"/>
  <c r="F379" i="2" s="1"/>
  <c r="D379" i="2" a="1"/>
  <c r="D379" i="2" s="1"/>
  <c r="E379" i="2" s="1"/>
  <c r="C379" i="2" a="1"/>
  <c r="C379" i="2" s="1"/>
  <c r="A379" i="2" a="1"/>
  <c r="A379" i="2" s="1"/>
  <c r="X378" i="2" a="1"/>
  <c r="X378" i="2" s="1"/>
  <c r="W378" i="2" a="1"/>
  <c r="W378" i="2" s="1"/>
  <c r="V378" i="2" a="1"/>
  <c r="V378" i="2" s="1"/>
  <c r="U378" i="2" a="1"/>
  <c r="U378" i="2" s="1"/>
  <c r="T378" i="2" a="1"/>
  <c r="T378" i="2" s="1"/>
  <c r="S378" i="2" a="1"/>
  <c r="S378" i="2" s="1"/>
  <c r="R378" i="2" a="1"/>
  <c r="R378" i="2" s="1"/>
  <c r="Q378" i="2" a="1"/>
  <c r="Q378" i="2" s="1"/>
  <c r="P378" i="2" a="1"/>
  <c r="P378" i="2" s="1"/>
  <c r="O378" i="2" a="1"/>
  <c r="O378" i="2" s="1"/>
  <c r="M378" i="2" a="1"/>
  <c r="M378" i="2" s="1"/>
  <c r="K378" i="2" a="1"/>
  <c r="K378" i="2" s="1"/>
  <c r="J378" i="2" a="1"/>
  <c r="J378" i="2" s="1"/>
  <c r="H378" i="2" a="1"/>
  <c r="H378" i="2" s="1"/>
  <c r="F378" i="2" a="1"/>
  <c r="F378" i="2" s="1"/>
  <c r="D378" i="2" a="1"/>
  <c r="D378" i="2" s="1"/>
  <c r="E378" i="2" s="1"/>
  <c r="C378" i="2" a="1"/>
  <c r="C378" i="2" s="1"/>
  <c r="A378" i="2" a="1"/>
  <c r="A378" i="2" s="1"/>
  <c r="AC378" i="2" s="1"/>
  <c r="X377" i="2" a="1"/>
  <c r="X377" i="2" s="1"/>
  <c r="W377" i="2" a="1"/>
  <c r="W377" i="2" s="1"/>
  <c r="V377" i="2" a="1"/>
  <c r="V377" i="2" s="1"/>
  <c r="U377" i="2" a="1"/>
  <c r="U377" i="2" s="1"/>
  <c r="T377" i="2" a="1"/>
  <c r="T377" i="2" s="1"/>
  <c r="S377" i="2" a="1"/>
  <c r="S377" i="2" s="1"/>
  <c r="R377" i="2" a="1"/>
  <c r="R377" i="2" s="1"/>
  <c r="Q377" i="2" a="1"/>
  <c r="Q377" i="2" s="1"/>
  <c r="P377" i="2" a="1"/>
  <c r="P377" i="2" s="1"/>
  <c r="O377" i="2" a="1"/>
  <c r="O377" i="2" s="1"/>
  <c r="M377" i="2" a="1"/>
  <c r="M377" i="2" s="1"/>
  <c r="K377" i="2" a="1"/>
  <c r="K377" i="2" s="1"/>
  <c r="J377" i="2" a="1"/>
  <c r="J377" i="2" s="1"/>
  <c r="H377" i="2" a="1"/>
  <c r="H377" i="2" s="1"/>
  <c r="F377" i="2" a="1"/>
  <c r="F377" i="2" s="1"/>
  <c r="D377" i="2" a="1"/>
  <c r="D377" i="2" s="1"/>
  <c r="E377" i="2" s="1"/>
  <c r="C377" i="2" a="1"/>
  <c r="C377" i="2" s="1"/>
  <c r="A377" i="2" a="1"/>
  <c r="A377" i="2" s="1"/>
  <c r="Z377" i="2" s="1"/>
  <c r="X376" i="2" a="1"/>
  <c r="X376" i="2" s="1"/>
  <c r="W376" i="2" a="1"/>
  <c r="W376" i="2" s="1"/>
  <c r="V376" i="2" a="1"/>
  <c r="V376" i="2" s="1"/>
  <c r="U376" i="2" a="1"/>
  <c r="U376" i="2" s="1"/>
  <c r="T376" i="2" a="1"/>
  <c r="T376" i="2" s="1"/>
  <c r="S376" i="2" a="1"/>
  <c r="S376" i="2" s="1"/>
  <c r="R376" i="2" a="1"/>
  <c r="R376" i="2" s="1"/>
  <c r="Q376" i="2" a="1"/>
  <c r="Q376" i="2" s="1"/>
  <c r="P376" i="2" a="1"/>
  <c r="P376" i="2" s="1"/>
  <c r="O376" i="2" a="1"/>
  <c r="O376" i="2" s="1"/>
  <c r="M376" i="2" a="1"/>
  <c r="M376" i="2" s="1"/>
  <c r="K376" i="2" a="1"/>
  <c r="K376" i="2" s="1"/>
  <c r="J376" i="2" a="1"/>
  <c r="J376" i="2" s="1"/>
  <c r="H376" i="2" a="1"/>
  <c r="H376" i="2" s="1"/>
  <c r="F376" i="2" a="1"/>
  <c r="F376" i="2" s="1"/>
  <c r="D376" i="2" a="1"/>
  <c r="D376" i="2" s="1"/>
  <c r="E376" i="2" s="1"/>
  <c r="C376" i="2" a="1"/>
  <c r="C376" i="2" s="1"/>
  <c r="A376" i="2" a="1"/>
  <c r="A376" i="2" s="1"/>
  <c r="X375" i="2" a="1"/>
  <c r="X375" i="2" s="1"/>
  <c r="W375" i="2" a="1"/>
  <c r="W375" i="2" s="1"/>
  <c r="V375" i="2" a="1"/>
  <c r="V375" i="2" s="1"/>
  <c r="U375" i="2" a="1"/>
  <c r="U375" i="2" s="1"/>
  <c r="T375" i="2" a="1"/>
  <c r="T375" i="2" s="1"/>
  <c r="S375" i="2" a="1"/>
  <c r="S375" i="2" s="1"/>
  <c r="R375" i="2" a="1"/>
  <c r="R375" i="2" s="1"/>
  <c r="Q375" i="2" a="1"/>
  <c r="Q375" i="2" s="1"/>
  <c r="P375" i="2" a="1"/>
  <c r="P375" i="2" s="1"/>
  <c r="O375" i="2" a="1"/>
  <c r="O375" i="2" s="1"/>
  <c r="M375" i="2" a="1"/>
  <c r="M375" i="2" s="1"/>
  <c r="K375" i="2" a="1"/>
  <c r="K375" i="2" s="1"/>
  <c r="J375" i="2" a="1"/>
  <c r="J375" i="2" s="1"/>
  <c r="H375" i="2" a="1"/>
  <c r="H375" i="2" s="1"/>
  <c r="F375" i="2" a="1"/>
  <c r="F375" i="2" s="1"/>
  <c r="D375" i="2" a="1"/>
  <c r="D375" i="2" s="1"/>
  <c r="E375" i="2" s="1"/>
  <c r="C375" i="2" a="1"/>
  <c r="C375" i="2" s="1"/>
  <c r="A375" i="2" a="1"/>
  <c r="A375" i="2" s="1"/>
  <c r="AD375" i="2" s="1"/>
  <c r="X374" i="2" a="1"/>
  <c r="X374" i="2" s="1"/>
  <c r="W374" i="2" a="1"/>
  <c r="W374" i="2" s="1"/>
  <c r="V374" i="2" a="1"/>
  <c r="V374" i="2" s="1"/>
  <c r="U374" i="2" a="1"/>
  <c r="U374" i="2" s="1"/>
  <c r="T374" i="2" a="1"/>
  <c r="T374" i="2" s="1"/>
  <c r="S374" i="2" a="1"/>
  <c r="S374" i="2" s="1"/>
  <c r="R374" i="2" a="1"/>
  <c r="R374" i="2" s="1"/>
  <c r="Q374" i="2" a="1"/>
  <c r="Q374" i="2" s="1"/>
  <c r="P374" i="2" a="1"/>
  <c r="P374" i="2" s="1"/>
  <c r="O374" i="2" a="1"/>
  <c r="O374" i="2" s="1"/>
  <c r="M374" i="2" a="1"/>
  <c r="M374" i="2" s="1"/>
  <c r="K374" i="2" a="1"/>
  <c r="K374" i="2" s="1"/>
  <c r="J374" i="2" a="1"/>
  <c r="J374" i="2" s="1"/>
  <c r="H374" i="2" a="1"/>
  <c r="H374" i="2" s="1"/>
  <c r="F374" i="2" a="1"/>
  <c r="F374" i="2" s="1"/>
  <c r="D374" i="2" a="1"/>
  <c r="D374" i="2" s="1"/>
  <c r="E374" i="2" s="1"/>
  <c r="C374" i="2" a="1"/>
  <c r="C374" i="2" s="1"/>
  <c r="A374" i="2" a="1"/>
  <c r="A374" i="2" s="1"/>
  <c r="X373" i="2" a="1"/>
  <c r="X373" i="2" s="1"/>
  <c r="W373" i="2" a="1"/>
  <c r="W373" i="2" s="1"/>
  <c r="V373" i="2" a="1"/>
  <c r="V373" i="2" s="1"/>
  <c r="U373" i="2" a="1"/>
  <c r="U373" i="2" s="1"/>
  <c r="T373" i="2" a="1"/>
  <c r="T373" i="2" s="1"/>
  <c r="S373" i="2" a="1"/>
  <c r="S373" i="2" s="1"/>
  <c r="R373" i="2" a="1"/>
  <c r="R373" i="2" s="1"/>
  <c r="Q373" i="2" a="1"/>
  <c r="Q373" i="2" s="1"/>
  <c r="P373" i="2" a="1"/>
  <c r="P373" i="2" s="1"/>
  <c r="O373" i="2" a="1"/>
  <c r="O373" i="2" s="1"/>
  <c r="M373" i="2" a="1"/>
  <c r="M373" i="2" s="1"/>
  <c r="K373" i="2" a="1"/>
  <c r="K373" i="2" s="1"/>
  <c r="J373" i="2" a="1"/>
  <c r="J373" i="2" s="1"/>
  <c r="H373" i="2" a="1"/>
  <c r="H373" i="2" s="1"/>
  <c r="F373" i="2" a="1"/>
  <c r="F373" i="2" s="1"/>
  <c r="D373" i="2" a="1"/>
  <c r="D373" i="2" s="1"/>
  <c r="E373" i="2" s="1"/>
  <c r="C373" i="2" a="1"/>
  <c r="C373" i="2" s="1"/>
  <c r="A373" i="2" a="1"/>
  <c r="A373" i="2" s="1"/>
  <c r="Z373" i="2" s="1"/>
  <c r="X372" i="2" a="1"/>
  <c r="X372" i="2" s="1"/>
  <c r="W372" i="2" a="1"/>
  <c r="W372" i="2" s="1"/>
  <c r="V372" i="2" a="1"/>
  <c r="V372" i="2" s="1"/>
  <c r="U372" i="2" a="1"/>
  <c r="U372" i="2" s="1"/>
  <c r="T372" i="2" a="1"/>
  <c r="T372" i="2" s="1"/>
  <c r="S372" i="2" a="1"/>
  <c r="S372" i="2" s="1"/>
  <c r="R372" i="2" a="1"/>
  <c r="R372" i="2" s="1"/>
  <c r="Q372" i="2" a="1"/>
  <c r="Q372" i="2" s="1"/>
  <c r="P372" i="2" a="1"/>
  <c r="P372" i="2" s="1"/>
  <c r="O372" i="2" a="1"/>
  <c r="O372" i="2" s="1"/>
  <c r="M372" i="2" a="1"/>
  <c r="M372" i="2" s="1"/>
  <c r="K372" i="2" a="1"/>
  <c r="K372" i="2" s="1"/>
  <c r="J372" i="2" a="1"/>
  <c r="J372" i="2" s="1"/>
  <c r="H372" i="2" a="1"/>
  <c r="H372" i="2" s="1"/>
  <c r="F372" i="2" a="1"/>
  <c r="F372" i="2" s="1"/>
  <c r="D372" i="2" a="1"/>
  <c r="D372" i="2" s="1"/>
  <c r="E372" i="2" s="1"/>
  <c r="C372" i="2" a="1"/>
  <c r="C372" i="2" s="1"/>
  <c r="A372" i="2" a="1"/>
  <c r="A372" i="2" s="1"/>
  <c r="X371" i="2" a="1"/>
  <c r="X371" i="2" s="1"/>
  <c r="W371" i="2" a="1"/>
  <c r="W371" i="2" s="1"/>
  <c r="V371" i="2" a="1"/>
  <c r="V371" i="2" s="1"/>
  <c r="U371" i="2" a="1"/>
  <c r="U371" i="2" s="1"/>
  <c r="T371" i="2" a="1"/>
  <c r="T371" i="2" s="1"/>
  <c r="S371" i="2" a="1"/>
  <c r="S371" i="2" s="1"/>
  <c r="R371" i="2" a="1"/>
  <c r="R371" i="2" s="1"/>
  <c r="Q371" i="2" a="1"/>
  <c r="Q371" i="2" s="1"/>
  <c r="P371" i="2" a="1"/>
  <c r="P371" i="2" s="1"/>
  <c r="O371" i="2" a="1"/>
  <c r="O371" i="2" s="1"/>
  <c r="M371" i="2" a="1"/>
  <c r="M371" i="2" s="1"/>
  <c r="K371" i="2" a="1"/>
  <c r="K371" i="2" s="1"/>
  <c r="J371" i="2" a="1"/>
  <c r="J371" i="2" s="1"/>
  <c r="H371" i="2" a="1"/>
  <c r="H371" i="2" s="1"/>
  <c r="F371" i="2" a="1"/>
  <c r="F371" i="2" s="1"/>
  <c r="D371" i="2" a="1"/>
  <c r="D371" i="2" s="1"/>
  <c r="E371" i="2" s="1"/>
  <c r="C371" i="2" a="1"/>
  <c r="C371" i="2" s="1"/>
  <c r="A371" i="2" a="1"/>
  <c r="A371" i="2" s="1"/>
  <c r="AC371" i="2" s="1"/>
  <c r="X370" i="2" a="1"/>
  <c r="X370" i="2" s="1"/>
  <c r="W370" i="2" a="1"/>
  <c r="W370" i="2" s="1"/>
  <c r="V370" i="2" a="1"/>
  <c r="V370" i="2" s="1"/>
  <c r="U370" i="2" a="1"/>
  <c r="U370" i="2" s="1"/>
  <c r="T370" i="2" a="1"/>
  <c r="T370" i="2" s="1"/>
  <c r="S370" i="2" a="1"/>
  <c r="S370" i="2" s="1"/>
  <c r="R370" i="2" a="1"/>
  <c r="R370" i="2" s="1"/>
  <c r="Q370" i="2" a="1"/>
  <c r="Q370" i="2" s="1"/>
  <c r="P370" i="2" a="1"/>
  <c r="P370" i="2" s="1"/>
  <c r="O370" i="2" a="1"/>
  <c r="O370" i="2" s="1"/>
  <c r="M370" i="2" a="1"/>
  <c r="M370" i="2" s="1"/>
  <c r="K370" i="2" a="1"/>
  <c r="K370" i="2" s="1"/>
  <c r="J370" i="2" a="1"/>
  <c r="J370" i="2" s="1"/>
  <c r="H370" i="2" a="1"/>
  <c r="H370" i="2" s="1"/>
  <c r="F370" i="2" a="1"/>
  <c r="F370" i="2" s="1"/>
  <c r="D370" i="2" a="1"/>
  <c r="D370" i="2" s="1"/>
  <c r="E370" i="2" s="1"/>
  <c r="C370" i="2" a="1"/>
  <c r="C370" i="2" s="1"/>
  <c r="A370" i="2" a="1"/>
  <c r="A370" i="2" s="1"/>
  <c r="AA370" i="2" s="1"/>
  <c r="X369" i="2" a="1"/>
  <c r="X369" i="2" s="1"/>
  <c r="W369" i="2" a="1"/>
  <c r="W369" i="2" s="1"/>
  <c r="V369" i="2" a="1"/>
  <c r="V369" i="2" s="1"/>
  <c r="U369" i="2" a="1"/>
  <c r="U369" i="2" s="1"/>
  <c r="T369" i="2" a="1"/>
  <c r="T369" i="2" s="1"/>
  <c r="S369" i="2" a="1"/>
  <c r="S369" i="2" s="1"/>
  <c r="R369" i="2" a="1"/>
  <c r="R369" i="2" s="1"/>
  <c r="Q369" i="2" a="1"/>
  <c r="Q369" i="2" s="1"/>
  <c r="P369" i="2" a="1"/>
  <c r="P369" i="2" s="1"/>
  <c r="O369" i="2" a="1"/>
  <c r="O369" i="2" s="1"/>
  <c r="M369" i="2" a="1"/>
  <c r="M369" i="2" s="1"/>
  <c r="K369" i="2" a="1"/>
  <c r="K369" i="2" s="1"/>
  <c r="J369" i="2" a="1"/>
  <c r="J369" i="2" s="1"/>
  <c r="H369" i="2" a="1"/>
  <c r="H369" i="2" s="1"/>
  <c r="F369" i="2" a="1"/>
  <c r="F369" i="2" s="1"/>
  <c r="D369" i="2" a="1"/>
  <c r="D369" i="2" s="1"/>
  <c r="E369" i="2" s="1"/>
  <c r="C369" i="2" a="1"/>
  <c r="C369" i="2" s="1"/>
  <c r="A369" i="2" a="1"/>
  <c r="A369" i="2" s="1"/>
  <c r="AD369" i="2" s="1"/>
  <c r="X368" i="2" a="1"/>
  <c r="X368" i="2" s="1"/>
  <c r="W368" i="2" a="1"/>
  <c r="W368" i="2" s="1"/>
  <c r="V368" i="2" a="1"/>
  <c r="V368" i="2" s="1"/>
  <c r="U368" i="2" a="1"/>
  <c r="U368" i="2" s="1"/>
  <c r="T368" i="2" a="1"/>
  <c r="T368" i="2" s="1"/>
  <c r="S368" i="2" a="1"/>
  <c r="S368" i="2" s="1"/>
  <c r="R368" i="2" a="1"/>
  <c r="R368" i="2" s="1"/>
  <c r="Q368" i="2" a="1"/>
  <c r="Q368" i="2" s="1"/>
  <c r="P368" i="2" a="1"/>
  <c r="P368" i="2" s="1"/>
  <c r="O368" i="2" a="1"/>
  <c r="O368" i="2" s="1"/>
  <c r="M368" i="2" a="1"/>
  <c r="M368" i="2" s="1"/>
  <c r="K368" i="2" a="1"/>
  <c r="K368" i="2" s="1"/>
  <c r="J368" i="2" a="1"/>
  <c r="J368" i="2" s="1"/>
  <c r="H368" i="2" a="1"/>
  <c r="H368" i="2" s="1"/>
  <c r="F368" i="2" a="1"/>
  <c r="F368" i="2" s="1"/>
  <c r="D368" i="2" a="1"/>
  <c r="D368" i="2" s="1"/>
  <c r="E368" i="2" s="1"/>
  <c r="C368" i="2" a="1"/>
  <c r="C368" i="2" s="1"/>
  <c r="A368" i="2" a="1"/>
  <c r="A368" i="2" s="1"/>
  <c r="AD368" i="2" s="1"/>
  <c r="X367" i="2" a="1"/>
  <c r="X367" i="2" s="1"/>
  <c r="W367" i="2" a="1"/>
  <c r="W367" i="2" s="1"/>
  <c r="V367" i="2" a="1"/>
  <c r="V367" i="2" s="1"/>
  <c r="U367" i="2" a="1"/>
  <c r="U367" i="2" s="1"/>
  <c r="T367" i="2" a="1"/>
  <c r="T367" i="2" s="1"/>
  <c r="S367" i="2" a="1"/>
  <c r="S367" i="2" s="1"/>
  <c r="R367" i="2" a="1"/>
  <c r="R367" i="2" s="1"/>
  <c r="Q367" i="2" a="1"/>
  <c r="Q367" i="2" s="1"/>
  <c r="P367" i="2" a="1"/>
  <c r="P367" i="2" s="1"/>
  <c r="O367" i="2" a="1"/>
  <c r="O367" i="2" s="1"/>
  <c r="M367" i="2" a="1"/>
  <c r="M367" i="2" s="1"/>
  <c r="K367" i="2" a="1"/>
  <c r="K367" i="2" s="1"/>
  <c r="J367" i="2" a="1"/>
  <c r="J367" i="2" s="1"/>
  <c r="H367" i="2" a="1"/>
  <c r="H367" i="2" s="1"/>
  <c r="F367" i="2" a="1"/>
  <c r="F367" i="2" s="1"/>
  <c r="D367" i="2" a="1"/>
  <c r="D367" i="2" s="1"/>
  <c r="E367" i="2" s="1"/>
  <c r="C367" i="2" a="1"/>
  <c r="C367" i="2" s="1"/>
  <c r="A367" i="2" a="1"/>
  <c r="A367" i="2" s="1"/>
  <c r="X366" i="2" a="1"/>
  <c r="X366" i="2" s="1"/>
  <c r="W366" i="2" a="1"/>
  <c r="W366" i="2" s="1"/>
  <c r="V366" i="2" a="1"/>
  <c r="V366" i="2" s="1"/>
  <c r="U366" i="2" a="1"/>
  <c r="U366" i="2" s="1"/>
  <c r="T366" i="2" a="1"/>
  <c r="T366" i="2" s="1"/>
  <c r="S366" i="2" a="1"/>
  <c r="S366" i="2" s="1"/>
  <c r="R366" i="2" a="1"/>
  <c r="R366" i="2" s="1"/>
  <c r="Q366" i="2" a="1"/>
  <c r="Q366" i="2" s="1"/>
  <c r="P366" i="2" a="1"/>
  <c r="P366" i="2" s="1"/>
  <c r="O366" i="2" a="1"/>
  <c r="O366" i="2" s="1"/>
  <c r="M366" i="2" a="1"/>
  <c r="M366" i="2" s="1"/>
  <c r="K366" i="2" a="1"/>
  <c r="K366" i="2" s="1"/>
  <c r="J366" i="2" a="1"/>
  <c r="J366" i="2" s="1"/>
  <c r="H366" i="2" a="1"/>
  <c r="H366" i="2" s="1"/>
  <c r="F366" i="2" a="1"/>
  <c r="F366" i="2" s="1"/>
  <c r="D366" i="2" a="1"/>
  <c r="D366" i="2" s="1"/>
  <c r="E366" i="2" s="1"/>
  <c r="C366" i="2" a="1"/>
  <c r="C366" i="2" s="1"/>
  <c r="A366" i="2" a="1"/>
  <c r="A366" i="2" s="1"/>
  <c r="X365" i="2" a="1"/>
  <c r="X365" i="2" s="1"/>
  <c r="W365" i="2" a="1"/>
  <c r="W365" i="2" s="1"/>
  <c r="V365" i="2" a="1"/>
  <c r="V365" i="2" s="1"/>
  <c r="U365" i="2" a="1"/>
  <c r="U365" i="2" s="1"/>
  <c r="T365" i="2" a="1"/>
  <c r="T365" i="2" s="1"/>
  <c r="S365" i="2" a="1"/>
  <c r="S365" i="2" s="1"/>
  <c r="R365" i="2" a="1"/>
  <c r="R365" i="2" s="1"/>
  <c r="Q365" i="2" a="1"/>
  <c r="Q365" i="2" s="1"/>
  <c r="P365" i="2" a="1"/>
  <c r="P365" i="2" s="1"/>
  <c r="O365" i="2" a="1"/>
  <c r="O365" i="2" s="1"/>
  <c r="M365" i="2" a="1"/>
  <c r="M365" i="2" s="1"/>
  <c r="K365" i="2" a="1"/>
  <c r="K365" i="2" s="1"/>
  <c r="J365" i="2" a="1"/>
  <c r="J365" i="2" s="1"/>
  <c r="H365" i="2" a="1"/>
  <c r="H365" i="2" s="1"/>
  <c r="F365" i="2" a="1"/>
  <c r="F365" i="2" s="1"/>
  <c r="D365" i="2" a="1"/>
  <c r="D365" i="2" s="1"/>
  <c r="E365" i="2" s="1"/>
  <c r="C365" i="2" a="1"/>
  <c r="C365" i="2" s="1"/>
  <c r="A365" i="2" a="1"/>
  <c r="A365" i="2" s="1"/>
  <c r="AB365" i="2" s="1"/>
  <c r="X364" i="2" a="1"/>
  <c r="X364" i="2" s="1"/>
  <c r="W364" i="2" a="1"/>
  <c r="W364" i="2" s="1"/>
  <c r="V364" i="2" a="1"/>
  <c r="V364" i="2" s="1"/>
  <c r="U364" i="2" a="1"/>
  <c r="U364" i="2" s="1"/>
  <c r="T364" i="2" a="1"/>
  <c r="T364" i="2" s="1"/>
  <c r="S364" i="2" a="1"/>
  <c r="S364" i="2" s="1"/>
  <c r="R364" i="2" a="1"/>
  <c r="R364" i="2" s="1"/>
  <c r="Q364" i="2" a="1"/>
  <c r="Q364" i="2" s="1"/>
  <c r="P364" i="2" a="1"/>
  <c r="P364" i="2" s="1"/>
  <c r="O364" i="2" a="1"/>
  <c r="O364" i="2" s="1"/>
  <c r="M364" i="2" a="1"/>
  <c r="M364" i="2" s="1"/>
  <c r="K364" i="2" a="1"/>
  <c r="K364" i="2" s="1"/>
  <c r="J364" i="2" a="1"/>
  <c r="J364" i="2" s="1"/>
  <c r="H364" i="2" a="1"/>
  <c r="H364" i="2" s="1"/>
  <c r="F364" i="2" a="1"/>
  <c r="F364" i="2" s="1"/>
  <c r="D364" i="2" a="1"/>
  <c r="D364" i="2" s="1"/>
  <c r="E364" i="2" s="1"/>
  <c r="C364" i="2" a="1"/>
  <c r="C364" i="2" s="1"/>
  <c r="A364" i="2" a="1"/>
  <c r="A364" i="2" s="1"/>
  <c r="AD364" i="2" s="1"/>
  <c r="X363" i="2" a="1"/>
  <c r="X363" i="2" s="1"/>
  <c r="W363" i="2" a="1"/>
  <c r="W363" i="2" s="1"/>
  <c r="V363" i="2" a="1"/>
  <c r="V363" i="2" s="1"/>
  <c r="U363" i="2" a="1"/>
  <c r="U363" i="2" s="1"/>
  <c r="T363" i="2" a="1"/>
  <c r="T363" i="2" s="1"/>
  <c r="S363" i="2" a="1"/>
  <c r="S363" i="2" s="1"/>
  <c r="R363" i="2" a="1"/>
  <c r="R363" i="2" s="1"/>
  <c r="Q363" i="2" a="1"/>
  <c r="Q363" i="2" s="1"/>
  <c r="P363" i="2" a="1"/>
  <c r="P363" i="2" s="1"/>
  <c r="O363" i="2" a="1"/>
  <c r="O363" i="2" s="1"/>
  <c r="M363" i="2" a="1"/>
  <c r="M363" i="2" s="1"/>
  <c r="K363" i="2" a="1"/>
  <c r="K363" i="2" s="1"/>
  <c r="J363" i="2" a="1"/>
  <c r="J363" i="2" s="1"/>
  <c r="H363" i="2" a="1"/>
  <c r="H363" i="2" s="1"/>
  <c r="F363" i="2" a="1"/>
  <c r="F363" i="2" s="1"/>
  <c r="D363" i="2" a="1"/>
  <c r="D363" i="2" s="1"/>
  <c r="E363" i="2" s="1"/>
  <c r="C363" i="2" a="1"/>
  <c r="C363" i="2" s="1"/>
  <c r="A363" i="2" a="1"/>
  <c r="A363" i="2" s="1"/>
  <c r="X362" i="2" a="1"/>
  <c r="X362" i="2" s="1"/>
  <c r="W362" i="2" a="1"/>
  <c r="W362" i="2" s="1"/>
  <c r="V362" i="2" a="1"/>
  <c r="V362" i="2" s="1"/>
  <c r="U362" i="2" a="1"/>
  <c r="U362" i="2" s="1"/>
  <c r="T362" i="2" a="1"/>
  <c r="T362" i="2" s="1"/>
  <c r="S362" i="2" a="1"/>
  <c r="S362" i="2" s="1"/>
  <c r="R362" i="2" a="1"/>
  <c r="R362" i="2" s="1"/>
  <c r="Q362" i="2" a="1"/>
  <c r="Q362" i="2" s="1"/>
  <c r="P362" i="2" a="1"/>
  <c r="P362" i="2" s="1"/>
  <c r="O362" i="2" a="1"/>
  <c r="O362" i="2" s="1"/>
  <c r="M362" i="2" a="1"/>
  <c r="M362" i="2" s="1"/>
  <c r="K362" i="2" a="1"/>
  <c r="K362" i="2" s="1"/>
  <c r="J362" i="2" a="1"/>
  <c r="J362" i="2" s="1"/>
  <c r="H362" i="2" a="1"/>
  <c r="H362" i="2" s="1"/>
  <c r="F362" i="2" a="1"/>
  <c r="F362" i="2" s="1"/>
  <c r="D362" i="2" a="1"/>
  <c r="D362" i="2" s="1"/>
  <c r="E362" i="2" s="1"/>
  <c r="C362" i="2" a="1"/>
  <c r="C362" i="2" s="1"/>
  <c r="A362" i="2" a="1"/>
  <c r="A362" i="2" s="1"/>
  <c r="X361" i="2" a="1"/>
  <c r="X361" i="2" s="1"/>
  <c r="W361" i="2" a="1"/>
  <c r="W361" i="2" s="1"/>
  <c r="V361" i="2" a="1"/>
  <c r="V361" i="2" s="1"/>
  <c r="U361" i="2" a="1"/>
  <c r="U361" i="2" s="1"/>
  <c r="T361" i="2" a="1"/>
  <c r="T361" i="2" s="1"/>
  <c r="S361" i="2" a="1"/>
  <c r="S361" i="2" s="1"/>
  <c r="R361" i="2" a="1"/>
  <c r="R361" i="2" s="1"/>
  <c r="Q361" i="2" a="1"/>
  <c r="Q361" i="2" s="1"/>
  <c r="P361" i="2" a="1"/>
  <c r="P361" i="2" s="1"/>
  <c r="O361" i="2" a="1"/>
  <c r="O361" i="2" s="1"/>
  <c r="M361" i="2" a="1"/>
  <c r="M361" i="2" s="1"/>
  <c r="K361" i="2" a="1"/>
  <c r="K361" i="2" s="1"/>
  <c r="J361" i="2" a="1"/>
  <c r="J361" i="2" s="1"/>
  <c r="H361" i="2" a="1"/>
  <c r="H361" i="2" s="1"/>
  <c r="F361" i="2" a="1"/>
  <c r="F361" i="2" s="1"/>
  <c r="D361" i="2" a="1"/>
  <c r="D361" i="2" s="1"/>
  <c r="E361" i="2" s="1"/>
  <c r="C361" i="2" a="1"/>
  <c r="C361" i="2" s="1"/>
  <c r="A361" i="2" a="1"/>
  <c r="A361" i="2" s="1"/>
  <c r="AC361" i="2" s="1"/>
  <c r="X360" i="2" a="1"/>
  <c r="X360" i="2" s="1"/>
  <c r="W360" i="2" a="1"/>
  <c r="W360" i="2" s="1"/>
  <c r="V360" i="2" a="1"/>
  <c r="V360" i="2" s="1"/>
  <c r="U360" i="2" a="1"/>
  <c r="U360" i="2" s="1"/>
  <c r="T360" i="2" a="1"/>
  <c r="T360" i="2" s="1"/>
  <c r="S360" i="2" a="1"/>
  <c r="S360" i="2" s="1"/>
  <c r="R360" i="2" a="1"/>
  <c r="R360" i="2" s="1"/>
  <c r="Q360" i="2" a="1"/>
  <c r="Q360" i="2" s="1"/>
  <c r="P360" i="2" a="1"/>
  <c r="P360" i="2" s="1"/>
  <c r="O360" i="2" a="1"/>
  <c r="O360" i="2" s="1"/>
  <c r="M360" i="2" a="1"/>
  <c r="M360" i="2" s="1"/>
  <c r="K360" i="2" a="1"/>
  <c r="K360" i="2" s="1"/>
  <c r="J360" i="2" a="1"/>
  <c r="J360" i="2" s="1"/>
  <c r="H360" i="2" a="1"/>
  <c r="H360" i="2" s="1"/>
  <c r="F360" i="2" a="1"/>
  <c r="F360" i="2" s="1"/>
  <c r="D360" i="2" a="1"/>
  <c r="D360" i="2" s="1"/>
  <c r="E360" i="2" s="1"/>
  <c r="C360" i="2" a="1"/>
  <c r="C360" i="2" s="1"/>
  <c r="A360" i="2" a="1"/>
  <c r="A360" i="2" s="1"/>
  <c r="X359" i="2" a="1"/>
  <c r="X359" i="2" s="1"/>
  <c r="W359" i="2" a="1"/>
  <c r="W359" i="2" s="1"/>
  <c r="V359" i="2" a="1"/>
  <c r="V359" i="2" s="1"/>
  <c r="U359" i="2" a="1"/>
  <c r="U359" i="2" s="1"/>
  <c r="T359" i="2" a="1"/>
  <c r="T359" i="2" s="1"/>
  <c r="S359" i="2" a="1"/>
  <c r="S359" i="2" s="1"/>
  <c r="R359" i="2" a="1"/>
  <c r="R359" i="2" s="1"/>
  <c r="Q359" i="2" a="1"/>
  <c r="Q359" i="2" s="1"/>
  <c r="P359" i="2" a="1"/>
  <c r="P359" i="2" s="1"/>
  <c r="O359" i="2" a="1"/>
  <c r="O359" i="2" s="1"/>
  <c r="M359" i="2" a="1"/>
  <c r="M359" i="2" s="1"/>
  <c r="K359" i="2" a="1"/>
  <c r="K359" i="2" s="1"/>
  <c r="J359" i="2" a="1"/>
  <c r="J359" i="2" s="1"/>
  <c r="H359" i="2" a="1"/>
  <c r="H359" i="2" s="1"/>
  <c r="F359" i="2" a="1"/>
  <c r="F359" i="2" s="1"/>
  <c r="D359" i="2" a="1"/>
  <c r="D359" i="2" s="1"/>
  <c r="E359" i="2" s="1"/>
  <c r="C359" i="2" a="1"/>
  <c r="C359" i="2" s="1"/>
  <c r="A359" i="2" a="1"/>
  <c r="A359" i="2" s="1"/>
  <c r="AC359" i="2" s="1"/>
  <c r="X358" i="2" a="1"/>
  <c r="X358" i="2" s="1"/>
  <c r="W358" i="2" a="1"/>
  <c r="W358" i="2" s="1"/>
  <c r="V358" i="2" a="1"/>
  <c r="V358" i="2" s="1"/>
  <c r="U358" i="2" a="1"/>
  <c r="U358" i="2" s="1"/>
  <c r="T358" i="2" a="1"/>
  <c r="T358" i="2" s="1"/>
  <c r="S358" i="2" a="1"/>
  <c r="S358" i="2" s="1"/>
  <c r="R358" i="2" a="1"/>
  <c r="R358" i="2" s="1"/>
  <c r="Q358" i="2" a="1"/>
  <c r="Q358" i="2" s="1"/>
  <c r="P358" i="2" a="1"/>
  <c r="P358" i="2" s="1"/>
  <c r="O358" i="2" a="1"/>
  <c r="O358" i="2" s="1"/>
  <c r="M358" i="2" a="1"/>
  <c r="M358" i="2" s="1"/>
  <c r="K358" i="2" a="1"/>
  <c r="K358" i="2" s="1"/>
  <c r="J358" i="2" a="1"/>
  <c r="J358" i="2" s="1"/>
  <c r="H358" i="2" a="1"/>
  <c r="H358" i="2" s="1"/>
  <c r="F358" i="2" a="1"/>
  <c r="F358" i="2" s="1"/>
  <c r="D358" i="2" a="1"/>
  <c r="D358" i="2" s="1"/>
  <c r="E358" i="2" s="1"/>
  <c r="C358" i="2" a="1"/>
  <c r="C358" i="2" s="1"/>
  <c r="A358" i="2" a="1"/>
  <c r="A358" i="2" s="1"/>
  <c r="X357" i="2" a="1"/>
  <c r="X357" i="2" s="1"/>
  <c r="W357" i="2" a="1"/>
  <c r="W357" i="2" s="1"/>
  <c r="V357" i="2" a="1"/>
  <c r="V357" i="2" s="1"/>
  <c r="U357" i="2" a="1"/>
  <c r="U357" i="2" s="1"/>
  <c r="T357" i="2" a="1"/>
  <c r="T357" i="2" s="1"/>
  <c r="S357" i="2" a="1"/>
  <c r="S357" i="2" s="1"/>
  <c r="R357" i="2" a="1"/>
  <c r="R357" i="2" s="1"/>
  <c r="Q357" i="2" a="1"/>
  <c r="Q357" i="2" s="1"/>
  <c r="P357" i="2" a="1"/>
  <c r="P357" i="2" s="1"/>
  <c r="O357" i="2" a="1"/>
  <c r="O357" i="2" s="1"/>
  <c r="M357" i="2" a="1"/>
  <c r="M357" i="2" s="1"/>
  <c r="K357" i="2" a="1"/>
  <c r="K357" i="2" s="1"/>
  <c r="J357" i="2" a="1"/>
  <c r="J357" i="2" s="1"/>
  <c r="H357" i="2" a="1"/>
  <c r="H357" i="2" s="1"/>
  <c r="F357" i="2" a="1"/>
  <c r="F357" i="2" s="1"/>
  <c r="D357" i="2" a="1"/>
  <c r="D357" i="2" s="1"/>
  <c r="E357" i="2" s="1"/>
  <c r="C357" i="2" a="1"/>
  <c r="C357" i="2" s="1"/>
  <c r="A357" i="2" a="1"/>
  <c r="A357" i="2" s="1"/>
  <c r="AC357" i="2" s="1"/>
  <c r="X356" i="2" a="1"/>
  <c r="X356" i="2" s="1"/>
  <c r="W356" i="2" a="1"/>
  <c r="W356" i="2" s="1"/>
  <c r="V356" i="2" a="1"/>
  <c r="V356" i="2" s="1"/>
  <c r="U356" i="2" a="1"/>
  <c r="U356" i="2" s="1"/>
  <c r="T356" i="2" a="1"/>
  <c r="T356" i="2" s="1"/>
  <c r="S356" i="2" a="1"/>
  <c r="S356" i="2" s="1"/>
  <c r="R356" i="2" a="1"/>
  <c r="R356" i="2" s="1"/>
  <c r="Q356" i="2" a="1"/>
  <c r="Q356" i="2" s="1"/>
  <c r="P356" i="2" a="1"/>
  <c r="P356" i="2" s="1"/>
  <c r="O356" i="2" a="1"/>
  <c r="O356" i="2" s="1"/>
  <c r="M356" i="2" a="1"/>
  <c r="M356" i="2" s="1"/>
  <c r="K356" i="2" a="1"/>
  <c r="K356" i="2" s="1"/>
  <c r="J356" i="2" a="1"/>
  <c r="J356" i="2" s="1"/>
  <c r="H356" i="2" a="1"/>
  <c r="H356" i="2" s="1"/>
  <c r="F356" i="2" a="1"/>
  <c r="F356" i="2" s="1"/>
  <c r="D356" i="2" a="1"/>
  <c r="D356" i="2" s="1"/>
  <c r="E356" i="2" s="1"/>
  <c r="C356" i="2" a="1"/>
  <c r="C356" i="2" s="1"/>
  <c r="A356" i="2" a="1"/>
  <c r="A356" i="2" s="1"/>
  <c r="AD356" i="2" s="1"/>
  <c r="X355" i="2" a="1"/>
  <c r="X355" i="2" s="1"/>
  <c r="W355" i="2" a="1"/>
  <c r="W355" i="2" s="1"/>
  <c r="V355" i="2" a="1"/>
  <c r="V355" i="2" s="1"/>
  <c r="U355" i="2" a="1"/>
  <c r="U355" i="2" s="1"/>
  <c r="T355" i="2" a="1"/>
  <c r="T355" i="2" s="1"/>
  <c r="S355" i="2" a="1"/>
  <c r="S355" i="2" s="1"/>
  <c r="R355" i="2" a="1"/>
  <c r="R355" i="2" s="1"/>
  <c r="Q355" i="2" a="1"/>
  <c r="Q355" i="2" s="1"/>
  <c r="P355" i="2" a="1"/>
  <c r="P355" i="2" s="1"/>
  <c r="O355" i="2" a="1"/>
  <c r="O355" i="2" s="1"/>
  <c r="M355" i="2" a="1"/>
  <c r="M355" i="2" s="1"/>
  <c r="K355" i="2" a="1"/>
  <c r="K355" i="2" s="1"/>
  <c r="J355" i="2" a="1"/>
  <c r="J355" i="2" s="1"/>
  <c r="H355" i="2" a="1"/>
  <c r="H355" i="2" s="1"/>
  <c r="F355" i="2" a="1"/>
  <c r="F355" i="2" s="1"/>
  <c r="D355" i="2" a="1"/>
  <c r="D355" i="2" s="1"/>
  <c r="E355" i="2" s="1"/>
  <c r="C355" i="2" a="1"/>
  <c r="C355" i="2" s="1"/>
  <c r="A355" i="2" a="1"/>
  <c r="A355" i="2" s="1"/>
  <c r="X354" i="2" a="1"/>
  <c r="X354" i="2" s="1"/>
  <c r="W354" i="2" a="1"/>
  <c r="W354" i="2" s="1"/>
  <c r="V354" i="2" a="1"/>
  <c r="V354" i="2" s="1"/>
  <c r="U354" i="2" a="1"/>
  <c r="U354" i="2" s="1"/>
  <c r="T354" i="2" a="1"/>
  <c r="T354" i="2" s="1"/>
  <c r="S354" i="2" a="1"/>
  <c r="S354" i="2" s="1"/>
  <c r="R354" i="2" a="1"/>
  <c r="R354" i="2" s="1"/>
  <c r="Q354" i="2" a="1"/>
  <c r="Q354" i="2" s="1"/>
  <c r="P354" i="2" a="1"/>
  <c r="P354" i="2" s="1"/>
  <c r="O354" i="2" a="1"/>
  <c r="O354" i="2" s="1"/>
  <c r="M354" i="2" a="1"/>
  <c r="M354" i="2" s="1"/>
  <c r="K354" i="2" a="1"/>
  <c r="K354" i="2" s="1"/>
  <c r="J354" i="2" a="1"/>
  <c r="J354" i="2" s="1"/>
  <c r="H354" i="2" a="1"/>
  <c r="H354" i="2" s="1"/>
  <c r="F354" i="2" a="1"/>
  <c r="F354" i="2" s="1"/>
  <c r="D354" i="2" a="1"/>
  <c r="D354" i="2" s="1"/>
  <c r="E354" i="2" s="1"/>
  <c r="C354" i="2" a="1"/>
  <c r="C354" i="2" s="1"/>
  <c r="A354" i="2" a="1"/>
  <c r="A354" i="2" s="1"/>
  <c r="AA354" i="2" s="1"/>
  <c r="X353" i="2" a="1"/>
  <c r="X353" i="2" s="1"/>
  <c r="W353" i="2" a="1"/>
  <c r="W353" i="2" s="1"/>
  <c r="V353" i="2" a="1"/>
  <c r="V353" i="2" s="1"/>
  <c r="U353" i="2" a="1"/>
  <c r="U353" i="2" s="1"/>
  <c r="T353" i="2" a="1"/>
  <c r="T353" i="2" s="1"/>
  <c r="S353" i="2" a="1"/>
  <c r="S353" i="2" s="1"/>
  <c r="R353" i="2" a="1"/>
  <c r="R353" i="2" s="1"/>
  <c r="Q353" i="2" a="1"/>
  <c r="Q353" i="2" s="1"/>
  <c r="P353" i="2" a="1"/>
  <c r="P353" i="2" s="1"/>
  <c r="O353" i="2" a="1"/>
  <c r="O353" i="2" s="1"/>
  <c r="M353" i="2" a="1"/>
  <c r="M353" i="2" s="1"/>
  <c r="K353" i="2" a="1"/>
  <c r="K353" i="2" s="1"/>
  <c r="J353" i="2" a="1"/>
  <c r="J353" i="2" s="1"/>
  <c r="H353" i="2" a="1"/>
  <c r="H353" i="2" s="1"/>
  <c r="F353" i="2" a="1"/>
  <c r="F353" i="2" s="1"/>
  <c r="D353" i="2" a="1"/>
  <c r="D353" i="2" s="1"/>
  <c r="E353" i="2" s="1"/>
  <c r="C353" i="2" a="1"/>
  <c r="C353" i="2" s="1"/>
  <c r="A353" i="2" a="1"/>
  <c r="A353" i="2" s="1"/>
  <c r="X352" i="2" a="1"/>
  <c r="X352" i="2" s="1"/>
  <c r="W352" i="2" a="1"/>
  <c r="W352" i="2" s="1"/>
  <c r="V352" i="2" a="1"/>
  <c r="V352" i="2" s="1"/>
  <c r="U352" i="2" a="1"/>
  <c r="U352" i="2" s="1"/>
  <c r="T352" i="2" a="1"/>
  <c r="T352" i="2" s="1"/>
  <c r="S352" i="2" a="1"/>
  <c r="S352" i="2" s="1"/>
  <c r="R352" i="2" a="1"/>
  <c r="R352" i="2" s="1"/>
  <c r="Q352" i="2" a="1"/>
  <c r="Q352" i="2" s="1"/>
  <c r="P352" i="2" a="1"/>
  <c r="P352" i="2" s="1"/>
  <c r="O352" i="2" a="1"/>
  <c r="O352" i="2" s="1"/>
  <c r="M352" i="2" a="1"/>
  <c r="M352" i="2" s="1"/>
  <c r="K352" i="2" a="1"/>
  <c r="K352" i="2" s="1"/>
  <c r="J352" i="2" a="1"/>
  <c r="J352" i="2" s="1"/>
  <c r="H352" i="2" a="1"/>
  <c r="H352" i="2" s="1"/>
  <c r="F352" i="2" a="1"/>
  <c r="F352" i="2" s="1"/>
  <c r="D352" i="2" a="1"/>
  <c r="D352" i="2" s="1"/>
  <c r="E352" i="2" s="1"/>
  <c r="C352" i="2" a="1"/>
  <c r="C352" i="2" s="1"/>
  <c r="A352" i="2" a="1"/>
  <c r="A352" i="2" s="1"/>
  <c r="X351" i="2" a="1"/>
  <c r="X351" i="2" s="1"/>
  <c r="W351" i="2" a="1"/>
  <c r="W351" i="2" s="1"/>
  <c r="V351" i="2" a="1"/>
  <c r="V351" i="2" s="1"/>
  <c r="U351" i="2" a="1"/>
  <c r="U351" i="2" s="1"/>
  <c r="T351" i="2" a="1"/>
  <c r="T351" i="2" s="1"/>
  <c r="S351" i="2" a="1"/>
  <c r="S351" i="2" s="1"/>
  <c r="R351" i="2" a="1"/>
  <c r="R351" i="2" s="1"/>
  <c r="Q351" i="2" a="1"/>
  <c r="Q351" i="2" s="1"/>
  <c r="P351" i="2" a="1"/>
  <c r="P351" i="2" s="1"/>
  <c r="O351" i="2" a="1"/>
  <c r="O351" i="2" s="1"/>
  <c r="M351" i="2" a="1"/>
  <c r="M351" i="2" s="1"/>
  <c r="K351" i="2" a="1"/>
  <c r="K351" i="2" s="1"/>
  <c r="J351" i="2" a="1"/>
  <c r="J351" i="2" s="1"/>
  <c r="H351" i="2" a="1"/>
  <c r="H351" i="2" s="1"/>
  <c r="F351" i="2" a="1"/>
  <c r="F351" i="2" s="1"/>
  <c r="D351" i="2" a="1"/>
  <c r="D351" i="2" s="1"/>
  <c r="E351" i="2" s="1"/>
  <c r="C351" i="2" a="1"/>
  <c r="C351" i="2" s="1"/>
  <c r="A351" i="2" a="1"/>
  <c r="A351" i="2" s="1"/>
  <c r="AD351" i="2" s="1"/>
  <c r="X350" i="2" a="1"/>
  <c r="X350" i="2" s="1"/>
  <c r="W350" i="2" a="1"/>
  <c r="W350" i="2" s="1"/>
  <c r="V350" i="2" a="1"/>
  <c r="V350" i="2" s="1"/>
  <c r="U350" i="2" a="1"/>
  <c r="U350" i="2" s="1"/>
  <c r="T350" i="2" a="1"/>
  <c r="T350" i="2" s="1"/>
  <c r="S350" i="2" a="1"/>
  <c r="S350" i="2" s="1"/>
  <c r="R350" i="2" a="1"/>
  <c r="R350" i="2" s="1"/>
  <c r="Q350" i="2" a="1"/>
  <c r="Q350" i="2" s="1"/>
  <c r="P350" i="2" a="1"/>
  <c r="P350" i="2" s="1"/>
  <c r="O350" i="2" a="1"/>
  <c r="O350" i="2" s="1"/>
  <c r="M350" i="2" a="1"/>
  <c r="M350" i="2" s="1"/>
  <c r="K350" i="2" a="1"/>
  <c r="K350" i="2" s="1"/>
  <c r="J350" i="2" a="1"/>
  <c r="J350" i="2" s="1"/>
  <c r="H350" i="2" a="1"/>
  <c r="H350" i="2" s="1"/>
  <c r="F350" i="2" a="1"/>
  <c r="F350" i="2" s="1"/>
  <c r="D350" i="2" a="1"/>
  <c r="D350" i="2" s="1"/>
  <c r="E350" i="2" s="1"/>
  <c r="C350" i="2" a="1"/>
  <c r="C350" i="2" s="1"/>
  <c r="A350" i="2" a="1"/>
  <c r="A350" i="2" s="1"/>
  <c r="Z350" i="2" s="1"/>
  <c r="X349" i="2" a="1"/>
  <c r="X349" i="2" s="1"/>
  <c r="W349" i="2" a="1"/>
  <c r="W349" i="2" s="1"/>
  <c r="V349" i="2" a="1"/>
  <c r="V349" i="2" s="1"/>
  <c r="U349" i="2" a="1"/>
  <c r="U349" i="2" s="1"/>
  <c r="T349" i="2" a="1"/>
  <c r="T349" i="2" s="1"/>
  <c r="S349" i="2" a="1"/>
  <c r="S349" i="2" s="1"/>
  <c r="R349" i="2" a="1"/>
  <c r="R349" i="2" s="1"/>
  <c r="Q349" i="2" a="1"/>
  <c r="Q349" i="2" s="1"/>
  <c r="P349" i="2" a="1"/>
  <c r="P349" i="2" s="1"/>
  <c r="O349" i="2" a="1"/>
  <c r="O349" i="2" s="1"/>
  <c r="M349" i="2" a="1"/>
  <c r="M349" i="2" s="1"/>
  <c r="K349" i="2" a="1"/>
  <c r="K349" i="2" s="1"/>
  <c r="J349" i="2" a="1"/>
  <c r="J349" i="2" s="1"/>
  <c r="H349" i="2" a="1"/>
  <c r="H349" i="2" s="1"/>
  <c r="F349" i="2" a="1"/>
  <c r="F349" i="2" s="1"/>
  <c r="D349" i="2" a="1"/>
  <c r="D349" i="2" s="1"/>
  <c r="E349" i="2" s="1"/>
  <c r="C349" i="2" a="1"/>
  <c r="C349" i="2" s="1"/>
  <c r="A349" i="2" a="1"/>
  <c r="A349" i="2" s="1"/>
  <c r="X348" i="2" a="1"/>
  <c r="X348" i="2" s="1"/>
  <c r="W348" i="2" a="1"/>
  <c r="W348" i="2" s="1"/>
  <c r="V348" i="2" a="1"/>
  <c r="V348" i="2" s="1"/>
  <c r="U348" i="2" a="1"/>
  <c r="U348" i="2" s="1"/>
  <c r="T348" i="2" a="1"/>
  <c r="T348" i="2" s="1"/>
  <c r="S348" i="2" a="1"/>
  <c r="S348" i="2" s="1"/>
  <c r="R348" i="2" a="1"/>
  <c r="R348" i="2" s="1"/>
  <c r="Q348" i="2" a="1"/>
  <c r="Q348" i="2" s="1"/>
  <c r="P348" i="2" a="1"/>
  <c r="P348" i="2" s="1"/>
  <c r="O348" i="2" a="1"/>
  <c r="O348" i="2" s="1"/>
  <c r="M348" i="2" a="1"/>
  <c r="M348" i="2" s="1"/>
  <c r="K348" i="2" a="1"/>
  <c r="K348" i="2" s="1"/>
  <c r="J348" i="2" a="1"/>
  <c r="J348" i="2" s="1"/>
  <c r="H348" i="2" a="1"/>
  <c r="H348" i="2" s="1"/>
  <c r="F348" i="2" a="1"/>
  <c r="F348" i="2" s="1"/>
  <c r="D348" i="2" a="1"/>
  <c r="D348" i="2" s="1"/>
  <c r="E348" i="2" s="1"/>
  <c r="C348" i="2" a="1"/>
  <c r="C348" i="2" s="1"/>
  <c r="A348" i="2" a="1"/>
  <c r="A348" i="2" s="1"/>
  <c r="X347" i="2" a="1"/>
  <c r="X347" i="2" s="1"/>
  <c r="W347" i="2" a="1"/>
  <c r="W347" i="2" s="1"/>
  <c r="V347" i="2" a="1"/>
  <c r="V347" i="2" s="1"/>
  <c r="U347" i="2" a="1"/>
  <c r="U347" i="2" s="1"/>
  <c r="T347" i="2" a="1"/>
  <c r="T347" i="2" s="1"/>
  <c r="S347" i="2" a="1"/>
  <c r="S347" i="2" s="1"/>
  <c r="R347" i="2" a="1"/>
  <c r="R347" i="2" s="1"/>
  <c r="Q347" i="2" a="1"/>
  <c r="Q347" i="2" s="1"/>
  <c r="P347" i="2" a="1"/>
  <c r="P347" i="2" s="1"/>
  <c r="O347" i="2" a="1"/>
  <c r="O347" i="2" s="1"/>
  <c r="M347" i="2" a="1"/>
  <c r="M347" i="2" s="1"/>
  <c r="K347" i="2" a="1"/>
  <c r="K347" i="2" s="1"/>
  <c r="J347" i="2" a="1"/>
  <c r="J347" i="2" s="1"/>
  <c r="H347" i="2" a="1"/>
  <c r="H347" i="2" s="1"/>
  <c r="F347" i="2" a="1"/>
  <c r="F347" i="2" s="1"/>
  <c r="D347" i="2" a="1"/>
  <c r="D347" i="2" s="1"/>
  <c r="E347" i="2" s="1"/>
  <c r="C347" i="2" a="1"/>
  <c r="C347" i="2" s="1"/>
  <c r="A347" i="2" a="1"/>
  <c r="A347" i="2" s="1"/>
  <c r="X346" i="2" a="1"/>
  <c r="X346" i="2" s="1"/>
  <c r="W346" i="2" a="1"/>
  <c r="W346" i="2" s="1"/>
  <c r="V346" i="2" a="1"/>
  <c r="V346" i="2" s="1"/>
  <c r="U346" i="2" a="1"/>
  <c r="U346" i="2" s="1"/>
  <c r="T346" i="2" a="1"/>
  <c r="T346" i="2" s="1"/>
  <c r="S346" i="2" a="1"/>
  <c r="S346" i="2" s="1"/>
  <c r="R346" i="2" a="1"/>
  <c r="R346" i="2" s="1"/>
  <c r="Q346" i="2" a="1"/>
  <c r="Q346" i="2" s="1"/>
  <c r="P346" i="2" a="1"/>
  <c r="P346" i="2" s="1"/>
  <c r="O346" i="2" a="1"/>
  <c r="O346" i="2" s="1"/>
  <c r="M346" i="2" a="1"/>
  <c r="M346" i="2" s="1"/>
  <c r="K346" i="2" a="1"/>
  <c r="K346" i="2" s="1"/>
  <c r="J346" i="2" a="1"/>
  <c r="J346" i="2" s="1"/>
  <c r="H346" i="2" a="1"/>
  <c r="H346" i="2" s="1"/>
  <c r="F346" i="2" a="1"/>
  <c r="F346" i="2" s="1"/>
  <c r="D346" i="2" a="1"/>
  <c r="D346" i="2" s="1"/>
  <c r="E346" i="2" s="1"/>
  <c r="C346" i="2" a="1"/>
  <c r="C346" i="2" s="1"/>
  <c r="A346" i="2" a="1"/>
  <c r="A346" i="2" s="1"/>
  <c r="X345" i="2" a="1"/>
  <c r="X345" i="2" s="1"/>
  <c r="W345" i="2" a="1"/>
  <c r="W345" i="2" s="1"/>
  <c r="V345" i="2" a="1"/>
  <c r="V345" i="2" s="1"/>
  <c r="U345" i="2" a="1"/>
  <c r="U345" i="2" s="1"/>
  <c r="T345" i="2" a="1"/>
  <c r="T345" i="2" s="1"/>
  <c r="S345" i="2" a="1"/>
  <c r="S345" i="2" s="1"/>
  <c r="R345" i="2" a="1"/>
  <c r="R345" i="2" s="1"/>
  <c r="Q345" i="2" a="1"/>
  <c r="Q345" i="2" s="1"/>
  <c r="P345" i="2" a="1"/>
  <c r="P345" i="2" s="1"/>
  <c r="O345" i="2" a="1"/>
  <c r="O345" i="2" s="1"/>
  <c r="M345" i="2" a="1"/>
  <c r="M345" i="2" s="1"/>
  <c r="K345" i="2" a="1"/>
  <c r="K345" i="2" s="1"/>
  <c r="J345" i="2" a="1"/>
  <c r="J345" i="2" s="1"/>
  <c r="H345" i="2" a="1"/>
  <c r="H345" i="2" s="1"/>
  <c r="F345" i="2" a="1"/>
  <c r="F345" i="2" s="1"/>
  <c r="D345" i="2" a="1"/>
  <c r="D345" i="2" s="1"/>
  <c r="E345" i="2" s="1"/>
  <c r="C345" i="2" a="1"/>
  <c r="C345" i="2" s="1"/>
  <c r="A345" i="2" a="1"/>
  <c r="A345" i="2" s="1"/>
  <c r="X344" i="2" a="1"/>
  <c r="X344" i="2" s="1"/>
  <c r="W344" i="2" a="1"/>
  <c r="W344" i="2" s="1"/>
  <c r="V344" i="2" a="1"/>
  <c r="V344" i="2" s="1"/>
  <c r="U344" i="2" a="1"/>
  <c r="U344" i="2" s="1"/>
  <c r="T344" i="2" a="1"/>
  <c r="T344" i="2" s="1"/>
  <c r="S344" i="2" a="1"/>
  <c r="S344" i="2" s="1"/>
  <c r="R344" i="2" a="1"/>
  <c r="R344" i="2" s="1"/>
  <c r="Q344" i="2" a="1"/>
  <c r="Q344" i="2" s="1"/>
  <c r="P344" i="2" a="1"/>
  <c r="P344" i="2" s="1"/>
  <c r="O344" i="2" a="1"/>
  <c r="O344" i="2" s="1"/>
  <c r="M344" i="2" a="1"/>
  <c r="M344" i="2" s="1"/>
  <c r="K344" i="2" a="1"/>
  <c r="K344" i="2" s="1"/>
  <c r="J344" i="2" a="1"/>
  <c r="J344" i="2" s="1"/>
  <c r="H344" i="2" a="1"/>
  <c r="H344" i="2" s="1"/>
  <c r="F344" i="2" a="1"/>
  <c r="F344" i="2" s="1"/>
  <c r="D344" i="2" a="1"/>
  <c r="D344" i="2" s="1"/>
  <c r="E344" i="2" s="1"/>
  <c r="C344" i="2" a="1"/>
  <c r="C344" i="2" s="1"/>
  <c r="A344" i="2" a="1"/>
  <c r="A344" i="2" s="1"/>
  <c r="AD344" i="2" s="1"/>
  <c r="X343" i="2" a="1"/>
  <c r="X343" i="2" s="1"/>
  <c r="W343" i="2" a="1"/>
  <c r="W343" i="2" s="1"/>
  <c r="V343" i="2" a="1"/>
  <c r="V343" i="2" s="1"/>
  <c r="U343" i="2" a="1"/>
  <c r="U343" i="2" s="1"/>
  <c r="T343" i="2" a="1"/>
  <c r="T343" i="2" s="1"/>
  <c r="S343" i="2" a="1"/>
  <c r="S343" i="2" s="1"/>
  <c r="R343" i="2" a="1"/>
  <c r="R343" i="2" s="1"/>
  <c r="Q343" i="2" a="1"/>
  <c r="Q343" i="2" s="1"/>
  <c r="P343" i="2" a="1"/>
  <c r="P343" i="2" s="1"/>
  <c r="O343" i="2" a="1"/>
  <c r="O343" i="2" s="1"/>
  <c r="M343" i="2" a="1"/>
  <c r="M343" i="2" s="1"/>
  <c r="K343" i="2" a="1"/>
  <c r="K343" i="2" s="1"/>
  <c r="J343" i="2" a="1"/>
  <c r="J343" i="2" s="1"/>
  <c r="H343" i="2" a="1"/>
  <c r="H343" i="2" s="1"/>
  <c r="F343" i="2" a="1"/>
  <c r="F343" i="2" s="1"/>
  <c r="D343" i="2" a="1"/>
  <c r="D343" i="2" s="1"/>
  <c r="E343" i="2" s="1"/>
  <c r="C343" i="2" a="1"/>
  <c r="C343" i="2" s="1"/>
  <c r="A343" i="2" a="1"/>
  <c r="A343" i="2" s="1"/>
  <c r="X342" i="2" a="1"/>
  <c r="X342" i="2" s="1"/>
  <c r="W342" i="2" a="1"/>
  <c r="W342" i="2" s="1"/>
  <c r="V342" i="2" a="1"/>
  <c r="V342" i="2" s="1"/>
  <c r="U342" i="2" a="1"/>
  <c r="U342" i="2" s="1"/>
  <c r="T342" i="2" a="1"/>
  <c r="T342" i="2" s="1"/>
  <c r="S342" i="2" a="1"/>
  <c r="S342" i="2" s="1"/>
  <c r="R342" i="2" a="1"/>
  <c r="R342" i="2" s="1"/>
  <c r="Q342" i="2" a="1"/>
  <c r="Q342" i="2" s="1"/>
  <c r="P342" i="2" a="1"/>
  <c r="P342" i="2" s="1"/>
  <c r="O342" i="2" a="1"/>
  <c r="O342" i="2" s="1"/>
  <c r="M342" i="2" a="1"/>
  <c r="M342" i="2" s="1"/>
  <c r="K342" i="2" a="1"/>
  <c r="K342" i="2" s="1"/>
  <c r="J342" i="2" a="1"/>
  <c r="J342" i="2" s="1"/>
  <c r="H342" i="2" a="1"/>
  <c r="H342" i="2" s="1"/>
  <c r="F342" i="2" a="1"/>
  <c r="F342" i="2" s="1"/>
  <c r="D342" i="2" a="1"/>
  <c r="D342" i="2" s="1"/>
  <c r="E342" i="2" s="1"/>
  <c r="C342" i="2" a="1"/>
  <c r="C342" i="2" s="1"/>
  <c r="A342" i="2" a="1"/>
  <c r="A342" i="2" s="1"/>
  <c r="X341" i="2" a="1"/>
  <c r="X341" i="2" s="1"/>
  <c r="W341" i="2" a="1"/>
  <c r="W341" i="2" s="1"/>
  <c r="V341" i="2" a="1"/>
  <c r="V341" i="2" s="1"/>
  <c r="U341" i="2" a="1"/>
  <c r="U341" i="2" s="1"/>
  <c r="T341" i="2" a="1"/>
  <c r="T341" i="2" s="1"/>
  <c r="S341" i="2" a="1"/>
  <c r="S341" i="2" s="1"/>
  <c r="R341" i="2" a="1"/>
  <c r="R341" i="2" s="1"/>
  <c r="Q341" i="2" a="1"/>
  <c r="Q341" i="2" s="1"/>
  <c r="P341" i="2" a="1"/>
  <c r="P341" i="2" s="1"/>
  <c r="O341" i="2" a="1"/>
  <c r="O341" i="2" s="1"/>
  <c r="M341" i="2" a="1"/>
  <c r="M341" i="2" s="1"/>
  <c r="K341" i="2" a="1"/>
  <c r="K341" i="2" s="1"/>
  <c r="J341" i="2" a="1"/>
  <c r="J341" i="2" s="1"/>
  <c r="H341" i="2" a="1"/>
  <c r="H341" i="2" s="1"/>
  <c r="F341" i="2" a="1"/>
  <c r="F341" i="2" s="1"/>
  <c r="D341" i="2" a="1"/>
  <c r="D341" i="2" s="1"/>
  <c r="E341" i="2" s="1"/>
  <c r="C341" i="2" a="1"/>
  <c r="C341" i="2" s="1"/>
  <c r="A341" i="2" a="1"/>
  <c r="A341" i="2" s="1"/>
  <c r="AD341" i="2" s="1"/>
  <c r="X340" i="2" a="1"/>
  <c r="X340" i="2" s="1"/>
  <c r="W340" i="2" a="1"/>
  <c r="W340" i="2" s="1"/>
  <c r="V340" i="2" a="1"/>
  <c r="V340" i="2" s="1"/>
  <c r="U340" i="2" a="1"/>
  <c r="U340" i="2" s="1"/>
  <c r="T340" i="2" a="1"/>
  <c r="T340" i="2" s="1"/>
  <c r="S340" i="2" a="1"/>
  <c r="S340" i="2" s="1"/>
  <c r="R340" i="2" a="1"/>
  <c r="R340" i="2" s="1"/>
  <c r="Q340" i="2" a="1"/>
  <c r="Q340" i="2" s="1"/>
  <c r="P340" i="2" a="1"/>
  <c r="P340" i="2" s="1"/>
  <c r="O340" i="2" a="1"/>
  <c r="O340" i="2" s="1"/>
  <c r="M340" i="2" a="1"/>
  <c r="M340" i="2" s="1"/>
  <c r="K340" i="2" a="1"/>
  <c r="K340" i="2" s="1"/>
  <c r="J340" i="2" a="1"/>
  <c r="J340" i="2" s="1"/>
  <c r="H340" i="2" a="1"/>
  <c r="H340" i="2" s="1"/>
  <c r="F340" i="2" a="1"/>
  <c r="F340" i="2" s="1"/>
  <c r="D340" i="2" a="1"/>
  <c r="D340" i="2" s="1"/>
  <c r="E340" i="2" s="1"/>
  <c r="C340" i="2" a="1"/>
  <c r="C340" i="2" s="1"/>
  <c r="A340" i="2" a="1"/>
  <c r="A340" i="2" s="1"/>
  <c r="X339" i="2" a="1"/>
  <c r="X339" i="2" s="1"/>
  <c r="W339" i="2" a="1"/>
  <c r="W339" i="2" s="1"/>
  <c r="V339" i="2" a="1"/>
  <c r="V339" i="2" s="1"/>
  <c r="U339" i="2" a="1"/>
  <c r="U339" i="2" s="1"/>
  <c r="T339" i="2" a="1"/>
  <c r="T339" i="2" s="1"/>
  <c r="S339" i="2" a="1"/>
  <c r="S339" i="2" s="1"/>
  <c r="R339" i="2" a="1"/>
  <c r="R339" i="2" s="1"/>
  <c r="Q339" i="2" a="1"/>
  <c r="Q339" i="2" s="1"/>
  <c r="P339" i="2" a="1"/>
  <c r="P339" i="2" s="1"/>
  <c r="O339" i="2" a="1"/>
  <c r="O339" i="2" s="1"/>
  <c r="M339" i="2" a="1"/>
  <c r="M339" i="2" s="1"/>
  <c r="K339" i="2" a="1"/>
  <c r="K339" i="2" s="1"/>
  <c r="J339" i="2" a="1"/>
  <c r="J339" i="2" s="1"/>
  <c r="H339" i="2" a="1"/>
  <c r="H339" i="2" s="1"/>
  <c r="F339" i="2" a="1"/>
  <c r="F339" i="2" s="1"/>
  <c r="D339" i="2" a="1"/>
  <c r="D339" i="2" s="1"/>
  <c r="E339" i="2" s="1"/>
  <c r="C339" i="2" a="1"/>
  <c r="C339" i="2" s="1"/>
  <c r="A339" i="2" a="1"/>
  <c r="A339" i="2" s="1"/>
  <c r="AD339" i="2" s="1"/>
  <c r="X338" i="2" a="1"/>
  <c r="X338" i="2" s="1"/>
  <c r="W338" i="2" a="1"/>
  <c r="W338" i="2" s="1"/>
  <c r="V338" i="2" a="1"/>
  <c r="V338" i="2" s="1"/>
  <c r="U338" i="2" a="1"/>
  <c r="U338" i="2" s="1"/>
  <c r="T338" i="2" a="1"/>
  <c r="T338" i="2" s="1"/>
  <c r="S338" i="2" a="1"/>
  <c r="S338" i="2" s="1"/>
  <c r="R338" i="2" a="1"/>
  <c r="R338" i="2" s="1"/>
  <c r="Q338" i="2" a="1"/>
  <c r="Q338" i="2" s="1"/>
  <c r="P338" i="2" a="1"/>
  <c r="P338" i="2" s="1"/>
  <c r="O338" i="2" a="1"/>
  <c r="O338" i="2" s="1"/>
  <c r="M338" i="2" a="1"/>
  <c r="M338" i="2" s="1"/>
  <c r="K338" i="2" a="1"/>
  <c r="K338" i="2" s="1"/>
  <c r="J338" i="2" a="1"/>
  <c r="J338" i="2" s="1"/>
  <c r="H338" i="2" a="1"/>
  <c r="H338" i="2" s="1"/>
  <c r="F338" i="2" a="1"/>
  <c r="F338" i="2" s="1"/>
  <c r="D338" i="2" a="1"/>
  <c r="D338" i="2" s="1"/>
  <c r="E338" i="2" s="1"/>
  <c r="C338" i="2" a="1"/>
  <c r="C338" i="2" s="1"/>
  <c r="A338" i="2" a="1"/>
  <c r="A338" i="2" s="1"/>
  <c r="X337" i="2" a="1"/>
  <c r="X337" i="2" s="1"/>
  <c r="W337" i="2" a="1"/>
  <c r="W337" i="2" s="1"/>
  <c r="V337" i="2" a="1"/>
  <c r="V337" i="2" s="1"/>
  <c r="U337" i="2" a="1"/>
  <c r="U337" i="2" s="1"/>
  <c r="T337" i="2" a="1"/>
  <c r="T337" i="2" s="1"/>
  <c r="S337" i="2" a="1"/>
  <c r="S337" i="2" s="1"/>
  <c r="R337" i="2" a="1"/>
  <c r="R337" i="2" s="1"/>
  <c r="Q337" i="2" a="1"/>
  <c r="Q337" i="2" s="1"/>
  <c r="P337" i="2" a="1"/>
  <c r="P337" i="2" s="1"/>
  <c r="O337" i="2" a="1"/>
  <c r="O337" i="2" s="1"/>
  <c r="M337" i="2" a="1"/>
  <c r="M337" i="2" s="1"/>
  <c r="K337" i="2" a="1"/>
  <c r="K337" i="2" s="1"/>
  <c r="J337" i="2" a="1"/>
  <c r="J337" i="2" s="1"/>
  <c r="H337" i="2" a="1"/>
  <c r="H337" i="2" s="1"/>
  <c r="F337" i="2" a="1"/>
  <c r="F337" i="2" s="1"/>
  <c r="D337" i="2" a="1"/>
  <c r="D337" i="2" s="1"/>
  <c r="E337" i="2" s="1"/>
  <c r="C337" i="2" a="1"/>
  <c r="C337" i="2" s="1"/>
  <c r="A337" i="2" a="1"/>
  <c r="A337" i="2" s="1"/>
  <c r="X336" i="2" a="1"/>
  <c r="X336" i="2" s="1"/>
  <c r="W336" i="2" a="1"/>
  <c r="W336" i="2" s="1"/>
  <c r="V336" i="2" a="1"/>
  <c r="V336" i="2" s="1"/>
  <c r="U336" i="2" a="1"/>
  <c r="U336" i="2" s="1"/>
  <c r="T336" i="2" a="1"/>
  <c r="T336" i="2" s="1"/>
  <c r="S336" i="2" a="1"/>
  <c r="S336" i="2" s="1"/>
  <c r="R336" i="2" a="1"/>
  <c r="R336" i="2" s="1"/>
  <c r="Q336" i="2" a="1"/>
  <c r="Q336" i="2" s="1"/>
  <c r="P336" i="2" a="1"/>
  <c r="P336" i="2" s="1"/>
  <c r="O336" i="2" a="1"/>
  <c r="O336" i="2" s="1"/>
  <c r="M336" i="2" a="1"/>
  <c r="M336" i="2" s="1"/>
  <c r="K336" i="2" a="1"/>
  <c r="K336" i="2" s="1"/>
  <c r="J336" i="2" a="1"/>
  <c r="J336" i="2" s="1"/>
  <c r="H336" i="2" a="1"/>
  <c r="H336" i="2" s="1"/>
  <c r="F336" i="2" a="1"/>
  <c r="F336" i="2" s="1"/>
  <c r="D336" i="2" a="1"/>
  <c r="D336" i="2" s="1"/>
  <c r="E336" i="2" s="1"/>
  <c r="C336" i="2" a="1"/>
  <c r="C336" i="2" s="1"/>
  <c r="A336" i="2" a="1"/>
  <c r="A336" i="2" s="1"/>
  <c r="X335" i="2" a="1"/>
  <c r="X335" i="2" s="1"/>
  <c r="W335" i="2" a="1"/>
  <c r="W335" i="2" s="1"/>
  <c r="V335" i="2" a="1"/>
  <c r="V335" i="2" s="1"/>
  <c r="U335" i="2" a="1"/>
  <c r="U335" i="2" s="1"/>
  <c r="T335" i="2" a="1"/>
  <c r="T335" i="2" s="1"/>
  <c r="S335" i="2" a="1"/>
  <c r="S335" i="2" s="1"/>
  <c r="R335" i="2" a="1"/>
  <c r="R335" i="2" s="1"/>
  <c r="Q335" i="2" a="1"/>
  <c r="Q335" i="2" s="1"/>
  <c r="P335" i="2" a="1"/>
  <c r="P335" i="2" s="1"/>
  <c r="O335" i="2" a="1"/>
  <c r="O335" i="2" s="1"/>
  <c r="M335" i="2" a="1"/>
  <c r="M335" i="2" s="1"/>
  <c r="K335" i="2" a="1"/>
  <c r="K335" i="2" s="1"/>
  <c r="J335" i="2" a="1"/>
  <c r="J335" i="2" s="1"/>
  <c r="H335" i="2" a="1"/>
  <c r="H335" i="2" s="1"/>
  <c r="F335" i="2" a="1"/>
  <c r="F335" i="2" s="1"/>
  <c r="D335" i="2" a="1"/>
  <c r="D335" i="2" s="1"/>
  <c r="E335" i="2" s="1"/>
  <c r="C335" i="2" a="1"/>
  <c r="C335" i="2" s="1"/>
  <c r="A335" i="2" a="1"/>
  <c r="A335" i="2" s="1"/>
  <c r="AD335" i="2" s="1"/>
  <c r="X334" i="2" a="1"/>
  <c r="X334" i="2" s="1"/>
  <c r="W334" i="2" a="1"/>
  <c r="W334" i="2" s="1"/>
  <c r="V334" i="2" a="1"/>
  <c r="V334" i="2" s="1"/>
  <c r="U334" i="2" a="1"/>
  <c r="U334" i="2" s="1"/>
  <c r="T334" i="2" a="1"/>
  <c r="T334" i="2" s="1"/>
  <c r="S334" i="2" a="1"/>
  <c r="S334" i="2" s="1"/>
  <c r="R334" i="2" a="1"/>
  <c r="R334" i="2" s="1"/>
  <c r="Q334" i="2" a="1"/>
  <c r="Q334" i="2" s="1"/>
  <c r="P334" i="2" a="1"/>
  <c r="P334" i="2" s="1"/>
  <c r="O334" i="2" a="1"/>
  <c r="O334" i="2" s="1"/>
  <c r="M334" i="2" a="1"/>
  <c r="M334" i="2" s="1"/>
  <c r="K334" i="2" a="1"/>
  <c r="K334" i="2" s="1"/>
  <c r="J334" i="2" a="1"/>
  <c r="J334" i="2" s="1"/>
  <c r="H334" i="2" a="1"/>
  <c r="H334" i="2" s="1"/>
  <c r="F334" i="2" a="1"/>
  <c r="F334" i="2" s="1"/>
  <c r="D334" i="2" a="1"/>
  <c r="D334" i="2" s="1"/>
  <c r="E334" i="2" s="1"/>
  <c r="C334" i="2" a="1"/>
  <c r="C334" i="2" s="1"/>
  <c r="A334" i="2" a="1"/>
  <c r="A334" i="2" s="1"/>
  <c r="X333" i="2" a="1"/>
  <c r="X333" i="2" s="1"/>
  <c r="W333" i="2" a="1"/>
  <c r="W333" i="2" s="1"/>
  <c r="V333" i="2" a="1"/>
  <c r="V333" i="2" s="1"/>
  <c r="U333" i="2" a="1"/>
  <c r="U333" i="2" s="1"/>
  <c r="T333" i="2" a="1"/>
  <c r="T333" i="2" s="1"/>
  <c r="S333" i="2" a="1"/>
  <c r="S333" i="2" s="1"/>
  <c r="R333" i="2" a="1"/>
  <c r="R333" i="2" s="1"/>
  <c r="Q333" i="2" a="1"/>
  <c r="Q333" i="2" s="1"/>
  <c r="P333" i="2" a="1"/>
  <c r="P333" i="2" s="1"/>
  <c r="O333" i="2" a="1"/>
  <c r="O333" i="2" s="1"/>
  <c r="M333" i="2" a="1"/>
  <c r="M333" i="2" s="1"/>
  <c r="K333" i="2" a="1"/>
  <c r="K333" i="2" s="1"/>
  <c r="J333" i="2" a="1"/>
  <c r="J333" i="2" s="1"/>
  <c r="H333" i="2" a="1"/>
  <c r="H333" i="2" s="1"/>
  <c r="F333" i="2" a="1"/>
  <c r="F333" i="2" s="1"/>
  <c r="D333" i="2" a="1"/>
  <c r="D333" i="2" s="1"/>
  <c r="E333" i="2" s="1"/>
  <c r="C333" i="2" a="1"/>
  <c r="C333" i="2" s="1"/>
  <c r="A333" i="2" a="1"/>
  <c r="A333" i="2" s="1"/>
  <c r="X332" i="2" a="1"/>
  <c r="X332" i="2" s="1"/>
  <c r="W332" i="2" a="1"/>
  <c r="W332" i="2" s="1"/>
  <c r="V332" i="2" a="1"/>
  <c r="V332" i="2" s="1"/>
  <c r="U332" i="2" a="1"/>
  <c r="U332" i="2" s="1"/>
  <c r="T332" i="2" a="1"/>
  <c r="T332" i="2" s="1"/>
  <c r="S332" i="2" a="1"/>
  <c r="S332" i="2" s="1"/>
  <c r="R332" i="2" a="1"/>
  <c r="R332" i="2" s="1"/>
  <c r="Q332" i="2" a="1"/>
  <c r="Q332" i="2" s="1"/>
  <c r="P332" i="2" a="1"/>
  <c r="P332" i="2" s="1"/>
  <c r="O332" i="2" a="1"/>
  <c r="O332" i="2" s="1"/>
  <c r="M332" i="2" a="1"/>
  <c r="M332" i="2" s="1"/>
  <c r="K332" i="2" a="1"/>
  <c r="K332" i="2" s="1"/>
  <c r="J332" i="2" a="1"/>
  <c r="J332" i="2" s="1"/>
  <c r="H332" i="2" a="1"/>
  <c r="H332" i="2" s="1"/>
  <c r="F332" i="2" a="1"/>
  <c r="F332" i="2" s="1"/>
  <c r="D332" i="2" a="1"/>
  <c r="D332" i="2" s="1"/>
  <c r="E332" i="2" s="1"/>
  <c r="C332" i="2" a="1"/>
  <c r="C332" i="2" s="1"/>
  <c r="A332" i="2" a="1"/>
  <c r="A332" i="2" s="1"/>
  <c r="AD332" i="2" s="1"/>
  <c r="X331" i="2" a="1"/>
  <c r="X331" i="2" s="1"/>
  <c r="W331" i="2" a="1"/>
  <c r="W331" i="2" s="1"/>
  <c r="V331" i="2" a="1"/>
  <c r="V331" i="2" s="1"/>
  <c r="U331" i="2" a="1"/>
  <c r="U331" i="2" s="1"/>
  <c r="T331" i="2" a="1"/>
  <c r="T331" i="2" s="1"/>
  <c r="S331" i="2" a="1"/>
  <c r="S331" i="2" s="1"/>
  <c r="R331" i="2" a="1"/>
  <c r="R331" i="2" s="1"/>
  <c r="Q331" i="2" a="1"/>
  <c r="Q331" i="2" s="1"/>
  <c r="P331" i="2" a="1"/>
  <c r="P331" i="2" s="1"/>
  <c r="O331" i="2" a="1"/>
  <c r="O331" i="2" s="1"/>
  <c r="M331" i="2" a="1"/>
  <c r="M331" i="2" s="1"/>
  <c r="K331" i="2" a="1"/>
  <c r="K331" i="2" s="1"/>
  <c r="J331" i="2" a="1"/>
  <c r="J331" i="2" s="1"/>
  <c r="H331" i="2" a="1"/>
  <c r="H331" i="2" s="1"/>
  <c r="F331" i="2" a="1"/>
  <c r="F331" i="2" s="1"/>
  <c r="D331" i="2" a="1"/>
  <c r="D331" i="2" s="1"/>
  <c r="E331" i="2" s="1"/>
  <c r="C331" i="2" a="1"/>
  <c r="C331" i="2" s="1"/>
  <c r="A331" i="2" a="1"/>
  <c r="A331" i="2" s="1"/>
  <c r="X330" i="2" a="1"/>
  <c r="X330" i="2" s="1"/>
  <c r="W330" i="2" a="1"/>
  <c r="W330" i="2" s="1"/>
  <c r="V330" i="2" a="1"/>
  <c r="V330" i="2" s="1"/>
  <c r="U330" i="2" a="1"/>
  <c r="U330" i="2" s="1"/>
  <c r="T330" i="2" a="1"/>
  <c r="T330" i="2" s="1"/>
  <c r="S330" i="2" a="1"/>
  <c r="S330" i="2" s="1"/>
  <c r="R330" i="2" a="1"/>
  <c r="R330" i="2" s="1"/>
  <c r="Q330" i="2" a="1"/>
  <c r="Q330" i="2" s="1"/>
  <c r="P330" i="2" a="1"/>
  <c r="P330" i="2" s="1"/>
  <c r="O330" i="2" a="1"/>
  <c r="O330" i="2" s="1"/>
  <c r="M330" i="2" a="1"/>
  <c r="M330" i="2" s="1"/>
  <c r="K330" i="2" a="1"/>
  <c r="K330" i="2" s="1"/>
  <c r="J330" i="2" a="1"/>
  <c r="J330" i="2" s="1"/>
  <c r="H330" i="2" a="1"/>
  <c r="H330" i="2" s="1"/>
  <c r="F330" i="2" a="1"/>
  <c r="F330" i="2" s="1"/>
  <c r="D330" i="2" a="1"/>
  <c r="D330" i="2" s="1"/>
  <c r="E330" i="2" s="1"/>
  <c r="C330" i="2" a="1"/>
  <c r="C330" i="2" s="1"/>
  <c r="A330" i="2" a="1"/>
  <c r="A330" i="2" s="1"/>
  <c r="X329" i="2" a="1"/>
  <c r="X329" i="2" s="1"/>
  <c r="W329" i="2" a="1"/>
  <c r="W329" i="2" s="1"/>
  <c r="V329" i="2" a="1"/>
  <c r="V329" i="2" s="1"/>
  <c r="U329" i="2" a="1"/>
  <c r="U329" i="2" s="1"/>
  <c r="T329" i="2" a="1"/>
  <c r="T329" i="2" s="1"/>
  <c r="S329" i="2" a="1"/>
  <c r="S329" i="2" s="1"/>
  <c r="R329" i="2" a="1"/>
  <c r="R329" i="2" s="1"/>
  <c r="Q329" i="2" a="1"/>
  <c r="Q329" i="2" s="1"/>
  <c r="P329" i="2" a="1"/>
  <c r="P329" i="2" s="1"/>
  <c r="O329" i="2" a="1"/>
  <c r="O329" i="2" s="1"/>
  <c r="M329" i="2" a="1"/>
  <c r="M329" i="2" s="1"/>
  <c r="K329" i="2" a="1"/>
  <c r="K329" i="2" s="1"/>
  <c r="J329" i="2" a="1"/>
  <c r="J329" i="2" s="1"/>
  <c r="H329" i="2" a="1"/>
  <c r="H329" i="2" s="1"/>
  <c r="F329" i="2" a="1"/>
  <c r="F329" i="2" s="1"/>
  <c r="D329" i="2" a="1"/>
  <c r="D329" i="2" s="1"/>
  <c r="E329" i="2" s="1"/>
  <c r="C329" i="2" a="1"/>
  <c r="C329" i="2" s="1"/>
  <c r="A329" i="2" a="1"/>
  <c r="A329" i="2" s="1"/>
  <c r="AB329" i="2" s="1"/>
  <c r="X328" i="2" a="1"/>
  <c r="X328" i="2" s="1"/>
  <c r="W328" i="2" a="1"/>
  <c r="W328" i="2" s="1"/>
  <c r="V328" i="2" a="1"/>
  <c r="V328" i="2" s="1"/>
  <c r="U328" i="2" a="1"/>
  <c r="U328" i="2" s="1"/>
  <c r="T328" i="2" a="1"/>
  <c r="T328" i="2" s="1"/>
  <c r="S328" i="2" a="1"/>
  <c r="S328" i="2" s="1"/>
  <c r="R328" i="2" a="1"/>
  <c r="R328" i="2" s="1"/>
  <c r="Q328" i="2" a="1"/>
  <c r="Q328" i="2" s="1"/>
  <c r="P328" i="2" a="1"/>
  <c r="P328" i="2" s="1"/>
  <c r="O328" i="2" a="1"/>
  <c r="O328" i="2" s="1"/>
  <c r="M328" i="2" a="1"/>
  <c r="M328" i="2" s="1"/>
  <c r="K328" i="2" a="1"/>
  <c r="K328" i="2" s="1"/>
  <c r="J328" i="2" a="1"/>
  <c r="J328" i="2" s="1"/>
  <c r="H328" i="2" a="1"/>
  <c r="H328" i="2" s="1"/>
  <c r="F328" i="2" a="1"/>
  <c r="F328" i="2" s="1"/>
  <c r="D328" i="2" a="1"/>
  <c r="D328" i="2" s="1"/>
  <c r="E328" i="2" s="1"/>
  <c r="C328" i="2" a="1"/>
  <c r="C328" i="2" s="1"/>
  <c r="A328" i="2" a="1"/>
  <c r="A328" i="2" s="1"/>
  <c r="X327" i="2" a="1"/>
  <c r="X327" i="2" s="1"/>
  <c r="W327" i="2" a="1"/>
  <c r="W327" i="2" s="1"/>
  <c r="V327" i="2" a="1"/>
  <c r="V327" i="2" s="1"/>
  <c r="U327" i="2" a="1"/>
  <c r="U327" i="2" s="1"/>
  <c r="T327" i="2" a="1"/>
  <c r="T327" i="2" s="1"/>
  <c r="S327" i="2" a="1"/>
  <c r="S327" i="2" s="1"/>
  <c r="R327" i="2" a="1"/>
  <c r="R327" i="2" s="1"/>
  <c r="Q327" i="2" a="1"/>
  <c r="Q327" i="2" s="1"/>
  <c r="P327" i="2" a="1"/>
  <c r="P327" i="2" s="1"/>
  <c r="O327" i="2" a="1"/>
  <c r="O327" i="2" s="1"/>
  <c r="M327" i="2" a="1"/>
  <c r="M327" i="2" s="1"/>
  <c r="K327" i="2" a="1"/>
  <c r="K327" i="2" s="1"/>
  <c r="J327" i="2" a="1"/>
  <c r="J327" i="2" s="1"/>
  <c r="H327" i="2" a="1"/>
  <c r="H327" i="2" s="1"/>
  <c r="F327" i="2" a="1"/>
  <c r="F327" i="2" s="1"/>
  <c r="D327" i="2" a="1"/>
  <c r="D327" i="2" s="1"/>
  <c r="E327" i="2" s="1"/>
  <c r="C327" i="2" a="1"/>
  <c r="C327" i="2" s="1"/>
  <c r="A327" i="2" a="1"/>
  <c r="A327" i="2" s="1"/>
  <c r="AD327" i="2" s="1"/>
  <c r="X326" i="2" a="1"/>
  <c r="X326" i="2" s="1"/>
  <c r="W326" i="2" a="1"/>
  <c r="W326" i="2" s="1"/>
  <c r="V326" i="2" a="1"/>
  <c r="V326" i="2" s="1"/>
  <c r="U326" i="2" a="1"/>
  <c r="U326" i="2" s="1"/>
  <c r="T326" i="2" a="1"/>
  <c r="T326" i="2" s="1"/>
  <c r="S326" i="2" a="1"/>
  <c r="S326" i="2" s="1"/>
  <c r="R326" i="2" a="1"/>
  <c r="R326" i="2" s="1"/>
  <c r="Q326" i="2" a="1"/>
  <c r="Q326" i="2" s="1"/>
  <c r="P326" i="2" a="1"/>
  <c r="P326" i="2" s="1"/>
  <c r="O326" i="2" a="1"/>
  <c r="O326" i="2" s="1"/>
  <c r="M326" i="2" a="1"/>
  <c r="M326" i="2" s="1"/>
  <c r="K326" i="2" a="1"/>
  <c r="K326" i="2" s="1"/>
  <c r="J326" i="2" a="1"/>
  <c r="J326" i="2" s="1"/>
  <c r="H326" i="2" a="1"/>
  <c r="H326" i="2" s="1"/>
  <c r="F326" i="2" a="1"/>
  <c r="F326" i="2" s="1"/>
  <c r="D326" i="2" a="1"/>
  <c r="D326" i="2" s="1"/>
  <c r="E326" i="2" s="1"/>
  <c r="C326" i="2" a="1"/>
  <c r="C326" i="2" s="1"/>
  <c r="A326" i="2" a="1"/>
  <c r="A326" i="2" s="1"/>
  <c r="X325" i="2" a="1"/>
  <c r="X325" i="2" s="1"/>
  <c r="W325" i="2" a="1"/>
  <c r="W325" i="2" s="1"/>
  <c r="V325" i="2" a="1"/>
  <c r="V325" i="2" s="1"/>
  <c r="U325" i="2" a="1"/>
  <c r="U325" i="2" s="1"/>
  <c r="T325" i="2" a="1"/>
  <c r="T325" i="2" s="1"/>
  <c r="S325" i="2" a="1"/>
  <c r="S325" i="2" s="1"/>
  <c r="R325" i="2" a="1"/>
  <c r="R325" i="2" s="1"/>
  <c r="Q325" i="2" a="1"/>
  <c r="Q325" i="2" s="1"/>
  <c r="P325" i="2" a="1"/>
  <c r="P325" i="2" s="1"/>
  <c r="O325" i="2" a="1"/>
  <c r="O325" i="2" s="1"/>
  <c r="M325" i="2" a="1"/>
  <c r="M325" i="2" s="1"/>
  <c r="K325" i="2" a="1"/>
  <c r="K325" i="2" s="1"/>
  <c r="J325" i="2" a="1"/>
  <c r="J325" i="2" s="1"/>
  <c r="H325" i="2" a="1"/>
  <c r="H325" i="2" s="1"/>
  <c r="F325" i="2" a="1"/>
  <c r="F325" i="2" s="1"/>
  <c r="D325" i="2" a="1"/>
  <c r="D325" i="2" s="1"/>
  <c r="E325" i="2" s="1"/>
  <c r="C325" i="2" a="1"/>
  <c r="C325" i="2" s="1"/>
  <c r="A325" i="2" a="1"/>
  <c r="A325" i="2" s="1"/>
  <c r="X324" i="2" a="1"/>
  <c r="X324" i="2" s="1"/>
  <c r="W324" i="2" a="1"/>
  <c r="W324" i="2" s="1"/>
  <c r="V324" i="2" a="1"/>
  <c r="V324" i="2" s="1"/>
  <c r="U324" i="2" a="1"/>
  <c r="U324" i="2" s="1"/>
  <c r="T324" i="2" a="1"/>
  <c r="T324" i="2" s="1"/>
  <c r="S324" i="2" a="1"/>
  <c r="S324" i="2" s="1"/>
  <c r="R324" i="2" a="1"/>
  <c r="R324" i="2" s="1"/>
  <c r="Q324" i="2" a="1"/>
  <c r="Q324" i="2" s="1"/>
  <c r="P324" i="2" a="1"/>
  <c r="P324" i="2" s="1"/>
  <c r="O324" i="2" a="1"/>
  <c r="O324" i="2" s="1"/>
  <c r="M324" i="2" a="1"/>
  <c r="M324" i="2" s="1"/>
  <c r="K324" i="2" a="1"/>
  <c r="K324" i="2" s="1"/>
  <c r="J324" i="2" a="1"/>
  <c r="J324" i="2" s="1"/>
  <c r="H324" i="2" a="1"/>
  <c r="H324" i="2" s="1"/>
  <c r="F324" i="2" a="1"/>
  <c r="F324" i="2" s="1"/>
  <c r="D324" i="2" a="1"/>
  <c r="D324" i="2" s="1"/>
  <c r="E324" i="2" s="1"/>
  <c r="C324" i="2" a="1"/>
  <c r="C324" i="2" s="1"/>
  <c r="A324" i="2" a="1"/>
  <c r="A324" i="2" s="1"/>
  <c r="X323" i="2" a="1"/>
  <c r="X323" i="2" s="1"/>
  <c r="W323" i="2" a="1"/>
  <c r="W323" i="2" s="1"/>
  <c r="V323" i="2" a="1"/>
  <c r="V323" i="2" s="1"/>
  <c r="U323" i="2" a="1"/>
  <c r="U323" i="2" s="1"/>
  <c r="T323" i="2" a="1"/>
  <c r="T323" i="2" s="1"/>
  <c r="S323" i="2" a="1"/>
  <c r="S323" i="2" s="1"/>
  <c r="R323" i="2" a="1"/>
  <c r="R323" i="2" s="1"/>
  <c r="Q323" i="2" a="1"/>
  <c r="Q323" i="2" s="1"/>
  <c r="P323" i="2" a="1"/>
  <c r="P323" i="2" s="1"/>
  <c r="O323" i="2" a="1"/>
  <c r="O323" i="2" s="1"/>
  <c r="M323" i="2" a="1"/>
  <c r="M323" i="2" s="1"/>
  <c r="K323" i="2" a="1"/>
  <c r="K323" i="2" s="1"/>
  <c r="J323" i="2" a="1"/>
  <c r="J323" i="2" s="1"/>
  <c r="H323" i="2" a="1"/>
  <c r="H323" i="2" s="1"/>
  <c r="F323" i="2" a="1"/>
  <c r="F323" i="2" s="1"/>
  <c r="D323" i="2" a="1"/>
  <c r="D323" i="2" s="1"/>
  <c r="E323" i="2" s="1"/>
  <c r="C323" i="2" a="1"/>
  <c r="C323" i="2" s="1"/>
  <c r="A323" i="2" a="1"/>
  <c r="A323" i="2" s="1"/>
  <c r="AC323" i="2" s="1"/>
  <c r="X322" i="2" a="1"/>
  <c r="X322" i="2" s="1"/>
  <c r="W322" i="2" a="1"/>
  <c r="W322" i="2" s="1"/>
  <c r="V322" i="2" a="1"/>
  <c r="V322" i="2" s="1"/>
  <c r="U322" i="2" a="1"/>
  <c r="U322" i="2" s="1"/>
  <c r="T322" i="2" a="1"/>
  <c r="T322" i="2" s="1"/>
  <c r="S322" i="2" a="1"/>
  <c r="S322" i="2" s="1"/>
  <c r="R322" i="2" a="1"/>
  <c r="R322" i="2" s="1"/>
  <c r="Q322" i="2" a="1"/>
  <c r="Q322" i="2" s="1"/>
  <c r="P322" i="2" a="1"/>
  <c r="P322" i="2" s="1"/>
  <c r="O322" i="2" a="1"/>
  <c r="O322" i="2" s="1"/>
  <c r="M322" i="2" a="1"/>
  <c r="M322" i="2" s="1"/>
  <c r="K322" i="2" a="1"/>
  <c r="K322" i="2" s="1"/>
  <c r="J322" i="2" a="1"/>
  <c r="J322" i="2" s="1"/>
  <c r="H322" i="2" a="1"/>
  <c r="H322" i="2" s="1"/>
  <c r="F322" i="2" a="1"/>
  <c r="F322" i="2" s="1"/>
  <c r="D322" i="2" a="1"/>
  <c r="D322" i="2" s="1"/>
  <c r="E322" i="2" s="1"/>
  <c r="C322" i="2" a="1"/>
  <c r="C322" i="2" s="1"/>
  <c r="A322" i="2" a="1"/>
  <c r="A322" i="2" s="1"/>
  <c r="X321" i="2" a="1"/>
  <c r="X321" i="2" s="1"/>
  <c r="W321" i="2" a="1"/>
  <c r="W321" i="2" s="1"/>
  <c r="V321" i="2" a="1"/>
  <c r="V321" i="2" s="1"/>
  <c r="U321" i="2" a="1"/>
  <c r="U321" i="2" s="1"/>
  <c r="T321" i="2" a="1"/>
  <c r="T321" i="2" s="1"/>
  <c r="S321" i="2" a="1"/>
  <c r="S321" i="2" s="1"/>
  <c r="R321" i="2" a="1"/>
  <c r="R321" i="2" s="1"/>
  <c r="Q321" i="2" a="1"/>
  <c r="Q321" i="2" s="1"/>
  <c r="P321" i="2" a="1"/>
  <c r="P321" i="2" s="1"/>
  <c r="O321" i="2" a="1"/>
  <c r="O321" i="2" s="1"/>
  <c r="M321" i="2" a="1"/>
  <c r="M321" i="2" s="1"/>
  <c r="K321" i="2" a="1"/>
  <c r="K321" i="2" s="1"/>
  <c r="J321" i="2" a="1"/>
  <c r="J321" i="2" s="1"/>
  <c r="H321" i="2" a="1"/>
  <c r="H321" i="2" s="1"/>
  <c r="F321" i="2" a="1"/>
  <c r="F321" i="2" s="1"/>
  <c r="D321" i="2" a="1"/>
  <c r="D321" i="2" s="1"/>
  <c r="E321" i="2" s="1"/>
  <c r="C321" i="2" a="1"/>
  <c r="C321" i="2" s="1"/>
  <c r="A321" i="2" a="1"/>
  <c r="A321" i="2" s="1"/>
  <c r="X320" i="2" a="1"/>
  <c r="X320" i="2" s="1"/>
  <c r="W320" i="2" a="1"/>
  <c r="W320" i="2" s="1"/>
  <c r="V320" i="2" a="1"/>
  <c r="V320" i="2" s="1"/>
  <c r="U320" i="2" a="1"/>
  <c r="U320" i="2" s="1"/>
  <c r="T320" i="2" a="1"/>
  <c r="T320" i="2" s="1"/>
  <c r="S320" i="2" a="1"/>
  <c r="S320" i="2" s="1"/>
  <c r="R320" i="2" a="1"/>
  <c r="R320" i="2" s="1"/>
  <c r="Q320" i="2" a="1"/>
  <c r="Q320" i="2" s="1"/>
  <c r="P320" i="2" a="1"/>
  <c r="P320" i="2" s="1"/>
  <c r="O320" i="2" a="1"/>
  <c r="O320" i="2" s="1"/>
  <c r="M320" i="2" a="1"/>
  <c r="M320" i="2" s="1"/>
  <c r="K320" i="2" a="1"/>
  <c r="K320" i="2" s="1"/>
  <c r="J320" i="2" a="1"/>
  <c r="J320" i="2" s="1"/>
  <c r="H320" i="2" a="1"/>
  <c r="H320" i="2" s="1"/>
  <c r="F320" i="2" a="1"/>
  <c r="F320" i="2" s="1"/>
  <c r="D320" i="2" a="1"/>
  <c r="D320" i="2" s="1"/>
  <c r="E320" i="2" s="1"/>
  <c r="C320" i="2" a="1"/>
  <c r="C320" i="2" s="1"/>
  <c r="A320" i="2" a="1"/>
  <c r="A320" i="2" s="1"/>
  <c r="AD320" i="2" s="1"/>
  <c r="X319" i="2" a="1"/>
  <c r="X319" i="2" s="1"/>
  <c r="W319" i="2" a="1"/>
  <c r="W319" i="2" s="1"/>
  <c r="V319" i="2" a="1"/>
  <c r="V319" i="2" s="1"/>
  <c r="U319" i="2" a="1"/>
  <c r="U319" i="2" s="1"/>
  <c r="T319" i="2" a="1"/>
  <c r="T319" i="2" s="1"/>
  <c r="S319" i="2" a="1"/>
  <c r="S319" i="2" s="1"/>
  <c r="R319" i="2" a="1"/>
  <c r="R319" i="2" s="1"/>
  <c r="Q319" i="2" a="1"/>
  <c r="Q319" i="2" s="1"/>
  <c r="P319" i="2" a="1"/>
  <c r="P319" i="2" s="1"/>
  <c r="O319" i="2" a="1"/>
  <c r="O319" i="2" s="1"/>
  <c r="M319" i="2" a="1"/>
  <c r="M319" i="2" s="1"/>
  <c r="K319" i="2" a="1"/>
  <c r="K319" i="2" s="1"/>
  <c r="J319" i="2" a="1"/>
  <c r="J319" i="2" s="1"/>
  <c r="H319" i="2" a="1"/>
  <c r="H319" i="2" s="1"/>
  <c r="F319" i="2" a="1"/>
  <c r="F319" i="2" s="1"/>
  <c r="D319" i="2" a="1"/>
  <c r="D319" i="2" s="1"/>
  <c r="E319" i="2" s="1"/>
  <c r="C319" i="2" a="1"/>
  <c r="C319" i="2" s="1"/>
  <c r="A319" i="2" a="1"/>
  <c r="A319" i="2" s="1"/>
  <c r="X318" i="2" a="1"/>
  <c r="X318" i="2" s="1"/>
  <c r="W318" i="2" a="1"/>
  <c r="W318" i="2" s="1"/>
  <c r="V318" i="2" a="1"/>
  <c r="V318" i="2" s="1"/>
  <c r="U318" i="2" a="1"/>
  <c r="U318" i="2" s="1"/>
  <c r="T318" i="2" a="1"/>
  <c r="T318" i="2" s="1"/>
  <c r="S318" i="2" a="1"/>
  <c r="S318" i="2" s="1"/>
  <c r="R318" i="2" a="1"/>
  <c r="R318" i="2" s="1"/>
  <c r="Q318" i="2" a="1"/>
  <c r="Q318" i="2" s="1"/>
  <c r="P318" i="2" a="1"/>
  <c r="P318" i="2" s="1"/>
  <c r="O318" i="2" a="1"/>
  <c r="O318" i="2" s="1"/>
  <c r="M318" i="2" a="1"/>
  <c r="M318" i="2" s="1"/>
  <c r="K318" i="2" a="1"/>
  <c r="K318" i="2" s="1"/>
  <c r="J318" i="2" a="1"/>
  <c r="J318" i="2" s="1"/>
  <c r="H318" i="2" a="1"/>
  <c r="H318" i="2" s="1"/>
  <c r="F318" i="2" a="1"/>
  <c r="F318" i="2" s="1"/>
  <c r="D318" i="2" a="1"/>
  <c r="D318" i="2" s="1"/>
  <c r="E318" i="2" s="1"/>
  <c r="C318" i="2" a="1"/>
  <c r="C318" i="2" s="1"/>
  <c r="A318" i="2" a="1"/>
  <c r="A318" i="2" s="1"/>
  <c r="X317" i="2" a="1"/>
  <c r="X317" i="2" s="1"/>
  <c r="W317" i="2" a="1"/>
  <c r="W317" i="2" s="1"/>
  <c r="V317" i="2" a="1"/>
  <c r="V317" i="2" s="1"/>
  <c r="U317" i="2" a="1"/>
  <c r="U317" i="2" s="1"/>
  <c r="T317" i="2" a="1"/>
  <c r="T317" i="2" s="1"/>
  <c r="S317" i="2" a="1"/>
  <c r="S317" i="2" s="1"/>
  <c r="R317" i="2" a="1"/>
  <c r="R317" i="2" s="1"/>
  <c r="Q317" i="2" a="1"/>
  <c r="Q317" i="2" s="1"/>
  <c r="P317" i="2" a="1"/>
  <c r="P317" i="2" s="1"/>
  <c r="O317" i="2" a="1"/>
  <c r="O317" i="2" s="1"/>
  <c r="M317" i="2" a="1"/>
  <c r="M317" i="2" s="1"/>
  <c r="K317" i="2" a="1"/>
  <c r="K317" i="2" s="1"/>
  <c r="J317" i="2" a="1"/>
  <c r="J317" i="2" s="1"/>
  <c r="H317" i="2" a="1"/>
  <c r="H317" i="2" s="1"/>
  <c r="F317" i="2" a="1"/>
  <c r="F317" i="2" s="1"/>
  <c r="D317" i="2" a="1"/>
  <c r="D317" i="2" s="1"/>
  <c r="E317" i="2" s="1"/>
  <c r="C317" i="2" a="1"/>
  <c r="C317" i="2" s="1"/>
  <c r="A317" i="2" a="1"/>
  <c r="A317" i="2" s="1"/>
  <c r="X316" i="2" a="1"/>
  <c r="X316" i="2" s="1"/>
  <c r="W316" i="2" a="1"/>
  <c r="W316" i="2" s="1"/>
  <c r="V316" i="2" a="1"/>
  <c r="V316" i="2" s="1"/>
  <c r="U316" i="2" a="1"/>
  <c r="U316" i="2" s="1"/>
  <c r="T316" i="2" a="1"/>
  <c r="T316" i="2" s="1"/>
  <c r="S316" i="2" a="1"/>
  <c r="S316" i="2" s="1"/>
  <c r="R316" i="2" a="1"/>
  <c r="R316" i="2" s="1"/>
  <c r="Q316" i="2" a="1"/>
  <c r="Q316" i="2" s="1"/>
  <c r="P316" i="2" a="1"/>
  <c r="P316" i="2" s="1"/>
  <c r="O316" i="2" a="1"/>
  <c r="O316" i="2" s="1"/>
  <c r="M316" i="2" a="1"/>
  <c r="M316" i="2" s="1"/>
  <c r="K316" i="2" a="1"/>
  <c r="K316" i="2" s="1"/>
  <c r="J316" i="2" a="1"/>
  <c r="J316" i="2" s="1"/>
  <c r="H316" i="2" a="1"/>
  <c r="H316" i="2" s="1"/>
  <c r="F316" i="2" a="1"/>
  <c r="F316" i="2" s="1"/>
  <c r="D316" i="2" a="1"/>
  <c r="D316" i="2" s="1"/>
  <c r="E316" i="2" s="1"/>
  <c r="C316" i="2" a="1"/>
  <c r="C316" i="2" s="1"/>
  <c r="A316" i="2" a="1"/>
  <c r="A316" i="2" s="1"/>
  <c r="AB316" i="2" s="1"/>
  <c r="X315" i="2" a="1"/>
  <c r="X315" i="2" s="1"/>
  <c r="W315" i="2" a="1"/>
  <c r="W315" i="2" s="1"/>
  <c r="V315" i="2" a="1"/>
  <c r="V315" i="2" s="1"/>
  <c r="U315" i="2" a="1"/>
  <c r="U315" i="2" s="1"/>
  <c r="T315" i="2" a="1"/>
  <c r="T315" i="2" s="1"/>
  <c r="S315" i="2" a="1"/>
  <c r="S315" i="2" s="1"/>
  <c r="R315" i="2" a="1"/>
  <c r="R315" i="2" s="1"/>
  <c r="Q315" i="2" a="1"/>
  <c r="Q315" i="2" s="1"/>
  <c r="P315" i="2" a="1"/>
  <c r="P315" i="2" s="1"/>
  <c r="O315" i="2" a="1"/>
  <c r="O315" i="2" s="1"/>
  <c r="M315" i="2" a="1"/>
  <c r="M315" i="2" s="1"/>
  <c r="K315" i="2" a="1"/>
  <c r="K315" i="2" s="1"/>
  <c r="J315" i="2" a="1"/>
  <c r="J315" i="2" s="1"/>
  <c r="H315" i="2" a="1"/>
  <c r="H315" i="2" s="1"/>
  <c r="F315" i="2" a="1"/>
  <c r="F315" i="2" s="1"/>
  <c r="D315" i="2" a="1"/>
  <c r="D315" i="2" s="1"/>
  <c r="E315" i="2" s="1"/>
  <c r="C315" i="2" a="1"/>
  <c r="C315" i="2" s="1"/>
  <c r="A315" i="2" a="1"/>
  <c r="A315" i="2" s="1"/>
  <c r="AD315" i="2" s="1"/>
  <c r="X314" i="2" a="1"/>
  <c r="X314" i="2" s="1"/>
  <c r="W314" i="2" a="1"/>
  <c r="W314" i="2" s="1"/>
  <c r="V314" i="2" a="1"/>
  <c r="V314" i="2" s="1"/>
  <c r="U314" i="2" a="1"/>
  <c r="U314" i="2" s="1"/>
  <c r="T314" i="2" a="1"/>
  <c r="T314" i="2" s="1"/>
  <c r="S314" i="2" a="1"/>
  <c r="S314" i="2" s="1"/>
  <c r="R314" i="2" a="1"/>
  <c r="R314" i="2" s="1"/>
  <c r="Q314" i="2" a="1"/>
  <c r="Q314" i="2" s="1"/>
  <c r="P314" i="2" a="1"/>
  <c r="P314" i="2" s="1"/>
  <c r="O314" i="2" a="1"/>
  <c r="O314" i="2" s="1"/>
  <c r="M314" i="2" a="1"/>
  <c r="M314" i="2" s="1"/>
  <c r="K314" i="2" a="1"/>
  <c r="K314" i="2" s="1"/>
  <c r="J314" i="2" a="1"/>
  <c r="J314" i="2" s="1"/>
  <c r="H314" i="2" a="1"/>
  <c r="H314" i="2" s="1"/>
  <c r="F314" i="2" a="1"/>
  <c r="F314" i="2" s="1"/>
  <c r="D314" i="2" a="1"/>
  <c r="D314" i="2" s="1"/>
  <c r="E314" i="2" s="1"/>
  <c r="C314" i="2" a="1"/>
  <c r="C314" i="2" s="1"/>
  <c r="A314" i="2" a="1"/>
  <c r="A314" i="2" s="1"/>
  <c r="AD314" i="2" s="1"/>
  <c r="X313" i="2" a="1"/>
  <c r="X313" i="2" s="1"/>
  <c r="W313" i="2" a="1"/>
  <c r="W313" i="2" s="1"/>
  <c r="V313" i="2" a="1"/>
  <c r="V313" i="2" s="1"/>
  <c r="U313" i="2" a="1"/>
  <c r="U313" i="2" s="1"/>
  <c r="T313" i="2" a="1"/>
  <c r="T313" i="2" s="1"/>
  <c r="S313" i="2" a="1"/>
  <c r="S313" i="2" s="1"/>
  <c r="R313" i="2" a="1"/>
  <c r="R313" i="2" s="1"/>
  <c r="Q313" i="2" a="1"/>
  <c r="Q313" i="2" s="1"/>
  <c r="P313" i="2" a="1"/>
  <c r="P313" i="2" s="1"/>
  <c r="O313" i="2" a="1"/>
  <c r="O313" i="2" s="1"/>
  <c r="M313" i="2" a="1"/>
  <c r="M313" i="2" s="1"/>
  <c r="K313" i="2" a="1"/>
  <c r="K313" i="2" s="1"/>
  <c r="J313" i="2" a="1"/>
  <c r="J313" i="2" s="1"/>
  <c r="H313" i="2" a="1"/>
  <c r="H313" i="2" s="1"/>
  <c r="F313" i="2" a="1"/>
  <c r="F313" i="2" s="1"/>
  <c r="D313" i="2" a="1"/>
  <c r="D313" i="2" s="1"/>
  <c r="E313" i="2" s="1"/>
  <c r="C313" i="2" a="1"/>
  <c r="C313" i="2" s="1"/>
  <c r="A313" i="2" a="1"/>
  <c r="A313" i="2" s="1"/>
  <c r="X312" i="2" a="1"/>
  <c r="X312" i="2" s="1"/>
  <c r="W312" i="2" a="1"/>
  <c r="W312" i="2" s="1"/>
  <c r="V312" i="2" a="1"/>
  <c r="V312" i="2" s="1"/>
  <c r="U312" i="2" a="1"/>
  <c r="U312" i="2" s="1"/>
  <c r="T312" i="2" a="1"/>
  <c r="T312" i="2" s="1"/>
  <c r="S312" i="2" a="1"/>
  <c r="S312" i="2" s="1"/>
  <c r="R312" i="2" a="1"/>
  <c r="R312" i="2" s="1"/>
  <c r="Q312" i="2" a="1"/>
  <c r="Q312" i="2" s="1"/>
  <c r="P312" i="2" a="1"/>
  <c r="P312" i="2" s="1"/>
  <c r="O312" i="2" a="1"/>
  <c r="O312" i="2" s="1"/>
  <c r="M312" i="2" a="1"/>
  <c r="M312" i="2" s="1"/>
  <c r="K312" i="2" a="1"/>
  <c r="K312" i="2" s="1"/>
  <c r="J312" i="2" a="1"/>
  <c r="J312" i="2" s="1"/>
  <c r="H312" i="2" a="1"/>
  <c r="H312" i="2" s="1"/>
  <c r="F312" i="2" a="1"/>
  <c r="F312" i="2" s="1"/>
  <c r="D312" i="2" a="1"/>
  <c r="D312" i="2" s="1"/>
  <c r="E312" i="2" s="1"/>
  <c r="C312" i="2" a="1"/>
  <c r="C312" i="2" s="1"/>
  <c r="A312" i="2" a="1"/>
  <c r="A312" i="2" s="1"/>
  <c r="X311" i="2" a="1"/>
  <c r="X311" i="2" s="1"/>
  <c r="W311" i="2" a="1"/>
  <c r="W311" i="2" s="1"/>
  <c r="V311" i="2" a="1"/>
  <c r="V311" i="2" s="1"/>
  <c r="U311" i="2" a="1"/>
  <c r="U311" i="2" s="1"/>
  <c r="T311" i="2" a="1"/>
  <c r="T311" i="2" s="1"/>
  <c r="S311" i="2" a="1"/>
  <c r="S311" i="2" s="1"/>
  <c r="R311" i="2" a="1"/>
  <c r="R311" i="2" s="1"/>
  <c r="Q311" i="2" a="1"/>
  <c r="Q311" i="2" s="1"/>
  <c r="P311" i="2" a="1"/>
  <c r="P311" i="2" s="1"/>
  <c r="O311" i="2" a="1"/>
  <c r="O311" i="2" s="1"/>
  <c r="M311" i="2" a="1"/>
  <c r="M311" i="2" s="1"/>
  <c r="K311" i="2" a="1"/>
  <c r="K311" i="2" s="1"/>
  <c r="J311" i="2" a="1"/>
  <c r="J311" i="2" s="1"/>
  <c r="H311" i="2" a="1"/>
  <c r="H311" i="2" s="1"/>
  <c r="F311" i="2" a="1"/>
  <c r="F311" i="2" s="1"/>
  <c r="D311" i="2" a="1"/>
  <c r="D311" i="2" s="1"/>
  <c r="E311" i="2" s="1"/>
  <c r="C311" i="2" a="1"/>
  <c r="C311" i="2" s="1"/>
  <c r="A311" i="2" a="1"/>
  <c r="A311" i="2" s="1"/>
  <c r="X310" i="2" a="1"/>
  <c r="X310" i="2" s="1"/>
  <c r="W310" i="2" a="1"/>
  <c r="W310" i="2" s="1"/>
  <c r="V310" i="2" a="1"/>
  <c r="V310" i="2" s="1"/>
  <c r="U310" i="2" a="1"/>
  <c r="U310" i="2" s="1"/>
  <c r="T310" i="2" a="1"/>
  <c r="T310" i="2" s="1"/>
  <c r="S310" i="2" a="1"/>
  <c r="S310" i="2" s="1"/>
  <c r="R310" i="2" a="1"/>
  <c r="R310" i="2" s="1"/>
  <c r="Q310" i="2" a="1"/>
  <c r="Q310" i="2" s="1"/>
  <c r="P310" i="2" a="1"/>
  <c r="P310" i="2" s="1"/>
  <c r="O310" i="2" a="1"/>
  <c r="O310" i="2" s="1"/>
  <c r="M310" i="2" a="1"/>
  <c r="M310" i="2" s="1"/>
  <c r="K310" i="2" a="1"/>
  <c r="K310" i="2" s="1"/>
  <c r="J310" i="2" a="1"/>
  <c r="J310" i="2" s="1"/>
  <c r="H310" i="2" a="1"/>
  <c r="H310" i="2" s="1"/>
  <c r="F310" i="2" a="1"/>
  <c r="F310" i="2" s="1"/>
  <c r="D310" i="2" a="1"/>
  <c r="D310" i="2" s="1"/>
  <c r="E310" i="2" s="1"/>
  <c r="C310" i="2" a="1"/>
  <c r="C310" i="2" s="1"/>
  <c r="A310" i="2" a="1"/>
  <c r="A310" i="2" s="1"/>
  <c r="X309" i="2" a="1"/>
  <c r="X309" i="2" s="1"/>
  <c r="W309" i="2" a="1"/>
  <c r="W309" i="2" s="1"/>
  <c r="V309" i="2" a="1"/>
  <c r="V309" i="2" s="1"/>
  <c r="U309" i="2" a="1"/>
  <c r="U309" i="2" s="1"/>
  <c r="T309" i="2" a="1"/>
  <c r="T309" i="2" s="1"/>
  <c r="S309" i="2" a="1"/>
  <c r="S309" i="2" s="1"/>
  <c r="R309" i="2" a="1"/>
  <c r="R309" i="2" s="1"/>
  <c r="Q309" i="2" a="1"/>
  <c r="Q309" i="2" s="1"/>
  <c r="P309" i="2" a="1"/>
  <c r="P309" i="2" s="1"/>
  <c r="O309" i="2" a="1"/>
  <c r="O309" i="2" s="1"/>
  <c r="M309" i="2" a="1"/>
  <c r="M309" i="2" s="1"/>
  <c r="K309" i="2" a="1"/>
  <c r="K309" i="2" s="1"/>
  <c r="J309" i="2" a="1"/>
  <c r="J309" i="2" s="1"/>
  <c r="H309" i="2" a="1"/>
  <c r="H309" i="2" s="1"/>
  <c r="F309" i="2" a="1"/>
  <c r="F309" i="2" s="1"/>
  <c r="D309" i="2" a="1"/>
  <c r="D309" i="2" s="1"/>
  <c r="E309" i="2" s="1"/>
  <c r="C309" i="2" a="1"/>
  <c r="C309" i="2" s="1"/>
  <c r="A309" i="2" a="1"/>
  <c r="A309" i="2" s="1"/>
  <c r="X308" i="2" a="1"/>
  <c r="X308" i="2" s="1"/>
  <c r="W308" i="2" a="1"/>
  <c r="W308" i="2" s="1"/>
  <c r="V308" i="2" a="1"/>
  <c r="V308" i="2" s="1"/>
  <c r="U308" i="2" a="1"/>
  <c r="U308" i="2" s="1"/>
  <c r="T308" i="2" a="1"/>
  <c r="T308" i="2" s="1"/>
  <c r="S308" i="2" a="1"/>
  <c r="S308" i="2" s="1"/>
  <c r="R308" i="2" a="1"/>
  <c r="R308" i="2" s="1"/>
  <c r="Q308" i="2" a="1"/>
  <c r="Q308" i="2" s="1"/>
  <c r="P308" i="2" a="1"/>
  <c r="P308" i="2" s="1"/>
  <c r="O308" i="2" a="1"/>
  <c r="O308" i="2" s="1"/>
  <c r="M308" i="2" a="1"/>
  <c r="M308" i="2" s="1"/>
  <c r="K308" i="2" a="1"/>
  <c r="K308" i="2" s="1"/>
  <c r="J308" i="2" a="1"/>
  <c r="J308" i="2" s="1"/>
  <c r="H308" i="2" a="1"/>
  <c r="H308" i="2" s="1"/>
  <c r="F308" i="2" a="1"/>
  <c r="F308" i="2" s="1"/>
  <c r="D308" i="2" a="1"/>
  <c r="D308" i="2" s="1"/>
  <c r="E308" i="2" s="1"/>
  <c r="C308" i="2" a="1"/>
  <c r="C308" i="2" s="1"/>
  <c r="A308" i="2" a="1"/>
  <c r="A308" i="2" s="1"/>
  <c r="X307" i="2" a="1"/>
  <c r="X307" i="2" s="1"/>
  <c r="W307" i="2" a="1"/>
  <c r="W307" i="2" s="1"/>
  <c r="V307" i="2" a="1"/>
  <c r="V307" i="2" s="1"/>
  <c r="U307" i="2" a="1"/>
  <c r="U307" i="2" s="1"/>
  <c r="T307" i="2" a="1"/>
  <c r="T307" i="2" s="1"/>
  <c r="S307" i="2" a="1"/>
  <c r="S307" i="2" s="1"/>
  <c r="R307" i="2" a="1"/>
  <c r="R307" i="2" s="1"/>
  <c r="Q307" i="2" a="1"/>
  <c r="Q307" i="2" s="1"/>
  <c r="P307" i="2" a="1"/>
  <c r="P307" i="2" s="1"/>
  <c r="O307" i="2" a="1"/>
  <c r="O307" i="2" s="1"/>
  <c r="M307" i="2" a="1"/>
  <c r="M307" i="2" s="1"/>
  <c r="K307" i="2" a="1"/>
  <c r="K307" i="2" s="1"/>
  <c r="J307" i="2" a="1"/>
  <c r="J307" i="2" s="1"/>
  <c r="H307" i="2" a="1"/>
  <c r="H307" i="2" s="1"/>
  <c r="F307" i="2" a="1"/>
  <c r="F307" i="2" s="1"/>
  <c r="D307" i="2" a="1"/>
  <c r="D307" i="2" s="1"/>
  <c r="E307" i="2" s="1"/>
  <c r="C307" i="2" a="1"/>
  <c r="C307" i="2" s="1"/>
  <c r="A307" i="2" a="1"/>
  <c r="A307" i="2" s="1"/>
  <c r="X306" i="2" a="1"/>
  <c r="X306" i="2" s="1"/>
  <c r="W306" i="2" a="1"/>
  <c r="W306" i="2" s="1"/>
  <c r="V306" i="2" a="1"/>
  <c r="V306" i="2" s="1"/>
  <c r="U306" i="2" a="1"/>
  <c r="U306" i="2" s="1"/>
  <c r="T306" i="2" a="1"/>
  <c r="T306" i="2" s="1"/>
  <c r="S306" i="2" a="1"/>
  <c r="S306" i="2" s="1"/>
  <c r="R306" i="2" a="1"/>
  <c r="R306" i="2" s="1"/>
  <c r="Q306" i="2" a="1"/>
  <c r="Q306" i="2" s="1"/>
  <c r="P306" i="2" a="1"/>
  <c r="P306" i="2" s="1"/>
  <c r="O306" i="2" a="1"/>
  <c r="O306" i="2" s="1"/>
  <c r="M306" i="2" a="1"/>
  <c r="M306" i="2" s="1"/>
  <c r="K306" i="2" a="1"/>
  <c r="K306" i="2" s="1"/>
  <c r="J306" i="2" a="1"/>
  <c r="J306" i="2" s="1"/>
  <c r="H306" i="2" a="1"/>
  <c r="H306" i="2" s="1"/>
  <c r="F306" i="2" a="1"/>
  <c r="F306" i="2" s="1"/>
  <c r="D306" i="2" a="1"/>
  <c r="D306" i="2" s="1"/>
  <c r="E306" i="2" s="1"/>
  <c r="C306" i="2" a="1"/>
  <c r="C306" i="2" s="1"/>
  <c r="A306" i="2" a="1"/>
  <c r="A306" i="2" s="1"/>
  <c r="X305" i="2" a="1"/>
  <c r="X305" i="2" s="1"/>
  <c r="W305" i="2" a="1"/>
  <c r="W305" i="2" s="1"/>
  <c r="V305" i="2" a="1"/>
  <c r="V305" i="2" s="1"/>
  <c r="U305" i="2" a="1"/>
  <c r="U305" i="2" s="1"/>
  <c r="T305" i="2" a="1"/>
  <c r="T305" i="2" s="1"/>
  <c r="S305" i="2" a="1"/>
  <c r="S305" i="2" s="1"/>
  <c r="R305" i="2" a="1"/>
  <c r="R305" i="2" s="1"/>
  <c r="Q305" i="2" a="1"/>
  <c r="Q305" i="2" s="1"/>
  <c r="P305" i="2" a="1"/>
  <c r="P305" i="2" s="1"/>
  <c r="O305" i="2" a="1"/>
  <c r="O305" i="2" s="1"/>
  <c r="M305" i="2" a="1"/>
  <c r="M305" i="2" s="1"/>
  <c r="K305" i="2" a="1"/>
  <c r="K305" i="2" s="1"/>
  <c r="J305" i="2" a="1"/>
  <c r="J305" i="2" s="1"/>
  <c r="H305" i="2" a="1"/>
  <c r="H305" i="2" s="1"/>
  <c r="F305" i="2" a="1"/>
  <c r="F305" i="2" s="1"/>
  <c r="D305" i="2" a="1"/>
  <c r="D305" i="2" s="1"/>
  <c r="E305" i="2" s="1"/>
  <c r="C305" i="2" a="1"/>
  <c r="C305" i="2" s="1"/>
  <c r="A305" i="2" a="1"/>
  <c r="A305" i="2" s="1"/>
  <c r="AA305" i="2" s="1"/>
  <c r="X304" i="2" a="1"/>
  <c r="X304" i="2" s="1"/>
  <c r="W304" i="2" a="1"/>
  <c r="W304" i="2" s="1"/>
  <c r="V304" i="2" a="1"/>
  <c r="V304" i="2" s="1"/>
  <c r="U304" i="2" a="1"/>
  <c r="U304" i="2" s="1"/>
  <c r="T304" i="2" a="1"/>
  <c r="T304" i="2" s="1"/>
  <c r="S304" i="2" a="1"/>
  <c r="S304" i="2" s="1"/>
  <c r="R304" i="2" a="1"/>
  <c r="R304" i="2" s="1"/>
  <c r="Q304" i="2" a="1"/>
  <c r="Q304" i="2" s="1"/>
  <c r="P304" i="2" a="1"/>
  <c r="P304" i="2" s="1"/>
  <c r="O304" i="2" a="1"/>
  <c r="O304" i="2" s="1"/>
  <c r="M304" i="2" a="1"/>
  <c r="M304" i="2" s="1"/>
  <c r="K304" i="2" a="1"/>
  <c r="K304" i="2" s="1"/>
  <c r="J304" i="2" a="1"/>
  <c r="J304" i="2" s="1"/>
  <c r="H304" i="2" a="1"/>
  <c r="H304" i="2" s="1"/>
  <c r="F304" i="2" a="1"/>
  <c r="F304" i="2" s="1"/>
  <c r="D304" i="2" a="1"/>
  <c r="D304" i="2" s="1"/>
  <c r="E304" i="2" s="1"/>
  <c r="C304" i="2" a="1"/>
  <c r="C304" i="2" s="1"/>
  <c r="A304" i="2" a="1"/>
  <c r="A304" i="2" s="1"/>
  <c r="AB304" i="2" s="1"/>
  <c r="X303" i="2" a="1"/>
  <c r="X303" i="2" s="1"/>
  <c r="W303" i="2" a="1"/>
  <c r="W303" i="2" s="1"/>
  <c r="V303" i="2" a="1"/>
  <c r="V303" i="2" s="1"/>
  <c r="U303" i="2" a="1"/>
  <c r="U303" i="2" s="1"/>
  <c r="T303" i="2" a="1"/>
  <c r="T303" i="2" s="1"/>
  <c r="S303" i="2" a="1"/>
  <c r="S303" i="2" s="1"/>
  <c r="R303" i="2" a="1"/>
  <c r="R303" i="2" s="1"/>
  <c r="Q303" i="2" a="1"/>
  <c r="Q303" i="2" s="1"/>
  <c r="P303" i="2" a="1"/>
  <c r="P303" i="2" s="1"/>
  <c r="O303" i="2" a="1"/>
  <c r="O303" i="2" s="1"/>
  <c r="M303" i="2" a="1"/>
  <c r="M303" i="2" s="1"/>
  <c r="K303" i="2" a="1"/>
  <c r="K303" i="2" s="1"/>
  <c r="J303" i="2" a="1"/>
  <c r="J303" i="2" s="1"/>
  <c r="H303" i="2" a="1"/>
  <c r="H303" i="2" s="1"/>
  <c r="F303" i="2" a="1"/>
  <c r="F303" i="2" s="1"/>
  <c r="D303" i="2" a="1"/>
  <c r="D303" i="2" s="1"/>
  <c r="E303" i="2" s="1"/>
  <c r="C303" i="2" a="1"/>
  <c r="C303" i="2" s="1"/>
  <c r="A303" i="2" a="1"/>
  <c r="A303" i="2" s="1"/>
  <c r="AD303" i="2" s="1"/>
  <c r="X302" i="2" a="1"/>
  <c r="X302" i="2" s="1"/>
  <c r="W302" i="2" a="1"/>
  <c r="W302" i="2" s="1"/>
  <c r="V302" i="2" a="1"/>
  <c r="V302" i="2" s="1"/>
  <c r="U302" i="2" a="1"/>
  <c r="U302" i="2" s="1"/>
  <c r="T302" i="2" a="1"/>
  <c r="T302" i="2" s="1"/>
  <c r="S302" i="2" a="1"/>
  <c r="S302" i="2" s="1"/>
  <c r="R302" i="2" a="1"/>
  <c r="R302" i="2" s="1"/>
  <c r="Q302" i="2" a="1"/>
  <c r="Q302" i="2" s="1"/>
  <c r="P302" i="2" a="1"/>
  <c r="P302" i="2" s="1"/>
  <c r="O302" i="2" a="1"/>
  <c r="O302" i="2" s="1"/>
  <c r="M302" i="2" a="1"/>
  <c r="M302" i="2" s="1"/>
  <c r="K302" i="2" a="1"/>
  <c r="K302" i="2" s="1"/>
  <c r="J302" i="2" a="1"/>
  <c r="J302" i="2" s="1"/>
  <c r="H302" i="2" a="1"/>
  <c r="H302" i="2" s="1"/>
  <c r="F302" i="2" a="1"/>
  <c r="F302" i="2" s="1"/>
  <c r="D302" i="2" a="1"/>
  <c r="D302" i="2" s="1"/>
  <c r="E302" i="2" s="1"/>
  <c r="C302" i="2" a="1"/>
  <c r="C302" i="2" s="1"/>
  <c r="A302" i="2" a="1"/>
  <c r="A302" i="2" s="1"/>
  <c r="X301" i="2" a="1"/>
  <c r="X301" i="2" s="1"/>
  <c r="W301" i="2" a="1"/>
  <c r="W301" i="2" s="1"/>
  <c r="V301" i="2" a="1"/>
  <c r="V301" i="2" s="1"/>
  <c r="U301" i="2" a="1"/>
  <c r="U301" i="2" s="1"/>
  <c r="T301" i="2" a="1"/>
  <c r="T301" i="2" s="1"/>
  <c r="S301" i="2" a="1"/>
  <c r="S301" i="2" s="1"/>
  <c r="R301" i="2" a="1"/>
  <c r="R301" i="2" s="1"/>
  <c r="Q301" i="2" a="1"/>
  <c r="Q301" i="2" s="1"/>
  <c r="P301" i="2" a="1"/>
  <c r="P301" i="2" s="1"/>
  <c r="O301" i="2" a="1"/>
  <c r="O301" i="2" s="1"/>
  <c r="M301" i="2" a="1"/>
  <c r="M301" i="2" s="1"/>
  <c r="K301" i="2" a="1"/>
  <c r="K301" i="2" s="1"/>
  <c r="J301" i="2" a="1"/>
  <c r="J301" i="2" s="1"/>
  <c r="H301" i="2" a="1"/>
  <c r="H301" i="2" s="1"/>
  <c r="F301" i="2" a="1"/>
  <c r="F301" i="2" s="1"/>
  <c r="D301" i="2" a="1"/>
  <c r="D301" i="2" s="1"/>
  <c r="E301" i="2" s="1"/>
  <c r="C301" i="2" a="1"/>
  <c r="C301" i="2" s="1"/>
  <c r="A301" i="2" a="1"/>
  <c r="A301" i="2" s="1"/>
  <c r="Z301" i="2" s="1"/>
  <c r="X300" i="2" a="1"/>
  <c r="X300" i="2" s="1"/>
  <c r="W300" i="2" a="1"/>
  <c r="W300" i="2" s="1"/>
  <c r="V300" i="2" a="1"/>
  <c r="V300" i="2" s="1"/>
  <c r="U300" i="2" a="1"/>
  <c r="U300" i="2" s="1"/>
  <c r="T300" i="2" a="1"/>
  <c r="T300" i="2" s="1"/>
  <c r="S300" i="2" a="1"/>
  <c r="S300" i="2" s="1"/>
  <c r="R300" i="2" a="1"/>
  <c r="R300" i="2" s="1"/>
  <c r="Q300" i="2" a="1"/>
  <c r="Q300" i="2" s="1"/>
  <c r="P300" i="2" a="1"/>
  <c r="P300" i="2" s="1"/>
  <c r="O300" i="2" a="1"/>
  <c r="O300" i="2" s="1"/>
  <c r="M300" i="2" a="1"/>
  <c r="M300" i="2" s="1"/>
  <c r="K300" i="2" a="1"/>
  <c r="K300" i="2" s="1"/>
  <c r="J300" i="2" a="1"/>
  <c r="J300" i="2" s="1"/>
  <c r="H300" i="2" a="1"/>
  <c r="H300" i="2" s="1"/>
  <c r="F300" i="2" a="1"/>
  <c r="F300" i="2" s="1"/>
  <c r="D300" i="2" a="1"/>
  <c r="D300" i="2" s="1"/>
  <c r="E300" i="2" s="1"/>
  <c r="C300" i="2" a="1"/>
  <c r="C300" i="2" s="1"/>
  <c r="A300" i="2" a="1"/>
  <c r="A300" i="2" s="1"/>
  <c r="X299" i="2" a="1"/>
  <c r="X299" i="2" s="1"/>
  <c r="W299" i="2" a="1"/>
  <c r="W299" i="2" s="1"/>
  <c r="V299" i="2" a="1"/>
  <c r="V299" i="2" s="1"/>
  <c r="U299" i="2" a="1"/>
  <c r="U299" i="2" s="1"/>
  <c r="T299" i="2" a="1"/>
  <c r="T299" i="2" s="1"/>
  <c r="S299" i="2" a="1"/>
  <c r="S299" i="2" s="1"/>
  <c r="R299" i="2" a="1"/>
  <c r="R299" i="2" s="1"/>
  <c r="Q299" i="2" a="1"/>
  <c r="Q299" i="2" s="1"/>
  <c r="P299" i="2" a="1"/>
  <c r="P299" i="2" s="1"/>
  <c r="O299" i="2" a="1"/>
  <c r="O299" i="2" s="1"/>
  <c r="M299" i="2" a="1"/>
  <c r="M299" i="2" s="1"/>
  <c r="K299" i="2" a="1"/>
  <c r="K299" i="2" s="1"/>
  <c r="J299" i="2" a="1"/>
  <c r="J299" i="2" s="1"/>
  <c r="H299" i="2" a="1"/>
  <c r="H299" i="2" s="1"/>
  <c r="F299" i="2" a="1"/>
  <c r="F299" i="2" s="1"/>
  <c r="D299" i="2" a="1"/>
  <c r="D299" i="2" s="1"/>
  <c r="E299" i="2" s="1"/>
  <c r="C299" i="2" a="1"/>
  <c r="C299" i="2" s="1"/>
  <c r="A299" i="2" a="1"/>
  <c r="A299" i="2" s="1"/>
  <c r="X298" i="2" a="1"/>
  <c r="X298" i="2" s="1"/>
  <c r="W298" i="2" a="1"/>
  <c r="W298" i="2" s="1"/>
  <c r="V298" i="2" a="1"/>
  <c r="V298" i="2" s="1"/>
  <c r="U298" i="2" a="1"/>
  <c r="U298" i="2" s="1"/>
  <c r="T298" i="2" a="1"/>
  <c r="T298" i="2" s="1"/>
  <c r="S298" i="2" a="1"/>
  <c r="S298" i="2" s="1"/>
  <c r="R298" i="2" a="1"/>
  <c r="R298" i="2" s="1"/>
  <c r="Q298" i="2" a="1"/>
  <c r="Q298" i="2" s="1"/>
  <c r="P298" i="2" a="1"/>
  <c r="P298" i="2" s="1"/>
  <c r="O298" i="2" a="1"/>
  <c r="O298" i="2" s="1"/>
  <c r="M298" i="2" a="1"/>
  <c r="M298" i="2" s="1"/>
  <c r="K298" i="2" a="1"/>
  <c r="K298" i="2" s="1"/>
  <c r="J298" i="2" a="1"/>
  <c r="J298" i="2" s="1"/>
  <c r="H298" i="2" a="1"/>
  <c r="H298" i="2" s="1"/>
  <c r="F298" i="2" a="1"/>
  <c r="F298" i="2" s="1"/>
  <c r="D298" i="2" a="1"/>
  <c r="D298" i="2" s="1"/>
  <c r="E298" i="2" s="1"/>
  <c r="C298" i="2" a="1"/>
  <c r="C298" i="2" s="1"/>
  <c r="A298" i="2" a="1"/>
  <c r="A298" i="2" s="1"/>
  <c r="X297" i="2" a="1"/>
  <c r="X297" i="2" s="1"/>
  <c r="W297" i="2" a="1"/>
  <c r="W297" i="2" s="1"/>
  <c r="V297" i="2" a="1"/>
  <c r="V297" i="2" s="1"/>
  <c r="U297" i="2" a="1"/>
  <c r="U297" i="2" s="1"/>
  <c r="T297" i="2" a="1"/>
  <c r="T297" i="2" s="1"/>
  <c r="S297" i="2" a="1"/>
  <c r="S297" i="2" s="1"/>
  <c r="R297" i="2" a="1"/>
  <c r="R297" i="2" s="1"/>
  <c r="Q297" i="2" a="1"/>
  <c r="Q297" i="2" s="1"/>
  <c r="P297" i="2" a="1"/>
  <c r="P297" i="2" s="1"/>
  <c r="O297" i="2" a="1"/>
  <c r="O297" i="2" s="1"/>
  <c r="M297" i="2" a="1"/>
  <c r="M297" i="2" s="1"/>
  <c r="K297" i="2" a="1"/>
  <c r="K297" i="2" s="1"/>
  <c r="J297" i="2" a="1"/>
  <c r="J297" i="2" s="1"/>
  <c r="H297" i="2" a="1"/>
  <c r="H297" i="2" s="1"/>
  <c r="F297" i="2" a="1"/>
  <c r="F297" i="2" s="1"/>
  <c r="D297" i="2" a="1"/>
  <c r="D297" i="2" s="1"/>
  <c r="E297" i="2" s="1"/>
  <c r="C297" i="2" a="1"/>
  <c r="C297" i="2" s="1"/>
  <c r="A297" i="2" a="1"/>
  <c r="A297" i="2" s="1"/>
  <c r="AC297" i="2" s="1"/>
  <c r="X296" i="2" a="1"/>
  <c r="X296" i="2" s="1"/>
  <c r="W296" i="2" a="1"/>
  <c r="W296" i="2" s="1"/>
  <c r="V296" i="2" a="1"/>
  <c r="V296" i="2" s="1"/>
  <c r="U296" i="2" a="1"/>
  <c r="U296" i="2" s="1"/>
  <c r="T296" i="2" a="1"/>
  <c r="T296" i="2" s="1"/>
  <c r="S296" i="2" a="1"/>
  <c r="S296" i="2" s="1"/>
  <c r="R296" i="2" a="1"/>
  <c r="R296" i="2" s="1"/>
  <c r="Q296" i="2" a="1"/>
  <c r="Q296" i="2" s="1"/>
  <c r="P296" i="2" a="1"/>
  <c r="P296" i="2" s="1"/>
  <c r="O296" i="2" a="1"/>
  <c r="O296" i="2" s="1"/>
  <c r="M296" i="2" a="1"/>
  <c r="M296" i="2" s="1"/>
  <c r="K296" i="2" a="1"/>
  <c r="K296" i="2" s="1"/>
  <c r="J296" i="2" a="1"/>
  <c r="J296" i="2" s="1"/>
  <c r="H296" i="2" a="1"/>
  <c r="H296" i="2" s="1"/>
  <c r="F296" i="2" a="1"/>
  <c r="F296" i="2" s="1"/>
  <c r="D296" i="2" a="1"/>
  <c r="D296" i="2" s="1"/>
  <c r="E296" i="2" s="1"/>
  <c r="C296" i="2" a="1"/>
  <c r="C296" i="2" s="1"/>
  <c r="A296" i="2" a="1"/>
  <c r="A296" i="2" s="1"/>
  <c r="X295" i="2" a="1"/>
  <c r="X295" i="2" s="1"/>
  <c r="W295" i="2" a="1"/>
  <c r="W295" i="2" s="1"/>
  <c r="V295" i="2" a="1"/>
  <c r="V295" i="2" s="1"/>
  <c r="U295" i="2" a="1"/>
  <c r="U295" i="2" s="1"/>
  <c r="T295" i="2" a="1"/>
  <c r="T295" i="2" s="1"/>
  <c r="S295" i="2" a="1"/>
  <c r="S295" i="2" s="1"/>
  <c r="R295" i="2" a="1"/>
  <c r="R295" i="2" s="1"/>
  <c r="Q295" i="2" a="1"/>
  <c r="Q295" i="2" s="1"/>
  <c r="P295" i="2" a="1"/>
  <c r="P295" i="2" s="1"/>
  <c r="O295" i="2" a="1"/>
  <c r="O295" i="2" s="1"/>
  <c r="M295" i="2" a="1"/>
  <c r="M295" i="2" s="1"/>
  <c r="K295" i="2" a="1"/>
  <c r="K295" i="2" s="1"/>
  <c r="J295" i="2" a="1"/>
  <c r="J295" i="2" s="1"/>
  <c r="H295" i="2" a="1"/>
  <c r="H295" i="2" s="1"/>
  <c r="F295" i="2" a="1"/>
  <c r="F295" i="2" s="1"/>
  <c r="D295" i="2" a="1"/>
  <c r="D295" i="2" s="1"/>
  <c r="E295" i="2" s="1"/>
  <c r="C295" i="2" a="1"/>
  <c r="C295" i="2" s="1"/>
  <c r="A295" i="2" a="1"/>
  <c r="A295" i="2" s="1"/>
  <c r="Z295" i="2" s="1"/>
  <c r="X294" i="2" a="1"/>
  <c r="X294" i="2" s="1"/>
  <c r="W294" i="2" a="1"/>
  <c r="W294" i="2" s="1"/>
  <c r="V294" i="2" a="1"/>
  <c r="V294" i="2" s="1"/>
  <c r="U294" i="2" a="1"/>
  <c r="U294" i="2" s="1"/>
  <c r="T294" i="2" a="1"/>
  <c r="T294" i="2" s="1"/>
  <c r="S294" i="2" a="1"/>
  <c r="S294" i="2" s="1"/>
  <c r="R294" i="2" a="1"/>
  <c r="R294" i="2" s="1"/>
  <c r="Q294" i="2" a="1"/>
  <c r="Q294" i="2" s="1"/>
  <c r="P294" i="2" a="1"/>
  <c r="P294" i="2" s="1"/>
  <c r="O294" i="2" a="1"/>
  <c r="O294" i="2" s="1"/>
  <c r="M294" i="2" a="1"/>
  <c r="M294" i="2" s="1"/>
  <c r="K294" i="2" a="1"/>
  <c r="K294" i="2" s="1"/>
  <c r="J294" i="2" a="1"/>
  <c r="J294" i="2" s="1"/>
  <c r="H294" i="2" a="1"/>
  <c r="H294" i="2" s="1"/>
  <c r="F294" i="2" a="1"/>
  <c r="F294" i="2" s="1"/>
  <c r="D294" i="2" a="1"/>
  <c r="D294" i="2" s="1"/>
  <c r="E294" i="2" s="1"/>
  <c r="C294" i="2" a="1"/>
  <c r="C294" i="2" s="1"/>
  <c r="A294" i="2" a="1"/>
  <c r="A294" i="2" s="1"/>
  <c r="AA294" i="2" s="1"/>
  <c r="X293" i="2" a="1"/>
  <c r="X293" i="2" s="1"/>
  <c r="W293" i="2" a="1"/>
  <c r="W293" i="2" s="1"/>
  <c r="V293" i="2" a="1"/>
  <c r="V293" i="2" s="1"/>
  <c r="U293" i="2" a="1"/>
  <c r="U293" i="2" s="1"/>
  <c r="T293" i="2" a="1"/>
  <c r="T293" i="2" s="1"/>
  <c r="S293" i="2" a="1"/>
  <c r="S293" i="2" s="1"/>
  <c r="R293" i="2" a="1"/>
  <c r="R293" i="2" s="1"/>
  <c r="Q293" i="2" a="1"/>
  <c r="Q293" i="2" s="1"/>
  <c r="P293" i="2" a="1"/>
  <c r="P293" i="2" s="1"/>
  <c r="O293" i="2" a="1"/>
  <c r="O293" i="2" s="1"/>
  <c r="M293" i="2" a="1"/>
  <c r="M293" i="2" s="1"/>
  <c r="K293" i="2" a="1"/>
  <c r="K293" i="2" s="1"/>
  <c r="J293" i="2" a="1"/>
  <c r="J293" i="2" s="1"/>
  <c r="H293" i="2" a="1"/>
  <c r="H293" i="2" s="1"/>
  <c r="F293" i="2" a="1"/>
  <c r="F293" i="2" s="1"/>
  <c r="D293" i="2" a="1"/>
  <c r="D293" i="2" s="1"/>
  <c r="E293" i="2" s="1"/>
  <c r="C293" i="2" a="1"/>
  <c r="C293" i="2" s="1"/>
  <c r="A293" i="2" a="1"/>
  <c r="A293" i="2" s="1"/>
  <c r="AB293" i="2" s="1"/>
  <c r="X292" i="2" a="1"/>
  <c r="X292" i="2" s="1"/>
  <c r="W292" i="2" a="1"/>
  <c r="W292" i="2" s="1"/>
  <c r="V292" i="2" a="1"/>
  <c r="V292" i="2" s="1"/>
  <c r="U292" i="2" a="1"/>
  <c r="U292" i="2" s="1"/>
  <c r="T292" i="2" a="1"/>
  <c r="T292" i="2" s="1"/>
  <c r="S292" i="2" a="1"/>
  <c r="S292" i="2" s="1"/>
  <c r="R292" i="2" a="1"/>
  <c r="R292" i="2" s="1"/>
  <c r="Q292" i="2" a="1"/>
  <c r="Q292" i="2" s="1"/>
  <c r="P292" i="2" a="1"/>
  <c r="P292" i="2" s="1"/>
  <c r="O292" i="2" a="1"/>
  <c r="O292" i="2" s="1"/>
  <c r="M292" i="2" a="1"/>
  <c r="M292" i="2" s="1"/>
  <c r="K292" i="2" a="1"/>
  <c r="K292" i="2" s="1"/>
  <c r="J292" i="2" a="1"/>
  <c r="J292" i="2" s="1"/>
  <c r="H292" i="2" a="1"/>
  <c r="H292" i="2" s="1"/>
  <c r="F292" i="2" a="1"/>
  <c r="F292" i="2" s="1"/>
  <c r="D292" i="2" a="1"/>
  <c r="D292" i="2" s="1"/>
  <c r="E292" i="2" s="1"/>
  <c r="C292" i="2" a="1"/>
  <c r="C292" i="2" s="1"/>
  <c r="A292" i="2" a="1"/>
  <c r="A292" i="2" s="1"/>
  <c r="X291" i="2" a="1"/>
  <c r="X291" i="2" s="1"/>
  <c r="W291" i="2" a="1"/>
  <c r="W291" i="2" s="1"/>
  <c r="V291" i="2" a="1"/>
  <c r="V291" i="2" s="1"/>
  <c r="U291" i="2" a="1"/>
  <c r="U291" i="2" s="1"/>
  <c r="T291" i="2" a="1"/>
  <c r="T291" i="2" s="1"/>
  <c r="S291" i="2" a="1"/>
  <c r="S291" i="2" s="1"/>
  <c r="R291" i="2" a="1"/>
  <c r="R291" i="2" s="1"/>
  <c r="Q291" i="2" a="1"/>
  <c r="Q291" i="2" s="1"/>
  <c r="P291" i="2" a="1"/>
  <c r="P291" i="2" s="1"/>
  <c r="O291" i="2" a="1"/>
  <c r="O291" i="2" s="1"/>
  <c r="M291" i="2" a="1"/>
  <c r="M291" i="2" s="1"/>
  <c r="K291" i="2" a="1"/>
  <c r="K291" i="2" s="1"/>
  <c r="J291" i="2" a="1"/>
  <c r="J291" i="2" s="1"/>
  <c r="H291" i="2" a="1"/>
  <c r="H291" i="2" s="1"/>
  <c r="F291" i="2" a="1"/>
  <c r="F291" i="2" s="1"/>
  <c r="D291" i="2" a="1"/>
  <c r="D291" i="2" s="1"/>
  <c r="E291" i="2" s="1"/>
  <c r="C291" i="2" a="1"/>
  <c r="C291" i="2" s="1"/>
  <c r="A291" i="2" a="1"/>
  <c r="A291" i="2" s="1"/>
  <c r="X290" i="2" a="1"/>
  <c r="X290" i="2" s="1"/>
  <c r="W290" i="2" a="1"/>
  <c r="W290" i="2" s="1"/>
  <c r="V290" i="2" a="1"/>
  <c r="V290" i="2" s="1"/>
  <c r="U290" i="2" a="1"/>
  <c r="U290" i="2" s="1"/>
  <c r="T290" i="2" a="1"/>
  <c r="T290" i="2" s="1"/>
  <c r="S290" i="2" a="1"/>
  <c r="S290" i="2" s="1"/>
  <c r="R290" i="2" a="1"/>
  <c r="R290" i="2" s="1"/>
  <c r="Q290" i="2" a="1"/>
  <c r="Q290" i="2" s="1"/>
  <c r="P290" i="2" a="1"/>
  <c r="P290" i="2" s="1"/>
  <c r="O290" i="2" a="1"/>
  <c r="O290" i="2" s="1"/>
  <c r="M290" i="2" a="1"/>
  <c r="M290" i="2" s="1"/>
  <c r="K290" i="2" a="1"/>
  <c r="K290" i="2" s="1"/>
  <c r="J290" i="2" a="1"/>
  <c r="J290" i="2" s="1"/>
  <c r="H290" i="2" a="1"/>
  <c r="H290" i="2" s="1"/>
  <c r="F290" i="2" a="1"/>
  <c r="F290" i="2" s="1"/>
  <c r="D290" i="2" a="1"/>
  <c r="D290" i="2" s="1"/>
  <c r="E290" i="2" s="1"/>
  <c r="C290" i="2" a="1"/>
  <c r="C290" i="2" s="1"/>
  <c r="A290" i="2" a="1"/>
  <c r="A290" i="2" s="1"/>
  <c r="X289" i="2" a="1"/>
  <c r="X289" i="2" s="1"/>
  <c r="W289" i="2" a="1"/>
  <c r="W289" i="2" s="1"/>
  <c r="V289" i="2" a="1"/>
  <c r="V289" i="2" s="1"/>
  <c r="U289" i="2" a="1"/>
  <c r="U289" i="2" s="1"/>
  <c r="T289" i="2" a="1"/>
  <c r="T289" i="2" s="1"/>
  <c r="S289" i="2" a="1"/>
  <c r="S289" i="2" s="1"/>
  <c r="R289" i="2" a="1"/>
  <c r="R289" i="2" s="1"/>
  <c r="Q289" i="2" a="1"/>
  <c r="Q289" i="2" s="1"/>
  <c r="P289" i="2" a="1"/>
  <c r="P289" i="2" s="1"/>
  <c r="O289" i="2" a="1"/>
  <c r="O289" i="2" s="1"/>
  <c r="M289" i="2" a="1"/>
  <c r="M289" i="2" s="1"/>
  <c r="K289" i="2" a="1"/>
  <c r="K289" i="2" s="1"/>
  <c r="J289" i="2" a="1"/>
  <c r="J289" i="2" s="1"/>
  <c r="H289" i="2" a="1"/>
  <c r="H289" i="2" s="1"/>
  <c r="F289" i="2" a="1"/>
  <c r="F289" i="2" s="1"/>
  <c r="D289" i="2" a="1"/>
  <c r="D289" i="2" s="1"/>
  <c r="E289" i="2" s="1"/>
  <c r="C289" i="2" a="1"/>
  <c r="C289" i="2" s="1"/>
  <c r="A289" i="2" a="1"/>
  <c r="A289" i="2" s="1"/>
  <c r="X288" i="2" a="1"/>
  <c r="X288" i="2" s="1"/>
  <c r="W288" i="2" a="1"/>
  <c r="W288" i="2" s="1"/>
  <c r="V288" i="2" a="1"/>
  <c r="V288" i="2" s="1"/>
  <c r="U288" i="2" a="1"/>
  <c r="U288" i="2" s="1"/>
  <c r="T288" i="2" a="1"/>
  <c r="T288" i="2" s="1"/>
  <c r="S288" i="2" a="1"/>
  <c r="S288" i="2" s="1"/>
  <c r="R288" i="2" a="1"/>
  <c r="R288" i="2" s="1"/>
  <c r="Q288" i="2" a="1"/>
  <c r="Q288" i="2" s="1"/>
  <c r="P288" i="2" a="1"/>
  <c r="P288" i="2" s="1"/>
  <c r="O288" i="2" a="1"/>
  <c r="O288" i="2" s="1"/>
  <c r="M288" i="2" a="1"/>
  <c r="M288" i="2" s="1"/>
  <c r="K288" i="2" a="1"/>
  <c r="K288" i="2" s="1"/>
  <c r="J288" i="2" a="1"/>
  <c r="J288" i="2" s="1"/>
  <c r="H288" i="2" a="1"/>
  <c r="H288" i="2" s="1"/>
  <c r="F288" i="2" a="1"/>
  <c r="F288" i="2" s="1"/>
  <c r="D288" i="2" a="1"/>
  <c r="D288" i="2" s="1"/>
  <c r="E288" i="2" s="1"/>
  <c r="C288" i="2" a="1"/>
  <c r="C288" i="2" s="1"/>
  <c r="A288" i="2" a="1"/>
  <c r="A288" i="2" s="1"/>
  <c r="AD288" i="2" s="1"/>
  <c r="X287" i="2" a="1"/>
  <c r="X287" i="2" s="1"/>
  <c r="W287" i="2" a="1"/>
  <c r="W287" i="2" s="1"/>
  <c r="V287" i="2" a="1"/>
  <c r="V287" i="2" s="1"/>
  <c r="U287" i="2" a="1"/>
  <c r="U287" i="2" s="1"/>
  <c r="T287" i="2" a="1"/>
  <c r="T287" i="2" s="1"/>
  <c r="S287" i="2" a="1"/>
  <c r="S287" i="2" s="1"/>
  <c r="R287" i="2" a="1"/>
  <c r="R287" i="2" s="1"/>
  <c r="Q287" i="2" a="1"/>
  <c r="Q287" i="2" s="1"/>
  <c r="P287" i="2" a="1"/>
  <c r="P287" i="2" s="1"/>
  <c r="O287" i="2" a="1"/>
  <c r="O287" i="2" s="1"/>
  <c r="M287" i="2" a="1"/>
  <c r="M287" i="2" s="1"/>
  <c r="K287" i="2" a="1"/>
  <c r="K287" i="2" s="1"/>
  <c r="J287" i="2" a="1"/>
  <c r="J287" i="2" s="1"/>
  <c r="H287" i="2" a="1"/>
  <c r="H287" i="2" s="1"/>
  <c r="F287" i="2" a="1"/>
  <c r="F287" i="2" s="1"/>
  <c r="D287" i="2" a="1"/>
  <c r="D287" i="2" s="1"/>
  <c r="E287" i="2" s="1"/>
  <c r="C287" i="2" a="1"/>
  <c r="C287" i="2" s="1"/>
  <c r="A287" i="2" a="1"/>
  <c r="A287" i="2" s="1"/>
  <c r="AC287" i="2" s="1"/>
  <c r="X286" i="2" a="1"/>
  <c r="X286" i="2" s="1"/>
  <c r="W286" i="2" a="1"/>
  <c r="W286" i="2" s="1"/>
  <c r="V286" i="2" a="1"/>
  <c r="V286" i="2" s="1"/>
  <c r="U286" i="2" a="1"/>
  <c r="U286" i="2" s="1"/>
  <c r="T286" i="2" a="1"/>
  <c r="T286" i="2" s="1"/>
  <c r="S286" i="2" a="1"/>
  <c r="S286" i="2" s="1"/>
  <c r="R286" i="2" a="1"/>
  <c r="R286" i="2" s="1"/>
  <c r="Q286" i="2" a="1"/>
  <c r="Q286" i="2" s="1"/>
  <c r="P286" i="2" a="1"/>
  <c r="P286" i="2" s="1"/>
  <c r="O286" i="2" a="1"/>
  <c r="O286" i="2" s="1"/>
  <c r="M286" i="2" a="1"/>
  <c r="M286" i="2" s="1"/>
  <c r="K286" i="2" a="1"/>
  <c r="K286" i="2" s="1"/>
  <c r="J286" i="2" a="1"/>
  <c r="J286" i="2" s="1"/>
  <c r="H286" i="2" a="1"/>
  <c r="H286" i="2" s="1"/>
  <c r="F286" i="2" a="1"/>
  <c r="F286" i="2" s="1"/>
  <c r="D286" i="2" a="1"/>
  <c r="D286" i="2" s="1"/>
  <c r="E286" i="2" s="1"/>
  <c r="C286" i="2" a="1"/>
  <c r="C286" i="2" s="1"/>
  <c r="A286" i="2" a="1"/>
  <c r="A286" i="2" s="1"/>
  <c r="X285" i="2" a="1"/>
  <c r="X285" i="2" s="1"/>
  <c r="W285" i="2" a="1"/>
  <c r="W285" i="2" s="1"/>
  <c r="V285" i="2" a="1"/>
  <c r="V285" i="2" s="1"/>
  <c r="U285" i="2" a="1"/>
  <c r="U285" i="2" s="1"/>
  <c r="T285" i="2" a="1"/>
  <c r="T285" i="2" s="1"/>
  <c r="S285" i="2" a="1"/>
  <c r="S285" i="2" s="1"/>
  <c r="R285" i="2" a="1"/>
  <c r="R285" i="2" s="1"/>
  <c r="Q285" i="2" a="1"/>
  <c r="Q285" i="2" s="1"/>
  <c r="P285" i="2" a="1"/>
  <c r="P285" i="2" s="1"/>
  <c r="O285" i="2" a="1"/>
  <c r="O285" i="2" s="1"/>
  <c r="M285" i="2" a="1"/>
  <c r="M285" i="2" s="1"/>
  <c r="K285" i="2" a="1"/>
  <c r="K285" i="2" s="1"/>
  <c r="J285" i="2" a="1"/>
  <c r="J285" i="2" s="1"/>
  <c r="H285" i="2" a="1"/>
  <c r="H285" i="2" s="1"/>
  <c r="F285" i="2" a="1"/>
  <c r="F285" i="2" s="1"/>
  <c r="D285" i="2" a="1"/>
  <c r="D285" i="2" s="1"/>
  <c r="E285" i="2" s="1"/>
  <c r="C285" i="2" a="1"/>
  <c r="C285" i="2" s="1"/>
  <c r="A285" i="2" a="1"/>
  <c r="A285" i="2" s="1"/>
  <c r="X284" i="2" a="1"/>
  <c r="X284" i="2" s="1"/>
  <c r="W284" i="2" a="1"/>
  <c r="W284" i="2" s="1"/>
  <c r="V284" i="2" a="1"/>
  <c r="V284" i="2" s="1"/>
  <c r="U284" i="2" a="1"/>
  <c r="U284" i="2" s="1"/>
  <c r="T284" i="2" a="1"/>
  <c r="T284" i="2" s="1"/>
  <c r="S284" i="2" a="1"/>
  <c r="S284" i="2" s="1"/>
  <c r="R284" i="2" a="1"/>
  <c r="R284" i="2" s="1"/>
  <c r="Q284" i="2" a="1"/>
  <c r="Q284" i="2" s="1"/>
  <c r="P284" i="2" a="1"/>
  <c r="P284" i="2" s="1"/>
  <c r="O284" i="2" a="1"/>
  <c r="O284" i="2" s="1"/>
  <c r="M284" i="2" a="1"/>
  <c r="M284" i="2" s="1"/>
  <c r="K284" i="2" a="1"/>
  <c r="K284" i="2" s="1"/>
  <c r="J284" i="2" a="1"/>
  <c r="J284" i="2" s="1"/>
  <c r="H284" i="2" a="1"/>
  <c r="H284" i="2" s="1"/>
  <c r="F284" i="2" a="1"/>
  <c r="F284" i="2" s="1"/>
  <c r="D284" i="2" a="1"/>
  <c r="D284" i="2" s="1"/>
  <c r="E284" i="2" s="1"/>
  <c r="C284" i="2" a="1"/>
  <c r="C284" i="2" s="1"/>
  <c r="A284" i="2" a="1"/>
  <c r="A284" i="2" s="1"/>
  <c r="X283" i="2" a="1"/>
  <c r="X283" i="2" s="1"/>
  <c r="W283" i="2" a="1"/>
  <c r="W283" i="2" s="1"/>
  <c r="V283" i="2" a="1"/>
  <c r="V283" i="2" s="1"/>
  <c r="U283" i="2" a="1"/>
  <c r="U283" i="2" s="1"/>
  <c r="T283" i="2" a="1"/>
  <c r="T283" i="2" s="1"/>
  <c r="S283" i="2" a="1"/>
  <c r="S283" i="2" s="1"/>
  <c r="R283" i="2" a="1"/>
  <c r="R283" i="2" s="1"/>
  <c r="Q283" i="2" a="1"/>
  <c r="Q283" i="2" s="1"/>
  <c r="P283" i="2" a="1"/>
  <c r="P283" i="2" s="1"/>
  <c r="O283" i="2" a="1"/>
  <c r="O283" i="2" s="1"/>
  <c r="M283" i="2" a="1"/>
  <c r="M283" i="2" s="1"/>
  <c r="K283" i="2" a="1"/>
  <c r="K283" i="2" s="1"/>
  <c r="J283" i="2" a="1"/>
  <c r="J283" i="2" s="1"/>
  <c r="H283" i="2" a="1"/>
  <c r="H283" i="2" s="1"/>
  <c r="F283" i="2" a="1"/>
  <c r="F283" i="2" s="1"/>
  <c r="D283" i="2" a="1"/>
  <c r="D283" i="2" s="1"/>
  <c r="E283" i="2" s="1"/>
  <c r="C283" i="2" a="1"/>
  <c r="C283" i="2" s="1"/>
  <c r="A283" i="2" a="1"/>
  <c r="A283" i="2" s="1"/>
  <c r="AD283" i="2" s="1"/>
  <c r="X282" i="2" a="1"/>
  <c r="X282" i="2" s="1"/>
  <c r="W282" i="2" a="1"/>
  <c r="W282" i="2" s="1"/>
  <c r="V282" i="2" a="1"/>
  <c r="V282" i="2" s="1"/>
  <c r="U282" i="2" a="1"/>
  <c r="U282" i="2" s="1"/>
  <c r="T282" i="2" a="1"/>
  <c r="T282" i="2" s="1"/>
  <c r="S282" i="2" a="1"/>
  <c r="S282" i="2" s="1"/>
  <c r="R282" i="2" a="1"/>
  <c r="R282" i="2" s="1"/>
  <c r="Q282" i="2" a="1"/>
  <c r="Q282" i="2" s="1"/>
  <c r="P282" i="2" a="1"/>
  <c r="P282" i="2" s="1"/>
  <c r="O282" i="2" a="1"/>
  <c r="O282" i="2" s="1"/>
  <c r="M282" i="2" a="1"/>
  <c r="M282" i="2" s="1"/>
  <c r="K282" i="2" a="1"/>
  <c r="K282" i="2" s="1"/>
  <c r="J282" i="2" a="1"/>
  <c r="J282" i="2" s="1"/>
  <c r="H282" i="2" a="1"/>
  <c r="H282" i="2" s="1"/>
  <c r="F282" i="2" a="1"/>
  <c r="F282" i="2" s="1"/>
  <c r="D282" i="2" a="1"/>
  <c r="D282" i="2" s="1"/>
  <c r="E282" i="2" s="1"/>
  <c r="C282" i="2" a="1"/>
  <c r="C282" i="2" s="1"/>
  <c r="A282" i="2" a="1"/>
  <c r="A282" i="2" s="1"/>
  <c r="X281" i="2" a="1"/>
  <c r="X281" i="2" s="1"/>
  <c r="W281" i="2" a="1"/>
  <c r="W281" i="2" s="1"/>
  <c r="V281" i="2" a="1"/>
  <c r="V281" i="2" s="1"/>
  <c r="U281" i="2" a="1"/>
  <c r="U281" i="2" s="1"/>
  <c r="T281" i="2" a="1"/>
  <c r="T281" i="2" s="1"/>
  <c r="S281" i="2" a="1"/>
  <c r="S281" i="2" s="1"/>
  <c r="R281" i="2" a="1"/>
  <c r="R281" i="2" s="1"/>
  <c r="Q281" i="2" a="1"/>
  <c r="Q281" i="2" s="1"/>
  <c r="P281" i="2" a="1"/>
  <c r="P281" i="2" s="1"/>
  <c r="O281" i="2" a="1"/>
  <c r="O281" i="2" s="1"/>
  <c r="M281" i="2" a="1"/>
  <c r="M281" i="2" s="1"/>
  <c r="K281" i="2" a="1"/>
  <c r="K281" i="2" s="1"/>
  <c r="J281" i="2" a="1"/>
  <c r="J281" i="2" s="1"/>
  <c r="H281" i="2" a="1"/>
  <c r="H281" i="2" s="1"/>
  <c r="F281" i="2" a="1"/>
  <c r="F281" i="2" s="1"/>
  <c r="D281" i="2" a="1"/>
  <c r="D281" i="2" s="1"/>
  <c r="E281" i="2" s="1"/>
  <c r="C281" i="2" a="1"/>
  <c r="C281" i="2" s="1"/>
  <c r="A281" i="2" a="1"/>
  <c r="A281" i="2" s="1"/>
  <c r="X280" i="2" a="1"/>
  <c r="X280" i="2" s="1"/>
  <c r="W280" i="2" a="1"/>
  <c r="W280" i="2" s="1"/>
  <c r="V280" i="2" a="1"/>
  <c r="V280" i="2" s="1"/>
  <c r="U280" i="2" a="1"/>
  <c r="U280" i="2" s="1"/>
  <c r="T280" i="2" a="1"/>
  <c r="T280" i="2" s="1"/>
  <c r="S280" i="2" a="1"/>
  <c r="S280" i="2" s="1"/>
  <c r="R280" i="2" a="1"/>
  <c r="R280" i="2" s="1"/>
  <c r="Q280" i="2" a="1"/>
  <c r="Q280" i="2" s="1"/>
  <c r="P280" i="2" a="1"/>
  <c r="P280" i="2" s="1"/>
  <c r="O280" i="2" a="1"/>
  <c r="O280" i="2" s="1"/>
  <c r="M280" i="2" a="1"/>
  <c r="M280" i="2" s="1"/>
  <c r="K280" i="2" a="1"/>
  <c r="K280" i="2" s="1"/>
  <c r="J280" i="2" a="1"/>
  <c r="J280" i="2" s="1"/>
  <c r="H280" i="2" a="1"/>
  <c r="H280" i="2" s="1"/>
  <c r="F280" i="2" a="1"/>
  <c r="F280" i="2" s="1"/>
  <c r="D280" i="2" a="1"/>
  <c r="D280" i="2" s="1"/>
  <c r="E280" i="2" s="1"/>
  <c r="C280" i="2" a="1"/>
  <c r="C280" i="2" s="1"/>
  <c r="A280" i="2" a="1"/>
  <c r="A280" i="2" s="1"/>
  <c r="X279" i="2" a="1"/>
  <c r="X279" i="2" s="1"/>
  <c r="W279" i="2" a="1"/>
  <c r="W279" i="2" s="1"/>
  <c r="V279" i="2" a="1"/>
  <c r="V279" i="2" s="1"/>
  <c r="U279" i="2" a="1"/>
  <c r="U279" i="2" s="1"/>
  <c r="T279" i="2" a="1"/>
  <c r="T279" i="2" s="1"/>
  <c r="S279" i="2" a="1"/>
  <c r="S279" i="2" s="1"/>
  <c r="R279" i="2" a="1"/>
  <c r="R279" i="2" s="1"/>
  <c r="Q279" i="2" a="1"/>
  <c r="Q279" i="2" s="1"/>
  <c r="P279" i="2" a="1"/>
  <c r="P279" i="2" s="1"/>
  <c r="O279" i="2" a="1"/>
  <c r="O279" i="2" s="1"/>
  <c r="M279" i="2" a="1"/>
  <c r="M279" i="2" s="1"/>
  <c r="K279" i="2" a="1"/>
  <c r="K279" i="2" s="1"/>
  <c r="J279" i="2" a="1"/>
  <c r="J279" i="2" s="1"/>
  <c r="H279" i="2" a="1"/>
  <c r="H279" i="2" s="1"/>
  <c r="F279" i="2" a="1"/>
  <c r="F279" i="2" s="1"/>
  <c r="D279" i="2" a="1"/>
  <c r="D279" i="2" s="1"/>
  <c r="E279" i="2" s="1"/>
  <c r="C279" i="2" a="1"/>
  <c r="C279" i="2" s="1"/>
  <c r="A279" i="2" a="1"/>
  <c r="A279" i="2" s="1"/>
  <c r="X278" i="2" a="1"/>
  <c r="X278" i="2" s="1"/>
  <c r="W278" i="2" a="1"/>
  <c r="W278" i="2" s="1"/>
  <c r="V278" i="2" a="1"/>
  <c r="V278" i="2" s="1"/>
  <c r="U278" i="2" a="1"/>
  <c r="U278" i="2" s="1"/>
  <c r="T278" i="2" a="1"/>
  <c r="T278" i="2" s="1"/>
  <c r="S278" i="2" a="1"/>
  <c r="S278" i="2" s="1"/>
  <c r="R278" i="2" a="1"/>
  <c r="R278" i="2" s="1"/>
  <c r="Q278" i="2" a="1"/>
  <c r="Q278" i="2" s="1"/>
  <c r="P278" i="2" a="1"/>
  <c r="P278" i="2" s="1"/>
  <c r="O278" i="2" a="1"/>
  <c r="O278" i="2" s="1"/>
  <c r="M278" i="2" a="1"/>
  <c r="M278" i="2" s="1"/>
  <c r="K278" i="2" a="1"/>
  <c r="K278" i="2" s="1"/>
  <c r="J278" i="2" a="1"/>
  <c r="J278" i="2" s="1"/>
  <c r="H278" i="2" a="1"/>
  <c r="H278" i="2" s="1"/>
  <c r="F278" i="2" a="1"/>
  <c r="F278" i="2" s="1"/>
  <c r="D278" i="2" a="1"/>
  <c r="D278" i="2" s="1"/>
  <c r="E278" i="2" s="1"/>
  <c r="C278" i="2" a="1"/>
  <c r="C278" i="2" s="1"/>
  <c r="A278" i="2" a="1"/>
  <c r="A278" i="2" s="1"/>
  <c r="X277" i="2" a="1"/>
  <c r="X277" i="2" s="1"/>
  <c r="W277" i="2" a="1"/>
  <c r="W277" i="2" s="1"/>
  <c r="V277" i="2" a="1"/>
  <c r="V277" i="2" s="1"/>
  <c r="U277" i="2" a="1"/>
  <c r="U277" i="2" s="1"/>
  <c r="T277" i="2" a="1"/>
  <c r="T277" i="2" s="1"/>
  <c r="S277" i="2" a="1"/>
  <c r="S277" i="2" s="1"/>
  <c r="R277" i="2" a="1"/>
  <c r="R277" i="2" s="1"/>
  <c r="Q277" i="2" a="1"/>
  <c r="Q277" i="2" s="1"/>
  <c r="P277" i="2" a="1"/>
  <c r="P277" i="2" s="1"/>
  <c r="O277" i="2" a="1"/>
  <c r="O277" i="2" s="1"/>
  <c r="M277" i="2" a="1"/>
  <c r="M277" i="2" s="1"/>
  <c r="K277" i="2" a="1"/>
  <c r="K277" i="2" s="1"/>
  <c r="J277" i="2" a="1"/>
  <c r="J277" i="2" s="1"/>
  <c r="H277" i="2" a="1"/>
  <c r="H277" i="2" s="1"/>
  <c r="F277" i="2" a="1"/>
  <c r="F277" i="2" s="1"/>
  <c r="D277" i="2" a="1"/>
  <c r="D277" i="2" s="1"/>
  <c r="E277" i="2" s="1"/>
  <c r="C277" i="2" a="1"/>
  <c r="C277" i="2" s="1"/>
  <c r="A277" i="2" a="1"/>
  <c r="A277" i="2" s="1"/>
  <c r="X276" i="2" a="1"/>
  <c r="X276" i="2" s="1"/>
  <c r="W276" i="2" a="1"/>
  <c r="W276" i="2" s="1"/>
  <c r="V276" i="2" a="1"/>
  <c r="V276" i="2" s="1"/>
  <c r="U276" i="2" a="1"/>
  <c r="U276" i="2" s="1"/>
  <c r="T276" i="2" a="1"/>
  <c r="T276" i="2" s="1"/>
  <c r="S276" i="2" a="1"/>
  <c r="S276" i="2" s="1"/>
  <c r="R276" i="2" a="1"/>
  <c r="R276" i="2" s="1"/>
  <c r="Q276" i="2" a="1"/>
  <c r="Q276" i="2" s="1"/>
  <c r="P276" i="2" a="1"/>
  <c r="P276" i="2" s="1"/>
  <c r="O276" i="2" a="1"/>
  <c r="O276" i="2" s="1"/>
  <c r="M276" i="2" a="1"/>
  <c r="M276" i="2" s="1"/>
  <c r="K276" i="2" a="1"/>
  <c r="K276" i="2" s="1"/>
  <c r="J276" i="2" a="1"/>
  <c r="J276" i="2" s="1"/>
  <c r="H276" i="2" a="1"/>
  <c r="H276" i="2" s="1"/>
  <c r="F276" i="2" a="1"/>
  <c r="F276" i="2" s="1"/>
  <c r="D276" i="2" a="1"/>
  <c r="D276" i="2" s="1"/>
  <c r="E276" i="2" s="1"/>
  <c r="C276" i="2" a="1"/>
  <c r="C276" i="2" s="1"/>
  <c r="A276" i="2" a="1"/>
  <c r="A276" i="2" s="1"/>
  <c r="AD276" i="2" s="1"/>
  <c r="X275" i="2" a="1"/>
  <c r="X275" i="2" s="1"/>
  <c r="W275" i="2" a="1"/>
  <c r="W275" i="2" s="1"/>
  <c r="V275" i="2" a="1"/>
  <c r="V275" i="2" s="1"/>
  <c r="U275" i="2" a="1"/>
  <c r="U275" i="2" s="1"/>
  <c r="T275" i="2" a="1"/>
  <c r="T275" i="2" s="1"/>
  <c r="S275" i="2" a="1"/>
  <c r="S275" i="2" s="1"/>
  <c r="R275" i="2" a="1"/>
  <c r="R275" i="2" s="1"/>
  <c r="Q275" i="2" a="1"/>
  <c r="Q275" i="2" s="1"/>
  <c r="P275" i="2" a="1"/>
  <c r="P275" i="2" s="1"/>
  <c r="O275" i="2" a="1"/>
  <c r="O275" i="2" s="1"/>
  <c r="M275" i="2" a="1"/>
  <c r="M275" i="2" s="1"/>
  <c r="K275" i="2" a="1"/>
  <c r="K275" i="2" s="1"/>
  <c r="J275" i="2" a="1"/>
  <c r="J275" i="2" s="1"/>
  <c r="H275" i="2" a="1"/>
  <c r="H275" i="2" s="1"/>
  <c r="F275" i="2" a="1"/>
  <c r="F275" i="2" s="1"/>
  <c r="D275" i="2" a="1"/>
  <c r="D275" i="2" s="1"/>
  <c r="E275" i="2" s="1"/>
  <c r="C275" i="2" a="1"/>
  <c r="C275" i="2" s="1"/>
  <c r="A275" i="2" a="1"/>
  <c r="A275" i="2" s="1"/>
  <c r="X274" i="2" a="1"/>
  <c r="X274" i="2" s="1"/>
  <c r="W274" i="2" a="1"/>
  <c r="W274" i="2" s="1"/>
  <c r="V274" i="2" a="1"/>
  <c r="V274" i="2" s="1"/>
  <c r="U274" i="2" a="1"/>
  <c r="U274" i="2" s="1"/>
  <c r="T274" i="2" a="1"/>
  <c r="T274" i="2" s="1"/>
  <c r="S274" i="2" a="1"/>
  <c r="S274" i="2" s="1"/>
  <c r="R274" i="2" a="1"/>
  <c r="R274" i="2" s="1"/>
  <c r="Q274" i="2" a="1"/>
  <c r="Q274" i="2" s="1"/>
  <c r="P274" i="2" a="1"/>
  <c r="P274" i="2" s="1"/>
  <c r="O274" i="2" a="1"/>
  <c r="O274" i="2" s="1"/>
  <c r="M274" i="2" a="1"/>
  <c r="M274" i="2" s="1"/>
  <c r="K274" i="2" a="1"/>
  <c r="K274" i="2" s="1"/>
  <c r="J274" i="2" a="1"/>
  <c r="J274" i="2" s="1"/>
  <c r="H274" i="2" a="1"/>
  <c r="H274" i="2" s="1"/>
  <c r="F274" i="2" a="1"/>
  <c r="F274" i="2" s="1"/>
  <c r="D274" i="2" a="1"/>
  <c r="D274" i="2" s="1"/>
  <c r="E274" i="2" s="1"/>
  <c r="C274" i="2" a="1"/>
  <c r="C274" i="2" s="1"/>
  <c r="A274" i="2" a="1"/>
  <c r="A274" i="2" s="1"/>
  <c r="X273" i="2" a="1"/>
  <c r="X273" i="2" s="1"/>
  <c r="W273" i="2" a="1"/>
  <c r="W273" i="2" s="1"/>
  <c r="V273" i="2" a="1"/>
  <c r="V273" i="2" s="1"/>
  <c r="U273" i="2" a="1"/>
  <c r="U273" i="2" s="1"/>
  <c r="T273" i="2" a="1"/>
  <c r="T273" i="2" s="1"/>
  <c r="S273" i="2" a="1"/>
  <c r="S273" i="2" s="1"/>
  <c r="R273" i="2" a="1"/>
  <c r="R273" i="2" s="1"/>
  <c r="Q273" i="2" a="1"/>
  <c r="Q273" i="2" s="1"/>
  <c r="P273" i="2" a="1"/>
  <c r="P273" i="2" s="1"/>
  <c r="O273" i="2" a="1"/>
  <c r="O273" i="2" s="1"/>
  <c r="M273" i="2" a="1"/>
  <c r="M273" i="2" s="1"/>
  <c r="K273" i="2" a="1"/>
  <c r="K273" i="2" s="1"/>
  <c r="J273" i="2" a="1"/>
  <c r="J273" i="2" s="1"/>
  <c r="H273" i="2" a="1"/>
  <c r="H273" i="2" s="1"/>
  <c r="F273" i="2" a="1"/>
  <c r="F273" i="2" s="1"/>
  <c r="D273" i="2" a="1"/>
  <c r="D273" i="2" s="1"/>
  <c r="E273" i="2" s="1"/>
  <c r="C273" i="2" a="1"/>
  <c r="C273" i="2" s="1"/>
  <c r="A273" i="2" a="1"/>
  <c r="A273" i="2" s="1"/>
  <c r="X272" i="2" a="1"/>
  <c r="X272" i="2" s="1"/>
  <c r="W272" i="2" a="1"/>
  <c r="W272" i="2" s="1"/>
  <c r="V272" i="2" a="1"/>
  <c r="V272" i="2" s="1"/>
  <c r="U272" i="2" a="1"/>
  <c r="U272" i="2" s="1"/>
  <c r="T272" i="2" a="1"/>
  <c r="T272" i="2" s="1"/>
  <c r="S272" i="2" a="1"/>
  <c r="S272" i="2" s="1"/>
  <c r="R272" i="2" a="1"/>
  <c r="R272" i="2" s="1"/>
  <c r="Q272" i="2" a="1"/>
  <c r="Q272" i="2" s="1"/>
  <c r="P272" i="2" a="1"/>
  <c r="P272" i="2" s="1"/>
  <c r="O272" i="2" a="1"/>
  <c r="O272" i="2" s="1"/>
  <c r="M272" i="2" a="1"/>
  <c r="M272" i="2" s="1"/>
  <c r="K272" i="2" a="1"/>
  <c r="K272" i="2" s="1"/>
  <c r="J272" i="2" a="1"/>
  <c r="J272" i="2" s="1"/>
  <c r="H272" i="2" a="1"/>
  <c r="H272" i="2" s="1"/>
  <c r="F272" i="2" a="1"/>
  <c r="F272" i="2" s="1"/>
  <c r="D272" i="2" a="1"/>
  <c r="D272" i="2" s="1"/>
  <c r="E272" i="2" s="1"/>
  <c r="C272" i="2" a="1"/>
  <c r="C272" i="2" s="1"/>
  <c r="A272" i="2" a="1"/>
  <c r="A272" i="2" s="1"/>
  <c r="AA272" i="2" s="1"/>
  <c r="X271" i="2" a="1"/>
  <c r="X271" i="2" s="1"/>
  <c r="W271" i="2" a="1"/>
  <c r="W271" i="2" s="1"/>
  <c r="V271" i="2" a="1"/>
  <c r="V271" i="2" s="1"/>
  <c r="U271" i="2" a="1"/>
  <c r="U271" i="2" s="1"/>
  <c r="T271" i="2" a="1"/>
  <c r="T271" i="2" s="1"/>
  <c r="S271" i="2" a="1"/>
  <c r="S271" i="2" s="1"/>
  <c r="R271" i="2" a="1"/>
  <c r="R271" i="2" s="1"/>
  <c r="Q271" i="2" a="1"/>
  <c r="Q271" i="2" s="1"/>
  <c r="P271" i="2" a="1"/>
  <c r="P271" i="2" s="1"/>
  <c r="O271" i="2" a="1"/>
  <c r="O271" i="2" s="1"/>
  <c r="M271" i="2" a="1"/>
  <c r="M271" i="2" s="1"/>
  <c r="K271" i="2" a="1"/>
  <c r="K271" i="2" s="1"/>
  <c r="J271" i="2" a="1"/>
  <c r="J271" i="2" s="1"/>
  <c r="H271" i="2" a="1"/>
  <c r="H271" i="2" s="1"/>
  <c r="F271" i="2" a="1"/>
  <c r="F271" i="2" s="1"/>
  <c r="D271" i="2" a="1"/>
  <c r="D271" i="2" s="1"/>
  <c r="E271" i="2" s="1"/>
  <c r="C271" i="2" a="1"/>
  <c r="C271" i="2" s="1"/>
  <c r="A271" i="2" a="1"/>
  <c r="A271" i="2" s="1"/>
  <c r="AD271" i="2" s="1"/>
  <c r="X270" i="2" a="1"/>
  <c r="X270" i="2" s="1"/>
  <c r="W270" i="2" a="1"/>
  <c r="W270" i="2" s="1"/>
  <c r="V270" i="2" a="1"/>
  <c r="V270" i="2" s="1"/>
  <c r="U270" i="2" a="1"/>
  <c r="U270" i="2" s="1"/>
  <c r="T270" i="2" a="1"/>
  <c r="T270" i="2" s="1"/>
  <c r="S270" i="2" a="1"/>
  <c r="S270" i="2" s="1"/>
  <c r="R270" i="2" a="1"/>
  <c r="R270" i="2" s="1"/>
  <c r="Q270" i="2" a="1"/>
  <c r="Q270" i="2" s="1"/>
  <c r="P270" i="2" a="1"/>
  <c r="P270" i="2" s="1"/>
  <c r="O270" i="2" a="1"/>
  <c r="O270" i="2" s="1"/>
  <c r="M270" i="2" a="1"/>
  <c r="M270" i="2" s="1"/>
  <c r="K270" i="2" a="1"/>
  <c r="K270" i="2" s="1"/>
  <c r="J270" i="2" a="1"/>
  <c r="J270" i="2" s="1"/>
  <c r="H270" i="2" a="1"/>
  <c r="H270" i="2" s="1"/>
  <c r="F270" i="2" a="1"/>
  <c r="F270" i="2" s="1"/>
  <c r="D270" i="2" a="1"/>
  <c r="D270" i="2" s="1"/>
  <c r="E270" i="2" s="1"/>
  <c r="C270" i="2" a="1"/>
  <c r="C270" i="2" s="1"/>
  <c r="A270" i="2" a="1"/>
  <c r="A270" i="2" s="1"/>
  <c r="AD270" i="2" s="1"/>
  <c r="X269" i="2" a="1"/>
  <c r="X269" i="2" s="1"/>
  <c r="W269" i="2" a="1"/>
  <c r="W269" i="2" s="1"/>
  <c r="V269" i="2" a="1"/>
  <c r="V269" i="2" s="1"/>
  <c r="U269" i="2" a="1"/>
  <c r="U269" i="2" s="1"/>
  <c r="T269" i="2" a="1"/>
  <c r="T269" i="2" s="1"/>
  <c r="S269" i="2" a="1"/>
  <c r="S269" i="2" s="1"/>
  <c r="R269" i="2" a="1"/>
  <c r="R269" i="2" s="1"/>
  <c r="Q269" i="2" a="1"/>
  <c r="Q269" i="2" s="1"/>
  <c r="P269" i="2" a="1"/>
  <c r="P269" i="2" s="1"/>
  <c r="O269" i="2" a="1"/>
  <c r="O269" i="2" s="1"/>
  <c r="M269" i="2" a="1"/>
  <c r="M269" i="2" s="1"/>
  <c r="K269" i="2" a="1"/>
  <c r="K269" i="2" s="1"/>
  <c r="J269" i="2" a="1"/>
  <c r="J269" i="2" s="1"/>
  <c r="H269" i="2" a="1"/>
  <c r="H269" i="2" s="1"/>
  <c r="F269" i="2" a="1"/>
  <c r="F269" i="2" s="1"/>
  <c r="D269" i="2" a="1"/>
  <c r="D269" i="2" s="1"/>
  <c r="E269" i="2" s="1"/>
  <c r="C269" i="2" a="1"/>
  <c r="C269" i="2" s="1"/>
  <c r="A269" i="2" a="1"/>
  <c r="A269" i="2" s="1"/>
  <c r="X268" i="2" a="1"/>
  <c r="X268" i="2" s="1"/>
  <c r="W268" i="2" a="1"/>
  <c r="W268" i="2" s="1"/>
  <c r="V268" i="2" a="1"/>
  <c r="V268" i="2" s="1"/>
  <c r="U268" i="2" a="1"/>
  <c r="U268" i="2" s="1"/>
  <c r="T268" i="2" a="1"/>
  <c r="T268" i="2" s="1"/>
  <c r="S268" i="2" a="1"/>
  <c r="S268" i="2" s="1"/>
  <c r="R268" i="2" a="1"/>
  <c r="R268" i="2" s="1"/>
  <c r="Q268" i="2" a="1"/>
  <c r="Q268" i="2" s="1"/>
  <c r="P268" i="2" a="1"/>
  <c r="P268" i="2" s="1"/>
  <c r="O268" i="2" a="1"/>
  <c r="O268" i="2" s="1"/>
  <c r="M268" i="2" a="1"/>
  <c r="M268" i="2" s="1"/>
  <c r="K268" i="2" a="1"/>
  <c r="K268" i="2" s="1"/>
  <c r="J268" i="2" a="1"/>
  <c r="J268" i="2" s="1"/>
  <c r="H268" i="2" a="1"/>
  <c r="H268" i="2" s="1"/>
  <c r="F268" i="2" a="1"/>
  <c r="F268" i="2" s="1"/>
  <c r="D268" i="2" a="1"/>
  <c r="D268" i="2" s="1"/>
  <c r="E268" i="2" s="1"/>
  <c r="C268" i="2" a="1"/>
  <c r="C268" i="2" s="1"/>
  <c r="A268" i="2" a="1"/>
  <c r="A268" i="2" s="1"/>
  <c r="X267" i="2" a="1"/>
  <c r="X267" i="2" s="1"/>
  <c r="W267" i="2" a="1"/>
  <c r="W267" i="2" s="1"/>
  <c r="V267" i="2" a="1"/>
  <c r="V267" i="2" s="1"/>
  <c r="U267" i="2" a="1"/>
  <c r="U267" i="2" s="1"/>
  <c r="T267" i="2" a="1"/>
  <c r="T267" i="2" s="1"/>
  <c r="S267" i="2" a="1"/>
  <c r="S267" i="2" s="1"/>
  <c r="R267" i="2" a="1"/>
  <c r="R267" i="2" s="1"/>
  <c r="Q267" i="2" a="1"/>
  <c r="Q267" i="2" s="1"/>
  <c r="P267" i="2" a="1"/>
  <c r="P267" i="2" s="1"/>
  <c r="O267" i="2" a="1"/>
  <c r="O267" i="2" s="1"/>
  <c r="M267" i="2" a="1"/>
  <c r="M267" i="2" s="1"/>
  <c r="K267" i="2" a="1"/>
  <c r="K267" i="2" s="1"/>
  <c r="J267" i="2" a="1"/>
  <c r="J267" i="2" s="1"/>
  <c r="H267" i="2" a="1"/>
  <c r="H267" i="2" s="1"/>
  <c r="F267" i="2" a="1"/>
  <c r="F267" i="2" s="1"/>
  <c r="D267" i="2" a="1"/>
  <c r="D267" i="2" s="1"/>
  <c r="E267" i="2" s="1"/>
  <c r="C267" i="2" a="1"/>
  <c r="C267" i="2" s="1"/>
  <c r="A267" i="2" a="1"/>
  <c r="A267" i="2" s="1"/>
  <c r="X266" i="2" a="1"/>
  <c r="X266" i="2" s="1"/>
  <c r="W266" i="2" a="1"/>
  <c r="W266" i="2" s="1"/>
  <c r="V266" i="2" a="1"/>
  <c r="V266" i="2" s="1"/>
  <c r="U266" i="2" a="1"/>
  <c r="U266" i="2" s="1"/>
  <c r="T266" i="2" a="1"/>
  <c r="T266" i="2" s="1"/>
  <c r="S266" i="2" a="1"/>
  <c r="S266" i="2" s="1"/>
  <c r="R266" i="2" a="1"/>
  <c r="R266" i="2" s="1"/>
  <c r="Q266" i="2" a="1"/>
  <c r="Q266" i="2" s="1"/>
  <c r="P266" i="2" a="1"/>
  <c r="P266" i="2" s="1"/>
  <c r="O266" i="2" a="1"/>
  <c r="O266" i="2" s="1"/>
  <c r="M266" i="2" a="1"/>
  <c r="M266" i="2" s="1"/>
  <c r="K266" i="2" a="1"/>
  <c r="K266" i="2" s="1"/>
  <c r="J266" i="2" a="1"/>
  <c r="J266" i="2" s="1"/>
  <c r="H266" i="2" a="1"/>
  <c r="H266" i="2" s="1"/>
  <c r="F266" i="2" a="1"/>
  <c r="F266" i="2" s="1"/>
  <c r="D266" i="2" a="1"/>
  <c r="D266" i="2" s="1"/>
  <c r="E266" i="2" s="1"/>
  <c r="C266" i="2" a="1"/>
  <c r="C266" i="2" s="1"/>
  <c r="A266" i="2" a="1"/>
  <c r="A266" i="2" s="1"/>
  <c r="X265" i="2" a="1"/>
  <c r="X265" i="2" s="1"/>
  <c r="W265" i="2" a="1"/>
  <c r="W265" i="2" s="1"/>
  <c r="V265" i="2" a="1"/>
  <c r="V265" i="2" s="1"/>
  <c r="U265" i="2" a="1"/>
  <c r="U265" i="2" s="1"/>
  <c r="T265" i="2" a="1"/>
  <c r="T265" i="2" s="1"/>
  <c r="S265" i="2" a="1"/>
  <c r="S265" i="2" s="1"/>
  <c r="R265" i="2" a="1"/>
  <c r="R265" i="2" s="1"/>
  <c r="Q265" i="2" a="1"/>
  <c r="Q265" i="2" s="1"/>
  <c r="P265" i="2" a="1"/>
  <c r="P265" i="2" s="1"/>
  <c r="O265" i="2" a="1"/>
  <c r="O265" i="2" s="1"/>
  <c r="M265" i="2" a="1"/>
  <c r="M265" i="2" s="1"/>
  <c r="K265" i="2" a="1"/>
  <c r="K265" i="2" s="1"/>
  <c r="J265" i="2" a="1"/>
  <c r="J265" i="2" s="1"/>
  <c r="H265" i="2" a="1"/>
  <c r="H265" i="2" s="1"/>
  <c r="F265" i="2" a="1"/>
  <c r="F265" i="2" s="1"/>
  <c r="D265" i="2" a="1"/>
  <c r="D265" i="2" s="1"/>
  <c r="E265" i="2" s="1"/>
  <c r="C265" i="2" a="1"/>
  <c r="C265" i="2" s="1"/>
  <c r="A265" i="2" a="1"/>
  <c r="A265" i="2" s="1"/>
  <c r="X264" i="2" a="1"/>
  <c r="X264" i="2" s="1"/>
  <c r="W264" i="2" a="1"/>
  <c r="W264" i="2" s="1"/>
  <c r="V264" i="2" a="1"/>
  <c r="V264" i="2" s="1"/>
  <c r="U264" i="2" a="1"/>
  <c r="U264" i="2" s="1"/>
  <c r="T264" i="2" a="1"/>
  <c r="T264" i="2" s="1"/>
  <c r="S264" i="2" a="1"/>
  <c r="S264" i="2" s="1"/>
  <c r="R264" i="2" a="1"/>
  <c r="R264" i="2" s="1"/>
  <c r="Q264" i="2" a="1"/>
  <c r="Q264" i="2" s="1"/>
  <c r="P264" i="2" a="1"/>
  <c r="P264" i="2" s="1"/>
  <c r="O264" i="2" a="1"/>
  <c r="O264" i="2" s="1"/>
  <c r="M264" i="2" a="1"/>
  <c r="M264" i="2" s="1"/>
  <c r="K264" i="2" a="1"/>
  <c r="K264" i="2" s="1"/>
  <c r="J264" i="2" a="1"/>
  <c r="J264" i="2" s="1"/>
  <c r="H264" i="2" a="1"/>
  <c r="H264" i="2" s="1"/>
  <c r="F264" i="2" a="1"/>
  <c r="F264" i="2" s="1"/>
  <c r="D264" i="2" a="1"/>
  <c r="D264" i="2" s="1"/>
  <c r="E264" i="2" s="1"/>
  <c r="C264" i="2" a="1"/>
  <c r="C264" i="2" s="1"/>
  <c r="A264" i="2" a="1"/>
  <c r="A264" i="2" s="1"/>
  <c r="AD264" i="2" s="1"/>
  <c r="X263" i="2" a="1"/>
  <c r="X263" i="2" s="1"/>
  <c r="W263" i="2" a="1"/>
  <c r="W263" i="2" s="1"/>
  <c r="V263" i="2" a="1"/>
  <c r="V263" i="2" s="1"/>
  <c r="U263" i="2" a="1"/>
  <c r="U263" i="2" s="1"/>
  <c r="T263" i="2" a="1"/>
  <c r="T263" i="2" s="1"/>
  <c r="S263" i="2" a="1"/>
  <c r="S263" i="2" s="1"/>
  <c r="R263" i="2" a="1"/>
  <c r="R263" i="2" s="1"/>
  <c r="Q263" i="2" a="1"/>
  <c r="Q263" i="2" s="1"/>
  <c r="P263" i="2" a="1"/>
  <c r="P263" i="2" s="1"/>
  <c r="O263" i="2" a="1"/>
  <c r="O263" i="2" s="1"/>
  <c r="M263" i="2" a="1"/>
  <c r="M263" i="2" s="1"/>
  <c r="K263" i="2" a="1"/>
  <c r="K263" i="2" s="1"/>
  <c r="J263" i="2" a="1"/>
  <c r="J263" i="2" s="1"/>
  <c r="H263" i="2" a="1"/>
  <c r="H263" i="2" s="1"/>
  <c r="F263" i="2" a="1"/>
  <c r="F263" i="2"/>
  <c r="D263" i="2" a="1"/>
  <c r="D263" i="2" s="1"/>
  <c r="E263" i="2" s="1"/>
  <c r="C263" i="2" a="1"/>
  <c r="C263" i="2" s="1"/>
  <c r="A263" i="2" a="1"/>
  <c r="A263" i="2" s="1"/>
  <c r="X262" i="2" a="1"/>
  <c r="X262" i="2" s="1"/>
  <c r="W262" i="2" a="1"/>
  <c r="W262" i="2" s="1"/>
  <c r="V262" i="2" a="1"/>
  <c r="V262" i="2" s="1"/>
  <c r="U262" i="2" a="1"/>
  <c r="U262" i="2" s="1"/>
  <c r="T262" i="2" a="1"/>
  <c r="T262" i="2" s="1"/>
  <c r="S262" i="2" a="1"/>
  <c r="S262" i="2" s="1"/>
  <c r="R262" i="2" a="1"/>
  <c r="R262" i="2" s="1"/>
  <c r="Q262" i="2" a="1"/>
  <c r="Q262" i="2" s="1"/>
  <c r="P262" i="2" a="1"/>
  <c r="P262" i="2" s="1"/>
  <c r="O262" i="2" a="1"/>
  <c r="O262" i="2" s="1"/>
  <c r="M262" i="2" a="1"/>
  <c r="M262" i="2" s="1"/>
  <c r="K262" i="2" a="1"/>
  <c r="K262" i="2" s="1"/>
  <c r="J262" i="2" a="1"/>
  <c r="J262" i="2" s="1"/>
  <c r="H262" i="2" a="1"/>
  <c r="H262" i="2" s="1"/>
  <c r="F262" i="2" a="1"/>
  <c r="F262" i="2" s="1"/>
  <c r="D262" i="2" a="1"/>
  <c r="D262" i="2" s="1"/>
  <c r="E262" i="2" s="1"/>
  <c r="C262" i="2" a="1"/>
  <c r="C262" i="2" s="1"/>
  <c r="A262" i="2" a="1"/>
  <c r="A262" i="2" s="1"/>
  <c r="X261" i="2" a="1"/>
  <c r="X261" i="2" s="1"/>
  <c r="W261" i="2" a="1"/>
  <c r="W261" i="2" s="1"/>
  <c r="V261" i="2" a="1"/>
  <c r="V261" i="2" s="1"/>
  <c r="U261" i="2" a="1"/>
  <c r="U261" i="2" s="1"/>
  <c r="T261" i="2" a="1"/>
  <c r="T261" i="2" s="1"/>
  <c r="S261" i="2" a="1"/>
  <c r="S261" i="2" s="1"/>
  <c r="R261" i="2" a="1"/>
  <c r="R261" i="2" s="1"/>
  <c r="Q261" i="2" a="1"/>
  <c r="Q261" i="2" s="1"/>
  <c r="P261" i="2" a="1"/>
  <c r="P261" i="2" s="1"/>
  <c r="O261" i="2" a="1"/>
  <c r="O261" i="2" s="1"/>
  <c r="M261" i="2" a="1"/>
  <c r="M261" i="2" s="1"/>
  <c r="K261" i="2" a="1"/>
  <c r="K261" i="2" s="1"/>
  <c r="J261" i="2" a="1"/>
  <c r="J261" i="2" s="1"/>
  <c r="H261" i="2" a="1"/>
  <c r="H261" i="2" s="1"/>
  <c r="F261" i="2" a="1"/>
  <c r="F261" i="2" s="1"/>
  <c r="D261" i="2" a="1"/>
  <c r="D261" i="2" s="1"/>
  <c r="E261" i="2" s="1"/>
  <c r="C261" i="2" a="1"/>
  <c r="C261" i="2" s="1"/>
  <c r="A261" i="2" a="1"/>
  <c r="A261" i="2" s="1"/>
  <c r="X260" i="2" a="1"/>
  <c r="X260" i="2" s="1"/>
  <c r="W260" i="2" a="1"/>
  <c r="W260" i="2" s="1"/>
  <c r="V260" i="2" a="1"/>
  <c r="V260" i="2" s="1"/>
  <c r="U260" i="2" a="1"/>
  <c r="U260" i="2" s="1"/>
  <c r="T260" i="2" a="1"/>
  <c r="T260" i="2" s="1"/>
  <c r="S260" i="2" a="1"/>
  <c r="S260" i="2" s="1"/>
  <c r="R260" i="2" a="1"/>
  <c r="R260" i="2" s="1"/>
  <c r="Q260" i="2" a="1"/>
  <c r="Q260" i="2" s="1"/>
  <c r="P260" i="2" a="1"/>
  <c r="P260" i="2" s="1"/>
  <c r="O260" i="2" a="1"/>
  <c r="O260" i="2" s="1"/>
  <c r="M260" i="2" a="1"/>
  <c r="M260" i="2" s="1"/>
  <c r="K260" i="2" a="1"/>
  <c r="K260" i="2" s="1"/>
  <c r="J260" i="2" a="1"/>
  <c r="J260" i="2" s="1"/>
  <c r="H260" i="2" a="1"/>
  <c r="H260" i="2" s="1"/>
  <c r="F260" i="2" a="1"/>
  <c r="F260" i="2" s="1"/>
  <c r="D260" i="2" a="1"/>
  <c r="D260" i="2" s="1"/>
  <c r="E260" i="2" s="1"/>
  <c r="C260" i="2" a="1"/>
  <c r="C260" i="2" s="1"/>
  <c r="A260" i="2" a="1"/>
  <c r="A260" i="2" s="1"/>
  <c r="X259" i="2" a="1"/>
  <c r="X259" i="2" s="1"/>
  <c r="W259" i="2" a="1"/>
  <c r="W259" i="2" s="1"/>
  <c r="V259" i="2" a="1"/>
  <c r="V259" i="2" s="1"/>
  <c r="U259" i="2" a="1"/>
  <c r="U259" i="2" s="1"/>
  <c r="T259" i="2" a="1"/>
  <c r="T259" i="2" s="1"/>
  <c r="S259" i="2" a="1"/>
  <c r="S259" i="2" s="1"/>
  <c r="R259" i="2" a="1"/>
  <c r="R259" i="2" s="1"/>
  <c r="Q259" i="2" a="1"/>
  <c r="Q259" i="2" s="1"/>
  <c r="P259" i="2" a="1"/>
  <c r="P259" i="2" s="1"/>
  <c r="O259" i="2" a="1"/>
  <c r="O259" i="2" s="1"/>
  <c r="M259" i="2" a="1"/>
  <c r="M259" i="2" s="1"/>
  <c r="K259" i="2" a="1"/>
  <c r="K259" i="2" s="1"/>
  <c r="J259" i="2" a="1"/>
  <c r="J259" i="2" s="1"/>
  <c r="H259" i="2" a="1"/>
  <c r="H259" i="2" s="1"/>
  <c r="F259" i="2" a="1"/>
  <c r="F259" i="2" s="1"/>
  <c r="D259" i="2" a="1"/>
  <c r="D259" i="2" s="1"/>
  <c r="E259" i="2" s="1"/>
  <c r="C259" i="2" a="1"/>
  <c r="C259" i="2" s="1"/>
  <c r="A259" i="2" a="1"/>
  <c r="A259" i="2" s="1"/>
  <c r="AD259" i="2" s="1"/>
  <c r="X258" i="2" a="1"/>
  <c r="X258" i="2" s="1"/>
  <c r="W258" i="2" a="1"/>
  <c r="W258" i="2" s="1"/>
  <c r="V258" i="2" a="1"/>
  <c r="V258" i="2" s="1"/>
  <c r="U258" i="2" a="1"/>
  <c r="U258" i="2" s="1"/>
  <c r="T258" i="2" a="1"/>
  <c r="T258" i="2" s="1"/>
  <c r="S258" i="2" a="1"/>
  <c r="S258" i="2" s="1"/>
  <c r="R258" i="2" a="1"/>
  <c r="R258" i="2" s="1"/>
  <c r="Q258" i="2" a="1"/>
  <c r="Q258" i="2" s="1"/>
  <c r="P258" i="2" a="1"/>
  <c r="P258" i="2" s="1"/>
  <c r="O258" i="2" a="1"/>
  <c r="O258" i="2" s="1"/>
  <c r="M258" i="2" a="1"/>
  <c r="M258" i="2" s="1"/>
  <c r="K258" i="2" a="1"/>
  <c r="K258" i="2" s="1"/>
  <c r="J258" i="2" a="1"/>
  <c r="J258" i="2" s="1"/>
  <c r="H258" i="2" a="1"/>
  <c r="H258" i="2" s="1"/>
  <c r="F258" i="2" a="1"/>
  <c r="F258" i="2" s="1"/>
  <c r="D258" i="2" a="1"/>
  <c r="D258" i="2" s="1"/>
  <c r="E258" i="2" s="1"/>
  <c r="C258" i="2" a="1"/>
  <c r="C258" i="2" s="1"/>
  <c r="A258" i="2" a="1"/>
  <c r="A258" i="2" s="1"/>
  <c r="X257" i="2" a="1"/>
  <c r="X257" i="2" s="1"/>
  <c r="W257" i="2" a="1"/>
  <c r="W257" i="2" s="1"/>
  <c r="V257" i="2" a="1"/>
  <c r="V257" i="2" s="1"/>
  <c r="U257" i="2" a="1"/>
  <c r="U257" i="2" s="1"/>
  <c r="T257" i="2" a="1"/>
  <c r="T257" i="2" s="1"/>
  <c r="S257" i="2" a="1"/>
  <c r="S257" i="2" s="1"/>
  <c r="R257" i="2" a="1"/>
  <c r="R257" i="2" s="1"/>
  <c r="Q257" i="2" a="1"/>
  <c r="Q257" i="2" s="1"/>
  <c r="P257" i="2" a="1"/>
  <c r="P257" i="2" s="1"/>
  <c r="O257" i="2" a="1"/>
  <c r="O257" i="2" s="1"/>
  <c r="M257" i="2" a="1"/>
  <c r="M257" i="2" s="1"/>
  <c r="K257" i="2" a="1"/>
  <c r="K257" i="2" s="1"/>
  <c r="J257" i="2" a="1"/>
  <c r="J257" i="2" s="1"/>
  <c r="H257" i="2" a="1"/>
  <c r="H257" i="2" s="1"/>
  <c r="F257" i="2" a="1"/>
  <c r="F257" i="2" s="1"/>
  <c r="D257" i="2" a="1"/>
  <c r="D257" i="2" s="1"/>
  <c r="E257" i="2" s="1"/>
  <c r="C257" i="2" a="1"/>
  <c r="C257" i="2" s="1"/>
  <c r="A257" i="2" a="1"/>
  <c r="A257" i="2" s="1"/>
  <c r="X256" i="2" a="1"/>
  <c r="X256" i="2" s="1"/>
  <c r="W256" i="2" a="1"/>
  <c r="W256" i="2" s="1"/>
  <c r="V256" i="2" a="1"/>
  <c r="V256" i="2" s="1"/>
  <c r="U256" i="2" a="1"/>
  <c r="U256" i="2" s="1"/>
  <c r="T256" i="2" a="1"/>
  <c r="T256" i="2" s="1"/>
  <c r="S256" i="2" a="1"/>
  <c r="S256" i="2" s="1"/>
  <c r="R256" i="2" a="1"/>
  <c r="R256" i="2" s="1"/>
  <c r="Q256" i="2" a="1"/>
  <c r="Q256" i="2" s="1"/>
  <c r="P256" i="2" a="1"/>
  <c r="P256" i="2" s="1"/>
  <c r="O256" i="2" a="1"/>
  <c r="O256" i="2" s="1"/>
  <c r="M256" i="2" a="1"/>
  <c r="M256" i="2" s="1"/>
  <c r="K256" i="2" a="1"/>
  <c r="K256" i="2" s="1"/>
  <c r="J256" i="2" a="1"/>
  <c r="J256" i="2" s="1"/>
  <c r="H256" i="2" a="1"/>
  <c r="H256" i="2" s="1"/>
  <c r="F256" i="2" a="1"/>
  <c r="F256" i="2" s="1"/>
  <c r="D256" i="2" a="1"/>
  <c r="D256" i="2" s="1"/>
  <c r="E256" i="2" s="1"/>
  <c r="C256" i="2" a="1"/>
  <c r="C256" i="2" s="1"/>
  <c r="A256" i="2" a="1"/>
  <c r="A256" i="2" s="1"/>
  <c r="X255" i="2" a="1"/>
  <c r="X255" i="2" s="1"/>
  <c r="W255" i="2" a="1"/>
  <c r="W255" i="2" s="1"/>
  <c r="V255" i="2" a="1"/>
  <c r="V255" i="2" s="1"/>
  <c r="U255" i="2" a="1"/>
  <c r="U255" i="2" s="1"/>
  <c r="T255" i="2" a="1"/>
  <c r="T255" i="2" s="1"/>
  <c r="S255" i="2" a="1"/>
  <c r="S255" i="2" s="1"/>
  <c r="R255" i="2" a="1"/>
  <c r="R255" i="2" s="1"/>
  <c r="Q255" i="2" a="1"/>
  <c r="Q255" i="2" s="1"/>
  <c r="P255" i="2" a="1"/>
  <c r="P255" i="2" s="1"/>
  <c r="O255" i="2" a="1"/>
  <c r="O255" i="2" s="1"/>
  <c r="M255" i="2" a="1"/>
  <c r="M255" i="2" s="1"/>
  <c r="K255" i="2" a="1"/>
  <c r="K255" i="2" s="1"/>
  <c r="J255" i="2" a="1"/>
  <c r="J255" i="2" s="1"/>
  <c r="H255" i="2" a="1"/>
  <c r="H255" i="2" s="1"/>
  <c r="F255" i="2" a="1"/>
  <c r="F255" i="2" s="1"/>
  <c r="D255" i="2" a="1"/>
  <c r="D255" i="2" s="1"/>
  <c r="E255" i="2" s="1"/>
  <c r="C255" i="2" a="1"/>
  <c r="C255" i="2" s="1"/>
  <c r="A255" i="2" a="1"/>
  <c r="A255" i="2" s="1"/>
  <c r="X254" i="2" a="1"/>
  <c r="X254" i="2" s="1"/>
  <c r="W254" i="2" a="1"/>
  <c r="W254" i="2" s="1"/>
  <c r="V254" i="2" a="1"/>
  <c r="V254" i="2" s="1"/>
  <c r="U254" i="2" a="1"/>
  <c r="U254" i="2" s="1"/>
  <c r="T254" i="2" a="1"/>
  <c r="T254" i="2" s="1"/>
  <c r="S254" i="2" a="1"/>
  <c r="S254" i="2" s="1"/>
  <c r="R254" i="2" a="1"/>
  <c r="R254" i="2" s="1"/>
  <c r="Q254" i="2" a="1"/>
  <c r="Q254" i="2"/>
  <c r="P254" i="2" a="1"/>
  <c r="P254" i="2" s="1"/>
  <c r="O254" i="2" a="1"/>
  <c r="O254" i="2" s="1"/>
  <c r="M254" i="2" a="1"/>
  <c r="M254" i="2" s="1"/>
  <c r="K254" i="2" a="1"/>
  <c r="K254" i="2" s="1"/>
  <c r="J254" i="2" a="1"/>
  <c r="J254" i="2" s="1"/>
  <c r="H254" i="2" a="1"/>
  <c r="H254" i="2" s="1"/>
  <c r="F254" i="2" a="1"/>
  <c r="F254" i="2" s="1"/>
  <c r="D254" i="2" a="1"/>
  <c r="D254" i="2" s="1"/>
  <c r="E254" i="2" s="1"/>
  <c r="C254" i="2" a="1"/>
  <c r="C254" i="2" s="1"/>
  <c r="A254" i="2" a="1"/>
  <c r="A254" i="2" s="1"/>
  <c r="X253" i="2" a="1"/>
  <c r="X253" i="2" s="1"/>
  <c r="W253" i="2" a="1"/>
  <c r="W253" i="2" s="1"/>
  <c r="V253" i="2" a="1"/>
  <c r="V253" i="2" s="1"/>
  <c r="U253" i="2" a="1"/>
  <c r="U253" i="2" s="1"/>
  <c r="T253" i="2" a="1"/>
  <c r="T253" i="2" s="1"/>
  <c r="S253" i="2" a="1"/>
  <c r="S253" i="2" s="1"/>
  <c r="R253" i="2" a="1"/>
  <c r="R253" i="2" s="1"/>
  <c r="Q253" i="2" a="1"/>
  <c r="Q253" i="2" s="1"/>
  <c r="P253" i="2" a="1"/>
  <c r="P253" i="2" s="1"/>
  <c r="O253" i="2" a="1"/>
  <c r="O253" i="2" s="1"/>
  <c r="M253" i="2" a="1"/>
  <c r="M253" i="2" s="1"/>
  <c r="K253" i="2" a="1"/>
  <c r="K253" i="2" s="1"/>
  <c r="J253" i="2" a="1"/>
  <c r="J253" i="2" s="1"/>
  <c r="H253" i="2" a="1"/>
  <c r="H253" i="2" s="1"/>
  <c r="F253" i="2" a="1"/>
  <c r="F253" i="2" s="1"/>
  <c r="D253" i="2" a="1"/>
  <c r="D253" i="2" s="1"/>
  <c r="E253" i="2" s="1"/>
  <c r="C253" i="2" a="1"/>
  <c r="C253" i="2" s="1"/>
  <c r="A253" i="2" a="1"/>
  <c r="A253" i="2" s="1"/>
  <c r="X252" i="2" a="1"/>
  <c r="X252" i="2" s="1"/>
  <c r="W252" i="2" a="1"/>
  <c r="W252" i="2" s="1"/>
  <c r="V252" i="2" a="1"/>
  <c r="V252" i="2" s="1"/>
  <c r="U252" i="2" a="1"/>
  <c r="U252" i="2" s="1"/>
  <c r="T252" i="2" a="1"/>
  <c r="T252" i="2" s="1"/>
  <c r="S252" i="2" a="1"/>
  <c r="S252" i="2" s="1"/>
  <c r="R252" i="2" a="1"/>
  <c r="R252" i="2" s="1"/>
  <c r="Q252" i="2" a="1"/>
  <c r="Q252" i="2" s="1"/>
  <c r="P252" i="2" a="1"/>
  <c r="P252" i="2" s="1"/>
  <c r="O252" i="2" a="1"/>
  <c r="O252" i="2" s="1"/>
  <c r="M252" i="2" a="1"/>
  <c r="M252" i="2" s="1"/>
  <c r="K252" i="2" a="1"/>
  <c r="K252" i="2" s="1"/>
  <c r="J252" i="2" a="1"/>
  <c r="J252" i="2" s="1"/>
  <c r="H252" i="2" a="1"/>
  <c r="H252" i="2" s="1"/>
  <c r="F252" i="2" a="1"/>
  <c r="F252" i="2" s="1"/>
  <c r="D252" i="2" a="1"/>
  <c r="D252" i="2" s="1"/>
  <c r="E252" i="2" s="1"/>
  <c r="C252" i="2" a="1"/>
  <c r="C252" i="2" s="1"/>
  <c r="A252" i="2" a="1"/>
  <c r="A252" i="2" s="1"/>
  <c r="AD252" i="2" s="1"/>
  <c r="X251" i="2" a="1"/>
  <c r="X251" i="2" s="1"/>
  <c r="W251" i="2" a="1"/>
  <c r="W251" i="2" s="1"/>
  <c r="V251" i="2" a="1"/>
  <c r="V251" i="2" s="1"/>
  <c r="U251" i="2" a="1"/>
  <c r="U251" i="2" s="1"/>
  <c r="T251" i="2" a="1"/>
  <c r="T251" i="2" s="1"/>
  <c r="S251" i="2" a="1"/>
  <c r="S251" i="2" s="1"/>
  <c r="R251" i="2" a="1"/>
  <c r="R251" i="2" s="1"/>
  <c r="Q251" i="2" a="1"/>
  <c r="Q251" i="2" s="1"/>
  <c r="P251" i="2" a="1"/>
  <c r="P251" i="2" s="1"/>
  <c r="O251" i="2" a="1"/>
  <c r="O251" i="2" s="1"/>
  <c r="M251" i="2" a="1"/>
  <c r="M251" i="2" s="1"/>
  <c r="K251" i="2" a="1"/>
  <c r="K251" i="2" s="1"/>
  <c r="J251" i="2" a="1"/>
  <c r="J251" i="2" s="1"/>
  <c r="H251" i="2" a="1"/>
  <c r="H251" i="2" s="1"/>
  <c r="F251" i="2" a="1"/>
  <c r="F251" i="2" s="1"/>
  <c r="D251" i="2" a="1"/>
  <c r="D251" i="2" s="1"/>
  <c r="E251" i="2" s="1"/>
  <c r="C251" i="2" a="1"/>
  <c r="C251" i="2" s="1"/>
  <c r="A251" i="2" a="1"/>
  <c r="A251" i="2" s="1"/>
  <c r="AD251" i="2" s="1"/>
  <c r="X250" i="2" a="1"/>
  <c r="X250" i="2" s="1"/>
  <c r="W250" i="2" a="1"/>
  <c r="W250" i="2" s="1"/>
  <c r="V250" i="2" a="1"/>
  <c r="V250" i="2" s="1"/>
  <c r="U250" i="2" a="1"/>
  <c r="U250" i="2" s="1"/>
  <c r="T250" i="2" a="1"/>
  <c r="T250" i="2" s="1"/>
  <c r="S250" i="2" a="1"/>
  <c r="S250" i="2" s="1"/>
  <c r="R250" i="2" a="1"/>
  <c r="R250" i="2" s="1"/>
  <c r="Q250" i="2" a="1"/>
  <c r="Q250" i="2" s="1"/>
  <c r="P250" i="2" a="1"/>
  <c r="P250" i="2" s="1"/>
  <c r="O250" i="2" a="1"/>
  <c r="O250" i="2" s="1"/>
  <c r="M250" i="2" a="1"/>
  <c r="M250" i="2" s="1"/>
  <c r="K250" i="2" a="1"/>
  <c r="K250" i="2" s="1"/>
  <c r="J250" i="2" a="1"/>
  <c r="J250" i="2" s="1"/>
  <c r="H250" i="2" a="1"/>
  <c r="H250" i="2" s="1"/>
  <c r="F250" i="2" a="1"/>
  <c r="F250" i="2" s="1"/>
  <c r="D250" i="2" a="1"/>
  <c r="D250" i="2" s="1"/>
  <c r="E250" i="2" s="1"/>
  <c r="C250" i="2" a="1"/>
  <c r="C250" i="2" s="1"/>
  <c r="A250" i="2" a="1"/>
  <c r="A250" i="2" s="1"/>
  <c r="X249" i="2" a="1"/>
  <c r="X249" i="2" s="1"/>
  <c r="W249" i="2" a="1"/>
  <c r="W249" i="2" s="1"/>
  <c r="V249" i="2" a="1"/>
  <c r="V249" i="2" s="1"/>
  <c r="U249" i="2" a="1"/>
  <c r="U249" i="2" s="1"/>
  <c r="T249" i="2" a="1"/>
  <c r="T249" i="2" s="1"/>
  <c r="S249" i="2" a="1"/>
  <c r="S249" i="2" s="1"/>
  <c r="R249" i="2" a="1"/>
  <c r="R249" i="2" s="1"/>
  <c r="Q249" i="2" a="1"/>
  <c r="Q249" i="2" s="1"/>
  <c r="P249" i="2" a="1"/>
  <c r="P249" i="2" s="1"/>
  <c r="O249" i="2" a="1"/>
  <c r="O249" i="2" s="1"/>
  <c r="M249" i="2" a="1"/>
  <c r="M249" i="2" s="1"/>
  <c r="K249" i="2" a="1"/>
  <c r="K249" i="2" s="1"/>
  <c r="J249" i="2" a="1"/>
  <c r="J249" i="2" s="1"/>
  <c r="H249" i="2" a="1"/>
  <c r="H249" i="2" s="1"/>
  <c r="F249" i="2" a="1"/>
  <c r="F249" i="2" s="1"/>
  <c r="D249" i="2" a="1"/>
  <c r="D249" i="2" s="1"/>
  <c r="E249" i="2" s="1"/>
  <c r="C249" i="2" a="1"/>
  <c r="C249" i="2" s="1"/>
  <c r="A249" i="2" a="1"/>
  <c r="A249" i="2" s="1"/>
  <c r="X248" i="2" a="1"/>
  <c r="X248" i="2" s="1"/>
  <c r="W248" i="2" a="1"/>
  <c r="W248" i="2" s="1"/>
  <c r="V248" i="2" a="1"/>
  <c r="V248" i="2" s="1"/>
  <c r="U248" i="2" a="1"/>
  <c r="U248" i="2" s="1"/>
  <c r="T248" i="2" a="1"/>
  <c r="T248" i="2" s="1"/>
  <c r="S248" i="2" a="1"/>
  <c r="S248" i="2" s="1"/>
  <c r="R248" i="2" a="1"/>
  <c r="R248" i="2" s="1"/>
  <c r="Q248" i="2" a="1"/>
  <c r="Q248" i="2" s="1"/>
  <c r="P248" i="2" a="1"/>
  <c r="P248" i="2" s="1"/>
  <c r="O248" i="2" a="1"/>
  <c r="O248" i="2" s="1"/>
  <c r="M248" i="2" a="1"/>
  <c r="M248" i="2" s="1"/>
  <c r="K248" i="2" a="1"/>
  <c r="K248" i="2" s="1"/>
  <c r="J248" i="2" a="1"/>
  <c r="J248" i="2" s="1"/>
  <c r="H248" i="2" a="1"/>
  <c r="H248" i="2" s="1"/>
  <c r="F248" i="2" a="1"/>
  <c r="F248" i="2" s="1"/>
  <c r="D248" i="2" a="1"/>
  <c r="D248" i="2" s="1"/>
  <c r="E248" i="2" s="1"/>
  <c r="C248" i="2" a="1"/>
  <c r="C248" i="2" s="1"/>
  <c r="A248" i="2" a="1"/>
  <c r="A248" i="2" s="1"/>
  <c r="AB248" i="2" s="1"/>
  <c r="X247" i="2" a="1"/>
  <c r="X247" i="2" s="1"/>
  <c r="W247" i="2" a="1"/>
  <c r="W247" i="2" s="1"/>
  <c r="V247" i="2" a="1"/>
  <c r="V247" i="2" s="1"/>
  <c r="U247" i="2" a="1"/>
  <c r="U247" i="2" s="1"/>
  <c r="T247" i="2" a="1"/>
  <c r="T247" i="2" s="1"/>
  <c r="S247" i="2" a="1"/>
  <c r="S247" i="2" s="1"/>
  <c r="R247" i="2" a="1"/>
  <c r="R247" i="2" s="1"/>
  <c r="Q247" i="2" a="1"/>
  <c r="Q247" i="2" s="1"/>
  <c r="P247" i="2" a="1"/>
  <c r="P247" i="2" s="1"/>
  <c r="O247" i="2" a="1"/>
  <c r="O247" i="2" s="1"/>
  <c r="M247" i="2" a="1"/>
  <c r="M247" i="2" s="1"/>
  <c r="K247" i="2" a="1"/>
  <c r="K247" i="2" s="1"/>
  <c r="J247" i="2" a="1"/>
  <c r="J247" i="2" s="1"/>
  <c r="H247" i="2" a="1"/>
  <c r="H247" i="2" s="1"/>
  <c r="F247" i="2" a="1"/>
  <c r="F247" i="2" s="1"/>
  <c r="D247" i="2" a="1"/>
  <c r="D247" i="2" s="1"/>
  <c r="E247" i="2" s="1"/>
  <c r="C247" i="2" a="1"/>
  <c r="C247" i="2" s="1"/>
  <c r="A247" i="2" a="1"/>
  <c r="A247" i="2" s="1"/>
  <c r="AD247" i="2" s="1"/>
  <c r="X246" i="2" a="1"/>
  <c r="X246" i="2" s="1"/>
  <c r="W246" i="2" a="1"/>
  <c r="W246" i="2" s="1"/>
  <c r="V246" i="2" a="1"/>
  <c r="V246" i="2" s="1"/>
  <c r="U246" i="2" a="1"/>
  <c r="U246" i="2" s="1"/>
  <c r="T246" i="2" a="1"/>
  <c r="T246" i="2" s="1"/>
  <c r="S246" i="2" a="1"/>
  <c r="S246" i="2" s="1"/>
  <c r="R246" i="2" a="1"/>
  <c r="R246" i="2" s="1"/>
  <c r="Q246" i="2" a="1"/>
  <c r="Q246" i="2" s="1"/>
  <c r="P246" i="2" a="1"/>
  <c r="P246" i="2" s="1"/>
  <c r="O246" i="2" a="1"/>
  <c r="O246" i="2" s="1"/>
  <c r="M246" i="2" a="1"/>
  <c r="M246" i="2" s="1"/>
  <c r="K246" i="2" a="1"/>
  <c r="K246" i="2" s="1"/>
  <c r="J246" i="2" a="1"/>
  <c r="J246" i="2" s="1"/>
  <c r="H246" i="2" a="1"/>
  <c r="H246" i="2" s="1"/>
  <c r="F246" i="2" a="1"/>
  <c r="F246" i="2" s="1"/>
  <c r="D246" i="2" a="1"/>
  <c r="D246" i="2" s="1"/>
  <c r="E246" i="2" s="1"/>
  <c r="C246" i="2" a="1"/>
  <c r="C246" i="2" s="1"/>
  <c r="A246" i="2" a="1"/>
  <c r="A246" i="2" s="1"/>
  <c r="X245" i="2" a="1"/>
  <c r="X245" i="2" s="1"/>
  <c r="W245" i="2" a="1"/>
  <c r="W245" i="2" s="1"/>
  <c r="V245" i="2" a="1"/>
  <c r="V245" i="2" s="1"/>
  <c r="U245" i="2" a="1"/>
  <c r="U245" i="2" s="1"/>
  <c r="T245" i="2" a="1"/>
  <c r="T245" i="2" s="1"/>
  <c r="S245" i="2" a="1"/>
  <c r="S245" i="2" s="1"/>
  <c r="R245" i="2" a="1"/>
  <c r="R245" i="2" s="1"/>
  <c r="Q245" i="2" a="1"/>
  <c r="Q245" i="2" s="1"/>
  <c r="P245" i="2" a="1"/>
  <c r="P245" i="2" s="1"/>
  <c r="O245" i="2" a="1"/>
  <c r="O245" i="2" s="1"/>
  <c r="M245" i="2" a="1"/>
  <c r="M245" i="2" s="1"/>
  <c r="K245" i="2" a="1"/>
  <c r="K245" i="2" s="1"/>
  <c r="J245" i="2" a="1"/>
  <c r="J245" i="2" s="1"/>
  <c r="H245" i="2" a="1"/>
  <c r="H245" i="2" s="1"/>
  <c r="F245" i="2" a="1"/>
  <c r="F245" i="2" s="1"/>
  <c r="D245" i="2" a="1"/>
  <c r="D245" i="2" s="1"/>
  <c r="E245" i="2" s="1"/>
  <c r="C245" i="2" a="1"/>
  <c r="C245" i="2" s="1"/>
  <c r="A245" i="2" a="1"/>
  <c r="A245" i="2" s="1"/>
  <c r="X244" i="2" a="1"/>
  <c r="X244" i="2" s="1"/>
  <c r="W244" i="2" a="1"/>
  <c r="W244" i="2" s="1"/>
  <c r="V244" i="2" a="1"/>
  <c r="V244" i="2" s="1"/>
  <c r="U244" i="2" a="1"/>
  <c r="U244" i="2" s="1"/>
  <c r="T244" i="2" a="1"/>
  <c r="T244" i="2" s="1"/>
  <c r="S244" i="2" a="1"/>
  <c r="S244" i="2" s="1"/>
  <c r="R244" i="2" a="1"/>
  <c r="R244" i="2" s="1"/>
  <c r="Q244" i="2" a="1"/>
  <c r="Q244" i="2" s="1"/>
  <c r="P244" i="2" a="1"/>
  <c r="P244" i="2" s="1"/>
  <c r="O244" i="2" a="1"/>
  <c r="O244" i="2" s="1"/>
  <c r="M244" i="2" a="1"/>
  <c r="M244" i="2" s="1"/>
  <c r="K244" i="2" a="1"/>
  <c r="K244" i="2" s="1"/>
  <c r="J244" i="2" a="1"/>
  <c r="J244" i="2" s="1"/>
  <c r="H244" i="2" a="1"/>
  <c r="H244" i="2" s="1"/>
  <c r="F244" i="2" a="1"/>
  <c r="F244" i="2" s="1"/>
  <c r="D244" i="2" a="1"/>
  <c r="D244" i="2" s="1"/>
  <c r="E244" i="2" s="1"/>
  <c r="C244" i="2" a="1"/>
  <c r="C244" i="2" s="1"/>
  <c r="A244" i="2" a="1"/>
  <c r="A244" i="2" s="1"/>
  <c r="X243" i="2" a="1"/>
  <c r="X243" i="2" s="1"/>
  <c r="W243" i="2" a="1"/>
  <c r="W243" i="2" s="1"/>
  <c r="V243" i="2" a="1"/>
  <c r="V243" i="2" s="1"/>
  <c r="U243" i="2" a="1"/>
  <c r="U243" i="2" s="1"/>
  <c r="T243" i="2" a="1"/>
  <c r="T243" i="2" s="1"/>
  <c r="S243" i="2" a="1"/>
  <c r="S243" i="2" s="1"/>
  <c r="R243" i="2" a="1"/>
  <c r="R243" i="2" s="1"/>
  <c r="Q243" i="2" a="1"/>
  <c r="Q243" i="2" s="1"/>
  <c r="P243" i="2" a="1"/>
  <c r="P243" i="2" s="1"/>
  <c r="O243" i="2" a="1"/>
  <c r="O243" i="2" s="1"/>
  <c r="M243" i="2" a="1"/>
  <c r="M243" i="2" s="1"/>
  <c r="K243" i="2" a="1"/>
  <c r="K243" i="2" s="1"/>
  <c r="J243" i="2" a="1"/>
  <c r="J243" i="2" s="1"/>
  <c r="H243" i="2" a="1"/>
  <c r="H243" i="2" s="1"/>
  <c r="F243" i="2" a="1"/>
  <c r="F243" i="2" s="1"/>
  <c r="D243" i="2" a="1"/>
  <c r="D243" i="2" s="1"/>
  <c r="E243" i="2" s="1"/>
  <c r="C243" i="2" a="1"/>
  <c r="C243" i="2" s="1"/>
  <c r="A243" i="2" a="1"/>
  <c r="A243" i="2" s="1"/>
  <c r="X242" i="2" a="1"/>
  <c r="X242" i="2" s="1"/>
  <c r="W242" i="2" a="1"/>
  <c r="W242" i="2" s="1"/>
  <c r="V242" i="2" a="1"/>
  <c r="V242" i="2" s="1"/>
  <c r="U242" i="2" a="1"/>
  <c r="U242" i="2" s="1"/>
  <c r="T242" i="2" a="1"/>
  <c r="T242" i="2" s="1"/>
  <c r="S242" i="2" a="1"/>
  <c r="S242" i="2" s="1"/>
  <c r="R242" i="2" a="1"/>
  <c r="R242" i="2" s="1"/>
  <c r="Q242" i="2" a="1"/>
  <c r="Q242" i="2" s="1"/>
  <c r="P242" i="2" a="1"/>
  <c r="P242" i="2" s="1"/>
  <c r="O242" i="2" a="1"/>
  <c r="O242" i="2" s="1"/>
  <c r="M242" i="2" a="1"/>
  <c r="M242" i="2" s="1"/>
  <c r="K242" i="2" a="1"/>
  <c r="K242" i="2" s="1"/>
  <c r="J242" i="2" a="1"/>
  <c r="J242" i="2" s="1"/>
  <c r="H242" i="2" a="1"/>
  <c r="H242" i="2" s="1"/>
  <c r="F242" i="2" a="1"/>
  <c r="F242" i="2" s="1"/>
  <c r="D242" i="2" a="1"/>
  <c r="D242" i="2" s="1"/>
  <c r="E242" i="2" s="1"/>
  <c r="C242" i="2" a="1"/>
  <c r="C242" i="2" s="1"/>
  <c r="A242" i="2" a="1"/>
  <c r="A242" i="2" s="1"/>
  <c r="X241" i="2" a="1"/>
  <c r="X241" i="2" s="1"/>
  <c r="W241" i="2" a="1"/>
  <c r="W241" i="2" s="1"/>
  <c r="V241" i="2" a="1"/>
  <c r="V241" i="2" s="1"/>
  <c r="U241" i="2" a="1"/>
  <c r="U241" i="2" s="1"/>
  <c r="T241" i="2" a="1"/>
  <c r="T241" i="2" s="1"/>
  <c r="S241" i="2" a="1"/>
  <c r="S241" i="2" s="1"/>
  <c r="R241" i="2" a="1"/>
  <c r="R241" i="2" s="1"/>
  <c r="Q241" i="2" a="1"/>
  <c r="Q241" i="2" s="1"/>
  <c r="P241" i="2" a="1"/>
  <c r="P241" i="2" s="1"/>
  <c r="O241" i="2" a="1"/>
  <c r="O241" i="2" s="1"/>
  <c r="M241" i="2" a="1"/>
  <c r="M241" i="2" s="1"/>
  <c r="K241" i="2" a="1"/>
  <c r="K241" i="2" s="1"/>
  <c r="J241" i="2" a="1"/>
  <c r="J241" i="2" s="1"/>
  <c r="H241" i="2" a="1"/>
  <c r="H241" i="2" s="1"/>
  <c r="F241" i="2" a="1"/>
  <c r="F241" i="2" s="1"/>
  <c r="D241" i="2" a="1"/>
  <c r="D241" i="2" s="1"/>
  <c r="E241" i="2" s="1"/>
  <c r="C241" i="2" a="1"/>
  <c r="C241" i="2" s="1"/>
  <c r="A241" i="2" a="1"/>
  <c r="A241" i="2" s="1"/>
  <c r="X240" i="2" a="1"/>
  <c r="X240" i="2" s="1"/>
  <c r="W240" i="2" a="1"/>
  <c r="W240" i="2" s="1"/>
  <c r="V240" i="2" a="1"/>
  <c r="V240" i="2" s="1"/>
  <c r="U240" i="2" a="1"/>
  <c r="U240" i="2" s="1"/>
  <c r="T240" i="2" a="1"/>
  <c r="T240" i="2" s="1"/>
  <c r="S240" i="2" a="1"/>
  <c r="S240" i="2" s="1"/>
  <c r="R240" i="2" a="1"/>
  <c r="R240" i="2" s="1"/>
  <c r="Q240" i="2" a="1"/>
  <c r="Q240" i="2" s="1"/>
  <c r="P240" i="2" a="1"/>
  <c r="P240" i="2" s="1"/>
  <c r="O240" i="2" a="1"/>
  <c r="O240" i="2" s="1"/>
  <c r="M240" i="2" a="1"/>
  <c r="M240" i="2" s="1"/>
  <c r="K240" i="2" a="1"/>
  <c r="K240" i="2" s="1"/>
  <c r="J240" i="2" a="1"/>
  <c r="J240" i="2" s="1"/>
  <c r="H240" i="2" a="1"/>
  <c r="H240" i="2" s="1"/>
  <c r="F240" i="2" a="1"/>
  <c r="F240" i="2" s="1"/>
  <c r="D240" i="2" a="1"/>
  <c r="D240" i="2" s="1"/>
  <c r="E240" i="2" s="1"/>
  <c r="C240" i="2" a="1"/>
  <c r="C240" i="2" s="1"/>
  <c r="A240" i="2" a="1"/>
  <c r="A240" i="2" s="1"/>
  <c r="AD240" i="2" s="1"/>
  <c r="X239" i="2" a="1"/>
  <c r="X239" i="2" s="1"/>
  <c r="W239" i="2" a="1"/>
  <c r="W239" i="2" s="1"/>
  <c r="V239" i="2" a="1"/>
  <c r="V239" i="2" s="1"/>
  <c r="U239" i="2" a="1"/>
  <c r="U239" i="2" s="1"/>
  <c r="T239" i="2" a="1"/>
  <c r="T239" i="2" s="1"/>
  <c r="S239" i="2" a="1"/>
  <c r="S239" i="2" s="1"/>
  <c r="R239" i="2" a="1"/>
  <c r="R239" i="2" s="1"/>
  <c r="Q239" i="2" a="1"/>
  <c r="Q239" i="2" s="1"/>
  <c r="P239" i="2" a="1"/>
  <c r="P239" i="2" s="1"/>
  <c r="O239" i="2" a="1"/>
  <c r="O239" i="2" s="1"/>
  <c r="M239" i="2" a="1"/>
  <c r="M239" i="2" s="1"/>
  <c r="K239" i="2" a="1"/>
  <c r="K239" i="2" s="1"/>
  <c r="J239" i="2" a="1"/>
  <c r="J239" i="2" s="1"/>
  <c r="H239" i="2" a="1"/>
  <c r="H239" i="2" s="1"/>
  <c r="F239" i="2" a="1"/>
  <c r="F239" i="2" s="1"/>
  <c r="D239" i="2" a="1"/>
  <c r="D239" i="2" s="1"/>
  <c r="E239" i="2" s="1"/>
  <c r="C239" i="2" a="1"/>
  <c r="C239" i="2" s="1"/>
  <c r="A239" i="2" a="1"/>
  <c r="A239" i="2" s="1"/>
  <c r="X238" i="2" a="1"/>
  <c r="X238" i="2" s="1"/>
  <c r="W238" i="2" a="1"/>
  <c r="W238" i="2" s="1"/>
  <c r="V238" i="2" a="1"/>
  <c r="V238" i="2" s="1"/>
  <c r="U238" i="2" a="1"/>
  <c r="U238" i="2" s="1"/>
  <c r="T238" i="2" a="1"/>
  <c r="T238" i="2" s="1"/>
  <c r="S238" i="2" a="1"/>
  <c r="S238" i="2" s="1"/>
  <c r="R238" i="2" a="1"/>
  <c r="R238" i="2" s="1"/>
  <c r="Q238" i="2" a="1"/>
  <c r="Q238" i="2" s="1"/>
  <c r="P238" i="2" a="1"/>
  <c r="P238" i="2" s="1"/>
  <c r="O238" i="2" a="1"/>
  <c r="O238" i="2" s="1"/>
  <c r="M238" i="2" a="1"/>
  <c r="M238" i="2" s="1"/>
  <c r="K238" i="2" a="1"/>
  <c r="K238" i="2" s="1"/>
  <c r="J238" i="2" a="1"/>
  <c r="J238" i="2" s="1"/>
  <c r="H238" i="2" a="1"/>
  <c r="H238" i="2" s="1"/>
  <c r="F238" i="2" a="1"/>
  <c r="F238" i="2" s="1"/>
  <c r="D238" i="2" a="1"/>
  <c r="D238" i="2" s="1"/>
  <c r="E238" i="2" s="1"/>
  <c r="C238" i="2" a="1"/>
  <c r="C238" i="2" s="1"/>
  <c r="A238" i="2" a="1"/>
  <c r="A238" i="2" s="1"/>
  <c r="X237" i="2" a="1"/>
  <c r="X237" i="2" s="1"/>
  <c r="W237" i="2" a="1"/>
  <c r="W237" i="2" s="1"/>
  <c r="V237" i="2" a="1"/>
  <c r="V237" i="2" s="1"/>
  <c r="U237" i="2" a="1"/>
  <c r="U237" i="2" s="1"/>
  <c r="T237" i="2" a="1"/>
  <c r="T237" i="2" s="1"/>
  <c r="S237" i="2" a="1"/>
  <c r="S237" i="2" s="1"/>
  <c r="R237" i="2" a="1"/>
  <c r="R237" i="2" s="1"/>
  <c r="Q237" i="2" a="1"/>
  <c r="Q237" i="2" s="1"/>
  <c r="P237" i="2" a="1"/>
  <c r="P237" i="2" s="1"/>
  <c r="O237" i="2" a="1"/>
  <c r="O237" i="2" s="1"/>
  <c r="M237" i="2" a="1"/>
  <c r="M237" i="2" s="1"/>
  <c r="K237" i="2" a="1"/>
  <c r="K237" i="2" s="1"/>
  <c r="J237" i="2" a="1"/>
  <c r="J237" i="2" s="1"/>
  <c r="H237" i="2" a="1"/>
  <c r="H237" i="2" s="1"/>
  <c r="F237" i="2" a="1"/>
  <c r="F237" i="2" s="1"/>
  <c r="D237" i="2" a="1"/>
  <c r="D237" i="2" s="1"/>
  <c r="E237" i="2" s="1"/>
  <c r="C237" i="2" a="1"/>
  <c r="C237" i="2" s="1"/>
  <c r="A237" i="2" a="1"/>
  <c r="A237" i="2" s="1"/>
  <c r="X236" i="2" a="1"/>
  <c r="X236" i="2" s="1"/>
  <c r="W236" i="2" a="1"/>
  <c r="W236" i="2" s="1"/>
  <c r="V236" i="2" a="1"/>
  <c r="V236" i="2" s="1"/>
  <c r="U236" i="2" a="1"/>
  <c r="U236" i="2" s="1"/>
  <c r="T236" i="2" a="1"/>
  <c r="T236" i="2" s="1"/>
  <c r="S236" i="2" a="1"/>
  <c r="S236" i="2" s="1"/>
  <c r="R236" i="2" a="1"/>
  <c r="R236" i="2" s="1"/>
  <c r="Q236" i="2" a="1"/>
  <c r="Q236" i="2" s="1"/>
  <c r="P236" i="2" a="1"/>
  <c r="P236" i="2" s="1"/>
  <c r="O236" i="2" a="1"/>
  <c r="O236" i="2" s="1"/>
  <c r="M236" i="2" a="1"/>
  <c r="M236" i="2" s="1"/>
  <c r="K236" i="2" a="1"/>
  <c r="K236" i="2" s="1"/>
  <c r="J236" i="2" a="1"/>
  <c r="J236" i="2" s="1"/>
  <c r="H236" i="2" a="1"/>
  <c r="H236" i="2" s="1"/>
  <c r="F236" i="2" a="1"/>
  <c r="F236" i="2" s="1"/>
  <c r="D236" i="2" a="1"/>
  <c r="D236" i="2" s="1"/>
  <c r="E236" i="2" s="1"/>
  <c r="C236" i="2" a="1"/>
  <c r="C236" i="2" s="1"/>
  <c r="A236" i="2" a="1"/>
  <c r="A236" i="2" s="1"/>
  <c r="X235" i="2" a="1"/>
  <c r="X235" i="2" s="1"/>
  <c r="W235" i="2" a="1"/>
  <c r="W235" i="2" s="1"/>
  <c r="V235" i="2" a="1"/>
  <c r="V235" i="2" s="1"/>
  <c r="U235" i="2" a="1"/>
  <c r="U235" i="2" s="1"/>
  <c r="T235" i="2" a="1"/>
  <c r="T235" i="2" s="1"/>
  <c r="S235" i="2" a="1"/>
  <c r="S235" i="2" s="1"/>
  <c r="R235" i="2" a="1"/>
  <c r="R235" i="2" s="1"/>
  <c r="Q235" i="2" a="1"/>
  <c r="Q235" i="2" s="1"/>
  <c r="P235" i="2" a="1"/>
  <c r="P235" i="2" s="1"/>
  <c r="O235" i="2" a="1"/>
  <c r="O235" i="2" s="1"/>
  <c r="M235" i="2" a="1"/>
  <c r="M235" i="2" s="1"/>
  <c r="K235" i="2" a="1"/>
  <c r="K235" i="2" s="1"/>
  <c r="J235" i="2" a="1"/>
  <c r="J235" i="2" s="1"/>
  <c r="H235" i="2" a="1"/>
  <c r="H235" i="2" s="1"/>
  <c r="F235" i="2" a="1"/>
  <c r="F235" i="2" s="1"/>
  <c r="D235" i="2" a="1"/>
  <c r="D235" i="2" s="1"/>
  <c r="E235" i="2" s="1"/>
  <c r="C235" i="2" a="1"/>
  <c r="C235" i="2" s="1"/>
  <c r="A235" i="2" a="1"/>
  <c r="A235" i="2" s="1"/>
  <c r="AD235" i="2" s="1"/>
  <c r="X234" i="2" a="1"/>
  <c r="X234" i="2" s="1"/>
  <c r="W234" i="2" a="1"/>
  <c r="W234" i="2" s="1"/>
  <c r="V234" i="2" a="1"/>
  <c r="V234" i="2" s="1"/>
  <c r="U234" i="2" a="1"/>
  <c r="U234" i="2" s="1"/>
  <c r="T234" i="2" a="1"/>
  <c r="T234" i="2" s="1"/>
  <c r="S234" i="2" a="1"/>
  <c r="S234" i="2" s="1"/>
  <c r="R234" i="2" a="1"/>
  <c r="R234" i="2" s="1"/>
  <c r="Q234" i="2" a="1"/>
  <c r="Q234" i="2" s="1"/>
  <c r="P234" i="2" a="1"/>
  <c r="P234" i="2" s="1"/>
  <c r="O234" i="2" a="1"/>
  <c r="O234" i="2" s="1"/>
  <c r="M234" i="2" a="1"/>
  <c r="M234" i="2" s="1"/>
  <c r="K234" i="2" a="1"/>
  <c r="K234" i="2" s="1"/>
  <c r="J234" i="2" a="1"/>
  <c r="J234" i="2" s="1"/>
  <c r="H234" i="2" a="1"/>
  <c r="H234" i="2" s="1"/>
  <c r="F234" i="2" a="1"/>
  <c r="F234" i="2" s="1"/>
  <c r="D234" i="2" a="1"/>
  <c r="D234" i="2" s="1"/>
  <c r="E234" i="2" s="1"/>
  <c r="C234" i="2" a="1"/>
  <c r="C234" i="2" s="1"/>
  <c r="A234" i="2" a="1"/>
  <c r="A234" i="2" s="1"/>
  <c r="AD234" i="2" s="1"/>
  <c r="X233" i="2" a="1"/>
  <c r="X233" i="2" s="1"/>
  <c r="W233" i="2" a="1"/>
  <c r="W233" i="2" s="1"/>
  <c r="V233" i="2" a="1"/>
  <c r="V233" i="2" s="1"/>
  <c r="U233" i="2" a="1"/>
  <c r="U233" i="2" s="1"/>
  <c r="T233" i="2" a="1"/>
  <c r="T233" i="2" s="1"/>
  <c r="S233" i="2" a="1"/>
  <c r="S233" i="2" s="1"/>
  <c r="R233" i="2" a="1"/>
  <c r="R233" i="2" s="1"/>
  <c r="Q233" i="2" a="1"/>
  <c r="Q233" i="2" s="1"/>
  <c r="P233" i="2" a="1"/>
  <c r="P233" i="2" s="1"/>
  <c r="O233" i="2" a="1"/>
  <c r="O233" i="2" s="1"/>
  <c r="M233" i="2" a="1"/>
  <c r="M233" i="2" s="1"/>
  <c r="K233" i="2" a="1"/>
  <c r="K233" i="2" s="1"/>
  <c r="J233" i="2" a="1"/>
  <c r="J233" i="2" s="1"/>
  <c r="H233" i="2" a="1"/>
  <c r="H233" i="2" s="1"/>
  <c r="F233" i="2" a="1"/>
  <c r="F233" i="2" s="1"/>
  <c r="D233" i="2" a="1"/>
  <c r="D233" i="2" s="1"/>
  <c r="E233" i="2" s="1"/>
  <c r="C233" i="2" a="1"/>
  <c r="C233" i="2" s="1"/>
  <c r="A233" i="2" a="1"/>
  <c r="A233" i="2" s="1"/>
  <c r="X232" i="2" a="1"/>
  <c r="X232" i="2" s="1"/>
  <c r="W232" i="2" a="1"/>
  <c r="W232" i="2" s="1"/>
  <c r="V232" i="2" a="1"/>
  <c r="V232" i="2" s="1"/>
  <c r="U232" i="2" a="1"/>
  <c r="U232" i="2" s="1"/>
  <c r="T232" i="2" a="1"/>
  <c r="T232" i="2" s="1"/>
  <c r="S232" i="2" a="1"/>
  <c r="S232" i="2" s="1"/>
  <c r="R232" i="2" a="1"/>
  <c r="R232" i="2" s="1"/>
  <c r="Q232" i="2" a="1"/>
  <c r="Q232" i="2" s="1"/>
  <c r="P232" i="2" a="1"/>
  <c r="P232" i="2" s="1"/>
  <c r="O232" i="2" a="1"/>
  <c r="O232" i="2" s="1"/>
  <c r="M232" i="2" a="1"/>
  <c r="M232" i="2" s="1"/>
  <c r="K232" i="2" a="1"/>
  <c r="K232" i="2" s="1"/>
  <c r="J232" i="2" a="1"/>
  <c r="J232" i="2" s="1"/>
  <c r="H232" i="2" a="1"/>
  <c r="H232" i="2" s="1"/>
  <c r="F232" i="2" a="1"/>
  <c r="F232" i="2" s="1"/>
  <c r="D232" i="2" a="1"/>
  <c r="D232" i="2" s="1"/>
  <c r="E232" i="2" s="1"/>
  <c r="C232" i="2" a="1"/>
  <c r="C232" i="2" s="1"/>
  <c r="A232" i="2" a="1"/>
  <c r="A232" i="2" s="1"/>
  <c r="X231" i="2" a="1"/>
  <c r="X231" i="2" s="1"/>
  <c r="W231" i="2" a="1"/>
  <c r="W231" i="2" s="1"/>
  <c r="V231" i="2" a="1"/>
  <c r="V231" i="2" s="1"/>
  <c r="U231" i="2" a="1"/>
  <c r="U231" i="2" s="1"/>
  <c r="T231" i="2" a="1"/>
  <c r="T231" i="2" s="1"/>
  <c r="S231" i="2" a="1"/>
  <c r="S231" i="2" s="1"/>
  <c r="R231" i="2" a="1"/>
  <c r="R231" i="2" s="1"/>
  <c r="Q231" i="2" a="1"/>
  <c r="Q231" i="2" s="1"/>
  <c r="P231" i="2" a="1"/>
  <c r="P231" i="2" s="1"/>
  <c r="O231" i="2" a="1"/>
  <c r="O231" i="2" s="1"/>
  <c r="M231" i="2" a="1"/>
  <c r="M231" i="2" s="1"/>
  <c r="K231" i="2" a="1"/>
  <c r="K231" i="2" s="1"/>
  <c r="J231" i="2" a="1"/>
  <c r="J231" i="2" s="1"/>
  <c r="H231" i="2" a="1"/>
  <c r="H231" i="2" s="1"/>
  <c r="F231" i="2" a="1"/>
  <c r="F231" i="2" s="1"/>
  <c r="D231" i="2" a="1"/>
  <c r="D231" i="2" s="1"/>
  <c r="E231" i="2" s="1"/>
  <c r="C231" i="2" a="1"/>
  <c r="C231" i="2" s="1"/>
  <c r="A231" i="2" a="1"/>
  <c r="A231" i="2" s="1"/>
  <c r="X230" i="2" a="1"/>
  <c r="X230" i="2" s="1"/>
  <c r="W230" i="2" a="1"/>
  <c r="W230" i="2" s="1"/>
  <c r="V230" i="2" a="1"/>
  <c r="V230" i="2" s="1"/>
  <c r="U230" i="2" a="1"/>
  <c r="U230" i="2" s="1"/>
  <c r="T230" i="2" a="1"/>
  <c r="T230" i="2" s="1"/>
  <c r="S230" i="2" a="1"/>
  <c r="S230" i="2" s="1"/>
  <c r="R230" i="2" a="1"/>
  <c r="R230" i="2" s="1"/>
  <c r="Q230" i="2" a="1"/>
  <c r="Q230" i="2" s="1"/>
  <c r="P230" i="2" a="1"/>
  <c r="P230" i="2" s="1"/>
  <c r="O230" i="2" a="1"/>
  <c r="O230" i="2" s="1"/>
  <c r="M230" i="2" a="1"/>
  <c r="M230" i="2" s="1"/>
  <c r="K230" i="2" a="1"/>
  <c r="K230" i="2" s="1"/>
  <c r="J230" i="2" a="1"/>
  <c r="J230" i="2" s="1"/>
  <c r="H230" i="2" a="1"/>
  <c r="H230" i="2" s="1"/>
  <c r="F230" i="2" a="1"/>
  <c r="F230" i="2" s="1"/>
  <c r="D230" i="2" a="1"/>
  <c r="D230" i="2" s="1"/>
  <c r="E230" i="2" s="1"/>
  <c r="C230" i="2" a="1"/>
  <c r="C230" i="2" s="1"/>
  <c r="A230" i="2" a="1"/>
  <c r="A230" i="2" s="1"/>
  <c r="X229" i="2" a="1"/>
  <c r="X229" i="2" s="1"/>
  <c r="W229" i="2" a="1"/>
  <c r="W229" i="2" s="1"/>
  <c r="V229" i="2" a="1"/>
  <c r="V229" i="2" s="1"/>
  <c r="U229" i="2" a="1"/>
  <c r="U229" i="2" s="1"/>
  <c r="T229" i="2" a="1"/>
  <c r="T229" i="2" s="1"/>
  <c r="S229" i="2" a="1"/>
  <c r="S229" i="2" s="1"/>
  <c r="R229" i="2" a="1"/>
  <c r="R229" i="2" s="1"/>
  <c r="Q229" i="2" a="1"/>
  <c r="Q229" i="2" s="1"/>
  <c r="P229" i="2" a="1"/>
  <c r="P229" i="2" s="1"/>
  <c r="O229" i="2" a="1"/>
  <c r="O229" i="2" s="1"/>
  <c r="M229" i="2" a="1"/>
  <c r="M229" i="2" s="1"/>
  <c r="K229" i="2" a="1"/>
  <c r="K229" i="2" s="1"/>
  <c r="J229" i="2" a="1"/>
  <c r="J229" i="2" s="1"/>
  <c r="H229" i="2" a="1"/>
  <c r="H229" i="2" s="1"/>
  <c r="F229" i="2" a="1"/>
  <c r="F229" i="2" s="1"/>
  <c r="D229" i="2" a="1"/>
  <c r="D229" i="2" s="1"/>
  <c r="E229" i="2" s="1"/>
  <c r="C229" i="2" a="1"/>
  <c r="C229" i="2" s="1"/>
  <c r="A229" i="2" a="1"/>
  <c r="A229" i="2" s="1"/>
  <c r="X228" i="2" a="1"/>
  <c r="X228" i="2" s="1"/>
  <c r="W228" i="2" a="1"/>
  <c r="W228" i="2" s="1"/>
  <c r="V228" i="2" a="1"/>
  <c r="V228" i="2" s="1"/>
  <c r="U228" i="2" a="1"/>
  <c r="U228" i="2" s="1"/>
  <c r="T228" i="2" a="1"/>
  <c r="T228" i="2" s="1"/>
  <c r="S228" i="2" a="1"/>
  <c r="S228" i="2" s="1"/>
  <c r="R228" i="2" a="1"/>
  <c r="R228" i="2" s="1"/>
  <c r="Q228" i="2" a="1"/>
  <c r="Q228" i="2" s="1"/>
  <c r="P228" i="2" a="1"/>
  <c r="P228" i="2" s="1"/>
  <c r="O228" i="2" a="1"/>
  <c r="O228" i="2" s="1"/>
  <c r="M228" i="2" a="1"/>
  <c r="M228" i="2" s="1"/>
  <c r="K228" i="2" a="1"/>
  <c r="K228" i="2" s="1"/>
  <c r="J228" i="2" a="1"/>
  <c r="J228" i="2" s="1"/>
  <c r="H228" i="2" a="1"/>
  <c r="H228" i="2" s="1"/>
  <c r="F228" i="2" a="1"/>
  <c r="F228" i="2" s="1"/>
  <c r="D228" i="2" a="1"/>
  <c r="D228" i="2" s="1"/>
  <c r="E228" i="2" s="1"/>
  <c r="C228" i="2" a="1"/>
  <c r="C228" i="2" s="1"/>
  <c r="A228" i="2" a="1"/>
  <c r="A228" i="2" s="1"/>
  <c r="X227" i="2" a="1"/>
  <c r="X227" i="2" s="1"/>
  <c r="W227" i="2" a="1"/>
  <c r="W227" i="2" s="1"/>
  <c r="V227" i="2" a="1"/>
  <c r="V227" i="2" s="1"/>
  <c r="U227" i="2" a="1"/>
  <c r="U227" i="2" s="1"/>
  <c r="T227" i="2" a="1"/>
  <c r="T227" i="2" s="1"/>
  <c r="S227" i="2" a="1"/>
  <c r="S227" i="2" s="1"/>
  <c r="R227" i="2" a="1"/>
  <c r="R227" i="2" s="1"/>
  <c r="Q227" i="2" a="1"/>
  <c r="Q227" i="2" s="1"/>
  <c r="P227" i="2" a="1"/>
  <c r="P227" i="2" s="1"/>
  <c r="O227" i="2" a="1"/>
  <c r="O227" i="2" s="1"/>
  <c r="M227" i="2" a="1"/>
  <c r="M227" i="2" s="1"/>
  <c r="K227" i="2" a="1"/>
  <c r="K227" i="2" s="1"/>
  <c r="J227" i="2" a="1"/>
  <c r="J227" i="2" s="1"/>
  <c r="H227" i="2" a="1"/>
  <c r="H227" i="2" s="1"/>
  <c r="F227" i="2" a="1"/>
  <c r="F227" i="2" s="1"/>
  <c r="D227" i="2" a="1"/>
  <c r="D227" i="2" s="1"/>
  <c r="E227" i="2" s="1"/>
  <c r="C227" i="2" a="1"/>
  <c r="C227" i="2" s="1"/>
  <c r="A227" i="2" a="1"/>
  <c r="A227" i="2" s="1"/>
  <c r="X226" i="2" a="1"/>
  <c r="X226" i="2" s="1"/>
  <c r="W226" i="2" a="1"/>
  <c r="W226" i="2" s="1"/>
  <c r="V226" i="2" a="1"/>
  <c r="V226" i="2" s="1"/>
  <c r="U226" i="2" a="1"/>
  <c r="U226" i="2" s="1"/>
  <c r="T226" i="2" a="1"/>
  <c r="T226" i="2" s="1"/>
  <c r="S226" i="2" a="1"/>
  <c r="S226" i="2" s="1"/>
  <c r="R226" i="2" a="1"/>
  <c r="R226" i="2" s="1"/>
  <c r="Q226" i="2" a="1"/>
  <c r="Q226" i="2" s="1"/>
  <c r="P226" i="2" a="1"/>
  <c r="P226" i="2" s="1"/>
  <c r="O226" i="2" a="1"/>
  <c r="O226" i="2" s="1"/>
  <c r="M226" i="2" a="1"/>
  <c r="M226" i="2" s="1"/>
  <c r="K226" i="2" a="1"/>
  <c r="K226" i="2" s="1"/>
  <c r="J226" i="2" a="1"/>
  <c r="J226" i="2" s="1"/>
  <c r="H226" i="2" a="1"/>
  <c r="H226" i="2" s="1"/>
  <c r="F226" i="2" a="1"/>
  <c r="F226" i="2" s="1"/>
  <c r="D226" i="2" a="1"/>
  <c r="D226" i="2" s="1"/>
  <c r="E226" i="2" s="1"/>
  <c r="C226" i="2" a="1"/>
  <c r="C226" i="2" s="1"/>
  <c r="A226" i="2" a="1"/>
  <c r="A226" i="2" s="1"/>
  <c r="Z226" i="2" s="1"/>
  <c r="X225" i="2" a="1"/>
  <c r="X225" i="2" s="1"/>
  <c r="W225" i="2" a="1"/>
  <c r="W225" i="2" s="1"/>
  <c r="V225" i="2" a="1"/>
  <c r="V225" i="2" s="1"/>
  <c r="U225" i="2" a="1"/>
  <c r="U225" i="2" s="1"/>
  <c r="T225" i="2" a="1"/>
  <c r="T225" i="2" s="1"/>
  <c r="S225" i="2" a="1"/>
  <c r="S225" i="2" s="1"/>
  <c r="R225" i="2" a="1"/>
  <c r="R225" i="2" s="1"/>
  <c r="Q225" i="2" a="1"/>
  <c r="Q225" i="2" s="1"/>
  <c r="P225" i="2" a="1"/>
  <c r="P225" i="2" s="1"/>
  <c r="O225" i="2" a="1"/>
  <c r="O225" i="2" s="1"/>
  <c r="M225" i="2" a="1"/>
  <c r="M225" i="2" s="1"/>
  <c r="K225" i="2" a="1"/>
  <c r="K225" i="2" s="1"/>
  <c r="J225" i="2" a="1"/>
  <c r="J225" i="2" s="1"/>
  <c r="H225" i="2" a="1"/>
  <c r="H225" i="2" s="1"/>
  <c r="F225" i="2" a="1"/>
  <c r="F225" i="2" s="1"/>
  <c r="D225" i="2" a="1"/>
  <c r="D225" i="2" s="1"/>
  <c r="E225" i="2" s="1"/>
  <c r="C225" i="2" a="1"/>
  <c r="C225" i="2" s="1"/>
  <c r="A225" i="2" a="1"/>
  <c r="A225" i="2" s="1"/>
  <c r="X224" i="2" a="1"/>
  <c r="X224" i="2" s="1"/>
  <c r="W224" i="2" a="1"/>
  <c r="W224" i="2" s="1"/>
  <c r="V224" i="2" a="1"/>
  <c r="V224" i="2" s="1"/>
  <c r="U224" i="2" a="1"/>
  <c r="U224" i="2" s="1"/>
  <c r="T224" i="2" a="1"/>
  <c r="T224" i="2" s="1"/>
  <c r="S224" i="2" a="1"/>
  <c r="S224" i="2" s="1"/>
  <c r="R224" i="2" a="1"/>
  <c r="R224" i="2" s="1"/>
  <c r="Q224" i="2" a="1"/>
  <c r="Q224" i="2" s="1"/>
  <c r="P224" i="2" a="1"/>
  <c r="P224" i="2" s="1"/>
  <c r="O224" i="2" a="1"/>
  <c r="O224" i="2" s="1"/>
  <c r="M224" i="2" a="1"/>
  <c r="M224" i="2" s="1"/>
  <c r="K224" i="2" a="1"/>
  <c r="K224" i="2" s="1"/>
  <c r="J224" i="2" a="1"/>
  <c r="J224" i="2" s="1"/>
  <c r="H224" i="2" a="1"/>
  <c r="H224" i="2" s="1"/>
  <c r="F224" i="2" a="1"/>
  <c r="F224" i="2" s="1"/>
  <c r="D224" i="2" a="1"/>
  <c r="D224" i="2" s="1"/>
  <c r="E224" i="2" s="1"/>
  <c r="C224" i="2" a="1"/>
  <c r="C224" i="2" s="1"/>
  <c r="A224" i="2" a="1"/>
  <c r="A224" i="2" s="1"/>
  <c r="AB224" i="2" s="1"/>
  <c r="X223" i="2" a="1"/>
  <c r="X223" i="2" s="1"/>
  <c r="W223" i="2" a="1"/>
  <c r="W223" i="2" s="1"/>
  <c r="V223" i="2" a="1"/>
  <c r="V223" i="2" s="1"/>
  <c r="U223" i="2" a="1"/>
  <c r="U223" i="2" s="1"/>
  <c r="T223" i="2" a="1"/>
  <c r="T223" i="2" s="1"/>
  <c r="S223" i="2" a="1"/>
  <c r="S223" i="2" s="1"/>
  <c r="R223" i="2" a="1"/>
  <c r="R223" i="2" s="1"/>
  <c r="Q223" i="2" a="1"/>
  <c r="Q223" i="2" s="1"/>
  <c r="P223" i="2" a="1"/>
  <c r="P223" i="2" s="1"/>
  <c r="O223" i="2" a="1"/>
  <c r="O223" i="2" s="1"/>
  <c r="M223" i="2" a="1"/>
  <c r="M223" i="2" s="1"/>
  <c r="K223" i="2" a="1"/>
  <c r="K223" i="2" s="1"/>
  <c r="J223" i="2" a="1"/>
  <c r="J223" i="2" s="1"/>
  <c r="H223" i="2" a="1"/>
  <c r="H223" i="2" s="1"/>
  <c r="F223" i="2" a="1"/>
  <c r="F223" i="2" s="1"/>
  <c r="D223" i="2" a="1"/>
  <c r="D223" i="2" s="1"/>
  <c r="E223" i="2" s="1"/>
  <c r="C223" i="2" a="1"/>
  <c r="C223" i="2" s="1"/>
  <c r="A223" i="2" a="1"/>
  <c r="A223" i="2" s="1"/>
  <c r="AD223" i="2" s="1"/>
  <c r="X222" i="2" a="1"/>
  <c r="X222" i="2" s="1"/>
  <c r="W222" i="2" a="1"/>
  <c r="W222" i="2" s="1"/>
  <c r="V222" i="2" a="1"/>
  <c r="V222" i="2" s="1"/>
  <c r="U222" i="2" a="1"/>
  <c r="U222" i="2" s="1"/>
  <c r="T222" i="2" a="1"/>
  <c r="T222" i="2" s="1"/>
  <c r="S222" i="2" a="1"/>
  <c r="S222" i="2" s="1"/>
  <c r="R222" i="2" a="1"/>
  <c r="R222" i="2" s="1"/>
  <c r="Q222" i="2" a="1"/>
  <c r="Q222" i="2" s="1"/>
  <c r="P222" i="2" a="1"/>
  <c r="P222" i="2" s="1"/>
  <c r="O222" i="2" a="1"/>
  <c r="O222" i="2" s="1"/>
  <c r="M222" i="2" a="1"/>
  <c r="M222" i="2" s="1"/>
  <c r="K222" i="2" a="1"/>
  <c r="K222" i="2" s="1"/>
  <c r="J222" i="2" a="1"/>
  <c r="J222" i="2" s="1"/>
  <c r="H222" i="2" a="1"/>
  <c r="H222" i="2" s="1"/>
  <c r="F222" i="2" a="1"/>
  <c r="F222" i="2" s="1"/>
  <c r="D222" i="2" a="1"/>
  <c r="D222" i="2" s="1"/>
  <c r="E222" i="2" s="1"/>
  <c r="C222" i="2" a="1"/>
  <c r="C222" i="2" s="1"/>
  <c r="A222" i="2" a="1"/>
  <c r="A222" i="2" s="1"/>
  <c r="AD222" i="2" s="1"/>
  <c r="X221" i="2" a="1"/>
  <c r="X221" i="2" s="1"/>
  <c r="W221" i="2" a="1"/>
  <c r="W221" i="2" s="1"/>
  <c r="V221" i="2" a="1"/>
  <c r="V221" i="2" s="1"/>
  <c r="U221" i="2" a="1"/>
  <c r="U221" i="2" s="1"/>
  <c r="T221" i="2" a="1"/>
  <c r="T221" i="2" s="1"/>
  <c r="S221" i="2" a="1"/>
  <c r="S221" i="2" s="1"/>
  <c r="R221" i="2" a="1"/>
  <c r="R221" i="2" s="1"/>
  <c r="Q221" i="2" a="1"/>
  <c r="Q221" i="2" s="1"/>
  <c r="P221" i="2" a="1"/>
  <c r="P221" i="2" s="1"/>
  <c r="O221" i="2" a="1"/>
  <c r="O221" i="2" s="1"/>
  <c r="M221" i="2" a="1"/>
  <c r="M221" i="2" s="1"/>
  <c r="K221" i="2" a="1"/>
  <c r="K221" i="2" s="1"/>
  <c r="J221" i="2" a="1"/>
  <c r="J221" i="2" s="1"/>
  <c r="H221" i="2" a="1"/>
  <c r="H221" i="2" s="1"/>
  <c r="F221" i="2" a="1"/>
  <c r="F221" i="2" s="1"/>
  <c r="D221" i="2" a="1"/>
  <c r="D221" i="2" s="1"/>
  <c r="E221" i="2" s="1"/>
  <c r="C221" i="2" a="1"/>
  <c r="C221" i="2" s="1"/>
  <c r="A221" i="2" a="1"/>
  <c r="A221" i="2" s="1"/>
  <c r="X220" i="2" a="1"/>
  <c r="X220" i="2" s="1"/>
  <c r="W220" i="2" a="1"/>
  <c r="W220" i="2" s="1"/>
  <c r="V220" i="2" a="1"/>
  <c r="V220" i="2" s="1"/>
  <c r="U220" i="2" a="1"/>
  <c r="U220" i="2" s="1"/>
  <c r="T220" i="2" a="1"/>
  <c r="T220" i="2" s="1"/>
  <c r="S220" i="2" a="1"/>
  <c r="S220" i="2" s="1"/>
  <c r="R220" i="2" a="1"/>
  <c r="R220" i="2" s="1"/>
  <c r="Q220" i="2" a="1"/>
  <c r="Q220" i="2" s="1"/>
  <c r="P220" i="2" a="1"/>
  <c r="P220" i="2" s="1"/>
  <c r="O220" i="2" a="1"/>
  <c r="O220" i="2" s="1"/>
  <c r="M220" i="2" a="1"/>
  <c r="M220" i="2" s="1"/>
  <c r="K220" i="2" a="1"/>
  <c r="K220" i="2" s="1"/>
  <c r="J220" i="2" a="1"/>
  <c r="J220" i="2" s="1"/>
  <c r="H220" i="2" a="1"/>
  <c r="H220" i="2" s="1"/>
  <c r="F220" i="2" a="1"/>
  <c r="F220" i="2" s="1"/>
  <c r="D220" i="2" a="1"/>
  <c r="D220" i="2" s="1"/>
  <c r="E220" i="2" s="1"/>
  <c r="C220" i="2" a="1"/>
  <c r="C220" i="2" s="1"/>
  <c r="A220" i="2" a="1"/>
  <c r="A220" i="2" s="1"/>
  <c r="X219" i="2" a="1"/>
  <c r="X219" i="2" s="1"/>
  <c r="W219" i="2" a="1"/>
  <c r="W219" i="2" s="1"/>
  <c r="V219" i="2" a="1"/>
  <c r="V219" i="2" s="1"/>
  <c r="U219" i="2" a="1"/>
  <c r="U219" i="2" s="1"/>
  <c r="T219" i="2" a="1"/>
  <c r="T219" i="2" s="1"/>
  <c r="S219" i="2" a="1"/>
  <c r="S219" i="2" s="1"/>
  <c r="R219" i="2" a="1"/>
  <c r="R219" i="2" s="1"/>
  <c r="Q219" i="2" a="1"/>
  <c r="Q219" i="2" s="1"/>
  <c r="P219" i="2" a="1"/>
  <c r="P219" i="2" s="1"/>
  <c r="O219" i="2" a="1"/>
  <c r="O219" i="2" s="1"/>
  <c r="M219" i="2" a="1"/>
  <c r="M219" i="2" s="1"/>
  <c r="K219" i="2" a="1"/>
  <c r="K219" i="2" s="1"/>
  <c r="J219" i="2" a="1"/>
  <c r="J219" i="2" s="1"/>
  <c r="H219" i="2" a="1"/>
  <c r="H219" i="2" s="1"/>
  <c r="F219" i="2" a="1"/>
  <c r="F219" i="2" s="1"/>
  <c r="D219" i="2" a="1"/>
  <c r="D219" i="2" s="1"/>
  <c r="E219" i="2" s="1"/>
  <c r="C219" i="2" a="1"/>
  <c r="C219" i="2" s="1"/>
  <c r="A219" i="2" a="1"/>
  <c r="A219" i="2" s="1"/>
  <c r="AA219" i="2" s="1"/>
  <c r="X218" i="2" a="1"/>
  <c r="X218" i="2" s="1"/>
  <c r="W218" i="2" a="1"/>
  <c r="W218" i="2" s="1"/>
  <c r="V218" i="2" a="1"/>
  <c r="V218" i="2" s="1"/>
  <c r="U218" i="2" a="1"/>
  <c r="U218" i="2" s="1"/>
  <c r="T218" i="2" a="1"/>
  <c r="T218" i="2" s="1"/>
  <c r="S218" i="2" a="1"/>
  <c r="S218" i="2" s="1"/>
  <c r="R218" i="2" a="1"/>
  <c r="R218" i="2" s="1"/>
  <c r="Q218" i="2" a="1"/>
  <c r="Q218" i="2" s="1"/>
  <c r="P218" i="2" a="1"/>
  <c r="P218" i="2" s="1"/>
  <c r="O218" i="2" a="1"/>
  <c r="O218" i="2" s="1"/>
  <c r="M218" i="2" a="1"/>
  <c r="M218" i="2" s="1"/>
  <c r="K218" i="2" a="1"/>
  <c r="K218" i="2" s="1"/>
  <c r="J218" i="2" a="1"/>
  <c r="J218" i="2" s="1"/>
  <c r="H218" i="2" a="1"/>
  <c r="H218" i="2" s="1"/>
  <c r="F218" i="2" a="1"/>
  <c r="F218" i="2" s="1"/>
  <c r="D218" i="2" a="1"/>
  <c r="D218" i="2" s="1"/>
  <c r="E218" i="2" s="1"/>
  <c r="C218" i="2" a="1"/>
  <c r="C218" i="2" s="1"/>
  <c r="A218" i="2" a="1"/>
  <c r="A218" i="2" s="1"/>
  <c r="X217" i="2" a="1"/>
  <c r="X217" i="2" s="1"/>
  <c r="W217" i="2" a="1"/>
  <c r="W217" i="2" s="1"/>
  <c r="V217" i="2" a="1"/>
  <c r="V217" i="2" s="1"/>
  <c r="U217" i="2" a="1"/>
  <c r="U217" i="2" s="1"/>
  <c r="T217" i="2" a="1"/>
  <c r="T217" i="2" s="1"/>
  <c r="S217" i="2" a="1"/>
  <c r="S217" i="2" s="1"/>
  <c r="R217" i="2" a="1"/>
  <c r="R217" i="2" s="1"/>
  <c r="Q217" i="2" a="1"/>
  <c r="Q217" i="2" s="1"/>
  <c r="P217" i="2" a="1"/>
  <c r="P217" i="2" s="1"/>
  <c r="O217" i="2" a="1"/>
  <c r="O217" i="2" s="1"/>
  <c r="M217" i="2" a="1"/>
  <c r="M217" i="2" s="1"/>
  <c r="K217" i="2" a="1"/>
  <c r="K217" i="2" s="1"/>
  <c r="J217" i="2" a="1"/>
  <c r="J217" i="2" s="1"/>
  <c r="H217" i="2" a="1"/>
  <c r="H217" i="2" s="1"/>
  <c r="F217" i="2" a="1"/>
  <c r="F217" i="2" s="1"/>
  <c r="D217" i="2" a="1"/>
  <c r="D217" i="2" s="1"/>
  <c r="E217" i="2" s="1"/>
  <c r="C217" i="2" a="1"/>
  <c r="C217" i="2" s="1"/>
  <c r="A217" i="2" a="1"/>
  <c r="A217" i="2" s="1"/>
  <c r="AB217" i="2" s="1"/>
  <c r="X216" i="2" a="1"/>
  <c r="X216" i="2" s="1"/>
  <c r="W216" i="2" a="1"/>
  <c r="W216" i="2" s="1"/>
  <c r="V216" i="2" a="1"/>
  <c r="V216" i="2" s="1"/>
  <c r="U216" i="2" a="1"/>
  <c r="U216" i="2" s="1"/>
  <c r="T216" i="2" a="1"/>
  <c r="T216" i="2" s="1"/>
  <c r="S216" i="2" a="1"/>
  <c r="S216" i="2" s="1"/>
  <c r="R216" i="2" a="1"/>
  <c r="R216" i="2" s="1"/>
  <c r="Q216" i="2" a="1"/>
  <c r="Q216" i="2" s="1"/>
  <c r="P216" i="2" a="1"/>
  <c r="P216" i="2" s="1"/>
  <c r="O216" i="2" a="1"/>
  <c r="O216" i="2" s="1"/>
  <c r="M216" i="2" a="1"/>
  <c r="M216" i="2" s="1"/>
  <c r="K216" i="2" a="1"/>
  <c r="K216" i="2" s="1"/>
  <c r="J216" i="2" a="1"/>
  <c r="J216" i="2" s="1"/>
  <c r="H216" i="2" a="1"/>
  <c r="H216" i="2" s="1"/>
  <c r="F216" i="2" a="1"/>
  <c r="F216" i="2" s="1"/>
  <c r="D216" i="2" a="1"/>
  <c r="D216" i="2" s="1"/>
  <c r="E216" i="2" s="1"/>
  <c r="C216" i="2" a="1"/>
  <c r="C216" i="2" s="1"/>
  <c r="A216" i="2" a="1"/>
  <c r="A216" i="2" s="1"/>
  <c r="X215" i="2" a="1"/>
  <c r="X215" i="2" s="1"/>
  <c r="W215" i="2" a="1"/>
  <c r="W215" i="2" s="1"/>
  <c r="V215" i="2" a="1"/>
  <c r="V215" i="2" s="1"/>
  <c r="U215" i="2" a="1"/>
  <c r="U215" i="2" s="1"/>
  <c r="T215" i="2" a="1"/>
  <c r="T215" i="2" s="1"/>
  <c r="S215" i="2" a="1"/>
  <c r="S215" i="2" s="1"/>
  <c r="R215" i="2" a="1"/>
  <c r="R215" i="2" s="1"/>
  <c r="Q215" i="2" a="1"/>
  <c r="Q215" i="2" s="1"/>
  <c r="P215" i="2" a="1"/>
  <c r="P215" i="2" s="1"/>
  <c r="O215" i="2" a="1"/>
  <c r="O215" i="2" s="1"/>
  <c r="M215" i="2" a="1"/>
  <c r="M215" i="2" s="1"/>
  <c r="K215" i="2" a="1"/>
  <c r="K215" i="2" s="1"/>
  <c r="J215" i="2" a="1"/>
  <c r="J215" i="2" s="1"/>
  <c r="H215" i="2" a="1"/>
  <c r="H215" i="2" s="1"/>
  <c r="F215" i="2" a="1"/>
  <c r="F215" i="2" s="1"/>
  <c r="D215" i="2" a="1"/>
  <c r="D215" i="2" s="1"/>
  <c r="E215" i="2" s="1"/>
  <c r="C215" i="2" a="1"/>
  <c r="C215" i="2" s="1"/>
  <c r="A215" i="2" a="1"/>
  <c r="A215" i="2" s="1"/>
  <c r="X214" i="2" a="1"/>
  <c r="X214" i="2" s="1"/>
  <c r="W214" i="2" a="1"/>
  <c r="W214" i="2" s="1"/>
  <c r="V214" i="2" a="1"/>
  <c r="V214" i="2" s="1"/>
  <c r="U214" i="2" a="1"/>
  <c r="U214" i="2" s="1"/>
  <c r="T214" i="2" a="1"/>
  <c r="T214" i="2" s="1"/>
  <c r="S214" i="2" a="1"/>
  <c r="S214" i="2" s="1"/>
  <c r="R214" i="2" a="1"/>
  <c r="R214" i="2" s="1"/>
  <c r="Q214" i="2" a="1"/>
  <c r="Q214" i="2" s="1"/>
  <c r="P214" i="2" a="1"/>
  <c r="P214" i="2" s="1"/>
  <c r="O214" i="2" a="1"/>
  <c r="O214" i="2" s="1"/>
  <c r="M214" i="2" a="1"/>
  <c r="M214" i="2" s="1"/>
  <c r="K214" i="2" a="1"/>
  <c r="K214" i="2" s="1"/>
  <c r="J214" i="2" a="1"/>
  <c r="J214" i="2" s="1"/>
  <c r="H214" i="2" a="1"/>
  <c r="H214" i="2" s="1"/>
  <c r="F214" i="2" a="1"/>
  <c r="F214" i="2" s="1"/>
  <c r="D214" i="2" a="1"/>
  <c r="D214" i="2" s="1"/>
  <c r="E214" i="2" s="1"/>
  <c r="C214" i="2" a="1"/>
  <c r="C214" i="2" s="1"/>
  <c r="A214" i="2" a="1"/>
  <c r="A214" i="2" s="1"/>
  <c r="Z214" i="2" s="1"/>
  <c r="X213" i="2" a="1"/>
  <c r="X213" i="2" s="1"/>
  <c r="W213" i="2" a="1"/>
  <c r="W213" i="2" s="1"/>
  <c r="V213" i="2" a="1"/>
  <c r="V213" i="2" s="1"/>
  <c r="U213" i="2" a="1"/>
  <c r="U213" i="2" s="1"/>
  <c r="T213" i="2" a="1"/>
  <c r="T213" i="2" s="1"/>
  <c r="S213" i="2" a="1"/>
  <c r="S213" i="2" s="1"/>
  <c r="R213" i="2" a="1"/>
  <c r="R213" i="2" s="1"/>
  <c r="Q213" i="2" a="1"/>
  <c r="Q213" i="2" s="1"/>
  <c r="P213" i="2" a="1"/>
  <c r="P213" i="2" s="1"/>
  <c r="O213" i="2" a="1"/>
  <c r="O213" i="2" s="1"/>
  <c r="M213" i="2" a="1"/>
  <c r="M213" i="2" s="1"/>
  <c r="K213" i="2" a="1"/>
  <c r="K213" i="2" s="1"/>
  <c r="J213" i="2" a="1"/>
  <c r="J213" i="2" s="1"/>
  <c r="H213" i="2" a="1"/>
  <c r="H213" i="2" s="1"/>
  <c r="F213" i="2" a="1"/>
  <c r="F213" i="2" s="1"/>
  <c r="D213" i="2" a="1"/>
  <c r="D213" i="2" s="1"/>
  <c r="E213" i="2" s="1"/>
  <c r="C213" i="2" a="1"/>
  <c r="C213" i="2" s="1"/>
  <c r="A213" i="2" a="1"/>
  <c r="A213" i="2" s="1"/>
  <c r="AC213" i="2" s="1"/>
  <c r="X212" i="2" a="1"/>
  <c r="X212" i="2" s="1"/>
  <c r="W212" i="2" a="1"/>
  <c r="W212" i="2" s="1"/>
  <c r="V212" i="2" a="1"/>
  <c r="V212" i="2" s="1"/>
  <c r="U212" i="2" a="1"/>
  <c r="U212" i="2" s="1"/>
  <c r="T212" i="2" a="1"/>
  <c r="T212" i="2" s="1"/>
  <c r="S212" i="2" a="1"/>
  <c r="S212" i="2" s="1"/>
  <c r="R212" i="2" a="1"/>
  <c r="R212" i="2" s="1"/>
  <c r="Q212" i="2" a="1"/>
  <c r="Q212" i="2" s="1"/>
  <c r="P212" i="2" a="1"/>
  <c r="P212" i="2" s="1"/>
  <c r="O212" i="2" a="1"/>
  <c r="O212" i="2" s="1"/>
  <c r="M212" i="2" a="1"/>
  <c r="M212" i="2" s="1"/>
  <c r="K212" i="2" a="1"/>
  <c r="K212" i="2" s="1"/>
  <c r="J212" i="2" a="1"/>
  <c r="J212" i="2" s="1"/>
  <c r="H212" i="2" a="1"/>
  <c r="H212" i="2" s="1"/>
  <c r="F212" i="2" a="1"/>
  <c r="F212" i="2" s="1"/>
  <c r="D212" i="2" a="1"/>
  <c r="D212" i="2" s="1"/>
  <c r="E212" i="2" s="1"/>
  <c r="C212" i="2" a="1"/>
  <c r="C212" i="2" s="1"/>
  <c r="A212" i="2" a="1"/>
  <c r="A212" i="2" s="1"/>
  <c r="X211" i="2" a="1"/>
  <c r="X211" i="2" s="1"/>
  <c r="W211" i="2" a="1"/>
  <c r="W211" i="2" s="1"/>
  <c r="V211" i="2" a="1"/>
  <c r="V211" i="2" s="1"/>
  <c r="U211" i="2" a="1"/>
  <c r="U211" i="2" s="1"/>
  <c r="T211" i="2" a="1"/>
  <c r="T211" i="2" s="1"/>
  <c r="S211" i="2" a="1"/>
  <c r="S211" i="2" s="1"/>
  <c r="R211" i="2" a="1"/>
  <c r="R211" i="2" s="1"/>
  <c r="Q211" i="2" a="1"/>
  <c r="Q211" i="2" s="1"/>
  <c r="P211" i="2" a="1"/>
  <c r="P211" i="2" s="1"/>
  <c r="O211" i="2" a="1"/>
  <c r="O211" i="2" s="1"/>
  <c r="M211" i="2" a="1"/>
  <c r="M211" i="2" s="1"/>
  <c r="K211" i="2" a="1"/>
  <c r="K211" i="2" s="1"/>
  <c r="J211" i="2" a="1"/>
  <c r="J211" i="2" s="1"/>
  <c r="H211" i="2" a="1"/>
  <c r="H211" i="2" s="1"/>
  <c r="F211" i="2" a="1"/>
  <c r="F211" i="2" s="1"/>
  <c r="D211" i="2" a="1"/>
  <c r="D211" i="2" s="1"/>
  <c r="E211" i="2" s="1"/>
  <c r="C211" i="2" a="1"/>
  <c r="C211" i="2" s="1"/>
  <c r="A211" i="2" a="1"/>
  <c r="A211" i="2" s="1"/>
  <c r="X210" i="2" a="1"/>
  <c r="X210" i="2" s="1"/>
  <c r="W210" i="2" a="1"/>
  <c r="W210" i="2" s="1"/>
  <c r="V210" i="2" a="1"/>
  <c r="V210" i="2" s="1"/>
  <c r="U210" i="2" a="1"/>
  <c r="U210" i="2" s="1"/>
  <c r="T210" i="2" a="1"/>
  <c r="T210" i="2" s="1"/>
  <c r="S210" i="2" a="1"/>
  <c r="S210" i="2" s="1"/>
  <c r="R210" i="2" a="1"/>
  <c r="R210" i="2" s="1"/>
  <c r="Q210" i="2" a="1"/>
  <c r="Q210" i="2" s="1"/>
  <c r="P210" i="2" a="1"/>
  <c r="P210" i="2" s="1"/>
  <c r="O210" i="2" a="1"/>
  <c r="O210" i="2" s="1"/>
  <c r="M210" i="2" a="1"/>
  <c r="M210" i="2" s="1"/>
  <c r="K210" i="2" a="1"/>
  <c r="K210" i="2" s="1"/>
  <c r="J210" i="2" a="1"/>
  <c r="J210" i="2" s="1"/>
  <c r="H210" i="2" a="1"/>
  <c r="H210" i="2" s="1"/>
  <c r="F210" i="2" a="1"/>
  <c r="F210" i="2" s="1"/>
  <c r="D210" i="2" a="1"/>
  <c r="D210" i="2" s="1"/>
  <c r="E210" i="2" s="1"/>
  <c r="C210" i="2" a="1"/>
  <c r="C210" i="2" s="1"/>
  <c r="A210" i="2" a="1"/>
  <c r="A210" i="2" s="1"/>
  <c r="X209" i="2" a="1"/>
  <c r="X209" i="2" s="1"/>
  <c r="W209" i="2" a="1"/>
  <c r="W209" i="2" s="1"/>
  <c r="V209" i="2" a="1"/>
  <c r="V209" i="2" s="1"/>
  <c r="U209" i="2" a="1"/>
  <c r="U209" i="2" s="1"/>
  <c r="T209" i="2" a="1"/>
  <c r="T209" i="2" s="1"/>
  <c r="S209" i="2" a="1"/>
  <c r="S209" i="2" s="1"/>
  <c r="R209" i="2" a="1"/>
  <c r="R209" i="2" s="1"/>
  <c r="Q209" i="2" a="1"/>
  <c r="Q209" i="2" s="1"/>
  <c r="P209" i="2" a="1"/>
  <c r="P209" i="2" s="1"/>
  <c r="O209" i="2" a="1"/>
  <c r="O209" i="2" s="1"/>
  <c r="M209" i="2" a="1"/>
  <c r="M209" i="2" s="1"/>
  <c r="K209" i="2" a="1"/>
  <c r="K209" i="2" s="1"/>
  <c r="J209" i="2" a="1"/>
  <c r="J209" i="2" s="1"/>
  <c r="H209" i="2" a="1"/>
  <c r="H209" i="2" s="1"/>
  <c r="F209" i="2" a="1"/>
  <c r="F209" i="2" s="1"/>
  <c r="D209" i="2" a="1"/>
  <c r="D209" i="2" s="1"/>
  <c r="E209" i="2" s="1"/>
  <c r="C209" i="2" a="1"/>
  <c r="C209" i="2" s="1"/>
  <c r="A209" i="2" a="1"/>
  <c r="A209" i="2" s="1"/>
  <c r="X208" i="2" a="1"/>
  <c r="X208" i="2" s="1"/>
  <c r="W208" i="2" a="1"/>
  <c r="W208" i="2" s="1"/>
  <c r="V208" i="2" a="1"/>
  <c r="V208" i="2" s="1"/>
  <c r="U208" i="2" a="1"/>
  <c r="U208" i="2" s="1"/>
  <c r="T208" i="2" a="1"/>
  <c r="T208" i="2" s="1"/>
  <c r="S208" i="2" a="1"/>
  <c r="S208" i="2" s="1"/>
  <c r="R208" i="2" a="1"/>
  <c r="R208" i="2" s="1"/>
  <c r="Q208" i="2" a="1"/>
  <c r="Q208" i="2" s="1"/>
  <c r="P208" i="2" a="1"/>
  <c r="P208" i="2" s="1"/>
  <c r="O208" i="2" a="1"/>
  <c r="O208" i="2" s="1"/>
  <c r="M208" i="2" a="1"/>
  <c r="M208" i="2" s="1"/>
  <c r="K208" i="2" a="1"/>
  <c r="K208" i="2" s="1"/>
  <c r="J208" i="2" a="1"/>
  <c r="J208" i="2" s="1"/>
  <c r="H208" i="2" a="1"/>
  <c r="H208" i="2" s="1"/>
  <c r="F208" i="2" a="1"/>
  <c r="F208" i="2" s="1"/>
  <c r="D208" i="2" a="1"/>
  <c r="D208" i="2" s="1"/>
  <c r="E208" i="2" s="1"/>
  <c r="C208" i="2" a="1"/>
  <c r="C208" i="2" s="1"/>
  <c r="A208" i="2" a="1"/>
  <c r="A208" i="2" s="1"/>
  <c r="X207" i="2" a="1"/>
  <c r="X207" i="2" s="1"/>
  <c r="W207" i="2" a="1"/>
  <c r="W207" i="2" s="1"/>
  <c r="V207" i="2" a="1"/>
  <c r="V207" i="2" s="1"/>
  <c r="U207" i="2" a="1"/>
  <c r="U207" i="2" s="1"/>
  <c r="T207" i="2" a="1"/>
  <c r="T207" i="2" s="1"/>
  <c r="S207" i="2" a="1"/>
  <c r="S207" i="2" s="1"/>
  <c r="R207" i="2" a="1"/>
  <c r="R207" i="2" s="1"/>
  <c r="Q207" i="2" a="1"/>
  <c r="Q207" i="2" s="1"/>
  <c r="P207" i="2" a="1"/>
  <c r="P207" i="2" s="1"/>
  <c r="O207" i="2" a="1"/>
  <c r="O207" i="2" s="1"/>
  <c r="M207" i="2" a="1"/>
  <c r="M207" i="2" s="1"/>
  <c r="K207" i="2" a="1"/>
  <c r="K207" i="2" s="1"/>
  <c r="J207" i="2" a="1"/>
  <c r="J207" i="2" s="1"/>
  <c r="H207" i="2" a="1"/>
  <c r="H207" i="2" s="1"/>
  <c r="F207" i="2" a="1"/>
  <c r="F207" i="2" s="1"/>
  <c r="D207" i="2" a="1"/>
  <c r="D207" i="2" s="1"/>
  <c r="E207" i="2" s="1"/>
  <c r="C207" i="2" a="1"/>
  <c r="C207" i="2" s="1"/>
  <c r="A207" i="2" a="1"/>
  <c r="A207" i="2" s="1"/>
  <c r="X206" i="2" a="1"/>
  <c r="X206" i="2" s="1"/>
  <c r="W206" i="2" a="1"/>
  <c r="W206" i="2" s="1"/>
  <c r="V206" i="2" a="1"/>
  <c r="V206" i="2" s="1"/>
  <c r="U206" i="2" a="1"/>
  <c r="U206" i="2" s="1"/>
  <c r="T206" i="2" a="1"/>
  <c r="T206" i="2" s="1"/>
  <c r="S206" i="2" a="1"/>
  <c r="S206" i="2" s="1"/>
  <c r="R206" i="2" a="1"/>
  <c r="R206" i="2" s="1"/>
  <c r="Q206" i="2" a="1"/>
  <c r="Q206" i="2" s="1"/>
  <c r="P206" i="2" a="1"/>
  <c r="P206" i="2" s="1"/>
  <c r="O206" i="2" a="1"/>
  <c r="O206" i="2" s="1"/>
  <c r="M206" i="2" a="1"/>
  <c r="M206" i="2" s="1"/>
  <c r="K206" i="2" a="1"/>
  <c r="K206" i="2" s="1"/>
  <c r="J206" i="2" a="1"/>
  <c r="J206" i="2" s="1"/>
  <c r="H206" i="2" a="1"/>
  <c r="H206" i="2" s="1"/>
  <c r="F206" i="2" a="1"/>
  <c r="F206" i="2" s="1"/>
  <c r="D206" i="2" a="1"/>
  <c r="D206" i="2" s="1"/>
  <c r="E206" i="2" s="1"/>
  <c r="C206" i="2" a="1"/>
  <c r="C206" i="2" s="1"/>
  <c r="A206" i="2" a="1"/>
  <c r="A206" i="2" s="1"/>
  <c r="X205" i="2" a="1"/>
  <c r="X205" i="2" s="1"/>
  <c r="W205" i="2" a="1"/>
  <c r="W205" i="2" s="1"/>
  <c r="V205" i="2" a="1"/>
  <c r="V205" i="2" s="1"/>
  <c r="U205" i="2" a="1"/>
  <c r="U205" i="2" s="1"/>
  <c r="T205" i="2" a="1"/>
  <c r="T205" i="2" s="1"/>
  <c r="S205" i="2" a="1"/>
  <c r="S205" i="2" s="1"/>
  <c r="R205" i="2" a="1"/>
  <c r="R205" i="2" s="1"/>
  <c r="Q205" i="2" a="1"/>
  <c r="Q205" i="2" s="1"/>
  <c r="P205" i="2" a="1"/>
  <c r="P205" i="2" s="1"/>
  <c r="O205" i="2" a="1"/>
  <c r="O205" i="2" s="1"/>
  <c r="M205" i="2" a="1"/>
  <c r="M205" i="2" s="1"/>
  <c r="K205" i="2" a="1"/>
  <c r="K205" i="2" s="1"/>
  <c r="J205" i="2" a="1"/>
  <c r="J205" i="2" s="1"/>
  <c r="H205" i="2" a="1"/>
  <c r="H205" i="2" s="1"/>
  <c r="F205" i="2" a="1"/>
  <c r="F205" i="2" s="1"/>
  <c r="D205" i="2" a="1"/>
  <c r="D205" i="2" s="1"/>
  <c r="E205" i="2" s="1"/>
  <c r="C205" i="2" a="1"/>
  <c r="C205" i="2" s="1"/>
  <c r="A205" i="2" a="1"/>
  <c r="A205" i="2" s="1"/>
  <c r="X204" i="2" a="1"/>
  <c r="X204" i="2" s="1"/>
  <c r="W204" i="2" a="1"/>
  <c r="W204" i="2" s="1"/>
  <c r="V204" i="2" a="1"/>
  <c r="V204" i="2" s="1"/>
  <c r="U204" i="2" a="1"/>
  <c r="U204" i="2" s="1"/>
  <c r="T204" i="2" a="1"/>
  <c r="T204" i="2" s="1"/>
  <c r="S204" i="2" a="1"/>
  <c r="S204" i="2" s="1"/>
  <c r="R204" i="2" a="1"/>
  <c r="R204" i="2" s="1"/>
  <c r="Q204" i="2" a="1"/>
  <c r="Q204" i="2" s="1"/>
  <c r="P204" i="2" a="1"/>
  <c r="P204" i="2" s="1"/>
  <c r="O204" i="2" a="1"/>
  <c r="O204" i="2" s="1"/>
  <c r="M204" i="2" a="1"/>
  <c r="M204" i="2" s="1"/>
  <c r="K204" i="2" a="1"/>
  <c r="K204" i="2" s="1"/>
  <c r="J204" i="2" a="1"/>
  <c r="J204" i="2" s="1"/>
  <c r="H204" i="2" a="1"/>
  <c r="H204" i="2" s="1"/>
  <c r="F204" i="2" a="1"/>
  <c r="F204" i="2" s="1"/>
  <c r="D204" i="2" a="1"/>
  <c r="D204" i="2" s="1"/>
  <c r="E204" i="2" s="1"/>
  <c r="C204" i="2" a="1"/>
  <c r="C204" i="2" s="1"/>
  <c r="A204" i="2" a="1"/>
  <c r="A204" i="2" s="1"/>
  <c r="AD204" i="2" s="1"/>
  <c r="X203" i="2" a="1"/>
  <c r="X203" i="2" s="1"/>
  <c r="W203" i="2" a="1"/>
  <c r="W203" i="2" s="1"/>
  <c r="V203" i="2" a="1"/>
  <c r="V203" i="2" s="1"/>
  <c r="U203" i="2" a="1"/>
  <c r="U203" i="2" s="1"/>
  <c r="T203" i="2" a="1"/>
  <c r="T203" i="2" s="1"/>
  <c r="S203" i="2" a="1"/>
  <c r="S203" i="2" s="1"/>
  <c r="R203" i="2" a="1"/>
  <c r="R203" i="2" s="1"/>
  <c r="Q203" i="2" a="1"/>
  <c r="Q203" i="2" s="1"/>
  <c r="P203" i="2" a="1"/>
  <c r="P203" i="2" s="1"/>
  <c r="O203" i="2" a="1"/>
  <c r="O203" i="2" s="1"/>
  <c r="M203" i="2" a="1"/>
  <c r="M203" i="2" s="1"/>
  <c r="K203" i="2" a="1"/>
  <c r="K203" i="2" s="1"/>
  <c r="J203" i="2" a="1"/>
  <c r="J203" i="2" s="1"/>
  <c r="H203" i="2" a="1"/>
  <c r="H203" i="2" s="1"/>
  <c r="F203" i="2" a="1"/>
  <c r="F203" i="2" s="1"/>
  <c r="D203" i="2" a="1"/>
  <c r="D203" i="2" s="1"/>
  <c r="E203" i="2" s="1"/>
  <c r="C203" i="2" a="1"/>
  <c r="C203" i="2" s="1"/>
  <c r="A203" i="2" a="1"/>
  <c r="A203" i="2" s="1"/>
  <c r="X202" i="2" a="1"/>
  <c r="X202" i="2" s="1"/>
  <c r="W202" i="2" a="1"/>
  <c r="W202" i="2" s="1"/>
  <c r="V202" i="2" a="1"/>
  <c r="V202" i="2" s="1"/>
  <c r="U202" i="2" a="1"/>
  <c r="U202" i="2" s="1"/>
  <c r="T202" i="2" a="1"/>
  <c r="T202" i="2" s="1"/>
  <c r="S202" i="2" a="1"/>
  <c r="S202" i="2" s="1"/>
  <c r="R202" i="2" a="1"/>
  <c r="R202" i="2" s="1"/>
  <c r="Q202" i="2" a="1"/>
  <c r="Q202" i="2" s="1"/>
  <c r="P202" i="2" a="1"/>
  <c r="P202" i="2" s="1"/>
  <c r="O202" i="2" a="1"/>
  <c r="O202" i="2" s="1"/>
  <c r="M202" i="2" a="1"/>
  <c r="M202" i="2" s="1"/>
  <c r="K202" i="2" a="1"/>
  <c r="K202" i="2" s="1"/>
  <c r="J202" i="2" a="1"/>
  <c r="J202" i="2" s="1"/>
  <c r="H202" i="2" a="1"/>
  <c r="H202" i="2" s="1"/>
  <c r="F202" i="2" a="1"/>
  <c r="F202" i="2" s="1"/>
  <c r="D202" i="2" a="1"/>
  <c r="D202" i="2" s="1"/>
  <c r="E202" i="2" s="1"/>
  <c r="C202" i="2" a="1"/>
  <c r="C202" i="2" s="1"/>
  <c r="A202" i="2" a="1"/>
  <c r="A202" i="2" s="1"/>
  <c r="X201" i="2" a="1"/>
  <c r="X201" i="2" s="1"/>
  <c r="W201" i="2" a="1"/>
  <c r="W201" i="2" s="1"/>
  <c r="V201" i="2" a="1"/>
  <c r="V201" i="2" s="1"/>
  <c r="U201" i="2" a="1"/>
  <c r="U201" i="2" s="1"/>
  <c r="T201" i="2" a="1"/>
  <c r="T201" i="2" s="1"/>
  <c r="S201" i="2" a="1"/>
  <c r="S201" i="2" s="1"/>
  <c r="R201" i="2" a="1"/>
  <c r="R201" i="2" s="1"/>
  <c r="Q201" i="2" a="1"/>
  <c r="Q201" i="2" s="1"/>
  <c r="P201" i="2" a="1"/>
  <c r="P201" i="2" s="1"/>
  <c r="O201" i="2" a="1"/>
  <c r="O201" i="2" s="1"/>
  <c r="M201" i="2" a="1"/>
  <c r="M201" i="2" s="1"/>
  <c r="K201" i="2" a="1"/>
  <c r="K201" i="2" s="1"/>
  <c r="J201" i="2" a="1"/>
  <c r="J201" i="2" s="1"/>
  <c r="H201" i="2" a="1"/>
  <c r="H201" i="2" s="1"/>
  <c r="F201" i="2" a="1"/>
  <c r="F201" i="2" s="1"/>
  <c r="D201" i="2" a="1"/>
  <c r="D201" i="2" s="1"/>
  <c r="E201" i="2" s="1"/>
  <c r="C201" i="2" a="1"/>
  <c r="C201" i="2" s="1"/>
  <c r="A201" i="2" a="1"/>
  <c r="A201" i="2" s="1"/>
  <c r="AC201" i="2" s="1"/>
  <c r="X200" i="2" a="1"/>
  <c r="X200" i="2" s="1"/>
  <c r="W200" i="2" a="1"/>
  <c r="W200" i="2" s="1"/>
  <c r="V200" i="2" a="1"/>
  <c r="V200" i="2" s="1"/>
  <c r="U200" i="2" a="1"/>
  <c r="U200" i="2" s="1"/>
  <c r="T200" i="2" a="1"/>
  <c r="T200" i="2" s="1"/>
  <c r="S200" i="2" a="1"/>
  <c r="S200" i="2" s="1"/>
  <c r="R200" i="2" a="1"/>
  <c r="R200" i="2" s="1"/>
  <c r="Q200" i="2" a="1"/>
  <c r="Q200" i="2" s="1"/>
  <c r="P200" i="2" a="1"/>
  <c r="P200" i="2" s="1"/>
  <c r="O200" i="2" a="1"/>
  <c r="O200" i="2" s="1"/>
  <c r="M200" i="2" a="1"/>
  <c r="M200" i="2" s="1"/>
  <c r="K200" i="2" a="1"/>
  <c r="K200" i="2" s="1"/>
  <c r="J200" i="2" a="1"/>
  <c r="J200" i="2" s="1"/>
  <c r="H200" i="2" a="1"/>
  <c r="H200" i="2" s="1"/>
  <c r="F200" i="2" a="1"/>
  <c r="F200" i="2" s="1"/>
  <c r="D200" i="2" a="1"/>
  <c r="D200" i="2" s="1"/>
  <c r="E200" i="2" s="1"/>
  <c r="C200" i="2" a="1"/>
  <c r="C200" i="2" s="1"/>
  <c r="A200" i="2" a="1"/>
  <c r="A200" i="2" s="1"/>
  <c r="X199" i="2" a="1"/>
  <c r="X199" i="2" s="1"/>
  <c r="W199" i="2" a="1"/>
  <c r="W199" i="2" s="1"/>
  <c r="V199" i="2" a="1"/>
  <c r="V199" i="2" s="1"/>
  <c r="U199" i="2" a="1"/>
  <c r="U199" i="2" s="1"/>
  <c r="T199" i="2" a="1"/>
  <c r="T199" i="2" s="1"/>
  <c r="S199" i="2" a="1"/>
  <c r="S199" i="2" s="1"/>
  <c r="R199" i="2" a="1"/>
  <c r="R199" i="2" s="1"/>
  <c r="Q199" i="2" a="1"/>
  <c r="Q199" i="2" s="1"/>
  <c r="P199" i="2" a="1"/>
  <c r="P199" i="2" s="1"/>
  <c r="O199" i="2" a="1"/>
  <c r="O199" i="2" s="1"/>
  <c r="M199" i="2" a="1"/>
  <c r="M199" i="2" s="1"/>
  <c r="K199" i="2" a="1"/>
  <c r="K199" i="2" s="1"/>
  <c r="J199" i="2" a="1"/>
  <c r="J199" i="2" s="1"/>
  <c r="H199" i="2" a="1"/>
  <c r="H199" i="2" s="1"/>
  <c r="F199" i="2" a="1"/>
  <c r="F199" i="2" s="1"/>
  <c r="D199" i="2" a="1"/>
  <c r="D199" i="2" s="1"/>
  <c r="E199" i="2" s="1"/>
  <c r="C199" i="2" a="1"/>
  <c r="C199" i="2" s="1"/>
  <c r="A199" i="2" a="1"/>
  <c r="A199" i="2" s="1"/>
  <c r="X198" i="2" a="1"/>
  <c r="X198" i="2" s="1"/>
  <c r="W198" i="2" a="1"/>
  <c r="W198" i="2" s="1"/>
  <c r="V198" i="2" a="1"/>
  <c r="V198" i="2" s="1"/>
  <c r="U198" i="2" a="1"/>
  <c r="U198" i="2" s="1"/>
  <c r="T198" i="2" a="1"/>
  <c r="T198" i="2" s="1"/>
  <c r="S198" i="2" a="1"/>
  <c r="S198" i="2" s="1"/>
  <c r="R198" i="2" a="1"/>
  <c r="R198" i="2" s="1"/>
  <c r="Q198" i="2" a="1"/>
  <c r="Q198" i="2" s="1"/>
  <c r="P198" i="2" a="1"/>
  <c r="P198" i="2" s="1"/>
  <c r="O198" i="2" a="1"/>
  <c r="O198" i="2" s="1"/>
  <c r="M198" i="2" a="1"/>
  <c r="M198" i="2" s="1"/>
  <c r="K198" i="2" a="1"/>
  <c r="K198" i="2" s="1"/>
  <c r="J198" i="2" a="1"/>
  <c r="J198" i="2" s="1"/>
  <c r="H198" i="2" a="1"/>
  <c r="H198" i="2" s="1"/>
  <c r="F198" i="2" a="1"/>
  <c r="F198" i="2" s="1"/>
  <c r="D198" i="2" a="1"/>
  <c r="D198" i="2" s="1"/>
  <c r="E198" i="2" s="1"/>
  <c r="C198" i="2" a="1"/>
  <c r="C198" i="2" s="1"/>
  <c r="A198" i="2" a="1"/>
  <c r="A198" i="2" s="1"/>
  <c r="X197" i="2" a="1"/>
  <c r="X197" i="2" s="1"/>
  <c r="W197" i="2" a="1"/>
  <c r="W197" i="2" s="1"/>
  <c r="V197" i="2" a="1"/>
  <c r="V197" i="2" s="1"/>
  <c r="U197" i="2" a="1"/>
  <c r="U197" i="2" s="1"/>
  <c r="T197" i="2" a="1"/>
  <c r="T197" i="2" s="1"/>
  <c r="S197" i="2" a="1"/>
  <c r="S197" i="2" s="1"/>
  <c r="R197" i="2" a="1"/>
  <c r="R197" i="2" s="1"/>
  <c r="Q197" i="2" a="1"/>
  <c r="Q197" i="2" s="1"/>
  <c r="P197" i="2" a="1"/>
  <c r="P197" i="2" s="1"/>
  <c r="O197" i="2" a="1"/>
  <c r="O197" i="2" s="1"/>
  <c r="M197" i="2" a="1"/>
  <c r="M197" i="2" s="1"/>
  <c r="K197" i="2" a="1"/>
  <c r="K197" i="2" s="1"/>
  <c r="J197" i="2" a="1"/>
  <c r="J197" i="2" s="1"/>
  <c r="H197" i="2" a="1"/>
  <c r="H197" i="2" s="1"/>
  <c r="F197" i="2" a="1"/>
  <c r="F197" i="2" s="1"/>
  <c r="D197" i="2" a="1"/>
  <c r="D197" i="2" s="1"/>
  <c r="E197" i="2" s="1"/>
  <c r="C197" i="2" a="1"/>
  <c r="C197" i="2" s="1"/>
  <c r="A197" i="2" a="1"/>
  <c r="A197" i="2" s="1"/>
  <c r="AD197" i="2" s="1"/>
  <c r="X196" i="2" a="1"/>
  <c r="X196" i="2" s="1"/>
  <c r="W196" i="2" a="1"/>
  <c r="W196" i="2" s="1"/>
  <c r="V196" i="2" a="1"/>
  <c r="V196" i="2" s="1"/>
  <c r="U196" i="2" a="1"/>
  <c r="U196" i="2" s="1"/>
  <c r="T196" i="2" a="1"/>
  <c r="T196" i="2" s="1"/>
  <c r="S196" i="2" a="1"/>
  <c r="S196" i="2" s="1"/>
  <c r="R196" i="2" a="1"/>
  <c r="R196" i="2" s="1"/>
  <c r="Q196" i="2" a="1"/>
  <c r="Q196" i="2" s="1"/>
  <c r="P196" i="2" a="1"/>
  <c r="P196" i="2" s="1"/>
  <c r="O196" i="2" a="1"/>
  <c r="O196" i="2" s="1"/>
  <c r="M196" i="2" a="1"/>
  <c r="M196" i="2" s="1"/>
  <c r="K196" i="2" a="1"/>
  <c r="K196" i="2" s="1"/>
  <c r="J196" i="2" a="1"/>
  <c r="J196" i="2" s="1"/>
  <c r="H196" i="2" a="1"/>
  <c r="H196" i="2" s="1"/>
  <c r="F196" i="2" a="1"/>
  <c r="F196" i="2" s="1"/>
  <c r="D196" i="2" a="1"/>
  <c r="D196" i="2" s="1"/>
  <c r="E196" i="2" s="1"/>
  <c r="C196" i="2" a="1"/>
  <c r="C196" i="2" s="1"/>
  <c r="A196" i="2" a="1"/>
  <c r="A196" i="2" s="1"/>
  <c r="X195" i="2" a="1"/>
  <c r="X195" i="2" s="1"/>
  <c r="W195" i="2" a="1"/>
  <c r="W195" i="2" s="1"/>
  <c r="V195" i="2" a="1"/>
  <c r="V195" i="2" s="1"/>
  <c r="U195" i="2" a="1"/>
  <c r="U195" i="2" s="1"/>
  <c r="T195" i="2" a="1"/>
  <c r="T195" i="2" s="1"/>
  <c r="S195" i="2" a="1"/>
  <c r="S195" i="2" s="1"/>
  <c r="R195" i="2" a="1"/>
  <c r="R195" i="2" s="1"/>
  <c r="Q195" i="2" a="1"/>
  <c r="Q195" i="2" s="1"/>
  <c r="P195" i="2" a="1"/>
  <c r="P195" i="2" s="1"/>
  <c r="O195" i="2" a="1"/>
  <c r="O195" i="2" s="1"/>
  <c r="M195" i="2" a="1"/>
  <c r="M195" i="2" s="1"/>
  <c r="K195" i="2" a="1"/>
  <c r="K195" i="2" s="1"/>
  <c r="J195" i="2" a="1"/>
  <c r="J195" i="2" s="1"/>
  <c r="H195" i="2" a="1"/>
  <c r="H195" i="2" s="1"/>
  <c r="F195" i="2" a="1"/>
  <c r="F195" i="2" s="1"/>
  <c r="D195" i="2" a="1"/>
  <c r="D195" i="2" s="1"/>
  <c r="E195" i="2" s="1"/>
  <c r="C195" i="2" a="1"/>
  <c r="C195" i="2" s="1"/>
  <c r="A195" i="2" a="1"/>
  <c r="A195" i="2" s="1"/>
  <c r="X194" i="2" a="1"/>
  <c r="X194" i="2" s="1"/>
  <c r="W194" i="2" a="1"/>
  <c r="W194" i="2" s="1"/>
  <c r="V194" i="2" a="1"/>
  <c r="V194" i="2" s="1"/>
  <c r="U194" i="2" a="1"/>
  <c r="U194" i="2" s="1"/>
  <c r="T194" i="2" a="1"/>
  <c r="T194" i="2" s="1"/>
  <c r="S194" i="2" a="1"/>
  <c r="S194" i="2" s="1"/>
  <c r="R194" i="2" a="1"/>
  <c r="R194" i="2" s="1"/>
  <c r="Q194" i="2" a="1"/>
  <c r="Q194" i="2" s="1"/>
  <c r="P194" i="2" a="1"/>
  <c r="P194" i="2" s="1"/>
  <c r="O194" i="2" a="1"/>
  <c r="O194" i="2" s="1"/>
  <c r="M194" i="2" a="1"/>
  <c r="M194" i="2" s="1"/>
  <c r="K194" i="2" a="1"/>
  <c r="K194" i="2" s="1"/>
  <c r="J194" i="2" a="1"/>
  <c r="J194" i="2" s="1"/>
  <c r="H194" i="2" a="1"/>
  <c r="H194" i="2" s="1"/>
  <c r="F194" i="2" a="1"/>
  <c r="F194" i="2" s="1"/>
  <c r="D194" i="2" a="1"/>
  <c r="D194" i="2" s="1"/>
  <c r="E194" i="2" s="1"/>
  <c r="C194" i="2" a="1"/>
  <c r="C194" i="2" s="1"/>
  <c r="A194" i="2" a="1"/>
  <c r="A194" i="2" s="1"/>
  <c r="X193" i="2" a="1"/>
  <c r="X193" i="2" s="1"/>
  <c r="W193" i="2" a="1"/>
  <c r="W193" i="2" s="1"/>
  <c r="V193" i="2" a="1"/>
  <c r="V193" i="2" s="1"/>
  <c r="U193" i="2" a="1"/>
  <c r="U193" i="2" s="1"/>
  <c r="T193" i="2" a="1"/>
  <c r="T193" i="2" s="1"/>
  <c r="S193" i="2" a="1"/>
  <c r="S193" i="2" s="1"/>
  <c r="R193" i="2" a="1"/>
  <c r="R193" i="2" s="1"/>
  <c r="Q193" i="2" a="1"/>
  <c r="Q193" i="2" s="1"/>
  <c r="P193" i="2" a="1"/>
  <c r="P193" i="2" s="1"/>
  <c r="O193" i="2" a="1"/>
  <c r="O193" i="2" s="1"/>
  <c r="M193" i="2" a="1"/>
  <c r="M193" i="2" s="1"/>
  <c r="K193" i="2" a="1"/>
  <c r="K193" i="2" s="1"/>
  <c r="J193" i="2" a="1"/>
  <c r="J193" i="2" s="1"/>
  <c r="H193" i="2" a="1"/>
  <c r="H193" i="2" s="1"/>
  <c r="F193" i="2" a="1"/>
  <c r="F193" i="2" s="1"/>
  <c r="D193" i="2" a="1"/>
  <c r="D193" i="2" s="1"/>
  <c r="E193" i="2" s="1"/>
  <c r="C193" i="2" a="1"/>
  <c r="C193" i="2" s="1"/>
  <c r="A193" i="2" a="1"/>
  <c r="A193" i="2" s="1"/>
  <c r="X192" i="2" a="1"/>
  <c r="X192" i="2" s="1"/>
  <c r="W192" i="2" a="1"/>
  <c r="W192" i="2" s="1"/>
  <c r="V192" i="2" a="1"/>
  <c r="V192" i="2" s="1"/>
  <c r="U192" i="2" a="1"/>
  <c r="U192" i="2" s="1"/>
  <c r="T192" i="2" a="1"/>
  <c r="T192" i="2" s="1"/>
  <c r="S192" i="2" a="1"/>
  <c r="S192" i="2" s="1"/>
  <c r="R192" i="2" a="1"/>
  <c r="R192" i="2" s="1"/>
  <c r="Q192" i="2" a="1"/>
  <c r="Q192" i="2" s="1"/>
  <c r="P192" i="2" a="1"/>
  <c r="P192" i="2" s="1"/>
  <c r="O192" i="2" a="1"/>
  <c r="O192" i="2" s="1"/>
  <c r="M192" i="2" a="1"/>
  <c r="M192" i="2" s="1"/>
  <c r="K192" i="2" a="1"/>
  <c r="K192" i="2" s="1"/>
  <c r="J192" i="2" a="1"/>
  <c r="J192" i="2" s="1"/>
  <c r="H192" i="2" a="1"/>
  <c r="H192" i="2" s="1"/>
  <c r="F192" i="2" a="1"/>
  <c r="F192" i="2" s="1"/>
  <c r="D192" i="2" a="1"/>
  <c r="D192" i="2" s="1"/>
  <c r="E192" i="2" s="1"/>
  <c r="C192" i="2" a="1"/>
  <c r="C192" i="2" s="1"/>
  <c r="A192" i="2" a="1"/>
  <c r="A192" i="2" s="1"/>
  <c r="AD192" i="2" s="1"/>
  <c r="X191" i="2" a="1"/>
  <c r="X191" i="2" s="1"/>
  <c r="W191" i="2" a="1"/>
  <c r="W191" i="2" s="1"/>
  <c r="V191" i="2" a="1"/>
  <c r="V191" i="2" s="1"/>
  <c r="U191" i="2" a="1"/>
  <c r="U191" i="2" s="1"/>
  <c r="T191" i="2" a="1"/>
  <c r="T191" i="2" s="1"/>
  <c r="S191" i="2" a="1"/>
  <c r="S191" i="2" s="1"/>
  <c r="R191" i="2" a="1"/>
  <c r="R191" i="2" s="1"/>
  <c r="Q191" i="2" a="1"/>
  <c r="Q191" i="2" s="1"/>
  <c r="P191" i="2" a="1"/>
  <c r="P191" i="2" s="1"/>
  <c r="O191" i="2" a="1"/>
  <c r="O191" i="2" s="1"/>
  <c r="M191" i="2" a="1"/>
  <c r="M191" i="2" s="1"/>
  <c r="K191" i="2" a="1"/>
  <c r="K191" i="2" s="1"/>
  <c r="J191" i="2" a="1"/>
  <c r="J191" i="2" s="1"/>
  <c r="H191" i="2" a="1"/>
  <c r="H191" i="2" s="1"/>
  <c r="F191" i="2" a="1"/>
  <c r="F191" i="2" s="1"/>
  <c r="D191" i="2" a="1"/>
  <c r="D191" i="2" s="1"/>
  <c r="E191" i="2" s="1"/>
  <c r="C191" i="2" a="1"/>
  <c r="C191" i="2" s="1"/>
  <c r="A191" i="2" a="1"/>
  <c r="A191" i="2" s="1"/>
  <c r="X190" i="2" a="1"/>
  <c r="X190" i="2" s="1"/>
  <c r="W190" i="2" a="1"/>
  <c r="W190" i="2" s="1"/>
  <c r="V190" i="2" a="1"/>
  <c r="V190" i="2" s="1"/>
  <c r="U190" i="2" a="1"/>
  <c r="U190" i="2" s="1"/>
  <c r="T190" i="2" a="1"/>
  <c r="T190" i="2" s="1"/>
  <c r="S190" i="2" a="1"/>
  <c r="S190" i="2" s="1"/>
  <c r="R190" i="2" a="1"/>
  <c r="R190" i="2" s="1"/>
  <c r="Q190" i="2" a="1"/>
  <c r="Q190" i="2" s="1"/>
  <c r="P190" i="2" a="1"/>
  <c r="P190" i="2" s="1"/>
  <c r="O190" i="2" a="1"/>
  <c r="O190" i="2" s="1"/>
  <c r="M190" i="2" a="1"/>
  <c r="M190" i="2" s="1"/>
  <c r="K190" i="2" a="1"/>
  <c r="K190" i="2" s="1"/>
  <c r="J190" i="2" a="1"/>
  <c r="J190" i="2" s="1"/>
  <c r="H190" i="2" a="1"/>
  <c r="H190" i="2" s="1"/>
  <c r="F190" i="2" a="1"/>
  <c r="F190" i="2" s="1"/>
  <c r="D190" i="2" a="1"/>
  <c r="D190" i="2" s="1"/>
  <c r="E190" i="2" s="1"/>
  <c r="C190" i="2" a="1"/>
  <c r="C190" i="2" s="1"/>
  <c r="A190" i="2" a="1"/>
  <c r="A190" i="2" s="1"/>
  <c r="X189" i="2" a="1"/>
  <c r="X189" i="2" s="1"/>
  <c r="W189" i="2" a="1"/>
  <c r="W189" i="2" s="1"/>
  <c r="V189" i="2" a="1"/>
  <c r="V189" i="2" s="1"/>
  <c r="U189" i="2" a="1"/>
  <c r="U189" i="2" s="1"/>
  <c r="T189" i="2" a="1"/>
  <c r="T189" i="2" s="1"/>
  <c r="S189" i="2" a="1"/>
  <c r="S189" i="2" s="1"/>
  <c r="R189" i="2" a="1"/>
  <c r="R189" i="2" s="1"/>
  <c r="Q189" i="2" a="1"/>
  <c r="Q189" i="2" s="1"/>
  <c r="P189" i="2" a="1"/>
  <c r="P189" i="2" s="1"/>
  <c r="O189" i="2" a="1"/>
  <c r="O189" i="2" s="1"/>
  <c r="M189" i="2" a="1"/>
  <c r="M189" i="2" s="1"/>
  <c r="K189" i="2" a="1"/>
  <c r="K189" i="2" s="1"/>
  <c r="J189" i="2" a="1"/>
  <c r="J189" i="2" s="1"/>
  <c r="H189" i="2" a="1"/>
  <c r="H189" i="2" s="1"/>
  <c r="F189" i="2" a="1"/>
  <c r="F189" i="2" s="1"/>
  <c r="D189" i="2" a="1"/>
  <c r="D189" i="2" s="1"/>
  <c r="E189" i="2" s="1"/>
  <c r="C189" i="2" a="1"/>
  <c r="C189" i="2" s="1"/>
  <c r="A189" i="2" a="1"/>
  <c r="A189" i="2" s="1"/>
  <c r="AC189" i="2" s="1"/>
  <c r="X188" i="2" a="1"/>
  <c r="X188" i="2" s="1"/>
  <c r="W188" i="2" a="1"/>
  <c r="W188" i="2" s="1"/>
  <c r="V188" i="2" a="1"/>
  <c r="V188" i="2" s="1"/>
  <c r="U188" i="2" a="1"/>
  <c r="U188" i="2" s="1"/>
  <c r="T188" i="2" a="1"/>
  <c r="T188" i="2" s="1"/>
  <c r="S188" i="2" a="1"/>
  <c r="S188" i="2" s="1"/>
  <c r="R188" i="2" a="1"/>
  <c r="R188" i="2" s="1"/>
  <c r="Q188" i="2" a="1"/>
  <c r="Q188" i="2" s="1"/>
  <c r="P188" i="2" a="1"/>
  <c r="P188" i="2" s="1"/>
  <c r="O188" i="2" a="1"/>
  <c r="O188" i="2" s="1"/>
  <c r="M188" i="2" a="1"/>
  <c r="M188" i="2" s="1"/>
  <c r="K188" i="2" a="1"/>
  <c r="K188" i="2" s="1"/>
  <c r="J188" i="2" a="1"/>
  <c r="J188" i="2" s="1"/>
  <c r="H188" i="2" a="1"/>
  <c r="H188" i="2" s="1"/>
  <c r="F188" i="2" a="1"/>
  <c r="F188" i="2" s="1"/>
  <c r="D188" i="2" a="1"/>
  <c r="D188" i="2" s="1"/>
  <c r="E188" i="2" s="1"/>
  <c r="C188" i="2" a="1"/>
  <c r="C188" i="2" s="1"/>
  <c r="A188" i="2" a="1"/>
  <c r="A188" i="2" s="1"/>
  <c r="AD188" i="2" s="1"/>
  <c r="X187" i="2" a="1"/>
  <c r="X187" i="2" s="1"/>
  <c r="W187" i="2" a="1"/>
  <c r="W187" i="2" s="1"/>
  <c r="V187" i="2" a="1"/>
  <c r="V187" i="2" s="1"/>
  <c r="U187" i="2" a="1"/>
  <c r="U187" i="2" s="1"/>
  <c r="T187" i="2" a="1"/>
  <c r="T187" i="2" s="1"/>
  <c r="S187" i="2" a="1"/>
  <c r="S187" i="2" s="1"/>
  <c r="R187" i="2" a="1"/>
  <c r="R187" i="2" s="1"/>
  <c r="Q187" i="2" a="1"/>
  <c r="Q187" i="2" s="1"/>
  <c r="P187" i="2" a="1"/>
  <c r="P187" i="2" s="1"/>
  <c r="O187" i="2" a="1"/>
  <c r="O187" i="2" s="1"/>
  <c r="M187" i="2" a="1"/>
  <c r="M187" i="2" s="1"/>
  <c r="K187" i="2" a="1"/>
  <c r="K187" i="2" s="1"/>
  <c r="J187" i="2" a="1"/>
  <c r="J187" i="2" s="1"/>
  <c r="H187" i="2" a="1"/>
  <c r="H187" i="2" s="1"/>
  <c r="F187" i="2" a="1"/>
  <c r="F187" i="2" s="1"/>
  <c r="D187" i="2" a="1"/>
  <c r="D187" i="2" s="1"/>
  <c r="E187" i="2" s="1"/>
  <c r="C187" i="2" a="1"/>
  <c r="C187" i="2" s="1"/>
  <c r="A187" i="2" a="1"/>
  <c r="A187" i="2" s="1"/>
  <c r="X186" i="2" a="1"/>
  <c r="X186" i="2" s="1"/>
  <c r="W186" i="2" a="1"/>
  <c r="W186" i="2" s="1"/>
  <c r="V186" i="2" a="1"/>
  <c r="V186" i="2" s="1"/>
  <c r="U186" i="2" a="1"/>
  <c r="U186" i="2" s="1"/>
  <c r="T186" i="2" a="1"/>
  <c r="T186" i="2" s="1"/>
  <c r="S186" i="2" a="1"/>
  <c r="S186" i="2" s="1"/>
  <c r="R186" i="2" a="1"/>
  <c r="R186" i="2" s="1"/>
  <c r="Q186" i="2" a="1"/>
  <c r="Q186" i="2" s="1"/>
  <c r="P186" i="2" a="1"/>
  <c r="P186" i="2" s="1"/>
  <c r="O186" i="2" a="1"/>
  <c r="O186" i="2" s="1"/>
  <c r="M186" i="2" a="1"/>
  <c r="M186" i="2" s="1"/>
  <c r="K186" i="2" a="1"/>
  <c r="K186" i="2" s="1"/>
  <c r="J186" i="2" a="1"/>
  <c r="J186" i="2" s="1"/>
  <c r="H186" i="2" a="1"/>
  <c r="H186" i="2" s="1"/>
  <c r="F186" i="2" a="1"/>
  <c r="F186" i="2" s="1"/>
  <c r="D186" i="2" a="1"/>
  <c r="D186" i="2" s="1"/>
  <c r="E186" i="2" s="1"/>
  <c r="C186" i="2" a="1"/>
  <c r="C186" i="2" s="1"/>
  <c r="A186" i="2" a="1"/>
  <c r="A186" i="2" s="1"/>
  <c r="X185" i="2" a="1"/>
  <c r="X185" i="2" s="1"/>
  <c r="W185" i="2" a="1"/>
  <c r="W185" i="2" s="1"/>
  <c r="V185" i="2" a="1"/>
  <c r="V185" i="2" s="1"/>
  <c r="U185" i="2" a="1"/>
  <c r="U185" i="2" s="1"/>
  <c r="T185" i="2" a="1"/>
  <c r="T185" i="2" s="1"/>
  <c r="S185" i="2" a="1"/>
  <c r="S185" i="2" s="1"/>
  <c r="R185" i="2" a="1"/>
  <c r="R185" i="2" s="1"/>
  <c r="Q185" i="2" a="1"/>
  <c r="Q185" i="2" s="1"/>
  <c r="P185" i="2" a="1"/>
  <c r="P185" i="2" s="1"/>
  <c r="O185" i="2" a="1"/>
  <c r="O185" i="2" s="1"/>
  <c r="M185" i="2" a="1"/>
  <c r="M185" i="2" s="1"/>
  <c r="K185" i="2" a="1"/>
  <c r="K185" i="2" s="1"/>
  <c r="J185" i="2" a="1"/>
  <c r="J185" i="2" s="1"/>
  <c r="H185" i="2" a="1"/>
  <c r="H185" i="2" s="1"/>
  <c r="F185" i="2" a="1"/>
  <c r="F185" i="2" s="1"/>
  <c r="D185" i="2" a="1"/>
  <c r="D185" i="2" s="1"/>
  <c r="E185" i="2" s="1"/>
  <c r="C185" i="2" a="1"/>
  <c r="C185" i="2" s="1"/>
  <c r="A185" i="2" a="1"/>
  <c r="A185" i="2" s="1"/>
  <c r="AD185" i="2" s="1"/>
  <c r="X184" i="2" a="1"/>
  <c r="X184" i="2" s="1"/>
  <c r="W184" i="2" a="1"/>
  <c r="W184" i="2" s="1"/>
  <c r="V184" i="2" a="1"/>
  <c r="V184" i="2" s="1"/>
  <c r="U184" i="2" a="1"/>
  <c r="U184" i="2" s="1"/>
  <c r="T184" i="2" a="1"/>
  <c r="T184" i="2" s="1"/>
  <c r="S184" i="2" a="1"/>
  <c r="S184" i="2" s="1"/>
  <c r="R184" i="2" a="1"/>
  <c r="R184" i="2" s="1"/>
  <c r="Q184" i="2" a="1"/>
  <c r="Q184" i="2" s="1"/>
  <c r="P184" i="2" a="1"/>
  <c r="P184" i="2" s="1"/>
  <c r="O184" i="2" a="1"/>
  <c r="O184" i="2" s="1"/>
  <c r="M184" i="2" a="1"/>
  <c r="M184" i="2" s="1"/>
  <c r="K184" i="2" a="1"/>
  <c r="K184" i="2" s="1"/>
  <c r="J184" i="2" a="1"/>
  <c r="J184" i="2" s="1"/>
  <c r="H184" i="2" a="1"/>
  <c r="H184" i="2" s="1"/>
  <c r="F184" i="2" a="1"/>
  <c r="F184" i="2" s="1"/>
  <c r="D184" i="2" a="1"/>
  <c r="D184" i="2" s="1"/>
  <c r="E184" i="2" s="1"/>
  <c r="C184" i="2" a="1"/>
  <c r="C184" i="2" s="1"/>
  <c r="A184" i="2" a="1"/>
  <c r="A184" i="2" s="1"/>
  <c r="X183" i="2" a="1"/>
  <c r="X183" i="2" s="1"/>
  <c r="W183" i="2" a="1"/>
  <c r="W183" i="2" s="1"/>
  <c r="V183" i="2" a="1"/>
  <c r="V183" i="2" s="1"/>
  <c r="U183" i="2" a="1"/>
  <c r="U183" i="2" s="1"/>
  <c r="T183" i="2" a="1"/>
  <c r="T183" i="2" s="1"/>
  <c r="S183" i="2" a="1"/>
  <c r="S183" i="2" s="1"/>
  <c r="R183" i="2" a="1"/>
  <c r="R183" i="2" s="1"/>
  <c r="Q183" i="2" a="1"/>
  <c r="Q183" i="2" s="1"/>
  <c r="P183" i="2" a="1"/>
  <c r="P183" i="2" s="1"/>
  <c r="O183" i="2" a="1"/>
  <c r="O183" i="2" s="1"/>
  <c r="M183" i="2" a="1"/>
  <c r="M183" i="2" s="1"/>
  <c r="K183" i="2" a="1"/>
  <c r="K183" i="2" s="1"/>
  <c r="J183" i="2" a="1"/>
  <c r="J183" i="2" s="1"/>
  <c r="H183" i="2" a="1"/>
  <c r="H183" i="2" s="1"/>
  <c r="F183" i="2" a="1"/>
  <c r="F183" i="2" s="1"/>
  <c r="D183" i="2" a="1"/>
  <c r="D183" i="2" s="1"/>
  <c r="E183" i="2" s="1"/>
  <c r="C183" i="2" a="1"/>
  <c r="C183" i="2" s="1"/>
  <c r="A183" i="2" a="1"/>
  <c r="A183" i="2" s="1"/>
  <c r="X182" i="2" a="1"/>
  <c r="X182" i="2" s="1"/>
  <c r="W182" i="2" a="1"/>
  <c r="W182" i="2" s="1"/>
  <c r="V182" i="2" a="1"/>
  <c r="V182" i="2" s="1"/>
  <c r="U182" i="2" a="1"/>
  <c r="U182" i="2" s="1"/>
  <c r="T182" i="2" a="1"/>
  <c r="T182" i="2" s="1"/>
  <c r="S182" i="2" a="1"/>
  <c r="S182" i="2" s="1"/>
  <c r="R182" i="2" a="1"/>
  <c r="R182" i="2" s="1"/>
  <c r="Q182" i="2" a="1"/>
  <c r="Q182" i="2" s="1"/>
  <c r="P182" i="2" a="1"/>
  <c r="P182" i="2" s="1"/>
  <c r="O182" i="2" a="1"/>
  <c r="O182" i="2" s="1"/>
  <c r="M182" i="2" a="1"/>
  <c r="M182" i="2" s="1"/>
  <c r="K182" i="2" a="1"/>
  <c r="K182" i="2" s="1"/>
  <c r="J182" i="2" a="1"/>
  <c r="J182" i="2" s="1"/>
  <c r="H182" i="2" a="1"/>
  <c r="H182" i="2" s="1"/>
  <c r="F182" i="2" a="1"/>
  <c r="F182" i="2" s="1"/>
  <c r="D182" i="2" a="1"/>
  <c r="D182" i="2" s="1"/>
  <c r="E182" i="2" s="1"/>
  <c r="C182" i="2" a="1"/>
  <c r="C182" i="2" s="1"/>
  <c r="A182" i="2" a="1"/>
  <c r="A182" i="2" s="1"/>
  <c r="X181" i="2" a="1"/>
  <c r="X181" i="2" s="1"/>
  <c r="W181" i="2" a="1"/>
  <c r="W181" i="2" s="1"/>
  <c r="V181" i="2" a="1"/>
  <c r="V181" i="2" s="1"/>
  <c r="U181" i="2" a="1"/>
  <c r="U181" i="2" s="1"/>
  <c r="T181" i="2" a="1"/>
  <c r="T181" i="2" s="1"/>
  <c r="S181" i="2" a="1"/>
  <c r="S181" i="2" s="1"/>
  <c r="R181" i="2" a="1"/>
  <c r="R181" i="2" s="1"/>
  <c r="Q181" i="2" a="1"/>
  <c r="Q181" i="2" s="1"/>
  <c r="P181" i="2" a="1"/>
  <c r="P181" i="2" s="1"/>
  <c r="O181" i="2" a="1"/>
  <c r="O181" i="2" s="1"/>
  <c r="M181" i="2" a="1"/>
  <c r="M181" i="2" s="1"/>
  <c r="K181" i="2" a="1"/>
  <c r="K181" i="2" s="1"/>
  <c r="J181" i="2" a="1"/>
  <c r="J181" i="2" s="1"/>
  <c r="H181" i="2" a="1"/>
  <c r="H181" i="2" s="1"/>
  <c r="F181" i="2" a="1"/>
  <c r="F181" i="2" s="1"/>
  <c r="D181" i="2" a="1"/>
  <c r="D181" i="2" s="1"/>
  <c r="E181" i="2" s="1"/>
  <c r="C181" i="2" a="1"/>
  <c r="C181" i="2" s="1"/>
  <c r="A181" i="2" a="1"/>
  <c r="A181" i="2" s="1"/>
  <c r="X180" i="2" a="1"/>
  <c r="X180" i="2" s="1"/>
  <c r="W180" i="2" a="1"/>
  <c r="W180" i="2" s="1"/>
  <c r="V180" i="2" a="1"/>
  <c r="V180" i="2" s="1"/>
  <c r="U180" i="2" a="1"/>
  <c r="U180" i="2" s="1"/>
  <c r="T180" i="2" a="1"/>
  <c r="T180" i="2" s="1"/>
  <c r="S180" i="2" a="1"/>
  <c r="S180" i="2" s="1"/>
  <c r="R180" i="2" a="1"/>
  <c r="R180" i="2" s="1"/>
  <c r="Q180" i="2" a="1"/>
  <c r="Q180" i="2" s="1"/>
  <c r="P180" i="2" a="1"/>
  <c r="P180" i="2" s="1"/>
  <c r="O180" i="2" a="1"/>
  <c r="O180" i="2" s="1"/>
  <c r="M180" i="2" a="1"/>
  <c r="M180" i="2" s="1"/>
  <c r="K180" i="2" a="1"/>
  <c r="K180" i="2" s="1"/>
  <c r="J180" i="2" a="1"/>
  <c r="J180" i="2" s="1"/>
  <c r="H180" i="2" a="1"/>
  <c r="H180" i="2" s="1"/>
  <c r="F180" i="2" a="1"/>
  <c r="F180" i="2" s="1"/>
  <c r="D180" i="2" a="1"/>
  <c r="D180" i="2" s="1"/>
  <c r="E180" i="2" s="1"/>
  <c r="C180" i="2" a="1"/>
  <c r="C180" i="2" s="1"/>
  <c r="A180" i="2" a="1"/>
  <c r="A180" i="2" s="1"/>
  <c r="AD180" i="2" s="1"/>
  <c r="X179" i="2" a="1"/>
  <c r="X179" i="2" s="1"/>
  <c r="W179" i="2" a="1"/>
  <c r="W179" i="2" s="1"/>
  <c r="V179" i="2" a="1"/>
  <c r="V179" i="2" s="1"/>
  <c r="U179" i="2" a="1"/>
  <c r="U179" i="2" s="1"/>
  <c r="T179" i="2" a="1"/>
  <c r="T179" i="2" s="1"/>
  <c r="S179" i="2" a="1"/>
  <c r="S179" i="2" s="1"/>
  <c r="R179" i="2" a="1"/>
  <c r="R179" i="2" s="1"/>
  <c r="Q179" i="2" a="1"/>
  <c r="Q179" i="2" s="1"/>
  <c r="P179" i="2" a="1"/>
  <c r="P179" i="2" s="1"/>
  <c r="O179" i="2" a="1"/>
  <c r="O179" i="2" s="1"/>
  <c r="M179" i="2" a="1"/>
  <c r="M179" i="2" s="1"/>
  <c r="K179" i="2" a="1"/>
  <c r="K179" i="2" s="1"/>
  <c r="J179" i="2" a="1"/>
  <c r="J179" i="2" s="1"/>
  <c r="H179" i="2" a="1"/>
  <c r="H179" i="2" s="1"/>
  <c r="F179" i="2" a="1"/>
  <c r="F179" i="2" s="1"/>
  <c r="D179" i="2" a="1"/>
  <c r="D179" i="2" s="1"/>
  <c r="E179" i="2" s="1"/>
  <c r="C179" i="2" a="1"/>
  <c r="C179" i="2" s="1"/>
  <c r="A179" i="2" a="1"/>
  <c r="A179" i="2" s="1"/>
  <c r="X178" i="2" a="1"/>
  <c r="X178" i="2" s="1"/>
  <c r="W178" i="2" a="1"/>
  <c r="W178" i="2" s="1"/>
  <c r="V178" i="2" a="1"/>
  <c r="V178" i="2" s="1"/>
  <c r="U178" i="2" a="1"/>
  <c r="U178" i="2" s="1"/>
  <c r="T178" i="2" a="1"/>
  <c r="T178" i="2" s="1"/>
  <c r="S178" i="2" a="1"/>
  <c r="S178" i="2" s="1"/>
  <c r="R178" i="2" a="1"/>
  <c r="R178" i="2" s="1"/>
  <c r="Q178" i="2" a="1"/>
  <c r="Q178" i="2" s="1"/>
  <c r="P178" i="2" a="1"/>
  <c r="P178" i="2" s="1"/>
  <c r="O178" i="2" a="1"/>
  <c r="O178" i="2" s="1"/>
  <c r="M178" i="2" a="1"/>
  <c r="M178" i="2" s="1"/>
  <c r="K178" i="2" a="1"/>
  <c r="K178" i="2" s="1"/>
  <c r="J178" i="2" a="1"/>
  <c r="J178" i="2" s="1"/>
  <c r="H178" i="2" a="1"/>
  <c r="H178" i="2" s="1"/>
  <c r="F178" i="2" a="1"/>
  <c r="F178" i="2" s="1"/>
  <c r="D178" i="2" a="1"/>
  <c r="D178" i="2" s="1"/>
  <c r="E178" i="2" s="1"/>
  <c r="C178" i="2" a="1"/>
  <c r="C178" i="2" s="1"/>
  <c r="A178" i="2" a="1"/>
  <c r="A178" i="2" s="1"/>
  <c r="X177" i="2" a="1"/>
  <c r="X177" i="2" s="1"/>
  <c r="W177" i="2" a="1"/>
  <c r="W177" i="2" s="1"/>
  <c r="V177" i="2" a="1"/>
  <c r="V177" i="2" s="1"/>
  <c r="U177" i="2" a="1"/>
  <c r="U177" i="2" s="1"/>
  <c r="T177" i="2" a="1"/>
  <c r="T177" i="2" s="1"/>
  <c r="S177" i="2" a="1"/>
  <c r="S177" i="2" s="1"/>
  <c r="R177" i="2" a="1"/>
  <c r="R177" i="2" s="1"/>
  <c r="Q177" i="2" a="1"/>
  <c r="Q177" i="2" s="1"/>
  <c r="P177" i="2" a="1"/>
  <c r="P177" i="2" s="1"/>
  <c r="O177" i="2" a="1"/>
  <c r="O177" i="2" s="1"/>
  <c r="M177" i="2" a="1"/>
  <c r="M177" i="2" s="1"/>
  <c r="K177" i="2" a="1"/>
  <c r="K177" i="2" s="1"/>
  <c r="J177" i="2" a="1"/>
  <c r="J177" i="2" s="1"/>
  <c r="H177" i="2" a="1"/>
  <c r="H177" i="2" s="1"/>
  <c r="F177" i="2" a="1"/>
  <c r="F177" i="2" s="1"/>
  <c r="D177" i="2" a="1"/>
  <c r="D177" i="2" s="1"/>
  <c r="E177" i="2" s="1"/>
  <c r="C177" i="2" a="1"/>
  <c r="C177" i="2" s="1"/>
  <c r="A177" i="2" a="1"/>
  <c r="A177" i="2" s="1"/>
  <c r="AC177" i="2" s="1"/>
  <c r="X176" i="2" a="1"/>
  <c r="X176" i="2" s="1"/>
  <c r="W176" i="2" a="1"/>
  <c r="W176" i="2" s="1"/>
  <c r="V176" i="2" a="1"/>
  <c r="V176" i="2" s="1"/>
  <c r="U176" i="2" a="1"/>
  <c r="U176" i="2" s="1"/>
  <c r="T176" i="2" a="1"/>
  <c r="T176" i="2" s="1"/>
  <c r="S176" i="2" a="1"/>
  <c r="S176" i="2" s="1"/>
  <c r="R176" i="2" a="1"/>
  <c r="R176" i="2" s="1"/>
  <c r="Q176" i="2" a="1"/>
  <c r="Q176" i="2" s="1"/>
  <c r="P176" i="2" a="1"/>
  <c r="P176" i="2" s="1"/>
  <c r="O176" i="2" a="1"/>
  <c r="O176" i="2" s="1"/>
  <c r="M176" i="2" a="1"/>
  <c r="M176" i="2" s="1"/>
  <c r="K176" i="2" a="1"/>
  <c r="K176" i="2" s="1"/>
  <c r="J176" i="2" a="1"/>
  <c r="J176" i="2" s="1"/>
  <c r="H176" i="2" a="1"/>
  <c r="H176" i="2" s="1"/>
  <c r="F176" i="2" a="1"/>
  <c r="F176" i="2" s="1"/>
  <c r="D176" i="2" a="1"/>
  <c r="D176" i="2" s="1"/>
  <c r="E176" i="2" s="1"/>
  <c r="C176" i="2" a="1"/>
  <c r="C176" i="2" s="1"/>
  <c r="A176" i="2" a="1"/>
  <c r="A176" i="2" s="1"/>
  <c r="AC176" i="2" s="1"/>
  <c r="X175" i="2" a="1"/>
  <c r="X175" i="2" s="1"/>
  <c r="W175" i="2" a="1"/>
  <c r="W175" i="2" s="1"/>
  <c r="V175" i="2" a="1"/>
  <c r="V175" i="2" s="1"/>
  <c r="U175" i="2" a="1"/>
  <c r="U175" i="2" s="1"/>
  <c r="T175" i="2" a="1"/>
  <c r="T175" i="2" s="1"/>
  <c r="S175" i="2" a="1"/>
  <c r="S175" i="2" s="1"/>
  <c r="R175" i="2" a="1"/>
  <c r="R175" i="2" s="1"/>
  <c r="Q175" i="2" a="1"/>
  <c r="Q175" i="2" s="1"/>
  <c r="P175" i="2" a="1"/>
  <c r="P175" i="2" s="1"/>
  <c r="O175" i="2" a="1"/>
  <c r="O175" i="2" s="1"/>
  <c r="M175" i="2" a="1"/>
  <c r="M175" i="2" s="1"/>
  <c r="K175" i="2" a="1"/>
  <c r="K175" i="2" s="1"/>
  <c r="J175" i="2" a="1"/>
  <c r="J175" i="2" s="1"/>
  <c r="H175" i="2" a="1"/>
  <c r="H175" i="2" s="1"/>
  <c r="F175" i="2" a="1"/>
  <c r="F175" i="2" s="1"/>
  <c r="D175" i="2" a="1"/>
  <c r="D175" i="2" s="1"/>
  <c r="E175" i="2" s="1"/>
  <c r="C175" i="2" a="1"/>
  <c r="C175" i="2" s="1"/>
  <c r="A175" i="2" a="1"/>
  <c r="A175" i="2" s="1"/>
  <c r="X174" i="2" a="1"/>
  <c r="X174" i="2" s="1"/>
  <c r="W174" i="2" a="1"/>
  <c r="W174" i="2" s="1"/>
  <c r="V174" i="2" a="1"/>
  <c r="V174" i="2" s="1"/>
  <c r="U174" i="2" a="1"/>
  <c r="U174" i="2" s="1"/>
  <c r="T174" i="2" a="1"/>
  <c r="T174" i="2" s="1"/>
  <c r="S174" i="2" a="1"/>
  <c r="S174" i="2" s="1"/>
  <c r="R174" i="2" a="1"/>
  <c r="R174" i="2" s="1"/>
  <c r="Q174" i="2" a="1"/>
  <c r="Q174" i="2" s="1"/>
  <c r="P174" i="2" a="1"/>
  <c r="P174" i="2" s="1"/>
  <c r="O174" i="2" a="1"/>
  <c r="O174" i="2" s="1"/>
  <c r="M174" i="2" a="1"/>
  <c r="M174" i="2" s="1"/>
  <c r="K174" i="2" a="1"/>
  <c r="K174" i="2" s="1"/>
  <c r="J174" i="2" a="1"/>
  <c r="J174" i="2" s="1"/>
  <c r="H174" i="2" a="1"/>
  <c r="H174" i="2" s="1"/>
  <c r="F174" i="2" a="1"/>
  <c r="F174" i="2" s="1"/>
  <c r="D174" i="2" a="1"/>
  <c r="D174" i="2" s="1"/>
  <c r="E174" i="2" s="1"/>
  <c r="C174" i="2" a="1"/>
  <c r="C174" i="2" s="1"/>
  <c r="A174" i="2" a="1"/>
  <c r="A174" i="2" s="1"/>
  <c r="X173" i="2" a="1"/>
  <c r="X173" i="2" s="1"/>
  <c r="W173" i="2" a="1"/>
  <c r="W173" i="2" s="1"/>
  <c r="V173" i="2" a="1"/>
  <c r="V173" i="2" s="1"/>
  <c r="U173" i="2" a="1"/>
  <c r="U173" i="2" s="1"/>
  <c r="T173" i="2" a="1"/>
  <c r="T173" i="2" s="1"/>
  <c r="S173" i="2" a="1"/>
  <c r="S173" i="2" s="1"/>
  <c r="R173" i="2" a="1"/>
  <c r="R173" i="2" s="1"/>
  <c r="Q173" i="2" a="1"/>
  <c r="Q173" i="2" s="1"/>
  <c r="P173" i="2" a="1"/>
  <c r="P173" i="2" s="1"/>
  <c r="O173" i="2" a="1"/>
  <c r="O173" i="2" s="1"/>
  <c r="M173" i="2" a="1"/>
  <c r="M173" i="2" s="1"/>
  <c r="K173" i="2" a="1"/>
  <c r="K173" i="2" s="1"/>
  <c r="J173" i="2" a="1"/>
  <c r="J173" i="2" s="1"/>
  <c r="H173" i="2" a="1"/>
  <c r="H173" i="2" s="1"/>
  <c r="F173" i="2" a="1"/>
  <c r="F173" i="2" s="1"/>
  <c r="D173" i="2" a="1"/>
  <c r="D173" i="2" s="1"/>
  <c r="E173" i="2" s="1"/>
  <c r="C173" i="2" a="1"/>
  <c r="C173" i="2" s="1"/>
  <c r="A173" i="2" a="1"/>
  <c r="A173" i="2" s="1"/>
  <c r="AD173" i="2" s="1"/>
  <c r="X172" i="2" a="1"/>
  <c r="X172" i="2" s="1"/>
  <c r="W172" i="2" a="1"/>
  <c r="W172" i="2" s="1"/>
  <c r="V172" i="2" a="1"/>
  <c r="V172" i="2" s="1"/>
  <c r="U172" i="2" a="1"/>
  <c r="U172" i="2" s="1"/>
  <c r="T172" i="2" a="1"/>
  <c r="T172" i="2" s="1"/>
  <c r="S172" i="2" a="1"/>
  <c r="S172" i="2" s="1"/>
  <c r="R172" i="2" a="1"/>
  <c r="R172" i="2" s="1"/>
  <c r="Q172" i="2" a="1"/>
  <c r="Q172" i="2" s="1"/>
  <c r="P172" i="2" a="1"/>
  <c r="P172" i="2" s="1"/>
  <c r="O172" i="2" a="1"/>
  <c r="O172" i="2" s="1"/>
  <c r="M172" i="2" a="1"/>
  <c r="M172" i="2" s="1"/>
  <c r="K172" i="2" a="1"/>
  <c r="K172" i="2" s="1"/>
  <c r="J172" i="2" a="1"/>
  <c r="J172" i="2" s="1"/>
  <c r="H172" i="2" a="1"/>
  <c r="H172" i="2" s="1"/>
  <c r="F172" i="2" a="1"/>
  <c r="F172" i="2" s="1"/>
  <c r="D172" i="2" a="1"/>
  <c r="D172" i="2" s="1"/>
  <c r="E172" i="2" s="1"/>
  <c r="C172" i="2" a="1"/>
  <c r="C172" i="2" s="1"/>
  <c r="A172" i="2" a="1"/>
  <c r="A172" i="2" s="1"/>
  <c r="X171" i="2" a="1"/>
  <c r="X171" i="2" s="1"/>
  <c r="W171" i="2" a="1"/>
  <c r="W171" i="2" s="1"/>
  <c r="V171" i="2" a="1"/>
  <c r="V171" i="2" s="1"/>
  <c r="U171" i="2" a="1"/>
  <c r="U171" i="2" s="1"/>
  <c r="T171" i="2" a="1"/>
  <c r="T171" i="2" s="1"/>
  <c r="S171" i="2" a="1"/>
  <c r="S171" i="2" s="1"/>
  <c r="R171" i="2" a="1"/>
  <c r="R171" i="2" s="1"/>
  <c r="Q171" i="2" a="1"/>
  <c r="Q171" i="2" s="1"/>
  <c r="P171" i="2" a="1"/>
  <c r="P171" i="2" s="1"/>
  <c r="O171" i="2" a="1"/>
  <c r="O171" i="2" s="1"/>
  <c r="M171" i="2" a="1"/>
  <c r="M171" i="2" s="1"/>
  <c r="K171" i="2" a="1"/>
  <c r="K171" i="2" s="1"/>
  <c r="J171" i="2" a="1"/>
  <c r="J171" i="2" s="1"/>
  <c r="H171" i="2" a="1"/>
  <c r="H171" i="2" s="1"/>
  <c r="F171" i="2" a="1"/>
  <c r="F171" i="2" s="1"/>
  <c r="D171" i="2" a="1"/>
  <c r="D171" i="2" s="1"/>
  <c r="E171" i="2" s="1"/>
  <c r="C171" i="2" a="1"/>
  <c r="C171" i="2" s="1"/>
  <c r="A171" i="2" a="1"/>
  <c r="A171" i="2" s="1"/>
  <c r="X170" i="2" a="1"/>
  <c r="X170" i="2" s="1"/>
  <c r="W170" i="2" a="1"/>
  <c r="W170" i="2" s="1"/>
  <c r="V170" i="2" a="1"/>
  <c r="V170" i="2" s="1"/>
  <c r="U170" i="2" a="1"/>
  <c r="U170" i="2" s="1"/>
  <c r="T170" i="2" a="1"/>
  <c r="T170" i="2" s="1"/>
  <c r="S170" i="2" a="1"/>
  <c r="S170" i="2" s="1"/>
  <c r="R170" i="2" a="1"/>
  <c r="R170" i="2" s="1"/>
  <c r="Q170" i="2" a="1"/>
  <c r="Q170" i="2" s="1"/>
  <c r="P170" i="2" a="1"/>
  <c r="P170" i="2" s="1"/>
  <c r="O170" i="2" a="1"/>
  <c r="O170" i="2" s="1"/>
  <c r="M170" i="2" a="1"/>
  <c r="M170" i="2" s="1"/>
  <c r="K170" i="2" a="1"/>
  <c r="K170" i="2" s="1"/>
  <c r="J170" i="2" a="1"/>
  <c r="J170" i="2" s="1"/>
  <c r="H170" i="2" a="1"/>
  <c r="H170" i="2" s="1"/>
  <c r="F170" i="2" a="1"/>
  <c r="F170" i="2" s="1"/>
  <c r="D170" i="2" a="1"/>
  <c r="D170" i="2" s="1"/>
  <c r="E170" i="2" s="1"/>
  <c r="C170" i="2" a="1"/>
  <c r="C170" i="2" s="1"/>
  <c r="A170" i="2" a="1"/>
  <c r="A170" i="2" s="1"/>
  <c r="AD170" i="2" s="1"/>
  <c r="X169" i="2" a="1"/>
  <c r="X169" i="2" s="1"/>
  <c r="W169" i="2" a="1"/>
  <c r="W169" i="2" s="1"/>
  <c r="V169" i="2" a="1"/>
  <c r="V169" i="2" s="1"/>
  <c r="U169" i="2" a="1"/>
  <c r="U169" i="2" s="1"/>
  <c r="T169" i="2" a="1"/>
  <c r="T169" i="2" s="1"/>
  <c r="S169" i="2" a="1"/>
  <c r="S169" i="2" s="1"/>
  <c r="R169" i="2" a="1"/>
  <c r="R169" i="2" s="1"/>
  <c r="Q169" i="2" a="1"/>
  <c r="Q169" i="2" s="1"/>
  <c r="P169" i="2" a="1"/>
  <c r="P169" i="2" s="1"/>
  <c r="O169" i="2" a="1"/>
  <c r="O169" i="2" s="1"/>
  <c r="M169" i="2" a="1"/>
  <c r="M169" i="2" s="1"/>
  <c r="K169" i="2" a="1"/>
  <c r="K169" i="2" s="1"/>
  <c r="J169" i="2" a="1"/>
  <c r="J169" i="2" s="1"/>
  <c r="H169" i="2" a="1"/>
  <c r="H169" i="2" s="1"/>
  <c r="F169" i="2" a="1"/>
  <c r="F169" i="2" s="1"/>
  <c r="D169" i="2" a="1"/>
  <c r="D169" i="2" s="1"/>
  <c r="E169" i="2" s="1"/>
  <c r="C169" i="2" a="1"/>
  <c r="C169" i="2" s="1"/>
  <c r="A169" i="2" a="1"/>
  <c r="A169" i="2" s="1"/>
  <c r="X168" i="2" a="1"/>
  <c r="X168" i="2" s="1"/>
  <c r="W168" i="2" a="1"/>
  <c r="W168" i="2" s="1"/>
  <c r="V168" i="2" a="1"/>
  <c r="V168" i="2" s="1"/>
  <c r="U168" i="2" a="1"/>
  <c r="U168" i="2" s="1"/>
  <c r="T168" i="2" a="1"/>
  <c r="T168" i="2" s="1"/>
  <c r="S168" i="2" a="1"/>
  <c r="S168" i="2" s="1"/>
  <c r="R168" i="2" a="1"/>
  <c r="R168" i="2" s="1"/>
  <c r="Q168" i="2" a="1"/>
  <c r="Q168" i="2" s="1"/>
  <c r="P168" i="2" a="1"/>
  <c r="P168" i="2" s="1"/>
  <c r="O168" i="2" a="1"/>
  <c r="O168" i="2" s="1"/>
  <c r="M168" i="2" a="1"/>
  <c r="M168" i="2" s="1"/>
  <c r="K168" i="2" a="1"/>
  <c r="K168" i="2" s="1"/>
  <c r="J168" i="2" a="1"/>
  <c r="J168" i="2" s="1"/>
  <c r="H168" i="2" a="1"/>
  <c r="H168" i="2" s="1"/>
  <c r="F168" i="2" a="1"/>
  <c r="F168" i="2" s="1"/>
  <c r="D168" i="2" a="1"/>
  <c r="D168" i="2" s="1"/>
  <c r="E168" i="2" s="1"/>
  <c r="C168" i="2" a="1"/>
  <c r="C168" i="2" s="1"/>
  <c r="A168" i="2" a="1"/>
  <c r="A168" i="2" s="1"/>
  <c r="AD168" i="2" s="1"/>
  <c r="X167" i="2" a="1"/>
  <c r="X167" i="2" s="1"/>
  <c r="W167" i="2" a="1"/>
  <c r="W167" i="2" s="1"/>
  <c r="V167" i="2" a="1"/>
  <c r="V167" i="2" s="1"/>
  <c r="U167" i="2" a="1"/>
  <c r="U167" i="2" s="1"/>
  <c r="T167" i="2" a="1"/>
  <c r="T167" i="2" s="1"/>
  <c r="S167" i="2" a="1"/>
  <c r="S167" i="2" s="1"/>
  <c r="R167" i="2" a="1"/>
  <c r="R167" i="2" s="1"/>
  <c r="Q167" i="2" a="1"/>
  <c r="Q167" i="2" s="1"/>
  <c r="P167" i="2" a="1"/>
  <c r="P167" i="2" s="1"/>
  <c r="O167" i="2" a="1"/>
  <c r="O167" i="2" s="1"/>
  <c r="M167" i="2" a="1"/>
  <c r="M167" i="2" s="1"/>
  <c r="K167" i="2" a="1"/>
  <c r="K167" i="2" s="1"/>
  <c r="J167" i="2" a="1"/>
  <c r="J167" i="2" s="1"/>
  <c r="H167" i="2" a="1"/>
  <c r="H167" i="2" s="1"/>
  <c r="F167" i="2" a="1"/>
  <c r="F167" i="2" s="1"/>
  <c r="D167" i="2" a="1"/>
  <c r="D167" i="2" s="1"/>
  <c r="E167" i="2" s="1"/>
  <c r="C167" i="2" a="1"/>
  <c r="C167" i="2" s="1"/>
  <c r="A167" i="2" a="1"/>
  <c r="A167" i="2" s="1"/>
  <c r="X166" i="2" a="1"/>
  <c r="X166" i="2" s="1"/>
  <c r="W166" i="2" a="1"/>
  <c r="W166" i="2" s="1"/>
  <c r="V166" i="2" a="1"/>
  <c r="V166" i="2" s="1"/>
  <c r="U166" i="2" a="1"/>
  <c r="U166" i="2" s="1"/>
  <c r="T166" i="2" a="1"/>
  <c r="T166" i="2" s="1"/>
  <c r="S166" i="2" a="1"/>
  <c r="S166" i="2" s="1"/>
  <c r="R166" i="2" a="1"/>
  <c r="R166" i="2" s="1"/>
  <c r="Q166" i="2" a="1"/>
  <c r="Q166" i="2" s="1"/>
  <c r="P166" i="2" a="1"/>
  <c r="P166" i="2" s="1"/>
  <c r="O166" i="2" a="1"/>
  <c r="O166" i="2" s="1"/>
  <c r="M166" i="2" a="1"/>
  <c r="M166" i="2" s="1"/>
  <c r="K166" i="2" a="1"/>
  <c r="K166" i="2" s="1"/>
  <c r="J166" i="2" a="1"/>
  <c r="J166" i="2" s="1"/>
  <c r="H166" i="2" a="1"/>
  <c r="H166" i="2" s="1"/>
  <c r="F166" i="2" a="1"/>
  <c r="F166" i="2" s="1"/>
  <c r="D166" i="2" a="1"/>
  <c r="D166" i="2" s="1"/>
  <c r="E166" i="2" s="1"/>
  <c r="C166" i="2" a="1"/>
  <c r="C166" i="2" s="1"/>
  <c r="A166" i="2" a="1"/>
  <c r="A166" i="2" s="1"/>
  <c r="X165" i="2" a="1"/>
  <c r="X165" i="2" s="1"/>
  <c r="W165" i="2" a="1"/>
  <c r="W165" i="2" s="1"/>
  <c r="V165" i="2" a="1"/>
  <c r="V165" i="2" s="1"/>
  <c r="U165" i="2" a="1"/>
  <c r="U165" i="2" s="1"/>
  <c r="T165" i="2" a="1"/>
  <c r="T165" i="2" s="1"/>
  <c r="S165" i="2" a="1"/>
  <c r="S165" i="2" s="1"/>
  <c r="R165" i="2" a="1"/>
  <c r="R165" i="2" s="1"/>
  <c r="Q165" i="2" a="1"/>
  <c r="Q165" i="2" s="1"/>
  <c r="P165" i="2" a="1"/>
  <c r="P165" i="2" s="1"/>
  <c r="O165" i="2" a="1"/>
  <c r="O165" i="2" s="1"/>
  <c r="M165" i="2" a="1"/>
  <c r="M165" i="2" s="1"/>
  <c r="K165" i="2" a="1"/>
  <c r="K165" i="2" s="1"/>
  <c r="J165" i="2" a="1"/>
  <c r="J165" i="2" s="1"/>
  <c r="H165" i="2" a="1"/>
  <c r="H165" i="2" s="1"/>
  <c r="F165" i="2" a="1"/>
  <c r="F165" i="2" s="1"/>
  <c r="D165" i="2" a="1"/>
  <c r="D165" i="2" s="1"/>
  <c r="E165" i="2" s="1"/>
  <c r="C165" i="2" a="1"/>
  <c r="C165" i="2" s="1"/>
  <c r="A165" i="2" a="1"/>
  <c r="A165" i="2" s="1"/>
  <c r="X164" i="2" a="1"/>
  <c r="X164" i="2" s="1"/>
  <c r="W164" i="2" a="1"/>
  <c r="W164" i="2" s="1"/>
  <c r="V164" i="2" a="1"/>
  <c r="V164" i="2" s="1"/>
  <c r="U164" i="2" a="1"/>
  <c r="U164" i="2" s="1"/>
  <c r="T164" i="2" a="1"/>
  <c r="T164" i="2" s="1"/>
  <c r="S164" i="2" a="1"/>
  <c r="S164" i="2" s="1"/>
  <c r="R164" i="2" a="1"/>
  <c r="R164" i="2" s="1"/>
  <c r="Q164" i="2" a="1"/>
  <c r="Q164" i="2" s="1"/>
  <c r="P164" i="2" a="1"/>
  <c r="P164" i="2" s="1"/>
  <c r="O164" i="2" a="1"/>
  <c r="O164" i="2" s="1"/>
  <c r="M164" i="2" a="1"/>
  <c r="M164" i="2" s="1"/>
  <c r="K164" i="2" a="1"/>
  <c r="K164" i="2" s="1"/>
  <c r="J164" i="2" a="1"/>
  <c r="J164" i="2" s="1"/>
  <c r="H164" i="2" a="1"/>
  <c r="H164" i="2" s="1"/>
  <c r="F164" i="2" a="1"/>
  <c r="F164" i="2" s="1"/>
  <c r="D164" i="2" a="1"/>
  <c r="D164" i="2" s="1"/>
  <c r="E164" i="2" s="1"/>
  <c r="C164" i="2" a="1"/>
  <c r="C164" i="2" s="1"/>
  <c r="A164" i="2" a="1"/>
  <c r="A164" i="2" s="1"/>
  <c r="X163" i="2" a="1"/>
  <c r="X163" i="2" s="1"/>
  <c r="W163" i="2" a="1"/>
  <c r="W163" i="2" s="1"/>
  <c r="V163" i="2" a="1"/>
  <c r="V163" i="2" s="1"/>
  <c r="U163" i="2" a="1"/>
  <c r="U163" i="2" s="1"/>
  <c r="T163" i="2" a="1"/>
  <c r="T163" i="2" s="1"/>
  <c r="S163" i="2" a="1"/>
  <c r="S163" i="2" s="1"/>
  <c r="R163" i="2" a="1"/>
  <c r="R163" i="2" s="1"/>
  <c r="Q163" i="2" a="1"/>
  <c r="Q163" i="2" s="1"/>
  <c r="P163" i="2" a="1"/>
  <c r="P163" i="2" s="1"/>
  <c r="O163" i="2" a="1"/>
  <c r="O163" i="2" s="1"/>
  <c r="M163" i="2" a="1"/>
  <c r="M163" i="2" s="1"/>
  <c r="K163" i="2" a="1"/>
  <c r="K163" i="2" s="1"/>
  <c r="J163" i="2" a="1"/>
  <c r="J163" i="2" s="1"/>
  <c r="H163" i="2" a="1"/>
  <c r="H163" i="2" s="1"/>
  <c r="F163" i="2" a="1"/>
  <c r="F163" i="2" s="1"/>
  <c r="D163" i="2" a="1"/>
  <c r="D163" i="2" s="1"/>
  <c r="E163" i="2" s="1"/>
  <c r="C163" i="2" a="1"/>
  <c r="C163" i="2" s="1"/>
  <c r="A163" i="2" a="1"/>
  <c r="A163" i="2" s="1"/>
  <c r="X162" i="2" a="1"/>
  <c r="X162" i="2" s="1"/>
  <c r="W162" i="2" a="1"/>
  <c r="W162" i="2" s="1"/>
  <c r="V162" i="2" a="1"/>
  <c r="V162" i="2" s="1"/>
  <c r="U162" i="2" a="1"/>
  <c r="U162" i="2" s="1"/>
  <c r="T162" i="2" a="1"/>
  <c r="T162" i="2" s="1"/>
  <c r="S162" i="2" a="1"/>
  <c r="S162" i="2" s="1"/>
  <c r="R162" i="2" a="1"/>
  <c r="R162" i="2" s="1"/>
  <c r="Q162" i="2" a="1"/>
  <c r="Q162" i="2" s="1"/>
  <c r="P162" i="2" a="1"/>
  <c r="P162" i="2" s="1"/>
  <c r="O162" i="2" a="1"/>
  <c r="O162" i="2" s="1"/>
  <c r="M162" i="2" a="1"/>
  <c r="M162" i="2" s="1"/>
  <c r="K162" i="2" a="1"/>
  <c r="K162" i="2" s="1"/>
  <c r="J162" i="2" a="1"/>
  <c r="J162" i="2" s="1"/>
  <c r="H162" i="2" a="1"/>
  <c r="H162" i="2" s="1"/>
  <c r="F162" i="2" a="1"/>
  <c r="F162" i="2" s="1"/>
  <c r="D162" i="2" a="1"/>
  <c r="D162" i="2" s="1"/>
  <c r="E162" i="2" s="1"/>
  <c r="C162" i="2" a="1"/>
  <c r="C162" i="2" s="1"/>
  <c r="A162" i="2" a="1"/>
  <c r="A162" i="2" s="1"/>
  <c r="X161" i="2" a="1"/>
  <c r="X161" i="2" s="1"/>
  <c r="W161" i="2" a="1"/>
  <c r="W161" i="2" s="1"/>
  <c r="V161" i="2" a="1"/>
  <c r="V161" i="2" s="1"/>
  <c r="U161" i="2" a="1"/>
  <c r="U161" i="2" s="1"/>
  <c r="T161" i="2" a="1"/>
  <c r="T161" i="2" s="1"/>
  <c r="S161" i="2" a="1"/>
  <c r="S161" i="2" s="1"/>
  <c r="R161" i="2" a="1"/>
  <c r="R161" i="2" s="1"/>
  <c r="Q161" i="2" a="1"/>
  <c r="Q161" i="2" s="1"/>
  <c r="P161" i="2" a="1"/>
  <c r="P161" i="2" s="1"/>
  <c r="O161" i="2" a="1"/>
  <c r="O161" i="2" s="1"/>
  <c r="M161" i="2" a="1"/>
  <c r="M161" i="2" s="1"/>
  <c r="K161" i="2" a="1"/>
  <c r="K161" i="2" s="1"/>
  <c r="J161" i="2" a="1"/>
  <c r="J161" i="2" s="1"/>
  <c r="H161" i="2" a="1"/>
  <c r="H161" i="2" s="1"/>
  <c r="F161" i="2" a="1"/>
  <c r="F161" i="2" s="1"/>
  <c r="D161" i="2" a="1"/>
  <c r="D161" i="2" s="1"/>
  <c r="E161" i="2" s="1"/>
  <c r="C161" i="2" a="1"/>
  <c r="C161" i="2" s="1"/>
  <c r="A161" i="2" a="1"/>
  <c r="A161" i="2" s="1"/>
  <c r="AD161" i="2" s="1"/>
  <c r="X160" i="2" a="1"/>
  <c r="X160" i="2" s="1"/>
  <c r="W160" i="2" a="1"/>
  <c r="W160" i="2" s="1"/>
  <c r="V160" i="2" a="1"/>
  <c r="V160" i="2" s="1"/>
  <c r="U160" i="2" a="1"/>
  <c r="U160" i="2" s="1"/>
  <c r="T160" i="2" a="1"/>
  <c r="T160" i="2" s="1"/>
  <c r="S160" i="2" a="1"/>
  <c r="S160" i="2" s="1"/>
  <c r="R160" i="2" a="1"/>
  <c r="R160" i="2" s="1"/>
  <c r="Q160" i="2" a="1"/>
  <c r="Q160" i="2" s="1"/>
  <c r="P160" i="2" a="1"/>
  <c r="P160" i="2" s="1"/>
  <c r="O160" i="2" a="1"/>
  <c r="O160" i="2" s="1"/>
  <c r="M160" i="2" a="1"/>
  <c r="M160" i="2" s="1"/>
  <c r="K160" i="2" a="1"/>
  <c r="K160" i="2" s="1"/>
  <c r="J160" i="2" a="1"/>
  <c r="J160" i="2" s="1"/>
  <c r="H160" i="2" a="1"/>
  <c r="H160" i="2" s="1"/>
  <c r="F160" i="2" a="1"/>
  <c r="F160" i="2" s="1"/>
  <c r="D160" i="2" a="1"/>
  <c r="D160" i="2" s="1"/>
  <c r="E160" i="2" s="1"/>
  <c r="C160" i="2" a="1"/>
  <c r="C160" i="2" s="1"/>
  <c r="A160" i="2" a="1"/>
  <c r="A160" i="2" s="1"/>
  <c r="X159" i="2" a="1"/>
  <c r="X159" i="2" s="1"/>
  <c r="W159" i="2" a="1"/>
  <c r="W159" i="2" s="1"/>
  <c r="V159" i="2" a="1"/>
  <c r="V159" i="2" s="1"/>
  <c r="U159" i="2" a="1"/>
  <c r="U159" i="2" s="1"/>
  <c r="T159" i="2" a="1"/>
  <c r="T159" i="2" s="1"/>
  <c r="S159" i="2" a="1"/>
  <c r="S159" i="2" s="1"/>
  <c r="R159" i="2" a="1"/>
  <c r="R159" i="2" s="1"/>
  <c r="Q159" i="2" a="1"/>
  <c r="Q159" i="2" s="1"/>
  <c r="P159" i="2" a="1"/>
  <c r="P159" i="2" s="1"/>
  <c r="O159" i="2" a="1"/>
  <c r="O159" i="2" s="1"/>
  <c r="M159" i="2" a="1"/>
  <c r="M159" i="2" s="1"/>
  <c r="K159" i="2" a="1"/>
  <c r="K159" i="2" s="1"/>
  <c r="J159" i="2" a="1"/>
  <c r="J159" i="2" s="1"/>
  <c r="H159" i="2" a="1"/>
  <c r="H159" i="2" s="1"/>
  <c r="F159" i="2" a="1"/>
  <c r="F159" i="2" s="1"/>
  <c r="D159" i="2" a="1"/>
  <c r="D159" i="2" s="1"/>
  <c r="E159" i="2" s="1"/>
  <c r="C159" i="2" a="1"/>
  <c r="C159" i="2" s="1"/>
  <c r="A159" i="2" a="1"/>
  <c r="A159" i="2" s="1"/>
  <c r="X158" i="2" a="1"/>
  <c r="X158" i="2" s="1"/>
  <c r="W158" i="2" a="1"/>
  <c r="W158" i="2" s="1"/>
  <c r="V158" i="2" a="1"/>
  <c r="V158" i="2" s="1"/>
  <c r="U158" i="2" a="1"/>
  <c r="U158" i="2" s="1"/>
  <c r="T158" i="2" a="1"/>
  <c r="T158" i="2" s="1"/>
  <c r="S158" i="2" a="1"/>
  <c r="S158" i="2" s="1"/>
  <c r="R158" i="2" a="1"/>
  <c r="R158" i="2" s="1"/>
  <c r="Q158" i="2" a="1"/>
  <c r="Q158" i="2" s="1"/>
  <c r="P158" i="2" a="1"/>
  <c r="P158" i="2" s="1"/>
  <c r="O158" i="2" a="1"/>
  <c r="O158" i="2" s="1"/>
  <c r="M158" i="2" a="1"/>
  <c r="M158" i="2" s="1"/>
  <c r="K158" i="2" a="1"/>
  <c r="K158" i="2" s="1"/>
  <c r="J158" i="2" a="1"/>
  <c r="J158" i="2" s="1"/>
  <c r="H158" i="2" a="1"/>
  <c r="H158" i="2" s="1"/>
  <c r="F158" i="2" a="1"/>
  <c r="F158" i="2" s="1"/>
  <c r="D158" i="2" a="1"/>
  <c r="D158" i="2" s="1"/>
  <c r="E158" i="2" s="1"/>
  <c r="C158" i="2" a="1"/>
  <c r="C158" i="2" s="1"/>
  <c r="A158" i="2" a="1"/>
  <c r="A158" i="2" s="1"/>
  <c r="AD158" i="2" s="1"/>
  <c r="X157" i="2" a="1"/>
  <c r="X157" i="2" s="1"/>
  <c r="W157" i="2" a="1"/>
  <c r="W157" i="2" s="1"/>
  <c r="V157" i="2" a="1"/>
  <c r="V157" i="2" s="1"/>
  <c r="U157" i="2" a="1"/>
  <c r="U157" i="2" s="1"/>
  <c r="T157" i="2" a="1"/>
  <c r="T157" i="2" s="1"/>
  <c r="S157" i="2" a="1"/>
  <c r="S157" i="2" s="1"/>
  <c r="R157" i="2" a="1"/>
  <c r="R157" i="2" s="1"/>
  <c r="Q157" i="2" a="1"/>
  <c r="Q157" i="2" s="1"/>
  <c r="P157" i="2" a="1"/>
  <c r="P157" i="2" s="1"/>
  <c r="O157" i="2" a="1"/>
  <c r="O157" i="2" s="1"/>
  <c r="M157" i="2" a="1"/>
  <c r="M157" i="2" s="1"/>
  <c r="K157" i="2" a="1"/>
  <c r="K157" i="2" s="1"/>
  <c r="J157" i="2" a="1"/>
  <c r="J157" i="2" s="1"/>
  <c r="H157" i="2" a="1"/>
  <c r="H157" i="2" s="1"/>
  <c r="F157" i="2" a="1"/>
  <c r="F157" i="2" s="1"/>
  <c r="D157" i="2" a="1"/>
  <c r="D157" i="2" s="1"/>
  <c r="E157" i="2" s="1"/>
  <c r="C157" i="2" a="1"/>
  <c r="C157" i="2" s="1"/>
  <c r="A157" i="2" a="1"/>
  <c r="A157" i="2" s="1"/>
  <c r="X156" i="2" a="1"/>
  <c r="X156" i="2" s="1"/>
  <c r="W156" i="2" a="1"/>
  <c r="W156" i="2" s="1"/>
  <c r="V156" i="2" a="1"/>
  <c r="V156" i="2" s="1"/>
  <c r="U156" i="2" a="1"/>
  <c r="U156" i="2" s="1"/>
  <c r="T156" i="2" a="1"/>
  <c r="T156" i="2" s="1"/>
  <c r="S156" i="2" a="1"/>
  <c r="S156" i="2" s="1"/>
  <c r="R156" i="2" a="1"/>
  <c r="R156" i="2" s="1"/>
  <c r="Q156" i="2" a="1"/>
  <c r="Q156" i="2" s="1"/>
  <c r="P156" i="2" a="1"/>
  <c r="P156" i="2" s="1"/>
  <c r="O156" i="2" a="1"/>
  <c r="O156" i="2" s="1"/>
  <c r="M156" i="2" a="1"/>
  <c r="M156" i="2" s="1"/>
  <c r="K156" i="2" a="1"/>
  <c r="K156" i="2" s="1"/>
  <c r="J156" i="2" a="1"/>
  <c r="J156" i="2" s="1"/>
  <c r="H156" i="2" a="1"/>
  <c r="H156" i="2" s="1"/>
  <c r="F156" i="2" a="1"/>
  <c r="F156" i="2" s="1"/>
  <c r="D156" i="2" a="1"/>
  <c r="D156" i="2" s="1"/>
  <c r="E156" i="2" s="1"/>
  <c r="C156" i="2" a="1"/>
  <c r="C156" i="2" s="1"/>
  <c r="A156" i="2" a="1"/>
  <c r="A156" i="2" s="1"/>
  <c r="AD156" i="2" s="1"/>
  <c r="X155" i="2" a="1"/>
  <c r="X155" i="2" s="1"/>
  <c r="W155" i="2" a="1"/>
  <c r="W155" i="2" s="1"/>
  <c r="V155" i="2" a="1"/>
  <c r="V155" i="2" s="1"/>
  <c r="U155" i="2" a="1"/>
  <c r="U155" i="2" s="1"/>
  <c r="T155" i="2" a="1"/>
  <c r="T155" i="2" s="1"/>
  <c r="S155" i="2" a="1"/>
  <c r="S155" i="2" s="1"/>
  <c r="R155" i="2" a="1"/>
  <c r="R155" i="2" s="1"/>
  <c r="Q155" i="2" a="1"/>
  <c r="Q155" i="2" s="1"/>
  <c r="P155" i="2" a="1"/>
  <c r="P155" i="2" s="1"/>
  <c r="O155" i="2" a="1"/>
  <c r="O155" i="2" s="1"/>
  <c r="M155" i="2" a="1"/>
  <c r="M155" i="2" s="1"/>
  <c r="K155" i="2" a="1"/>
  <c r="K155" i="2" s="1"/>
  <c r="J155" i="2" a="1"/>
  <c r="J155" i="2" s="1"/>
  <c r="H155" i="2" a="1"/>
  <c r="H155" i="2" s="1"/>
  <c r="F155" i="2" a="1"/>
  <c r="F155" i="2" s="1"/>
  <c r="D155" i="2" a="1"/>
  <c r="D155" i="2" s="1"/>
  <c r="E155" i="2" s="1"/>
  <c r="C155" i="2" a="1"/>
  <c r="C155" i="2" s="1"/>
  <c r="A155" i="2" a="1"/>
  <c r="A155" i="2" s="1"/>
  <c r="X154" i="2" a="1"/>
  <c r="X154" i="2" s="1"/>
  <c r="W154" i="2" a="1"/>
  <c r="W154" i="2" s="1"/>
  <c r="V154" i="2" a="1"/>
  <c r="V154" i="2" s="1"/>
  <c r="U154" i="2" a="1"/>
  <c r="U154" i="2" s="1"/>
  <c r="T154" i="2" a="1"/>
  <c r="T154" i="2" s="1"/>
  <c r="S154" i="2" a="1"/>
  <c r="S154" i="2" s="1"/>
  <c r="R154" i="2" a="1"/>
  <c r="R154" i="2" s="1"/>
  <c r="Q154" i="2" a="1"/>
  <c r="Q154" i="2" s="1"/>
  <c r="P154" i="2" a="1"/>
  <c r="P154" i="2" s="1"/>
  <c r="O154" i="2" a="1"/>
  <c r="O154" i="2" s="1"/>
  <c r="M154" i="2" a="1"/>
  <c r="M154" i="2" s="1"/>
  <c r="K154" i="2" a="1"/>
  <c r="K154" i="2" s="1"/>
  <c r="J154" i="2" a="1"/>
  <c r="J154" i="2" s="1"/>
  <c r="H154" i="2" a="1"/>
  <c r="H154" i="2" s="1"/>
  <c r="F154" i="2" a="1"/>
  <c r="F154" i="2" s="1"/>
  <c r="D154" i="2" a="1"/>
  <c r="D154" i="2" s="1"/>
  <c r="E154" i="2" s="1"/>
  <c r="C154" i="2" a="1"/>
  <c r="C154" i="2" s="1"/>
  <c r="A154" i="2" a="1"/>
  <c r="A154" i="2" s="1"/>
  <c r="X153" i="2" a="1"/>
  <c r="X153" i="2" s="1"/>
  <c r="W153" i="2" a="1"/>
  <c r="W153" i="2" s="1"/>
  <c r="V153" i="2" a="1"/>
  <c r="V153" i="2" s="1"/>
  <c r="U153" i="2" a="1"/>
  <c r="U153" i="2" s="1"/>
  <c r="T153" i="2" a="1"/>
  <c r="T153" i="2" s="1"/>
  <c r="S153" i="2" a="1"/>
  <c r="S153" i="2" s="1"/>
  <c r="R153" i="2" a="1"/>
  <c r="R153" i="2" s="1"/>
  <c r="Q153" i="2" a="1"/>
  <c r="Q153" i="2" s="1"/>
  <c r="P153" i="2" a="1"/>
  <c r="P153" i="2" s="1"/>
  <c r="O153" i="2" a="1"/>
  <c r="O153" i="2" s="1"/>
  <c r="M153" i="2" a="1"/>
  <c r="M153" i="2" s="1"/>
  <c r="K153" i="2" a="1"/>
  <c r="K153" i="2" s="1"/>
  <c r="J153" i="2" a="1"/>
  <c r="J153" i="2" s="1"/>
  <c r="H153" i="2" a="1"/>
  <c r="H153" i="2" s="1"/>
  <c r="F153" i="2" a="1"/>
  <c r="F153" i="2" s="1"/>
  <c r="D153" i="2" a="1"/>
  <c r="D153" i="2" s="1"/>
  <c r="E153" i="2" s="1"/>
  <c r="C153" i="2" a="1"/>
  <c r="C153" i="2" s="1"/>
  <c r="A153" i="2" a="1"/>
  <c r="A153" i="2" s="1"/>
  <c r="X152" i="2" a="1"/>
  <c r="X152" i="2" s="1"/>
  <c r="W152" i="2" a="1"/>
  <c r="W152" i="2" s="1"/>
  <c r="V152" i="2" a="1"/>
  <c r="V152" i="2" s="1"/>
  <c r="U152" i="2" a="1"/>
  <c r="U152" i="2" s="1"/>
  <c r="T152" i="2" a="1"/>
  <c r="T152" i="2" s="1"/>
  <c r="S152" i="2" a="1"/>
  <c r="S152" i="2" s="1"/>
  <c r="R152" i="2" a="1"/>
  <c r="R152" i="2" s="1"/>
  <c r="Q152" i="2" a="1"/>
  <c r="Q152" i="2" s="1"/>
  <c r="P152" i="2" a="1"/>
  <c r="P152" i="2" s="1"/>
  <c r="O152" i="2" a="1"/>
  <c r="O152" i="2" s="1"/>
  <c r="M152" i="2" a="1"/>
  <c r="M152" i="2" s="1"/>
  <c r="K152" i="2" a="1"/>
  <c r="K152" i="2" s="1"/>
  <c r="J152" i="2" a="1"/>
  <c r="J152" i="2" s="1"/>
  <c r="H152" i="2" a="1"/>
  <c r="H152" i="2" s="1"/>
  <c r="F152" i="2" a="1"/>
  <c r="F152" i="2" s="1"/>
  <c r="D152" i="2" a="1"/>
  <c r="D152" i="2" s="1"/>
  <c r="E152" i="2" s="1"/>
  <c r="C152" i="2" a="1"/>
  <c r="C152" i="2" s="1"/>
  <c r="A152" i="2" a="1"/>
  <c r="A152" i="2" s="1"/>
  <c r="X151" i="2" a="1"/>
  <c r="X151" i="2" s="1"/>
  <c r="W151" i="2" a="1"/>
  <c r="W151" i="2" s="1"/>
  <c r="V151" i="2" a="1"/>
  <c r="V151" i="2" s="1"/>
  <c r="U151" i="2" a="1"/>
  <c r="U151" i="2" s="1"/>
  <c r="T151" i="2" a="1"/>
  <c r="T151" i="2" s="1"/>
  <c r="S151" i="2" a="1"/>
  <c r="S151" i="2" s="1"/>
  <c r="R151" i="2" a="1"/>
  <c r="R151" i="2" s="1"/>
  <c r="Q151" i="2" a="1"/>
  <c r="Q151" i="2" s="1"/>
  <c r="P151" i="2" a="1"/>
  <c r="P151" i="2" s="1"/>
  <c r="O151" i="2" a="1"/>
  <c r="O151" i="2" s="1"/>
  <c r="M151" i="2" a="1"/>
  <c r="M151" i="2" s="1"/>
  <c r="K151" i="2" a="1"/>
  <c r="K151" i="2" s="1"/>
  <c r="J151" i="2" a="1"/>
  <c r="J151" i="2" s="1"/>
  <c r="H151" i="2" a="1"/>
  <c r="H151" i="2" s="1"/>
  <c r="F151" i="2" a="1"/>
  <c r="F151" i="2" s="1"/>
  <c r="D151" i="2" a="1"/>
  <c r="D151" i="2" s="1"/>
  <c r="E151" i="2" s="1"/>
  <c r="C151" i="2" a="1"/>
  <c r="C151" i="2" s="1"/>
  <c r="A151" i="2" a="1"/>
  <c r="A151" i="2" s="1"/>
  <c r="X150" i="2" a="1"/>
  <c r="X150" i="2" s="1"/>
  <c r="W150" i="2" a="1"/>
  <c r="W150" i="2" s="1"/>
  <c r="V150" i="2" a="1"/>
  <c r="V150" i="2" s="1"/>
  <c r="U150" i="2" a="1"/>
  <c r="U150" i="2" s="1"/>
  <c r="T150" i="2" a="1"/>
  <c r="T150" i="2" s="1"/>
  <c r="S150" i="2" a="1"/>
  <c r="S150" i="2" s="1"/>
  <c r="R150" i="2" a="1"/>
  <c r="R150" i="2" s="1"/>
  <c r="Q150" i="2" a="1"/>
  <c r="Q150" i="2" s="1"/>
  <c r="P150" i="2" a="1"/>
  <c r="P150" i="2" s="1"/>
  <c r="O150" i="2" a="1"/>
  <c r="O150" i="2" s="1"/>
  <c r="M150" i="2" a="1"/>
  <c r="M150" i="2" s="1"/>
  <c r="K150" i="2" a="1"/>
  <c r="K150" i="2" s="1"/>
  <c r="J150" i="2" a="1"/>
  <c r="J150" i="2" s="1"/>
  <c r="H150" i="2" a="1"/>
  <c r="H150" i="2" s="1"/>
  <c r="F150" i="2" a="1"/>
  <c r="F150" i="2" s="1"/>
  <c r="D150" i="2" a="1"/>
  <c r="D150" i="2" s="1"/>
  <c r="E150" i="2" s="1"/>
  <c r="C150" i="2" a="1"/>
  <c r="C150" i="2" s="1"/>
  <c r="A150" i="2" a="1"/>
  <c r="A150" i="2" s="1"/>
  <c r="X149" i="2" a="1"/>
  <c r="X149" i="2" s="1"/>
  <c r="W149" i="2" a="1"/>
  <c r="W149" i="2" s="1"/>
  <c r="V149" i="2" a="1"/>
  <c r="V149" i="2" s="1"/>
  <c r="U149" i="2" a="1"/>
  <c r="U149" i="2" s="1"/>
  <c r="T149" i="2" a="1"/>
  <c r="T149" i="2" s="1"/>
  <c r="S149" i="2" a="1"/>
  <c r="S149" i="2" s="1"/>
  <c r="R149" i="2" a="1"/>
  <c r="R149" i="2" s="1"/>
  <c r="Q149" i="2" a="1"/>
  <c r="Q149" i="2" s="1"/>
  <c r="P149" i="2" a="1"/>
  <c r="P149" i="2" s="1"/>
  <c r="O149" i="2" a="1"/>
  <c r="O149" i="2" s="1"/>
  <c r="M149" i="2" a="1"/>
  <c r="M149" i="2" s="1"/>
  <c r="K149" i="2" a="1"/>
  <c r="K149" i="2" s="1"/>
  <c r="J149" i="2" a="1"/>
  <c r="J149" i="2" s="1"/>
  <c r="H149" i="2" a="1"/>
  <c r="H149" i="2" s="1"/>
  <c r="F149" i="2" a="1"/>
  <c r="F149" i="2" s="1"/>
  <c r="D149" i="2" a="1"/>
  <c r="D149" i="2" s="1"/>
  <c r="E149" i="2" s="1"/>
  <c r="C149" i="2" a="1"/>
  <c r="C149" i="2" s="1"/>
  <c r="A149" i="2" a="1"/>
  <c r="A149" i="2" s="1"/>
  <c r="AD149" i="2" s="1"/>
  <c r="X148" i="2" a="1"/>
  <c r="X148" i="2" s="1"/>
  <c r="W148" i="2" a="1"/>
  <c r="W148" i="2" s="1"/>
  <c r="V148" i="2" a="1"/>
  <c r="V148" i="2" s="1"/>
  <c r="U148" i="2" a="1"/>
  <c r="U148" i="2" s="1"/>
  <c r="T148" i="2" a="1"/>
  <c r="T148" i="2" s="1"/>
  <c r="S148" i="2" a="1"/>
  <c r="S148" i="2" s="1"/>
  <c r="R148" i="2" a="1"/>
  <c r="R148" i="2" s="1"/>
  <c r="Q148" i="2" a="1"/>
  <c r="Q148" i="2" s="1"/>
  <c r="P148" i="2" a="1"/>
  <c r="P148" i="2" s="1"/>
  <c r="O148" i="2" a="1"/>
  <c r="O148" i="2" s="1"/>
  <c r="M148" i="2" a="1"/>
  <c r="M148" i="2" s="1"/>
  <c r="K148" i="2" a="1"/>
  <c r="K148" i="2" s="1"/>
  <c r="J148" i="2" a="1"/>
  <c r="J148" i="2" s="1"/>
  <c r="H148" i="2" a="1"/>
  <c r="H148" i="2" s="1"/>
  <c r="F148" i="2" a="1"/>
  <c r="F148" i="2" s="1"/>
  <c r="D148" i="2" a="1"/>
  <c r="D148" i="2" s="1"/>
  <c r="E148" i="2" s="1"/>
  <c r="C148" i="2" a="1"/>
  <c r="C148" i="2" s="1"/>
  <c r="A148" i="2" a="1"/>
  <c r="A148" i="2" s="1"/>
  <c r="X147" i="2" a="1"/>
  <c r="X147" i="2" s="1"/>
  <c r="W147" i="2" a="1"/>
  <c r="W147" i="2" s="1"/>
  <c r="V147" i="2" a="1"/>
  <c r="V147" i="2" s="1"/>
  <c r="U147" i="2" a="1"/>
  <c r="U147" i="2" s="1"/>
  <c r="T147" i="2" a="1"/>
  <c r="T147" i="2" s="1"/>
  <c r="S147" i="2" a="1"/>
  <c r="S147" i="2" s="1"/>
  <c r="R147" i="2" a="1"/>
  <c r="R147" i="2" s="1"/>
  <c r="Q147" i="2" a="1"/>
  <c r="Q147" i="2" s="1"/>
  <c r="P147" i="2" a="1"/>
  <c r="P147" i="2" s="1"/>
  <c r="O147" i="2" a="1"/>
  <c r="O147" i="2" s="1"/>
  <c r="M147" i="2" a="1"/>
  <c r="M147" i="2" s="1"/>
  <c r="K147" i="2" a="1"/>
  <c r="K147" i="2" s="1"/>
  <c r="J147" i="2" a="1"/>
  <c r="J147" i="2" s="1"/>
  <c r="H147" i="2" a="1"/>
  <c r="H147" i="2" s="1"/>
  <c r="F147" i="2" a="1"/>
  <c r="F147" i="2" s="1"/>
  <c r="D147" i="2" a="1"/>
  <c r="D147" i="2" s="1"/>
  <c r="E147" i="2" s="1"/>
  <c r="C147" i="2" a="1"/>
  <c r="C147" i="2" s="1"/>
  <c r="A147" i="2" a="1"/>
  <c r="A147" i="2" s="1"/>
  <c r="X146" i="2" a="1"/>
  <c r="X146" i="2" s="1"/>
  <c r="W146" i="2" a="1"/>
  <c r="W146" i="2" s="1"/>
  <c r="V146" i="2" a="1"/>
  <c r="V146" i="2" s="1"/>
  <c r="U146" i="2" a="1"/>
  <c r="U146" i="2" s="1"/>
  <c r="T146" i="2" a="1"/>
  <c r="T146" i="2" s="1"/>
  <c r="S146" i="2" a="1"/>
  <c r="S146" i="2" s="1"/>
  <c r="R146" i="2" a="1"/>
  <c r="R146" i="2" s="1"/>
  <c r="Q146" i="2" a="1"/>
  <c r="Q146" i="2" s="1"/>
  <c r="P146" i="2" a="1"/>
  <c r="P146" i="2" s="1"/>
  <c r="O146" i="2" a="1"/>
  <c r="O146" i="2" s="1"/>
  <c r="M146" i="2" a="1"/>
  <c r="M146" i="2" s="1"/>
  <c r="K146" i="2" a="1"/>
  <c r="K146" i="2" s="1"/>
  <c r="J146" i="2" a="1"/>
  <c r="J146" i="2" s="1"/>
  <c r="H146" i="2" a="1"/>
  <c r="H146" i="2" s="1"/>
  <c r="F146" i="2" a="1"/>
  <c r="F146" i="2" s="1"/>
  <c r="D146" i="2" a="1"/>
  <c r="D146" i="2" s="1"/>
  <c r="E146" i="2" s="1"/>
  <c r="C146" i="2" a="1"/>
  <c r="C146" i="2" s="1"/>
  <c r="A146" i="2" a="1"/>
  <c r="A146" i="2" s="1"/>
  <c r="AD146" i="2" s="1"/>
  <c r="X145" i="2" a="1"/>
  <c r="X145" i="2" s="1"/>
  <c r="W145" i="2" a="1"/>
  <c r="W145" i="2" s="1"/>
  <c r="V145" i="2" a="1"/>
  <c r="V145" i="2" s="1"/>
  <c r="U145" i="2" a="1"/>
  <c r="U145" i="2" s="1"/>
  <c r="T145" i="2" a="1"/>
  <c r="T145" i="2" s="1"/>
  <c r="S145" i="2" a="1"/>
  <c r="S145" i="2" s="1"/>
  <c r="R145" i="2" a="1"/>
  <c r="R145" i="2" s="1"/>
  <c r="Q145" i="2" a="1"/>
  <c r="Q145" i="2" s="1"/>
  <c r="P145" i="2" a="1"/>
  <c r="P145" i="2" s="1"/>
  <c r="O145" i="2" a="1"/>
  <c r="O145" i="2" s="1"/>
  <c r="M145" i="2" a="1"/>
  <c r="M145" i="2" s="1"/>
  <c r="K145" i="2" a="1"/>
  <c r="K145" i="2" s="1"/>
  <c r="J145" i="2" a="1"/>
  <c r="J145" i="2" s="1"/>
  <c r="H145" i="2" a="1"/>
  <c r="H145" i="2" s="1"/>
  <c r="F145" i="2" a="1"/>
  <c r="F145" i="2" s="1"/>
  <c r="D145" i="2" a="1"/>
  <c r="D145" i="2" s="1"/>
  <c r="E145" i="2" s="1"/>
  <c r="C145" i="2" a="1"/>
  <c r="C145" i="2" s="1"/>
  <c r="A145" i="2" a="1"/>
  <c r="A145" i="2" s="1"/>
  <c r="X144" i="2" a="1"/>
  <c r="X144" i="2" s="1"/>
  <c r="W144" i="2" a="1"/>
  <c r="W144" i="2" s="1"/>
  <c r="V144" i="2" a="1"/>
  <c r="V144" i="2" s="1"/>
  <c r="U144" i="2" a="1"/>
  <c r="U144" i="2" s="1"/>
  <c r="T144" i="2" a="1"/>
  <c r="T144" i="2" s="1"/>
  <c r="S144" i="2" a="1"/>
  <c r="S144" i="2" s="1"/>
  <c r="R144" i="2" a="1"/>
  <c r="R144" i="2" s="1"/>
  <c r="Q144" i="2" a="1"/>
  <c r="Q144" i="2" s="1"/>
  <c r="P144" i="2" a="1"/>
  <c r="P144" i="2" s="1"/>
  <c r="O144" i="2" a="1"/>
  <c r="O144" i="2" s="1"/>
  <c r="M144" i="2" a="1"/>
  <c r="M144" i="2" s="1"/>
  <c r="K144" i="2" a="1"/>
  <c r="K144" i="2" s="1"/>
  <c r="J144" i="2" a="1"/>
  <c r="J144" i="2" s="1"/>
  <c r="H144" i="2" a="1"/>
  <c r="H144" i="2" s="1"/>
  <c r="F144" i="2" a="1"/>
  <c r="F144" i="2" s="1"/>
  <c r="D144" i="2" a="1"/>
  <c r="D144" i="2" s="1"/>
  <c r="E144" i="2" s="1"/>
  <c r="C144" i="2" a="1"/>
  <c r="C144" i="2" s="1"/>
  <c r="A144" i="2" a="1"/>
  <c r="A144" i="2" s="1"/>
  <c r="AD144" i="2" s="1"/>
  <c r="X143" i="2" a="1"/>
  <c r="X143" i="2" s="1"/>
  <c r="W143" i="2" a="1"/>
  <c r="W143" i="2" s="1"/>
  <c r="V143" i="2" a="1"/>
  <c r="V143" i="2" s="1"/>
  <c r="U143" i="2" a="1"/>
  <c r="U143" i="2" s="1"/>
  <c r="T143" i="2" a="1"/>
  <c r="T143" i="2" s="1"/>
  <c r="S143" i="2" a="1"/>
  <c r="S143" i="2" s="1"/>
  <c r="R143" i="2" a="1"/>
  <c r="R143" i="2" s="1"/>
  <c r="Q143" i="2" a="1"/>
  <c r="Q143" i="2" s="1"/>
  <c r="P143" i="2" a="1"/>
  <c r="P143" i="2" s="1"/>
  <c r="O143" i="2" a="1"/>
  <c r="O143" i="2" s="1"/>
  <c r="M143" i="2" a="1"/>
  <c r="M143" i="2" s="1"/>
  <c r="K143" i="2" a="1"/>
  <c r="K143" i="2" s="1"/>
  <c r="J143" i="2" a="1"/>
  <c r="J143" i="2" s="1"/>
  <c r="H143" i="2" a="1"/>
  <c r="H143" i="2" s="1"/>
  <c r="F143" i="2" a="1"/>
  <c r="F143" i="2" s="1"/>
  <c r="D143" i="2" a="1"/>
  <c r="D143" i="2" s="1"/>
  <c r="E143" i="2" s="1"/>
  <c r="C143" i="2" a="1"/>
  <c r="C143" i="2" s="1"/>
  <c r="A143" i="2" a="1"/>
  <c r="A143" i="2" s="1"/>
  <c r="X142" i="2" a="1"/>
  <c r="X142" i="2" s="1"/>
  <c r="W142" i="2" a="1"/>
  <c r="W142" i="2" s="1"/>
  <c r="V142" i="2" a="1"/>
  <c r="V142" i="2" s="1"/>
  <c r="U142" i="2" a="1"/>
  <c r="U142" i="2" s="1"/>
  <c r="T142" i="2" a="1"/>
  <c r="T142" i="2" s="1"/>
  <c r="S142" i="2" a="1"/>
  <c r="S142" i="2" s="1"/>
  <c r="R142" i="2" a="1"/>
  <c r="R142" i="2" s="1"/>
  <c r="Q142" i="2" a="1"/>
  <c r="Q142" i="2" s="1"/>
  <c r="P142" i="2" a="1"/>
  <c r="P142" i="2" s="1"/>
  <c r="O142" i="2" a="1"/>
  <c r="O142" i="2" s="1"/>
  <c r="M142" i="2" a="1"/>
  <c r="M142" i="2" s="1"/>
  <c r="K142" i="2" a="1"/>
  <c r="K142" i="2" s="1"/>
  <c r="J142" i="2" a="1"/>
  <c r="J142" i="2" s="1"/>
  <c r="H142" i="2" a="1"/>
  <c r="H142" i="2" s="1"/>
  <c r="F142" i="2" a="1"/>
  <c r="F142" i="2" s="1"/>
  <c r="D142" i="2" a="1"/>
  <c r="D142" i="2" s="1"/>
  <c r="E142" i="2" s="1"/>
  <c r="C142" i="2" a="1"/>
  <c r="C142" i="2" s="1"/>
  <c r="A142" i="2" a="1"/>
  <c r="A142" i="2" s="1"/>
  <c r="X141" i="2" a="1"/>
  <c r="X141" i="2" s="1"/>
  <c r="W141" i="2" a="1"/>
  <c r="W141" i="2" s="1"/>
  <c r="V141" i="2" a="1"/>
  <c r="V141" i="2" s="1"/>
  <c r="U141" i="2" a="1"/>
  <c r="U141" i="2" s="1"/>
  <c r="T141" i="2" a="1"/>
  <c r="T141" i="2" s="1"/>
  <c r="S141" i="2" a="1"/>
  <c r="S141" i="2" s="1"/>
  <c r="R141" i="2" a="1"/>
  <c r="R141" i="2" s="1"/>
  <c r="Q141" i="2" a="1"/>
  <c r="Q141" i="2" s="1"/>
  <c r="P141" i="2" a="1"/>
  <c r="P141" i="2" s="1"/>
  <c r="O141" i="2" a="1"/>
  <c r="O141" i="2" s="1"/>
  <c r="M141" i="2" a="1"/>
  <c r="M141" i="2" s="1"/>
  <c r="K141" i="2" a="1"/>
  <c r="K141" i="2" s="1"/>
  <c r="J141" i="2" a="1"/>
  <c r="J141" i="2" s="1"/>
  <c r="H141" i="2" a="1"/>
  <c r="H141" i="2" s="1"/>
  <c r="F141" i="2" a="1"/>
  <c r="F141" i="2" s="1"/>
  <c r="D141" i="2" a="1"/>
  <c r="D141" i="2" s="1"/>
  <c r="E141" i="2" s="1"/>
  <c r="C141" i="2" a="1"/>
  <c r="C141" i="2" s="1"/>
  <c r="A141" i="2" a="1"/>
  <c r="A141" i="2" s="1"/>
  <c r="X140" i="2" a="1"/>
  <c r="X140" i="2" s="1"/>
  <c r="W140" i="2" a="1"/>
  <c r="W140" i="2" s="1"/>
  <c r="V140" i="2" a="1"/>
  <c r="V140" i="2" s="1"/>
  <c r="U140" i="2" a="1"/>
  <c r="U140" i="2" s="1"/>
  <c r="T140" i="2" a="1"/>
  <c r="T140" i="2" s="1"/>
  <c r="S140" i="2" a="1"/>
  <c r="S140" i="2" s="1"/>
  <c r="R140" i="2" a="1"/>
  <c r="R140" i="2" s="1"/>
  <c r="Q140" i="2" a="1"/>
  <c r="Q140" i="2" s="1"/>
  <c r="P140" i="2" a="1"/>
  <c r="P140" i="2" s="1"/>
  <c r="O140" i="2" a="1"/>
  <c r="O140" i="2" s="1"/>
  <c r="M140" i="2" a="1"/>
  <c r="M140" i="2" s="1"/>
  <c r="K140" i="2" a="1"/>
  <c r="K140" i="2" s="1"/>
  <c r="J140" i="2" a="1"/>
  <c r="J140" i="2" s="1"/>
  <c r="H140" i="2" a="1"/>
  <c r="H140" i="2" s="1"/>
  <c r="F140" i="2" a="1"/>
  <c r="F140" i="2" s="1"/>
  <c r="D140" i="2" a="1"/>
  <c r="D140" i="2" s="1"/>
  <c r="E140" i="2" s="1"/>
  <c r="C140" i="2" a="1"/>
  <c r="C140" i="2" s="1"/>
  <c r="A140" i="2" a="1"/>
  <c r="A140" i="2" s="1"/>
  <c r="X139" i="2" a="1"/>
  <c r="X139" i="2" s="1"/>
  <c r="W139" i="2" a="1"/>
  <c r="W139" i="2" s="1"/>
  <c r="V139" i="2" a="1"/>
  <c r="V139" i="2" s="1"/>
  <c r="U139" i="2" a="1"/>
  <c r="U139" i="2" s="1"/>
  <c r="T139" i="2" a="1"/>
  <c r="T139" i="2" s="1"/>
  <c r="S139" i="2" a="1"/>
  <c r="S139" i="2" s="1"/>
  <c r="R139" i="2" a="1"/>
  <c r="R139" i="2" s="1"/>
  <c r="Q139" i="2" a="1"/>
  <c r="Q139" i="2" s="1"/>
  <c r="P139" i="2" a="1"/>
  <c r="P139" i="2" s="1"/>
  <c r="O139" i="2" a="1"/>
  <c r="O139" i="2" s="1"/>
  <c r="M139" i="2" a="1"/>
  <c r="M139" i="2" s="1"/>
  <c r="K139" i="2" a="1"/>
  <c r="K139" i="2" s="1"/>
  <c r="J139" i="2" a="1"/>
  <c r="J139" i="2" s="1"/>
  <c r="H139" i="2" a="1"/>
  <c r="H139" i="2" s="1"/>
  <c r="F139" i="2" a="1"/>
  <c r="F139" i="2" s="1"/>
  <c r="D139" i="2" a="1"/>
  <c r="D139" i="2" s="1"/>
  <c r="E139" i="2" s="1"/>
  <c r="C139" i="2" a="1"/>
  <c r="C139" i="2" s="1"/>
  <c r="A139" i="2" a="1"/>
  <c r="A139" i="2" s="1"/>
  <c r="X138" i="2" a="1"/>
  <c r="X138" i="2" s="1"/>
  <c r="W138" i="2" a="1"/>
  <c r="W138" i="2" s="1"/>
  <c r="V138" i="2" a="1"/>
  <c r="V138" i="2" s="1"/>
  <c r="U138" i="2" a="1"/>
  <c r="U138" i="2" s="1"/>
  <c r="T138" i="2" a="1"/>
  <c r="T138" i="2" s="1"/>
  <c r="S138" i="2" a="1"/>
  <c r="S138" i="2" s="1"/>
  <c r="R138" i="2" a="1"/>
  <c r="R138" i="2" s="1"/>
  <c r="Q138" i="2" a="1"/>
  <c r="Q138" i="2" s="1"/>
  <c r="P138" i="2" a="1"/>
  <c r="P138" i="2" s="1"/>
  <c r="O138" i="2" a="1"/>
  <c r="O138" i="2" s="1"/>
  <c r="M138" i="2" a="1"/>
  <c r="M138" i="2" s="1"/>
  <c r="K138" i="2" a="1"/>
  <c r="K138" i="2" s="1"/>
  <c r="J138" i="2" a="1"/>
  <c r="J138" i="2" s="1"/>
  <c r="H138" i="2" a="1"/>
  <c r="H138" i="2" s="1"/>
  <c r="F138" i="2" a="1"/>
  <c r="F138" i="2" s="1"/>
  <c r="D138" i="2" a="1"/>
  <c r="D138" i="2" s="1"/>
  <c r="E138" i="2" s="1"/>
  <c r="C138" i="2" a="1"/>
  <c r="C138" i="2" s="1"/>
  <c r="A138" i="2" a="1"/>
  <c r="A138" i="2" s="1"/>
  <c r="X137" i="2" a="1"/>
  <c r="X137" i="2" s="1"/>
  <c r="W137" i="2" a="1"/>
  <c r="W137" i="2" s="1"/>
  <c r="V137" i="2" a="1"/>
  <c r="V137" i="2" s="1"/>
  <c r="U137" i="2" a="1"/>
  <c r="U137" i="2" s="1"/>
  <c r="T137" i="2" a="1"/>
  <c r="T137" i="2" s="1"/>
  <c r="S137" i="2" a="1"/>
  <c r="S137" i="2" s="1"/>
  <c r="R137" i="2" a="1"/>
  <c r="R137" i="2" s="1"/>
  <c r="Q137" i="2" a="1"/>
  <c r="Q137" i="2" s="1"/>
  <c r="P137" i="2" a="1"/>
  <c r="P137" i="2" s="1"/>
  <c r="O137" i="2" a="1"/>
  <c r="O137" i="2" s="1"/>
  <c r="M137" i="2" a="1"/>
  <c r="M137" i="2" s="1"/>
  <c r="K137" i="2" a="1"/>
  <c r="K137" i="2" s="1"/>
  <c r="J137" i="2" a="1"/>
  <c r="J137" i="2" s="1"/>
  <c r="H137" i="2" a="1"/>
  <c r="H137" i="2" s="1"/>
  <c r="F137" i="2" a="1"/>
  <c r="F137" i="2" s="1"/>
  <c r="D137" i="2" a="1"/>
  <c r="D137" i="2" s="1"/>
  <c r="E137" i="2" s="1"/>
  <c r="C137" i="2" a="1"/>
  <c r="C137" i="2" s="1"/>
  <c r="A137" i="2" a="1"/>
  <c r="A137" i="2" s="1"/>
  <c r="X136" i="2" a="1"/>
  <c r="X136" i="2" s="1"/>
  <c r="W136" i="2" a="1"/>
  <c r="W136" i="2" s="1"/>
  <c r="V136" i="2" a="1"/>
  <c r="V136" i="2" s="1"/>
  <c r="U136" i="2" a="1"/>
  <c r="U136" i="2" s="1"/>
  <c r="T136" i="2" a="1"/>
  <c r="T136" i="2" s="1"/>
  <c r="S136" i="2" a="1"/>
  <c r="S136" i="2" s="1"/>
  <c r="R136" i="2" a="1"/>
  <c r="R136" i="2" s="1"/>
  <c r="Q136" i="2" a="1"/>
  <c r="Q136" i="2" s="1"/>
  <c r="P136" i="2" a="1"/>
  <c r="P136" i="2" s="1"/>
  <c r="O136" i="2" a="1"/>
  <c r="O136" i="2" s="1"/>
  <c r="M136" i="2" a="1"/>
  <c r="M136" i="2" s="1"/>
  <c r="K136" i="2" a="1"/>
  <c r="K136" i="2" s="1"/>
  <c r="J136" i="2" a="1"/>
  <c r="J136" i="2" s="1"/>
  <c r="H136" i="2" a="1"/>
  <c r="H136" i="2" s="1"/>
  <c r="F136" i="2" a="1"/>
  <c r="F136" i="2" s="1"/>
  <c r="D136" i="2" a="1"/>
  <c r="D136" i="2" s="1"/>
  <c r="E136" i="2" s="1"/>
  <c r="C136" i="2" a="1"/>
  <c r="C136" i="2" s="1"/>
  <c r="A136" i="2" a="1"/>
  <c r="A136" i="2" s="1"/>
  <c r="X135" i="2" a="1"/>
  <c r="X135" i="2" s="1"/>
  <c r="W135" i="2" a="1"/>
  <c r="W135" i="2" s="1"/>
  <c r="V135" i="2" a="1"/>
  <c r="V135" i="2" s="1"/>
  <c r="U135" i="2" a="1"/>
  <c r="U135" i="2" s="1"/>
  <c r="T135" i="2" a="1"/>
  <c r="T135" i="2" s="1"/>
  <c r="S135" i="2" a="1"/>
  <c r="S135" i="2" s="1"/>
  <c r="R135" i="2" a="1"/>
  <c r="R135" i="2" s="1"/>
  <c r="Q135" i="2" a="1"/>
  <c r="Q135" i="2" s="1"/>
  <c r="P135" i="2" a="1"/>
  <c r="P135" i="2" s="1"/>
  <c r="O135" i="2" a="1"/>
  <c r="O135" i="2" s="1"/>
  <c r="M135" i="2" a="1"/>
  <c r="M135" i="2" s="1"/>
  <c r="K135" i="2" a="1"/>
  <c r="K135" i="2" s="1"/>
  <c r="J135" i="2" a="1"/>
  <c r="J135" i="2" s="1"/>
  <c r="H135" i="2" a="1"/>
  <c r="H135" i="2" s="1"/>
  <c r="F135" i="2" a="1"/>
  <c r="F135" i="2" s="1"/>
  <c r="D135" i="2" a="1"/>
  <c r="D135" i="2" s="1"/>
  <c r="E135" i="2" s="1"/>
  <c r="C135" i="2" a="1"/>
  <c r="C135" i="2" s="1"/>
  <c r="A135" i="2" a="1"/>
  <c r="A135" i="2" s="1"/>
  <c r="X134" i="2" a="1"/>
  <c r="X134" i="2" s="1"/>
  <c r="W134" i="2" a="1"/>
  <c r="W134" i="2" s="1"/>
  <c r="V134" i="2" a="1"/>
  <c r="V134" i="2" s="1"/>
  <c r="U134" i="2" a="1"/>
  <c r="U134" i="2" s="1"/>
  <c r="T134" i="2" a="1"/>
  <c r="T134" i="2" s="1"/>
  <c r="S134" i="2" a="1"/>
  <c r="S134" i="2" s="1"/>
  <c r="R134" i="2" a="1"/>
  <c r="R134" i="2" s="1"/>
  <c r="Q134" i="2" a="1"/>
  <c r="Q134" i="2" s="1"/>
  <c r="P134" i="2" a="1"/>
  <c r="P134" i="2" s="1"/>
  <c r="O134" i="2" a="1"/>
  <c r="O134" i="2" s="1"/>
  <c r="M134" i="2" a="1"/>
  <c r="M134" i="2" s="1"/>
  <c r="K134" i="2" a="1"/>
  <c r="K134" i="2" s="1"/>
  <c r="J134" i="2" a="1"/>
  <c r="J134" i="2" s="1"/>
  <c r="H134" i="2" a="1"/>
  <c r="H134" i="2" s="1"/>
  <c r="F134" i="2" a="1"/>
  <c r="F134" i="2" s="1"/>
  <c r="D134" i="2" a="1"/>
  <c r="D134" i="2" s="1"/>
  <c r="E134" i="2" s="1"/>
  <c r="C134" i="2" a="1"/>
  <c r="C134" i="2" s="1"/>
  <c r="A134" i="2" a="1"/>
  <c r="A134" i="2" s="1"/>
  <c r="X133" i="2" a="1"/>
  <c r="X133" i="2" s="1"/>
  <c r="W133" i="2" a="1"/>
  <c r="W133" i="2" s="1"/>
  <c r="V133" i="2" a="1"/>
  <c r="V133" i="2" s="1"/>
  <c r="U133" i="2" a="1"/>
  <c r="U133" i="2" s="1"/>
  <c r="T133" i="2" a="1"/>
  <c r="T133" i="2" s="1"/>
  <c r="S133" i="2" a="1"/>
  <c r="S133" i="2" s="1"/>
  <c r="R133" i="2" a="1"/>
  <c r="R133" i="2" s="1"/>
  <c r="Q133" i="2" a="1"/>
  <c r="Q133" i="2" s="1"/>
  <c r="P133" i="2" a="1"/>
  <c r="P133" i="2" s="1"/>
  <c r="O133" i="2" a="1"/>
  <c r="O133" i="2" s="1"/>
  <c r="M133" i="2" a="1"/>
  <c r="M133" i="2" s="1"/>
  <c r="K133" i="2" a="1"/>
  <c r="K133" i="2" s="1"/>
  <c r="J133" i="2" a="1"/>
  <c r="J133" i="2" s="1"/>
  <c r="H133" i="2" a="1"/>
  <c r="H133" i="2" s="1"/>
  <c r="F133" i="2" a="1"/>
  <c r="F133" i="2" s="1"/>
  <c r="D133" i="2" a="1"/>
  <c r="D133" i="2" s="1"/>
  <c r="E133" i="2" s="1"/>
  <c r="C133" i="2" a="1"/>
  <c r="C133" i="2" s="1"/>
  <c r="A133" i="2" a="1"/>
  <c r="A133" i="2" s="1"/>
  <c r="AC133" i="2" s="1"/>
  <c r="X132" i="2" a="1"/>
  <c r="X132" i="2" s="1"/>
  <c r="W132" i="2" a="1"/>
  <c r="W132" i="2" s="1"/>
  <c r="V132" i="2" a="1"/>
  <c r="V132" i="2" s="1"/>
  <c r="U132" i="2" a="1"/>
  <c r="U132" i="2" s="1"/>
  <c r="T132" i="2" a="1"/>
  <c r="T132" i="2" s="1"/>
  <c r="S132" i="2" a="1"/>
  <c r="S132" i="2" s="1"/>
  <c r="R132" i="2" a="1"/>
  <c r="R132" i="2" s="1"/>
  <c r="Q132" i="2" a="1"/>
  <c r="Q132" i="2" s="1"/>
  <c r="P132" i="2" a="1"/>
  <c r="P132" i="2" s="1"/>
  <c r="O132" i="2" a="1"/>
  <c r="O132" i="2" s="1"/>
  <c r="M132" i="2" a="1"/>
  <c r="M132" i="2" s="1"/>
  <c r="K132" i="2" a="1"/>
  <c r="K132" i="2" s="1"/>
  <c r="J132" i="2" a="1"/>
  <c r="J132" i="2" s="1"/>
  <c r="H132" i="2" a="1"/>
  <c r="H132" i="2" s="1"/>
  <c r="F132" i="2" a="1"/>
  <c r="F132" i="2" s="1"/>
  <c r="D132" i="2" a="1"/>
  <c r="D132" i="2" s="1"/>
  <c r="E132" i="2" s="1"/>
  <c r="C132" i="2" a="1"/>
  <c r="C132" i="2" s="1"/>
  <c r="A132" i="2" a="1"/>
  <c r="A132" i="2" s="1"/>
  <c r="X131" i="2" a="1"/>
  <c r="X131" i="2" s="1"/>
  <c r="W131" i="2" a="1"/>
  <c r="W131" i="2" s="1"/>
  <c r="V131" i="2" a="1"/>
  <c r="V131" i="2" s="1"/>
  <c r="U131" i="2" a="1"/>
  <c r="U131" i="2" s="1"/>
  <c r="T131" i="2" a="1"/>
  <c r="T131" i="2" s="1"/>
  <c r="S131" i="2" a="1"/>
  <c r="S131" i="2" s="1"/>
  <c r="R131" i="2" a="1"/>
  <c r="R131" i="2" s="1"/>
  <c r="Q131" i="2" a="1"/>
  <c r="Q131" i="2" s="1"/>
  <c r="P131" i="2" a="1"/>
  <c r="P131" i="2" s="1"/>
  <c r="O131" i="2" a="1"/>
  <c r="O131" i="2" s="1"/>
  <c r="M131" i="2" a="1"/>
  <c r="M131" i="2" s="1"/>
  <c r="K131" i="2" a="1"/>
  <c r="K131" i="2" s="1"/>
  <c r="J131" i="2" a="1"/>
  <c r="J131" i="2" s="1"/>
  <c r="H131" i="2" a="1"/>
  <c r="H131" i="2" s="1"/>
  <c r="F131" i="2" a="1"/>
  <c r="F131" i="2" s="1"/>
  <c r="D131" i="2" a="1"/>
  <c r="D131" i="2" s="1"/>
  <c r="E131" i="2" s="1"/>
  <c r="C131" i="2" a="1"/>
  <c r="C131" i="2" s="1"/>
  <c r="A131" i="2" a="1"/>
  <c r="A131" i="2" s="1"/>
  <c r="X130" i="2" a="1"/>
  <c r="X130" i="2" s="1"/>
  <c r="W130" i="2" a="1"/>
  <c r="W130" i="2" s="1"/>
  <c r="V130" i="2" a="1"/>
  <c r="V130" i="2" s="1"/>
  <c r="U130" i="2" a="1"/>
  <c r="U130" i="2" s="1"/>
  <c r="T130" i="2" a="1"/>
  <c r="T130" i="2" s="1"/>
  <c r="S130" i="2" a="1"/>
  <c r="S130" i="2" s="1"/>
  <c r="R130" i="2" a="1"/>
  <c r="R130" i="2" s="1"/>
  <c r="Q130" i="2" a="1"/>
  <c r="Q130" i="2" s="1"/>
  <c r="P130" i="2" a="1"/>
  <c r="P130" i="2" s="1"/>
  <c r="O130" i="2" a="1"/>
  <c r="O130" i="2" s="1"/>
  <c r="M130" i="2" a="1"/>
  <c r="M130" i="2" s="1"/>
  <c r="K130" i="2" a="1"/>
  <c r="K130" i="2" s="1"/>
  <c r="J130" i="2" a="1"/>
  <c r="J130" i="2" s="1"/>
  <c r="H130" i="2" a="1"/>
  <c r="H130" i="2" s="1"/>
  <c r="F130" i="2" a="1"/>
  <c r="F130" i="2" s="1"/>
  <c r="D130" i="2" a="1"/>
  <c r="D130" i="2" s="1"/>
  <c r="E130" i="2" s="1"/>
  <c r="C130" i="2" a="1"/>
  <c r="C130" i="2" s="1"/>
  <c r="A130" i="2" a="1"/>
  <c r="A130" i="2" s="1"/>
  <c r="AA130" i="2" s="1"/>
  <c r="X129" i="2" a="1"/>
  <c r="X129" i="2" s="1"/>
  <c r="W129" i="2" a="1"/>
  <c r="W129" i="2" s="1"/>
  <c r="V129" i="2" a="1"/>
  <c r="V129" i="2" s="1"/>
  <c r="U129" i="2" a="1"/>
  <c r="U129" i="2" s="1"/>
  <c r="T129" i="2" a="1"/>
  <c r="T129" i="2" s="1"/>
  <c r="S129" i="2" a="1"/>
  <c r="S129" i="2" s="1"/>
  <c r="R129" i="2" a="1"/>
  <c r="R129" i="2" s="1"/>
  <c r="Q129" i="2" a="1"/>
  <c r="Q129" i="2" s="1"/>
  <c r="P129" i="2" a="1"/>
  <c r="P129" i="2" s="1"/>
  <c r="O129" i="2" a="1"/>
  <c r="O129" i="2" s="1"/>
  <c r="M129" i="2" a="1"/>
  <c r="M129" i="2" s="1"/>
  <c r="K129" i="2" a="1"/>
  <c r="K129" i="2" s="1"/>
  <c r="J129" i="2" a="1"/>
  <c r="J129" i="2" s="1"/>
  <c r="H129" i="2" a="1"/>
  <c r="H129" i="2" s="1"/>
  <c r="F129" i="2" a="1"/>
  <c r="F129" i="2" s="1"/>
  <c r="D129" i="2" a="1"/>
  <c r="D129" i="2" s="1"/>
  <c r="E129" i="2" s="1"/>
  <c r="C129" i="2" a="1"/>
  <c r="C129" i="2" s="1"/>
  <c r="A129" i="2" a="1"/>
  <c r="A129" i="2" s="1"/>
  <c r="AD129" i="2" s="1"/>
  <c r="X128" i="2" a="1"/>
  <c r="X128" i="2" s="1"/>
  <c r="W128" i="2" a="1"/>
  <c r="W128" i="2" s="1"/>
  <c r="V128" i="2" a="1"/>
  <c r="V128" i="2" s="1"/>
  <c r="U128" i="2" a="1"/>
  <c r="U128" i="2" s="1"/>
  <c r="T128" i="2" a="1"/>
  <c r="T128" i="2" s="1"/>
  <c r="S128" i="2" a="1"/>
  <c r="S128" i="2" s="1"/>
  <c r="R128" i="2" a="1"/>
  <c r="R128" i="2" s="1"/>
  <c r="Q128" i="2" a="1"/>
  <c r="Q128" i="2" s="1"/>
  <c r="P128" i="2" a="1"/>
  <c r="P128" i="2" s="1"/>
  <c r="O128" i="2" a="1"/>
  <c r="O128" i="2" s="1"/>
  <c r="M128" i="2" a="1"/>
  <c r="M128" i="2" s="1"/>
  <c r="K128" i="2" a="1"/>
  <c r="K128" i="2" s="1"/>
  <c r="J128" i="2" a="1"/>
  <c r="J128" i="2" s="1"/>
  <c r="H128" i="2" a="1"/>
  <c r="H128" i="2" s="1"/>
  <c r="F128" i="2" a="1"/>
  <c r="F128" i="2" s="1"/>
  <c r="D128" i="2" a="1"/>
  <c r="D128" i="2" s="1"/>
  <c r="E128" i="2" s="1"/>
  <c r="C128" i="2" a="1"/>
  <c r="C128" i="2" s="1"/>
  <c r="A128" i="2" a="1"/>
  <c r="A128" i="2" s="1"/>
  <c r="X127" i="2" a="1"/>
  <c r="X127" i="2" s="1"/>
  <c r="W127" i="2" a="1"/>
  <c r="W127" i="2" s="1"/>
  <c r="V127" i="2" a="1"/>
  <c r="V127" i="2" s="1"/>
  <c r="U127" i="2" a="1"/>
  <c r="U127" i="2" s="1"/>
  <c r="T127" i="2" a="1"/>
  <c r="T127" i="2" s="1"/>
  <c r="S127" i="2" a="1"/>
  <c r="S127" i="2" s="1"/>
  <c r="R127" i="2" a="1"/>
  <c r="R127" i="2" s="1"/>
  <c r="Q127" i="2" a="1"/>
  <c r="Q127" i="2" s="1"/>
  <c r="P127" i="2" a="1"/>
  <c r="P127" i="2" s="1"/>
  <c r="O127" i="2" a="1"/>
  <c r="O127" i="2" s="1"/>
  <c r="M127" i="2" a="1"/>
  <c r="M127" i="2" s="1"/>
  <c r="K127" i="2" a="1"/>
  <c r="K127" i="2" s="1"/>
  <c r="J127" i="2" a="1"/>
  <c r="J127" i="2" s="1"/>
  <c r="H127" i="2" a="1"/>
  <c r="H127" i="2" s="1"/>
  <c r="F127" i="2" a="1"/>
  <c r="F127" i="2" s="1"/>
  <c r="D127" i="2" a="1"/>
  <c r="D127" i="2" s="1"/>
  <c r="E127" i="2" s="1"/>
  <c r="C127" i="2" a="1"/>
  <c r="C127" i="2" s="1"/>
  <c r="A127" i="2" a="1"/>
  <c r="A127" i="2" s="1"/>
  <c r="X126" i="2" a="1"/>
  <c r="X126" i="2" s="1"/>
  <c r="W126" i="2" a="1"/>
  <c r="W126" i="2" s="1"/>
  <c r="V126" i="2" a="1"/>
  <c r="V126" i="2" s="1"/>
  <c r="U126" i="2" a="1"/>
  <c r="U126" i="2" s="1"/>
  <c r="T126" i="2" a="1"/>
  <c r="T126" i="2" s="1"/>
  <c r="S126" i="2" a="1"/>
  <c r="S126" i="2" s="1"/>
  <c r="R126" i="2" a="1"/>
  <c r="R126" i="2" s="1"/>
  <c r="Q126" i="2" a="1"/>
  <c r="Q126" i="2" s="1"/>
  <c r="P126" i="2" a="1"/>
  <c r="P126" i="2" s="1"/>
  <c r="O126" i="2" a="1"/>
  <c r="O126" i="2" s="1"/>
  <c r="M126" i="2" a="1"/>
  <c r="M126" i="2" s="1"/>
  <c r="K126" i="2" a="1"/>
  <c r="K126" i="2" s="1"/>
  <c r="J126" i="2" a="1"/>
  <c r="J126" i="2" s="1"/>
  <c r="H126" i="2" a="1"/>
  <c r="H126" i="2" s="1"/>
  <c r="F126" i="2" a="1"/>
  <c r="F126" i="2" s="1"/>
  <c r="D126" i="2" a="1"/>
  <c r="D126" i="2" s="1"/>
  <c r="E126" i="2" s="1"/>
  <c r="C126" i="2" a="1"/>
  <c r="C126" i="2" s="1"/>
  <c r="A126" i="2" a="1"/>
  <c r="A126" i="2" s="1"/>
  <c r="X125" i="2" a="1"/>
  <c r="X125" i="2" s="1"/>
  <c r="W125" i="2" a="1"/>
  <c r="W125" i="2" s="1"/>
  <c r="V125" i="2" a="1"/>
  <c r="V125" i="2" s="1"/>
  <c r="U125" i="2" a="1"/>
  <c r="U125" i="2" s="1"/>
  <c r="T125" i="2" a="1"/>
  <c r="T125" i="2" s="1"/>
  <c r="S125" i="2" a="1"/>
  <c r="S125" i="2" s="1"/>
  <c r="R125" i="2" a="1"/>
  <c r="R125" i="2" s="1"/>
  <c r="Q125" i="2" a="1"/>
  <c r="Q125" i="2" s="1"/>
  <c r="P125" i="2" a="1"/>
  <c r="P125" i="2" s="1"/>
  <c r="O125" i="2" a="1"/>
  <c r="O125" i="2" s="1"/>
  <c r="M125" i="2" a="1"/>
  <c r="M125" i="2" s="1"/>
  <c r="K125" i="2" a="1"/>
  <c r="K125" i="2" s="1"/>
  <c r="J125" i="2" a="1"/>
  <c r="J125" i="2" s="1"/>
  <c r="H125" i="2" a="1"/>
  <c r="H125" i="2" s="1"/>
  <c r="F125" i="2" a="1"/>
  <c r="F125" i="2" s="1"/>
  <c r="D125" i="2" a="1"/>
  <c r="D125" i="2" s="1"/>
  <c r="E125" i="2" s="1"/>
  <c r="C125" i="2" a="1"/>
  <c r="C125" i="2" s="1"/>
  <c r="A125" i="2" a="1"/>
  <c r="A125" i="2" s="1"/>
  <c r="X124" i="2" a="1"/>
  <c r="X124" i="2" s="1"/>
  <c r="W124" i="2" a="1"/>
  <c r="W124" i="2" s="1"/>
  <c r="V124" i="2" a="1"/>
  <c r="V124" i="2" s="1"/>
  <c r="U124" i="2" a="1"/>
  <c r="U124" i="2" s="1"/>
  <c r="T124" i="2" a="1"/>
  <c r="T124" i="2" s="1"/>
  <c r="S124" i="2" a="1"/>
  <c r="S124" i="2" s="1"/>
  <c r="R124" i="2" a="1"/>
  <c r="R124" i="2" s="1"/>
  <c r="Q124" i="2" a="1"/>
  <c r="Q124" i="2" s="1"/>
  <c r="P124" i="2" a="1"/>
  <c r="P124" i="2" s="1"/>
  <c r="O124" i="2" a="1"/>
  <c r="O124" i="2" s="1"/>
  <c r="M124" i="2" a="1"/>
  <c r="M124" i="2" s="1"/>
  <c r="K124" i="2" a="1"/>
  <c r="K124" i="2" s="1"/>
  <c r="J124" i="2" a="1"/>
  <c r="J124" i="2" s="1"/>
  <c r="H124" i="2" a="1"/>
  <c r="H124" i="2" s="1"/>
  <c r="F124" i="2" a="1"/>
  <c r="F124" i="2" s="1"/>
  <c r="D124" i="2" a="1"/>
  <c r="D124" i="2" s="1"/>
  <c r="E124" i="2" s="1"/>
  <c r="C124" i="2" a="1"/>
  <c r="C124" i="2" s="1"/>
  <c r="A124" i="2" a="1"/>
  <c r="A124" i="2" s="1"/>
  <c r="AC124" i="2" s="1"/>
  <c r="X123" i="2" a="1"/>
  <c r="X123" i="2" s="1"/>
  <c r="W123" i="2" a="1"/>
  <c r="W123" i="2" s="1"/>
  <c r="V123" i="2" a="1"/>
  <c r="V123" i="2" s="1"/>
  <c r="U123" i="2" a="1"/>
  <c r="U123" i="2" s="1"/>
  <c r="T123" i="2" a="1"/>
  <c r="T123" i="2" s="1"/>
  <c r="S123" i="2" a="1"/>
  <c r="S123" i="2" s="1"/>
  <c r="R123" i="2" a="1"/>
  <c r="R123" i="2" s="1"/>
  <c r="Q123" i="2" a="1"/>
  <c r="Q123" i="2" s="1"/>
  <c r="P123" i="2" a="1"/>
  <c r="P123" i="2" s="1"/>
  <c r="O123" i="2" a="1"/>
  <c r="O123" i="2" s="1"/>
  <c r="M123" i="2" a="1"/>
  <c r="M123" i="2" s="1"/>
  <c r="K123" i="2" a="1"/>
  <c r="K123" i="2" s="1"/>
  <c r="J123" i="2" a="1"/>
  <c r="J123" i="2" s="1"/>
  <c r="H123" i="2" a="1"/>
  <c r="H123" i="2" s="1"/>
  <c r="F123" i="2" a="1"/>
  <c r="F123" i="2" s="1"/>
  <c r="D123" i="2" a="1"/>
  <c r="D123" i="2" s="1"/>
  <c r="E123" i="2" s="1"/>
  <c r="C123" i="2" a="1"/>
  <c r="C123" i="2" s="1"/>
  <c r="A123" i="2" a="1"/>
  <c r="A123" i="2" s="1"/>
  <c r="X122" i="2" a="1"/>
  <c r="X122" i="2" s="1"/>
  <c r="W122" i="2" a="1"/>
  <c r="W122" i="2" s="1"/>
  <c r="V122" i="2" a="1"/>
  <c r="V122" i="2" s="1"/>
  <c r="U122" i="2" a="1"/>
  <c r="U122" i="2" s="1"/>
  <c r="T122" i="2" a="1"/>
  <c r="T122" i="2" s="1"/>
  <c r="S122" i="2" a="1"/>
  <c r="S122" i="2" s="1"/>
  <c r="R122" i="2" a="1"/>
  <c r="R122" i="2" s="1"/>
  <c r="Q122" i="2" a="1"/>
  <c r="Q122" i="2" s="1"/>
  <c r="P122" i="2" a="1"/>
  <c r="P122" i="2" s="1"/>
  <c r="O122" i="2" a="1"/>
  <c r="O122" i="2" s="1"/>
  <c r="M122" i="2" a="1"/>
  <c r="M122" i="2" s="1"/>
  <c r="K122" i="2" a="1"/>
  <c r="K122" i="2" s="1"/>
  <c r="J122" i="2" a="1"/>
  <c r="J122" i="2" s="1"/>
  <c r="H122" i="2" a="1"/>
  <c r="H122" i="2" s="1"/>
  <c r="F122" i="2" a="1"/>
  <c r="F122" i="2" s="1"/>
  <c r="D122" i="2" a="1"/>
  <c r="D122" i="2" s="1"/>
  <c r="E122" i="2" s="1"/>
  <c r="C122" i="2" a="1"/>
  <c r="C122" i="2" s="1"/>
  <c r="A122" i="2" a="1"/>
  <c r="A122" i="2" s="1"/>
  <c r="AC122" i="2" s="1"/>
  <c r="X121" i="2" a="1"/>
  <c r="X121" i="2" s="1"/>
  <c r="W121" i="2" a="1"/>
  <c r="W121" i="2" s="1"/>
  <c r="V121" i="2" a="1"/>
  <c r="V121" i="2" s="1"/>
  <c r="U121" i="2" a="1"/>
  <c r="U121" i="2" s="1"/>
  <c r="T121" i="2" a="1"/>
  <c r="T121" i="2" s="1"/>
  <c r="S121" i="2" a="1"/>
  <c r="S121" i="2" s="1"/>
  <c r="R121" i="2" a="1"/>
  <c r="R121" i="2" s="1"/>
  <c r="Q121" i="2" a="1"/>
  <c r="Q121" i="2" s="1"/>
  <c r="P121" i="2" a="1"/>
  <c r="P121" i="2" s="1"/>
  <c r="O121" i="2" a="1"/>
  <c r="O121" i="2" s="1"/>
  <c r="M121" i="2" a="1"/>
  <c r="M121" i="2" s="1"/>
  <c r="K121" i="2" a="1"/>
  <c r="K121" i="2" s="1"/>
  <c r="J121" i="2" a="1"/>
  <c r="J121" i="2" s="1"/>
  <c r="H121" i="2" a="1"/>
  <c r="H121" i="2" s="1"/>
  <c r="F121" i="2" a="1"/>
  <c r="F121" i="2" s="1"/>
  <c r="D121" i="2" a="1"/>
  <c r="D121" i="2" s="1"/>
  <c r="E121" i="2" s="1"/>
  <c r="C121" i="2" a="1"/>
  <c r="C121" i="2" s="1"/>
  <c r="A121" i="2" a="1"/>
  <c r="A121" i="2" s="1"/>
  <c r="X120" i="2" a="1"/>
  <c r="X120" i="2" s="1"/>
  <c r="W120" i="2" a="1"/>
  <c r="W120" i="2" s="1"/>
  <c r="V120" i="2" a="1"/>
  <c r="V120" i="2" s="1"/>
  <c r="U120" i="2" a="1"/>
  <c r="U120" i="2" s="1"/>
  <c r="T120" i="2" a="1"/>
  <c r="T120" i="2" s="1"/>
  <c r="S120" i="2" a="1"/>
  <c r="S120" i="2" s="1"/>
  <c r="R120" i="2" a="1"/>
  <c r="R120" i="2" s="1"/>
  <c r="Q120" i="2" a="1"/>
  <c r="Q120" i="2" s="1"/>
  <c r="P120" i="2" a="1"/>
  <c r="P120" i="2" s="1"/>
  <c r="O120" i="2" a="1"/>
  <c r="O120" i="2" s="1"/>
  <c r="M120" i="2" a="1"/>
  <c r="M120" i="2" s="1"/>
  <c r="K120" i="2" a="1"/>
  <c r="K120" i="2" s="1"/>
  <c r="J120" i="2" a="1"/>
  <c r="J120" i="2" s="1"/>
  <c r="H120" i="2" a="1"/>
  <c r="H120" i="2" s="1"/>
  <c r="F120" i="2" a="1"/>
  <c r="F120" i="2" s="1"/>
  <c r="D120" i="2" a="1"/>
  <c r="D120" i="2" s="1"/>
  <c r="E120" i="2" s="1"/>
  <c r="C120" i="2" a="1"/>
  <c r="C120" i="2" s="1"/>
  <c r="A120" i="2" a="1"/>
  <c r="A120" i="2" s="1"/>
  <c r="X119" i="2" a="1"/>
  <c r="X119" i="2" s="1"/>
  <c r="W119" i="2" a="1"/>
  <c r="W119" i="2" s="1"/>
  <c r="V119" i="2" a="1"/>
  <c r="V119" i="2" s="1"/>
  <c r="U119" i="2" a="1"/>
  <c r="U119" i="2" s="1"/>
  <c r="T119" i="2" a="1"/>
  <c r="T119" i="2" s="1"/>
  <c r="S119" i="2" a="1"/>
  <c r="S119" i="2" s="1"/>
  <c r="R119" i="2" a="1"/>
  <c r="R119" i="2" s="1"/>
  <c r="Q119" i="2" a="1"/>
  <c r="Q119" i="2" s="1"/>
  <c r="P119" i="2" a="1"/>
  <c r="P119" i="2" s="1"/>
  <c r="O119" i="2" a="1"/>
  <c r="O119" i="2" s="1"/>
  <c r="M119" i="2" a="1"/>
  <c r="M119" i="2" s="1"/>
  <c r="K119" i="2" a="1"/>
  <c r="K119" i="2" s="1"/>
  <c r="J119" i="2" a="1"/>
  <c r="J119" i="2" s="1"/>
  <c r="H119" i="2" a="1"/>
  <c r="H119" i="2" s="1"/>
  <c r="F119" i="2" a="1"/>
  <c r="F119" i="2" s="1"/>
  <c r="D119" i="2" a="1"/>
  <c r="D119" i="2" s="1"/>
  <c r="E119" i="2" s="1"/>
  <c r="C119" i="2" a="1"/>
  <c r="C119" i="2" s="1"/>
  <c r="A119" i="2" a="1"/>
  <c r="A119" i="2" s="1"/>
  <c r="X118" i="2" a="1"/>
  <c r="X118" i="2" s="1"/>
  <c r="W118" i="2" a="1"/>
  <c r="W118" i="2" s="1"/>
  <c r="V118" i="2" a="1"/>
  <c r="V118" i="2" s="1"/>
  <c r="U118" i="2" a="1"/>
  <c r="U118" i="2" s="1"/>
  <c r="T118" i="2" a="1"/>
  <c r="T118" i="2" s="1"/>
  <c r="S118" i="2" a="1"/>
  <c r="S118" i="2" s="1"/>
  <c r="R118" i="2" a="1"/>
  <c r="R118" i="2" s="1"/>
  <c r="Q118" i="2" a="1"/>
  <c r="Q118" i="2" s="1"/>
  <c r="P118" i="2" a="1"/>
  <c r="P118" i="2" s="1"/>
  <c r="O118" i="2" a="1"/>
  <c r="O118" i="2" s="1"/>
  <c r="M118" i="2" a="1"/>
  <c r="M118" i="2" s="1"/>
  <c r="K118" i="2" a="1"/>
  <c r="K118" i="2" s="1"/>
  <c r="J118" i="2" a="1"/>
  <c r="J118" i="2" s="1"/>
  <c r="H118" i="2" a="1"/>
  <c r="H118" i="2" s="1"/>
  <c r="F118" i="2" a="1"/>
  <c r="F118" i="2" s="1"/>
  <c r="D118" i="2" a="1"/>
  <c r="D118" i="2" s="1"/>
  <c r="E118" i="2" s="1"/>
  <c r="C118" i="2" a="1"/>
  <c r="C118" i="2" s="1"/>
  <c r="A118" i="2" a="1"/>
  <c r="A118" i="2" s="1"/>
  <c r="AA118" i="2" s="1"/>
  <c r="X117" i="2" a="1"/>
  <c r="X117" i="2" s="1"/>
  <c r="W117" i="2" a="1"/>
  <c r="W117" i="2" s="1"/>
  <c r="V117" i="2" a="1"/>
  <c r="V117" i="2" s="1"/>
  <c r="U117" i="2" a="1"/>
  <c r="U117" i="2" s="1"/>
  <c r="T117" i="2" a="1"/>
  <c r="T117" i="2" s="1"/>
  <c r="S117" i="2" a="1"/>
  <c r="S117" i="2" s="1"/>
  <c r="R117" i="2" a="1"/>
  <c r="R117" i="2" s="1"/>
  <c r="Q117" i="2" a="1"/>
  <c r="Q117" i="2" s="1"/>
  <c r="P117" i="2" a="1"/>
  <c r="P117" i="2" s="1"/>
  <c r="O117" i="2" a="1"/>
  <c r="O117" i="2" s="1"/>
  <c r="M117" i="2" a="1"/>
  <c r="M117" i="2" s="1"/>
  <c r="K117" i="2" a="1"/>
  <c r="K117" i="2" s="1"/>
  <c r="J117" i="2" a="1"/>
  <c r="J117" i="2" s="1"/>
  <c r="H117" i="2" a="1"/>
  <c r="H117" i="2" s="1"/>
  <c r="F117" i="2" a="1"/>
  <c r="F117" i="2" s="1"/>
  <c r="D117" i="2" a="1"/>
  <c r="D117" i="2" s="1"/>
  <c r="E117" i="2" s="1"/>
  <c r="C117" i="2" a="1"/>
  <c r="C117" i="2" s="1"/>
  <c r="A117" i="2" a="1"/>
  <c r="A117" i="2" s="1"/>
  <c r="X116" i="2" a="1"/>
  <c r="X116" i="2" s="1"/>
  <c r="W116" i="2" a="1"/>
  <c r="W116" i="2" s="1"/>
  <c r="V116" i="2" a="1"/>
  <c r="V116" i="2" s="1"/>
  <c r="U116" i="2" a="1"/>
  <c r="U116" i="2" s="1"/>
  <c r="T116" i="2" a="1"/>
  <c r="T116" i="2" s="1"/>
  <c r="S116" i="2" a="1"/>
  <c r="S116" i="2" s="1"/>
  <c r="R116" i="2" a="1"/>
  <c r="R116" i="2" s="1"/>
  <c r="Q116" i="2" a="1"/>
  <c r="Q116" i="2" s="1"/>
  <c r="P116" i="2" a="1"/>
  <c r="P116" i="2" s="1"/>
  <c r="O116" i="2" a="1"/>
  <c r="O116" i="2" s="1"/>
  <c r="M116" i="2" a="1"/>
  <c r="M116" i="2" s="1"/>
  <c r="K116" i="2" a="1"/>
  <c r="K116" i="2" s="1"/>
  <c r="J116" i="2" a="1"/>
  <c r="J116" i="2" s="1"/>
  <c r="H116" i="2" a="1"/>
  <c r="H116" i="2" s="1"/>
  <c r="F116" i="2" a="1"/>
  <c r="F116" i="2" s="1"/>
  <c r="D116" i="2" a="1"/>
  <c r="D116" i="2" s="1"/>
  <c r="E116" i="2" s="1"/>
  <c r="C116" i="2" a="1"/>
  <c r="C116" i="2" s="1"/>
  <c r="A116" i="2" a="1"/>
  <c r="A116" i="2" s="1"/>
  <c r="AC116" i="2" s="1"/>
  <c r="X115" i="2" a="1"/>
  <c r="X115" i="2" s="1"/>
  <c r="W115" i="2" a="1"/>
  <c r="W115" i="2" s="1"/>
  <c r="V115" i="2" a="1"/>
  <c r="V115" i="2" s="1"/>
  <c r="U115" i="2" a="1"/>
  <c r="U115" i="2" s="1"/>
  <c r="T115" i="2" a="1"/>
  <c r="T115" i="2" s="1"/>
  <c r="S115" i="2" a="1"/>
  <c r="S115" i="2" s="1"/>
  <c r="R115" i="2" a="1"/>
  <c r="R115" i="2" s="1"/>
  <c r="Q115" i="2" a="1"/>
  <c r="Q115" i="2" s="1"/>
  <c r="P115" i="2" a="1"/>
  <c r="P115" i="2" s="1"/>
  <c r="O115" i="2" a="1"/>
  <c r="O115" i="2" s="1"/>
  <c r="M115" i="2" a="1"/>
  <c r="M115" i="2" s="1"/>
  <c r="K115" i="2" a="1"/>
  <c r="K115" i="2" s="1"/>
  <c r="J115" i="2" a="1"/>
  <c r="J115" i="2" s="1"/>
  <c r="H115" i="2" a="1"/>
  <c r="H115" i="2" s="1"/>
  <c r="F115" i="2" a="1"/>
  <c r="F115" i="2" s="1"/>
  <c r="D115" i="2" a="1"/>
  <c r="D115" i="2" s="1"/>
  <c r="E115" i="2" s="1"/>
  <c r="C115" i="2" a="1"/>
  <c r="C115" i="2" s="1"/>
  <c r="A115" i="2" a="1"/>
  <c r="A115" i="2" s="1"/>
  <c r="X114" i="2" a="1"/>
  <c r="X114" i="2" s="1"/>
  <c r="W114" i="2" a="1"/>
  <c r="W114" i="2" s="1"/>
  <c r="V114" i="2" a="1"/>
  <c r="V114" i="2" s="1"/>
  <c r="U114" i="2" a="1"/>
  <c r="U114" i="2" s="1"/>
  <c r="T114" i="2" a="1"/>
  <c r="T114" i="2" s="1"/>
  <c r="S114" i="2" a="1"/>
  <c r="S114" i="2" s="1"/>
  <c r="R114" i="2" a="1"/>
  <c r="R114" i="2" s="1"/>
  <c r="Q114" i="2" a="1"/>
  <c r="Q114" i="2" s="1"/>
  <c r="P114" i="2" a="1"/>
  <c r="P114" i="2" s="1"/>
  <c r="O114" i="2" a="1"/>
  <c r="O114" i="2" s="1"/>
  <c r="M114" i="2" a="1"/>
  <c r="M114" i="2" s="1"/>
  <c r="K114" i="2" a="1"/>
  <c r="K114" i="2" s="1"/>
  <c r="J114" i="2" a="1"/>
  <c r="J114" i="2" s="1"/>
  <c r="H114" i="2" a="1"/>
  <c r="H114" i="2" s="1"/>
  <c r="F114" i="2" a="1"/>
  <c r="F114" i="2" s="1"/>
  <c r="D114" i="2" a="1"/>
  <c r="D114" i="2" s="1"/>
  <c r="E114" i="2" s="1"/>
  <c r="C114" i="2" a="1"/>
  <c r="C114" i="2" s="1"/>
  <c r="A114" i="2" a="1"/>
  <c r="A114" i="2" s="1"/>
  <c r="X113" i="2" a="1"/>
  <c r="X113" i="2" s="1"/>
  <c r="W113" i="2" a="1"/>
  <c r="W113" i="2" s="1"/>
  <c r="V113" i="2" a="1"/>
  <c r="V113" i="2" s="1"/>
  <c r="U113" i="2" a="1"/>
  <c r="U113" i="2" s="1"/>
  <c r="T113" i="2" a="1"/>
  <c r="T113" i="2" s="1"/>
  <c r="S113" i="2" a="1"/>
  <c r="S113" i="2" s="1"/>
  <c r="R113" i="2" a="1"/>
  <c r="R113" i="2" s="1"/>
  <c r="Q113" i="2" a="1"/>
  <c r="Q113" i="2" s="1"/>
  <c r="P113" i="2" a="1"/>
  <c r="P113" i="2" s="1"/>
  <c r="O113" i="2" a="1"/>
  <c r="O113" i="2" s="1"/>
  <c r="M113" i="2" a="1"/>
  <c r="M113" i="2" s="1"/>
  <c r="K113" i="2" a="1"/>
  <c r="K113" i="2" s="1"/>
  <c r="J113" i="2" a="1"/>
  <c r="J113" i="2" s="1"/>
  <c r="H113" i="2" a="1"/>
  <c r="H113" i="2" s="1"/>
  <c r="F113" i="2" a="1"/>
  <c r="F113" i="2" s="1"/>
  <c r="D113" i="2" a="1"/>
  <c r="D113" i="2" s="1"/>
  <c r="E113" i="2" s="1"/>
  <c r="C113" i="2" a="1"/>
  <c r="C113" i="2" s="1"/>
  <c r="A113" i="2" a="1"/>
  <c r="A113" i="2" s="1"/>
  <c r="X112" i="2" a="1"/>
  <c r="X112" i="2" s="1"/>
  <c r="W112" i="2" a="1"/>
  <c r="W112" i="2" s="1"/>
  <c r="V112" i="2" a="1"/>
  <c r="V112" i="2" s="1"/>
  <c r="U112" i="2" a="1"/>
  <c r="U112" i="2" s="1"/>
  <c r="T112" i="2" a="1"/>
  <c r="T112" i="2" s="1"/>
  <c r="S112" i="2" a="1"/>
  <c r="S112" i="2" s="1"/>
  <c r="R112" i="2" a="1"/>
  <c r="R112" i="2" s="1"/>
  <c r="Q112" i="2" a="1"/>
  <c r="Q112" i="2" s="1"/>
  <c r="P112" i="2" a="1"/>
  <c r="P112" i="2" s="1"/>
  <c r="O112" i="2" a="1"/>
  <c r="O112" i="2" s="1"/>
  <c r="M112" i="2" a="1"/>
  <c r="M112" i="2" s="1"/>
  <c r="K112" i="2" a="1"/>
  <c r="K112" i="2" s="1"/>
  <c r="J112" i="2" a="1"/>
  <c r="J112" i="2" s="1"/>
  <c r="H112" i="2" a="1"/>
  <c r="H112" i="2" s="1"/>
  <c r="F112" i="2" a="1"/>
  <c r="F112" i="2" s="1"/>
  <c r="D112" i="2" a="1"/>
  <c r="D112" i="2" s="1"/>
  <c r="E112" i="2" s="1"/>
  <c r="C112" i="2" a="1"/>
  <c r="C112" i="2" s="1"/>
  <c r="A112" i="2" a="1"/>
  <c r="A112" i="2" s="1"/>
  <c r="X111" i="2" a="1"/>
  <c r="X111" i="2" s="1"/>
  <c r="W111" i="2" a="1"/>
  <c r="W111" i="2" s="1"/>
  <c r="V111" i="2" a="1"/>
  <c r="V111" i="2" s="1"/>
  <c r="U111" i="2" a="1"/>
  <c r="U111" i="2" s="1"/>
  <c r="T111" i="2" a="1"/>
  <c r="T111" i="2" s="1"/>
  <c r="S111" i="2" a="1"/>
  <c r="S111" i="2" s="1"/>
  <c r="R111" i="2" a="1"/>
  <c r="R111" i="2" s="1"/>
  <c r="Q111" i="2" a="1"/>
  <c r="Q111" i="2" s="1"/>
  <c r="P111" i="2" a="1"/>
  <c r="P111" i="2" s="1"/>
  <c r="O111" i="2" a="1"/>
  <c r="O111" i="2" s="1"/>
  <c r="M111" i="2" a="1"/>
  <c r="M111" i="2" s="1"/>
  <c r="K111" i="2" a="1"/>
  <c r="K111" i="2" s="1"/>
  <c r="J111" i="2" a="1"/>
  <c r="J111" i="2" s="1"/>
  <c r="H111" i="2" a="1"/>
  <c r="H111" i="2" s="1"/>
  <c r="F111" i="2" a="1"/>
  <c r="F111" i="2" s="1"/>
  <c r="D111" i="2" a="1"/>
  <c r="D111" i="2" s="1"/>
  <c r="E111" i="2" s="1"/>
  <c r="C111" i="2" a="1"/>
  <c r="C111" i="2" s="1"/>
  <c r="A111" i="2" a="1"/>
  <c r="A111" i="2" s="1"/>
  <c r="X110" i="2" a="1"/>
  <c r="X110" i="2" s="1"/>
  <c r="W110" i="2" a="1"/>
  <c r="W110" i="2" s="1"/>
  <c r="V110" i="2" a="1"/>
  <c r="V110" i="2" s="1"/>
  <c r="U110" i="2" a="1"/>
  <c r="U110" i="2" s="1"/>
  <c r="T110" i="2" a="1"/>
  <c r="T110" i="2" s="1"/>
  <c r="S110" i="2" a="1"/>
  <c r="S110" i="2" s="1"/>
  <c r="R110" i="2" a="1"/>
  <c r="R110" i="2" s="1"/>
  <c r="Q110" i="2" a="1"/>
  <c r="Q110" i="2" s="1"/>
  <c r="P110" i="2" a="1"/>
  <c r="P110" i="2" s="1"/>
  <c r="O110" i="2" a="1"/>
  <c r="O110" i="2" s="1"/>
  <c r="M110" i="2" a="1"/>
  <c r="M110" i="2" s="1"/>
  <c r="K110" i="2" a="1"/>
  <c r="K110" i="2" s="1"/>
  <c r="J110" i="2" a="1"/>
  <c r="J110" i="2" s="1"/>
  <c r="H110" i="2" a="1"/>
  <c r="H110" i="2" s="1"/>
  <c r="F110" i="2" a="1"/>
  <c r="F110" i="2" s="1"/>
  <c r="D110" i="2" a="1"/>
  <c r="D110" i="2" s="1"/>
  <c r="E110" i="2" s="1"/>
  <c r="C110" i="2" a="1"/>
  <c r="C110" i="2" s="1"/>
  <c r="A110" i="2" a="1"/>
  <c r="A110" i="2" s="1"/>
  <c r="X109" i="2" a="1"/>
  <c r="X109" i="2" s="1"/>
  <c r="W109" i="2" a="1"/>
  <c r="W109" i="2" s="1"/>
  <c r="V109" i="2" a="1"/>
  <c r="V109" i="2" s="1"/>
  <c r="U109" i="2" a="1"/>
  <c r="U109" i="2" s="1"/>
  <c r="T109" i="2" a="1"/>
  <c r="T109" i="2" s="1"/>
  <c r="S109" i="2" a="1"/>
  <c r="S109" i="2" s="1"/>
  <c r="R109" i="2" a="1"/>
  <c r="R109" i="2" s="1"/>
  <c r="Q109" i="2" a="1"/>
  <c r="Q109" i="2" s="1"/>
  <c r="P109" i="2" a="1"/>
  <c r="P109" i="2" s="1"/>
  <c r="O109" i="2" a="1"/>
  <c r="O109" i="2" s="1"/>
  <c r="M109" i="2" a="1"/>
  <c r="M109" i="2" s="1"/>
  <c r="K109" i="2" a="1"/>
  <c r="K109" i="2" s="1"/>
  <c r="J109" i="2" a="1"/>
  <c r="J109" i="2" s="1"/>
  <c r="H109" i="2" a="1"/>
  <c r="H109" i="2" s="1"/>
  <c r="F109" i="2" a="1"/>
  <c r="F109" i="2" s="1"/>
  <c r="D109" i="2" a="1"/>
  <c r="D109" i="2" s="1"/>
  <c r="E109" i="2" s="1"/>
  <c r="C109" i="2" a="1"/>
  <c r="C109" i="2" s="1"/>
  <c r="A109" i="2" a="1"/>
  <c r="A109" i="2" s="1"/>
  <c r="X108" i="2" a="1"/>
  <c r="X108" i="2" s="1"/>
  <c r="W108" i="2" a="1"/>
  <c r="W108" i="2" s="1"/>
  <c r="V108" i="2" a="1"/>
  <c r="V108" i="2" s="1"/>
  <c r="U108" i="2" a="1"/>
  <c r="U108" i="2" s="1"/>
  <c r="T108" i="2" a="1"/>
  <c r="T108" i="2" s="1"/>
  <c r="S108" i="2" a="1"/>
  <c r="S108" i="2" s="1"/>
  <c r="R108" i="2" a="1"/>
  <c r="R108" i="2" s="1"/>
  <c r="Q108" i="2" a="1"/>
  <c r="Q108" i="2" s="1"/>
  <c r="P108" i="2" a="1"/>
  <c r="P108" i="2" s="1"/>
  <c r="O108" i="2" a="1"/>
  <c r="O108" i="2" s="1"/>
  <c r="M108" i="2" a="1"/>
  <c r="M108" i="2" s="1"/>
  <c r="K108" i="2" a="1"/>
  <c r="K108" i="2" s="1"/>
  <c r="J108" i="2" a="1"/>
  <c r="J108" i="2" s="1"/>
  <c r="H108" i="2" a="1"/>
  <c r="H108" i="2" s="1"/>
  <c r="F108" i="2" a="1"/>
  <c r="F108" i="2" s="1"/>
  <c r="D108" i="2" a="1"/>
  <c r="D108" i="2" s="1"/>
  <c r="E108" i="2" s="1"/>
  <c r="C108" i="2" a="1"/>
  <c r="C108" i="2" s="1"/>
  <c r="A108" i="2" a="1"/>
  <c r="A108" i="2" s="1"/>
  <c r="X107" i="2" a="1"/>
  <c r="X107" i="2" s="1"/>
  <c r="W107" i="2" a="1"/>
  <c r="W107" i="2" s="1"/>
  <c r="V107" i="2" a="1"/>
  <c r="V107" i="2" s="1"/>
  <c r="U107" i="2" a="1"/>
  <c r="U107" i="2" s="1"/>
  <c r="T107" i="2" a="1"/>
  <c r="T107" i="2" s="1"/>
  <c r="S107" i="2" a="1"/>
  <c r="S107" i="2" s="1"/>
  <c r="R107" i="2" a="1"/>
  <c r="R107" i="2" s="1"/>
  <c r="Q107" i="2" a="1"/>
  <c r="Q107" i="2" s="1"/>
  <c r="P107" i="2" a="1"/>
  <c r="P107" i="2" s="1"/>
  <c r="O107" i="2" a="1"/>
  <c r="O107" i="2" s="1"/>
  <c r="M107" i="2" a="1"/>
  <c r="M107" i="2" s="1"/>
  <c r="K107" i="2" a="1"/>
  <c r="K107" i="2" s="1"/>
  <c r="J107" i="2" a="1"/>
  <c r="J107" i="2" s="1"/>
  <c r="H107" i="2" a="1"/>
  <c r="H107" i="2" s="1"/>
  <c r="F107" i="2" a="1"/>
  <c r="F107" i="2" s="1"/>
  <c r="D107" i="2" a="1"/>
  <c r="D107" i="2" s="1"/>
  <c r="E107" i="2" s="1"/>
  <c r="C107" i="2" a="1"/>
  <c r="C107" i="2" s="1"/>
  <c r="A107" i="2" a="1"/>
  <c r="A107" i="2" s="1"/>
  <c r="X106" i="2" a="1"/>
  <c r="X106" i="2" s="1"/>
  <c r="W106" i="2" a="1"/>
  <c r="W106" i="2" s="1"/>
  <c r="V106" i="2" a="1"/>
  <c r="V106" i="2" s="1"/>
  <c r="U106" i="2" a="1"/>
  <c r="U106" i="2" s="1"/>
  <c r="T106" i="2" a="1"/>
  <c r="T106" i="2" s="1"/>
  <c r="S106" i="2" a="1"/>
  <c r="S106" i="2" s="1"/>
  <c r="R106" i="2" a="1"/>
  <c r="R106" i="2" s="1"/>
  <c r="Q106" i="2" a="1"/>
  <c r="Q106" i="2" s="1"/>
  <c r="P106" i="2" a="1"/>
  <c r="P106" i="2" s="1"/>
  <c r="O106" i="2" a="1"/>
  <c r="O106" i="2" s="1"/>
  <c r="M106" i="2" a="1"/>
  <c r="M106" i="2" s="1"/>
  <c r="K106" i="2" a="1"/>
  <c r="K106" i="2" s="1"/>
  <c r="J106" i="2" a="1"/>
  <c r="J106" i="2" s="1"/>
  <c r="H106" i="2" a="1"/>
  <c r="H106" i="2" s="1"/>
  <c r="F106" i="2" a="1"/>
  <c r="F106" i="2" s="1"/>
  <c r="D106" i="2" a="1"/>
  <c r="D106" i="2" s="1"/>
  <c r="E106" i="2" s="1"/>
  <c r="C106" i="2" a="1"/>
  <c r="C106" i="2" s="1"/>
  <c r="A106" i="2" a="1"/>
  <c r="A106" i="2" s="1"/>
  <c r="AA106" i="2" s="1"/>
  <c r="X105" i="2" a="1"/>
  <c r="X105" i="2" s="1"/>
  <c r="W105" i="2" a="1"/>
  <c r="W105" i="2" s="1"/>
  <c r="V105" i="2" a="1"/>
  <c r="V105" i="2" s="1"/>
  <c r="U105" i="2" a="1"/>
  <c r="U105" i="2" s="1"/>
  <c r="T105" i="2" a="1"/>
  <c r="T105" i="2" s="1"/>
  <c r="S105" i="2" a="1"/>
  <c r="S105" i="2" s="1"/>
  <c r="R105" i="2" a="1"/>
  <c r="R105" i="2" s="1"/>
  <c r="Q105" i="2" a="1"/>
  <c r="Q105" i="2" s="1"/>
  <c r="P105" i="2" a="1"/>
  <c r="P105" i="2" s="1"/>
  <c r="O105" i="2" a="1"/>
  <c r="O105" i="2" s="1"/>
  <c r="M105" i="2" a="1"/>
  <c r="M105" i="2" s="1"/>
  <c r="K105" i="2" a="1"/>
  <c r="K105" i="2" s="1"/>
  <c r="J105" i="2" a="1"/>
  <c r="J105" i="2" s="1"/>
  <c r="H105" i="2" a="1"/>
  <c r="H105" i="2" s="1"/>
  <c r="F105" i="2" a="1"/>
  <c r="F105" i="2" s="1"/>
  <c r="D105" i="2" a="1"/>
  <c r="D105" i="2" s="1"/>
  <c r="E105" i="2" s="1"/>
  <c r="C105" i="2" a="1"/>
  <c r="C105" i="2" s="1"/>
  <c r="A105" i="2" a="1"/>
  <c r="A105" i="2" s="1"/>
  <c r="X104" i="2" a="1"/>
  <c r="X104" i="2" s="1"/>
  <c r="W104" i="2" a="1"/>
  <c r="W104" i="2" s="1"/>
  <c r="V104" i="2" a="1"/>
  <c r="V104" i="2" s="1"/>
  <c r="U104" i="2" a="1"/>
  <c r="U104" i="2" s="1"/>
  <c r="T104" i="2" a="1"/>
  <c r="T104" i="2" s="1"/>
  <c r="S104" i="2" a="1"/>
  <c r="S104" i="2" s="1"/>
  <c r="R104" i="2" a="1"/>
  <c r="R104" i="2" s="1"/>
  <c r="Q104" i="2" a="1"/>
  <c r="Q104" i="2" s="1"/>
  <c r="P104" i="2" a="1"/>
  <c r="P104" i="2" s="1"/>
  <c r="O104" i="2" a="1"/>
  <c r="O104" i="2" s="1"/>
  <c r="M104" i="2" a="1"/>
  <c r="M104" i="2" s="1"/>
  <c r="K104" i="2" a="1"/>
  <c r="K104" i="2" s="1"/>
  <c r="J104" i="2" a="1"/>
  <c r="J104" i="2" s="1"/>
  <c r="H104" i="2" a="1"/>
  <c r="H104" i="2" s="1"/>
  <c r="F104" i="2" a="1"/>
  <c r="F104" i="2" s="1"/>
  <c r="D104" i="2" a="1"/>
  <c r="D104" i="2" s="1"/>
  <c r="E104" i="2" s="1"/>
  <c r="C104" i="2" a="1"/>
  <c r="C104" i="2" s="1"/>
  <c r="A104" i="2" a="1"/>
  <c r="A104" i="2" s="1"/>
  <c r="AC104" i="2" s="1"/>
  <c r="X103" i="2" a="1"/>
  <c r="X103" i="2" s="1"/>
  <c r="W103" i="2" a="1"/>
  <c r="W103" i="2" s="1"/>
  <c r="V103" i="2" a="1"/>
  <c r="V103" i="2" s="1"/>
  <c r="U103" i="2" a="1"/>
  <c r="U103" i="2" s="1"/>
  <c r="T103" i="2" a="1"/>
  <c r="T103" i="2" s="1"/>
  <c r="S103" i="2" a="1"/>
  <c r="S103" i="2" s="1"/>
  <c r="R103" i="2" a="1"/>
  <c r="R103" i="2" s="1"/>
  <c r="Q103" i="2" a="1"/>
  <c r="Q103" i="2" s="1"/>
  <c r="P103" i="2" a="1"/>
  <c r="P103" i="2" s="1"/>
  <c r="O103" i="2" a="1"/>
  <c r="O103" i="2" s="1"/>
  <c r="M103" i="2" a="1"/>
  <c r="M103" i="2" s="1"/>
  <c r="K103" i="2" a="1"/>
  <c r="K103" i="2" s="1"/>
  <c r="J103" i="2" a="1"/>
  <c r="J103" i="2" s="1"/>
  <c r="H103" i="2" a="1"/>
  <c r="H103" i="2" s="1"/>
  <c r="F103" i="2" a="1"/>
  <c r="F103" i="2" s="1"/>
  <c r="D103" i="2" a="1"/>
  <c r="D103" i="2" s="1"/>
  <c r="E103" i="2" s="1"/>
  <c r="C103" i="2" a="1"/>
  <c r="C103" i="2" s="1"/>
  <c r="A103" i="2" a="1"/>
  <c r="A103" i="2" s="1"/>
  <c r="X102" i="2" a="1"/>
  <c r="X102" i="2" s="1"/>
  <c r="W102" i="2" a="1"/>
  <c r="W102" i="2" s="1"/>
  <c r="V102" i="2" a="1"/>
  <c r="V102" i="2" s="1"/>
  <c r="U102" i="2" a="1"/>
  <c r="U102" i="2" s="1"/>
  <c r="T102" i="2" a="1"/>
  <c r="T102" i="2" s="1"/>
  <c r="S102" i="2" a="1"/>
  <c r="S102" i="2" s="1"/>
  <c r="R102" i="2" a="1"/>
  <c r="R102" i="2" s="1"/>
  <c r="Q102" i="2" a="1"/>
  <c r="Q102" i="2" s="1"/>
  <c r="P102" i="2" a="1"/>
  <c r="P102" i="2" s="1"/>
  <c r="O102" i="2" a="1"/>
  <c r="O102" i="2" s="1"/>
  <c r="M102" i="2" a="1"/>
  <c r="M102" i="2" s="1"/>
  <c r="K102" i="2" a="1"/>
  <c r="K102" i="2" s="1"/>
  <c r="J102" i="2" a="1"/>
  <c r="J102" i="2" s="1"/>
  <c r="H102" i="2" a="1"/>
  <c r="H102" i="2" s="1"/>
  <c r="F102" i="2" a="1"/>
  <c r="F102" i="2" s="1"/>
  <c r="D102" i="2" a="1"/>
  <c r="D102" i="2" s="1"/>
  <c r="E102" i="2" s="1"/>
  <c r="C102" i="2" a="1"/>
  <c r="C102" i="2" s="1"/>
  <c r="A102" i="2" a="1"/>
  <c r="A102" i="2" s="1"/>
  <c r="X101" i="2" a="1"/>
  <c r="X101" i="2" s="1"/>
  <c r="W101" i="2" a="1"/>
  <c r="W101" i="2" s="1"/>
  <c r="V101" i="2" a="1"/>
  <c r="V101" i="2" s="1"/>
  <c r="U101" i="2" a="1"/>
  <c r="U101" i="2" s="1"/>
  <c r="T101" i="2" a="1"/>
  <c r="T101" i="2" s="1"/>
  <c r="S101" i="2" a="1"/>
  <c r="S101" i="2" s="1"/>
  <c r="R101" i="2" a="1"/>
  <c r="R101" i="2" s="1"/>
  <c r="Q101" i="2" a="1"/>
  <c r="Q101" i="2" s="1"/>
  <c r="P101" i="2" a="1"/>
  <c r="P101" i="2" s="1"/>
  <c r="O101" i="2" a="1"/>
  <c r="O101" i="2" s="1"/>
  <c r="M101" i="2" a="1"/>
  <c r="M101" i="2" s="1"/>
  <c r="K101" i="2" a="1"/>
  <c r="K101" i="2" s="1"/>
  <c r="J101" i="2" a="1"/>
  <c r="J101" i="2" s="1"/>
  <c r="H101" i="2" a="1"/>
  <c r="H101" i="2" s="1"/>
  <c r="F101" i="2" a="1"/>
  <c r="F101" i="2" s="1"/>
  <c r="D101" i="2" a="1"/>
  <c r="D101" i="2" s="1"/>
  <c r="E101" i="2" s="1"/>
  <c r="C101" i="2" a="1"/>
  <c r="C101" i="2" s="1"/>
  <c r="A101" i="2" a="1"/>
  <c r="A101" i="2" s="1"/>
  <c r="X100" i="2" a="1"/>
  <c r="X100" i="2" s="1"/>
  <c r="W100" i="2" a="1"/>
  <c r="W100" i="2" s="1"/>
  <c r="V100" i="2" a="1"/>
  <c r="V100" i="2" s="1"/>
  <c r="U100" i="2" a="1"/>
  <c r="U100" i="2" s="1"/>
  <c r="T100" i="2" a="1"/>
  <c r="T100" i="2" s="1"/>
  <c r="S100" i="2" a="1"/>
  <c r="S100" i="2" s="1"/>
  <c r="R100" i="2" a="1"/>
  <c r="R100" i="2" s="1"/>
  <c r="Q100" i="2" a="1"/>
  <c r="Q100" i="2" s="1"/>
  <c r="P100" i="2" a="1"/>
  <c r="P100" i="2" s="1"/>
  <c r="O100" i="2" a="1"/>
  <c r="O100" i="2" s="1"/>
  <c r="M100" i="2" a="1"/>
  <c r="M100" i="2" s="1"/>
  <c r="K100" i="2" a="1"/>
  <c r="K100" i="2" s="1"/>
  <c r="J100" i="2" a="1"/>
  <c r="J100" i="2" s="1"/>
  <c r="H100" i="2" a="1"/>
  <c r="H100" i="2" s="1"/>
  <c r="F100" i="2" a="1"/>
  <c r="F100" i="2" s="1"/>
  <c r="D100" i="2" a="1"/>
  <c r="D100" i="2" s="1"/>
  <c r="E100" i="2" s="1"/>
  <c r="C100" i="2" a="1"/>
  <c r="C100" i="2" s="1"/>
  <c r="A100" i="2" a="1"/>
  <c r="A100" i="2" s="1"/>
  <c r="AC100" i="2" s="1"/>
  <c r="X99" i="2" a="1"/>
  <c r="X99" i="2" s="1"/>
  <c r="W99" i="2" a="1"/>
  <c r="W99" i="2" s="1"/>
  <c r="V99" i="2" a="1"/>
  <c r="V99" i="2" s="1"/>
  <c r="U99" i="2" a="1"/>
  <c r="U99" i="2" s="1"/>
  <c r="T99" i="2" a="1"/>
  <c r="T99" i="2" s="1"/>
  <c r="S99" i="2" a="1"/>
  <c r="S99" i="2" s="1"/>
  <c r="R99" i="2" a="1"/>
  <c r="R99" i="2" s="1"/>
  <c r="Q99" i="2" a="1"/>
  <c r="Q99" i="2" s="1"/>
  <c r="P99" i="2" a="1"/>
  <c r="P99" i="2" s="1"/>
  <c r="O99" i="2" a="1"/>
  <c r="O99" i="2" s="1"/>
  <c r="M99" i="2" a="1"/>
  <c r="M99" i="2" s="1"/>
  <c r="K99" i="2" a="1"/>
  <c r="K99" i="2" s="1"/>
  <c r="J99" i="2" a="1"/>
  <c r="J99" i="2" s="1"/>
  <c r="H99" i="2" a="1"/>
  <c r="H99" i="2" s="1"/>
  <c r="F99" i="2" a="1"/>
  <c r="F99" i="2" s="1"/>
  <c r="D99" i="2" a="1"/>
  <c r="D99" i="2" s="1"/>
  <c r="E99" i="2" s="1"/>
  <c r="C99" i="2" a="1"/>
  <c r="C99" i="2" s="1"/>
  <c r="A99" i="2" a="1"/>
  <c r="A99" i="2" s="1"/>
  <c r="X98" i="2" a="1"/>
  <c r="X98" i="2" s="1"/>
  <c r="W98" i="2" a="1"/>
  <c r="W98" i="2" s="1"/>
  <c r="V98" i="2" a="1"/>
  <c r="V98" i="2" s="1"/>
  <c r="U98" i="2" a="1"/>
  <c r="U98" i="2" s="1"/>
  <c r="T98" i="2" a="1"/>
  <c r="T98" i="2" s="1"/>
  <c r="S98" i="2" a="1"/>
  <c r="S98" i="2" s="1"/>
  <c r="R98" i="2" a="1"/>
  <c r="R98" i="2" s="1"/>
  <c r="Q98" i="2" a="1"/>
  <c r="Q98" i="2" s="1"/>
  <c r="P98" i="2" a="1"/>
  <c r="P98" i="2" s="1"/>
  <c r="O98" i="2" a="1"/>
  <c r="O98" i="2" s="1"/>
  <c r="M98" i="2" a="1"/>
  <c r="M98" i="2" s="1"/>
  <c r="K98" i="2" a="1"/>
  <c r="K98" i="2" s="1"/>
  <c r="J98" i="2" a="1"/>
  <c r="J98" i="2" s="1"/>
  <c r="H98" i="2" a="1"/>
  <c r="H98" i="2" s="1"/>
  <c r="F98" i="2" a="1"/>
  <c r="F98" i="2" s="1"/>
  <c r="D98" i="2" a="1"/>
  <c r="D98" i="2" s="1"/>
  <c r="E98" i="2" s="1"/>
  <c r="C98" i="2" a="1"/>
  <c r="C98" i="2" s="1"/>
  <c r="A98" i="2" a="1"/>
  <c r="A98" i="2" s="1"/>
  <c r="X97" i="2" a="1"/>
  <c r="X97" i="2" s="1"/>
  <c r="W97" i="2" a="1"/>
  <c r="W97" i="2" s="1"/>
  <c r="V97" i="2" a="1"/>
  <c r="V97" i="2" s="1"/>
  <c r="U97" i="2" a="1"/>
  <c r="U97" i="2" s="1"/>
  <c r="T97" i="2" a="1"/>
  <c r="T97" i="2" s="1"/>
  <c r="S97" i="2" a="1"/>
  <c r="S97" i="2" s="1"/>
  <c r="R97" i="2" a="1"/>
  <c r="R97" i="2" s="1"/>
  <c r="Q97" i="2" a="1"/>
  <c r="Q97" i="2" s="1"/>
  <c r="P97" i="2" a="1"/>
  <c r="P97" i="2" s="1"/>
  <c r="O97" i="2" a="1"/>
  <c r="O97" i="2" s="1"/>
  <c r="M97" i="2" a="1"/>
  <c r="M97" i="2" s="1"/>
  <c r="K97" i="2" a="1"/>
  <c r="K97" i="2" s="1"/>
  <c r="J97" i="2" a="1"/>
  <c r="J97" i="2" s="1"/>
  <c r="H97" i="2" a="1"/>
  <c r="H97" i="2" s="1"/>
  <c r="F97" i="2" a="1"/>
  <c r="F97" i="2" s="1"/>
  <c r="D97" i="2" a="1"/>
  <c r="D97" i="2" s="1"/>
  <c r="E97" i="2" s="1"/>
  <c r="C97" i="2" a="1"/>
  <c r="C97" i="2" s="1"/>
  <c r="A97" i="2" a="1"/>
  <c r="A97" i="2" s="1"/>
  <c r="X96" i="2" a="1"/>
  <c r="X96" i="2" s="1"/>
  <c r="W96" i="2" a="1"/>
  <c r="W96" i="2" s="1"/>
  <c r="V96" i="2" a="1"/>
  <c r="V96" i="2" s="1"/>
  <c r="U96" i="2" a="1"/>
  <c r="U96" i="2" s="1"/>
  <c r="T96" i="2" a="1"/>
  <c r="T96" i="2" s="1"/>
  <c r="S96" i="2" a="1"/>
  <c r="S96" i="2" s="1"/>
  <c r="R96" i="2" a="1"/>
  <c r="R96" i="2" s="1"/>
  <c r="Q96" i="2" a="1"/>
  <c r="Q96" i="2" s="1"/>
  <c r="P96" i="2" a="1"/>
  <c r="P96" i="2" s="1"/>
  <c r="O96" i="2" a="1"/>
  <c r="O96" i="2" s="1"/>
  <c r="M96" i="2" a="1"/>
  <c r="M96" i="2" s="1"/>
  <c r="K96" i="2" a="1"/>
  <c r="K96" i="2" s="1"/>
  <c r="J96" i="2" a="1"/>
  <c r="J96" i="2" s="1"/>
  <c r="H96" i="2" a="1"/>
  <c r="H96" i="2" s="1"/>
  <c r="F96" i="2" a="1"/>
  <c r="F96" i="2" s="1"/>
  <c r="D96" i="2" a="1"/>
  <c r="D96" i="2" s="1"/>
  <c r="E96" i="2" s="1"/>
  <c r="C96" i="2" a="1"/>
  <c r="C96" i="2" s="1"/>
  <c r="A96" i="2" a="1"/>
  <c r="A96" i="2" s="1"/>
  <c r="X95" i="2" a="1"/>
  <c r="X95" i="2" s="1"/>
  <c r="W95" i="2" a="1"/>
  <c r="W95" i="2" s="1"/>
  <c r="V95" i="2" a="1"/>
  <c r="V95" i="2" s="1"/>
  <c r="U95" i="2" a="1"/>
  <c r="U95" i="2" s="1"/>
  <c r="T95" i="2" a="1"/>
  <c r="T95" i="2" s="1"/>
  <c r="S95" i="2" a="1"/>
  <c r="S95" i="2" s="1"/>
  <c r="R95" i="2" a="1"/>
  <c r="R95" i="2" s="1"/>
  <c r="Q95" i="2" a="1"/>
  <c r="Q95" i="2" s="1"/>
  <c r="P95" i="2" a="1"/>
  <c r="P95" i="2" s="1"/>
  <c r="O95" i="2" a="1"/>
  <c r="O95" i="2" s="1"/>
  <c r="M95" i="2" a="1"/>
  <c r="M95" i="2" s="1"/>
  <c r="K95" i="2" a="1"/>
  <c r="K95" i="2" s="1"/>
  <c r="J95" i="2" a="1"/>
  <c r="J95" i="2" s="1"/>
  <c r="H95" i="2" a="1"/>
  <c r="H95" i="2" s="1"/>
  <c r="F95" i="2" a="1"/>
  <c r="F95" i="2" s="1"/>
  <c r="D95" i="2" a="1"/>
  <c r="D95" i="2" s="1"/>
  <c r="E95" i="2" s="1"/>
  <c r="C95" i="2" a="1"/>
  <c r="C95" i="2" s="1"/>
  <c r="A95" i="2" a="1"/>
  <c r="A95" i="2" s="1"/>
  <c r="X94" i="2" a="1"/>
  <c r="X94" i="2" s="1"/>
  <c r="W94" i="2" a="1"/>
  <c r="W94" i="2" s="1"/>
  <c r="V94" i="2" a="1"/>
  <c r="V94" i="2" s="1"/>
  <c r="U94" i="2" a="1"/>
  <c r="U94" i="2" s="1"/>
  <c r="T94" i="2" a="1"/>
  <c r="T94" i="2" s="1"/>
  <c r="S94" i="2" a="1"/>
  <c r="S94" i="2" s="1"/>
  <c r="R94" i="2" a="1"/>
  <c r="R94" i="2" s="1"/>
  <c r="Q94" i="2" a="1"/>
  <c r="Q94" i="2" s="1"/>
  <c r="P94" i="2" a="1"/>
  <c r="P94" i="2" s="1"/>
  <c r="O94" i="2" a="1"/>
  <c r="O94" i="2" s="1"/>
  <c r="M94" i="2" a="1"/>
  <c r="M94" i="2" s="1"/>
  <c r="K94" i="2" a="1"/>
  <c r="K94" i="2" s="1"/>
  <c r="J94" i="2" a="1"/>
  <c r="J94" i="2" s="1"/>
  <c r="H94" i="2" a="1"/>
  <c r="H94" i="2" s="1"/>
  <c r="F94" i="2" a="1"/>
  <c r="F94" i="2" s="1"/>
  <c r="D94" i="2" a="1"/>
  <c r="D94" i="2" s="1"/>
  <c r="E94" i="2" s="1"/>
  <c r="C94" i="2" a="1"/>
  <c r="C94" i="2" s="1"/>
  <c r="A94" i="2" a="1"/>
  <c r="A94" i="2" s="1"/>
  <c r="AA94" i="2" s="1"/>
  <c r="X93" i="2" a="1"/>
  <c r="X93" i="2" s="1"/>
  <c r="W93" i="2" a="1"/>
  <c r="W93" i="2" s="1"/>
  <c r="V93" i="2" a="1"/>
  <c r="V93" i="2" s="1"/>
  <c r="U93" i="2" a="1"/>
  <c r="U93" i="2" s="1"/>
  <c r="T93" i="2" a="1"/>
  <c r="T93" i="2" s="1"/>
  <c r="S93" i="2" a="1"/>
  <c r="S93" i="2" s="1"/>
  <c r="R93" i="2" a="1"/>
  <c r="R93" i="2" s="1"/>
  <c r="Q93" i="2" a="1"/>
  <c r="Q93" i="2" s="1"/>
  <c r="P93" i="2" a="1"/>
  <c r="P93" i="2" s="1"/>
  <c r="O93" i="2" a="1"/>
  <c r="O93" i="2" s="1"/>
  <c r="M93" i="2" a="1"/>
  <c r="M93" i="2" s="1"/>
  <c r="K93" i="2" a="1"/>
  <c r="K93" i="2" s="1"/>
  <c r="J93" i="2" a="1"/>
  <c r="J93" i="2" s="1"/>
  <c r="H93" i="2" a="1"/>
  <c r="H93" i="2" s="1"/>
  <c r="F93" i="2" a="1"/>
  <c r="F93" i="2" s="1"/>
  <c r="D93" i="2" a="1"/>
  <c r="D93" i="2" s="1"/>
  <c r="E93" i="2" s="1"/>
  <c r="C93" i="2" a="1"/>
  <c r="C93" i="2" s="1"/>
  <c r="A93" i="2" a="1"/>
  <c r="A93" i="2" s="1"/>
  <c r="X92" i="2" a="1"/>
  <c r="X92" i="2" s="1"/>
  <c r="W92" i="2" a="1"/>
  <c r="W92" i="2" s="1"/>
  <c r="V92" i="2" a="1"/>
  <c r="V92" i="2" s="1"/>
  <c r="U92" i="2" a="1"/>
  <c r="U92" i="2" s="1"/>
  <c r="T92" i="2" a="1"/>
  <c r="T92" i="2" s="1"/>
  <c r="S92" i="2" a="1"/>
  <c r="S92" i="2" s="1"/>
  <c r="R92" i="2" a="1"/>
  <c r="R92" i="2" s="1"/>
  <c r="Q92" i="2" a="1"/>
  <c r="Q92" i="2" s="1"/>
  <c r="P92" i="2" a="1"/>
  <c r="P92" i="2" s="1"/>
  <c r="O92" i="2" a="1"/>
  <c r="O92" i="2" s="1"/>
  <c r="M92" i="2" a="1"/>
  <c r="M92" i="2" s="1"/>
  <c r="K92" i="2" a="1"/>
  <c r="K92" i="2" s="1"/>
  <c r="J92" i="2" a="1"/>
  <c r="J92" i="2" s="1"/>
  <c r="H92" i="2" a="1"/>
  <c r="H92" i="2" s="1"/>
  <c r="F92" i="2" a="1"/>
  <c r="F92" i="2" s="1"/>
  <c r="D92" i="2" a="1"/>
  <c r="D92" i="2" s="1"/>
  <c r="E92" i="2" s="1"/>
  <c r="C92" i="2" a="1"/>
  <c r="C92" i="2" s="1"/>
  <c r="A92" i="2" a="1"/>
  <c r="A92" i="2" s="1"/>
  <c r="X91" i="2" a="1"/>
  <c r="X91" i="2" s="1"/>
  <c r="W91" i="2" a="1"/>
  <c r="W91" i="2" s="1"/>
  <c r="V91" i="2" a="1"/>
  <c r="V91" i="2" s="1"/>
  <c r="U91" i="2" a="1"/>
  <c r="U91" i="2" s="1"/>
  <c r="T91" i="2" a="1"/>
  <c r="T91" i="2" s="1"/>
  <c r="S91" i="2" a="1"/>
  <c r="S91" i="2" s="1"/>
  <c r="R91" i="2" a="1"/>
  <c r="R91" i="2" s="1"/>
  <c r="Q91" i="2" a="1"/>
  <c r="Q91" i="2" s="1"/>
  <c r="P91" i="2" a="1"/>
  <c r="P91" i="2" s="1"/>
  <c r="O91" i="2" a="1"/>
  <c r="O91" i="2" s="1"/>
  <c r="M91" i="2" a="1"/>
  <c r="M91" i="2" s="1"/>
  <c r="K91" i="2" a="1"/>
  <c r="K91" i="2" s="1"/>
  <c r="J91" i="2" a="1"/>
  <c r="J91" i="2" s="1"/>
  <c r="H91" i="2" a="1"/>
  <c r="H91" i="2" s="1"/>
  <c r="F91" i="2" a="1"/>
  <c r="F91" i="2" s="1"/>
  <c r="D91" i="2" a="1"/>
  <c r="D91" i="2" s="1"/>
  <c r="E91" i="2" s="1"/>
  <c r="C91" i="2" a="1"/>
  <c r="C91" i="2" s="1"/>
  <c r="A91" i="2" a="1"/>
  <c r="A91" i="2" s="1"/>
  <c r="X90" i="2" a="1"/>
  <c r="X90" i="2" s="1"/>
  <c r="W90" i="2" a="1"/>
  <c r="W90" i="2" s="1"/>
  <c r="V90" i="2" a="1"/>
  <c r="V90" i="2" s="1"/>
  <c r="U90" i="2" a="1"/>
  <c r="U90" i="2" s="1"/>
  <c r="T90" i="2" a="1"/>
  <c r="T90" i="2" s="1"/>
  <c r="S90" i="2" a="1"/>
  <c r="S90" i="2" s="1"/>
  <c r="R90" i="2" a="1"/>
  <c r="R90" i="2" s="1"/>
  <c r="Q90" i="2" a="1"/>
  <c r="Q90" i="2" s="1"/>
  <c r="P90" i="2" a="1"/>
  <c r="P90" i="2" s="1"/>
  <c r="O90" i="2" a="1"/>
  <c r="O90" i="2" s="1"/>
  <c r="M90" i="2" a="1"/>
  <c r="M90" i="2" s="1"/>
  <c r="K90" i="2" a="1"/>
  <c r="K90" i="2" s="1"/>
  <c r="J90" i="2" a="1"/>
  <c r="J90" i="2" s="1"/>
  <c r="H90" i="2" a="1"/>
  <c r="H90" i="2" s="1"/>
  <c r="F90" i="2" a="1"/>
  <c r="F90" i="2" s="1"/>
  <c r="D90" i="2" a="1"/>
  <c r="D90" i="2" s="1"/>
  <c r="E90" i="2" s="1"/>
  <c r="C90" i="2" a="1"/>
  <c r="C90" i="2" s="1"/>
  <c r="A90" i="2" a="1"/>
  <c r="A90" i="2" s="1"/>
  <c r="X89" i="2" a="1"/>
  <c r="X89" i="2" s="1"/>
  <c r="W89" i="2" a="1"/>
  <c r="W89" i="2" s="1"/>
  <c r="V89" i="2" a="1"/>
  <c r="V89" i="2" s="1"/>
  <c r="U89" i="2" a="1"/>
  <c r="U89" i="2" s="1"/>
  <c r="T89" i="2" a="1"/>
  <c r="T89" i="2" s="1"/>
  <c r="S89" i="2" a="1"/>
  <c r="S89" i="2" s="1"/>
  <c r="R89" i="2" a="1"/>
  <c r="R89" i="2" s="1"/>
  <c r="Q89" i="2" a="1"/>
  <c r="Q89" i="2" s="1"/>
  <c r="P89" i="2" a="1"/>
  <c r="P89" i="2" s="1"/>
  <c r="O89" i="2" a="1"/>
  <c r="O89" i="2" s="1"/>
  <c r="M89" i="2" a="1"/>
  <c r="M89" i="2" s="1"/>
  <c r="K89" i="2" a="1"/>
  <c r="K89" i="2" s="1"/>
  <c r="J89" i="2" a="1"/>
  <c r="J89" i="2" s="1"/>
  <c r="H89" i="2" a="1"/>
  <c r="H89" i="2" s="1"/>
  <c r="F89" i="2" a="1"/>
  <c r="F89" i="2" s="1"/>
  <c r="D89" i="2" a="1"/>
  <c r="D89" i="2" s="1"/>
  <c r="E89" i="2" s="1"/>
  <c r="C89" i="2" a="1"/>
  <c r="C89" i="2" s="1"/>
  <c r="A89" i="2" a="1"/>
  <c r="A89" i="2" s="1"/>
  <c r="X88" i="2" a="1"/>
  <c r="X88" i="2" s="1"/>
  <c r="W88" i="2" a="1"/>
  <c r="W88" i="2" s="1"/>
  <c r="V88" i="2" a="1"/>
  <c r="V88" i="2" s="1"/>
  <c r="U88" i="2" a="1"/>
  <c r="U88" i="2" s="1"/>
  <c r="T88" i="2" a="1"/>
  <c r="T88" i="2" s="1"/>
  <c r="S88" i="2" a="1"/>
  <c r="S88" i="2" s="1"/>
  <c r="R88" i="2" a="1"/>
  <c r="R88" i="2" s="1"/>
  <c r="Q88" i="2" a="1"/>
  <c r="Q88" i="2" s="1"/>
  <c r="P88" i="2" a="1"/>
  <c r="P88" i="2" s="1"/>
  <c r="O88" i="2" a="1"/>
  <c r="O88" i="2" s="1"/>
  <c r="M88" i="2" a="1"/>
  <c r="M88" i="2" s="1"/>
  <c r="K88" i="2" a="1"/>
  <c r="K88" i="2" s="1"/>
  <c r="J88" i="2" a="1"/>
  <c r="J88" i="2" s="1"/>
  <c r="H88" i="2" a="1"/>
  <c r="H88" i="2" s="1"/>
  <c r="F88" i="2" a="1"/>
  <c r="F88" i="2" s="1"/>
  <c r="D88" i="2" a="1"/>
  <c r="D88" i="2" s="1"/>
  <c r="E88" i="2" s="1"/>
  <c r="C88" i="2" a="1"/>
  <c r="C88" i="2" s="1"/>
  <c r="A88" i="2" a="1"/>
  <c r="A88" i="2" s="1"/>
  <c r="X87" i="2" a="1"/>
  <c r="X87" i="2" s="1"/>
  <c r="W87" i="2" a="1"/>
  <c r="W87" i="2" s="1"/>
  <c r="V87" i="2" a="1"/>
  <c r="V87" i="2" s="1"/>
  <c r="U87" i="2" a="1"/>
  <c r="U87" i="2" s="1"/>
  <c r="T87" i="2" a="1"/>
  <c r="T87" i="2" s="1"/>
  <c r="S87" i="2" a="1"/>
  <c r="S87" i="2" s="1"/>
  <c r="R87" i="2" a="1"/>
  <c r="R87" i="2" s="1"/>
  <c r="Q87" i="2" a="1"/>
  <c r="Q87" i="2" s="1"/>
  <c r="P87" i="2" a="1"/>
  <c r="P87" i="2" s="1"/>
  <c r="O87" i="2" a="1"/>
  <c r="O87" i="2" s="1"/>
  <c r="M87" i="2" a="1"/>
  <c r="M87" i="2" s="1"/>
  <c r="K87" i="2" a="1"/>
  <c r="K87" i="2" s="1"/>
  <c r="J87" i="2" a="1"/>
  <c r="J87" i="2" s="1"/>
  <c r="H87" i="2" a="1"/>
  <c r="H87" i="2" s="1"/>
  <c r="F87" i="2" a="1"/>
  <c r="F87" i="2" s="1"/>
  <c r="D87" i="2" a="1"/>
  <c r="D87" i="2" s="1"/>
  <c r="E87" i="2" s="1"/>
  <c r="C87" i="2" a="1"/>
  <c r="C87" i="2" s="1"/>
  <c r="A87" i="2" a="1"/>
  <c r="A87" i="2" s="1"/>
  <c r="X86" i="2" a="1"/>
  <c r="X86" i="2" s="1"/>
  <c r="W86" i="2" a="1"/>
  <c r="W86" i="2" s="1"/>
  <c r="V86" i="2" a="1"/>
  <c r="V86" i="2" s="1"/>
  <c r="U86" i="2" a="1"/>
  <c r="U86" i="2" s="1"/>
  <c r="T86" i="2" a="1"/>
  <c r="T86" i="2" s="1"/>
  <c r="S86" i="2" a="1"/>
  <c r="S86" i="2" s="1"/>
  <c r="R86" i="2" a="1"/>
  <c r="R86" i="2" s="1"/>
  <c r="Q86" i="2" a="1"/>
  <c r="Q86" i="2" s="1"/>
  <c r="P86" i="2" a="1"/>
  <c r="P86" i="2" s="1"/>
  <c r="O86" i="2" a="1"/>
  <c r="O86" i="2" s="1"/>
  <c r="M86" i="2" a="1"/>
  <c r="M86" i="2" s="1"/>
  <c r="K86" i="2" a="1"/>
  <c r="K86" i="2" s="1"/>
  <c r="J86" i="2" a="1"/>
  <c r="J86" i="2" s="1"/>
  <c r="H86" i="2" a="1"/>
  <c r="H86" i="2" s="1"/>
  <c r="F86" i="2" a="1"/>
  <c r="F86" i="2" s="1"/>
  <c r="D86" i="2" a="1"/>
  <c r="D86" i="2" s="1"/>
  <c r="E86" i="2" s="1"/>
  <c r="C86" i="2" a="1"/>
  <c r="C86" i="2" s="1"/>
  <c r="A86" i="2" a="1"/>
  <c r="A86" i="2" s="1"/>
  <c r="X85" i="2" a="1"/>
  <c r="X85" i="2" s="1"/>
  <c r="W85" i="2" a="1"/>
  <c r="W85" i="2" s="1"/>
  <c r="V85" i="2" a="1"/>
  <c r="V85" i="2" s="1"/>
  <c r="U85" i="2" a="1"/>
  <c r="U85" i="2" s="1"/>
  <c r="T85" i="2" a="1"/>
  <c r="T85" i="2" s="1"/>
  <c r="S85" i="2" a="1"/>
  <c r="S85" i="2" s="1"/>
  <c r="R85" i="2" a="1"/>
  <c r="R85" i="2" s="1"/>
  <c r="Q85" i="2" a="1"/>
  <c r="Q85" i="2" s="1"/>
  <c r="P85" i="2" a="1"/>
  <c r="P85" i="2" s="1"/>
  <c r="O85" i="2" a="1"/>
  <c r="O85" i="2" s="1"/>
  <c r="M85" i="2" a="1"/>
  <c r="M85" i="2" s="1"/>
  <c r="K85" i="2" a="1"/>
  <c r="K85" i="2" s="1"/>
  <c r="J85" i="2" a="1"/>
  <c r="J85" i="2" s="1"/>
  <c r="H85" i="2" a="1"/>
  <c r="H85" i="2" s="1"/>
  <c r="F85" i="2" a="1"/>
  <c r="F85" i="2" s="1"/>
  <c r="D85" i="2" a="1"/>
  <c r="D85" i="2" s="1"/>
  <c r="E85" i="2" s="1"/>
  <c r="C85" i="2" a="1"/>
  <c r="C85" i="2" s="1"/>
  <c r="A85" i="2" a="1"/>
  <c r="A85" i="2" s="1"/>
  <c r="X84" i="2" a="1"/>
  <c r="X84" i="2" s="1"/>
  <c r="W84" i="2" a="1"/>
  <c r="W84" i="2" s="1"/>
  <c r="V84" i="2" a="1"/>
  <c r="V84" i="2" s="1"/>
  <c r="U84" i="2" a="1"/>
  <c r="U84" i="2" s="1"/>
  <c r="T84" i="2" a="1"/>
  <c r="T84" i="2" s="1"/>
  <c r="S84" i="2" a="1"/>
  <c r="S84" i="2" s="1"/>
  <c r="R84" i="2" a="1"/>
  <c r="R84" i="2" s="1"/>
  <c r="Q84" i="2" a="1"/>
  <c r="Q84" i="2" s="1"/>
  <c r="P84" i="2" a="1"/>
  <c r="P84" i="2" s="1"/>
  <c r="O84" i="2" a="1"/>
  <c r="O84" i="2" s="1"/>
  <c r="M84" i="2" a="1"/>
  <c r="M84" i="2" s="1"/>
  <c r="K84" i="2" a="1"/>
  <c r="K84" i="2" s="1"/>
  <c r="J84" i="2" a="1"/>
  <c r="J84" i="2" s="1"/>
  <c r="H84" i="2" a="1"/>
  <c r="H84" i="2" s="1"/>
  <c r="F84" i="2" a="1"/>
  <c r="F84" i="2" s="1"/>
  <c r="D84" i="2" a="1"/>
  <c r="D84" i="2" s="1"/>
  <c r="E84" i="2" s="1"/>
  <c r="C84" i="2" a="1"/>
  <c r="C84" i="2" s="1"/>
  <c r="A84" i="2" a="1"/>
  <c r="A84" i="2" s="1"/>
  <c r="X83" i="2" a="1"/>
  <c r="X83" i="2" s="1"/>
  <c r="W83" i="2" a="1"/>
  <c r="W83" i="2" s="1"/>
  <c r="V83" i="2" a="1"/>
  <c r="V83" i="2" s="1"/>
  <c r="U83" i="2" a="1"/>
  <c r="U83" i="2" s="1"/>
  <c r="T83" i="2" a="1"/>
  <c r="T83" i="2" s="1"/>
  <c r="S83" i="2" a="1"/>
  <c r="S83" i="2" s="1"/>
  <c r="R83" i="2" a="1"/>
  <c r="R83" i="2" s="1"/>
  <c r="Q83" i="2" a="1"/>
  <c r="Q83" i="2" s="1"/>
  <c r="P83" i="2" a="1"/>
  <c r="P83" i="2" s="1"/>
  <c r="O83" i="2" a="1"/>
  <c r="O83" i="2" s="1"/>
  <c r="M83" i="2" a="1"/>
  <c r="M83" i="2" s="1"/>
  <c r="K83" i="2" a="1"/>
  <c r="K83" i="2" s="1"/>
  <c r="J83" i="2" a="1"/>
  <c r="J83" i="2" s="1"/>
  <c r="H83" i="2" a="1"/>
  <c r="H83" i="2" s="1"/>
  <c r="F83" i="2" a="1"/>
  <c r="F83" i="2" s="1"/>
  <c r="D83" i="2" a="1"/>
  <c r="D83" i="2" s="1"/>
  <c r="E83" i="2" s="1"/>
  <c r="C83" i="2" a="1"/>
  <c r="C83" i="2" s="1"/>
  <c r="A83" i="2" a="1"/>
  <c r="A83" i="2" s="1"/>
  <c r="X82" i="2" a="1"/>
  <c r="X82" i="2" s="1"/>
  <c r="W82" i="2" a="1"/>
  <c r="W82" i="2" s="1"/>
  <c r="V82" i="2" a="1"/>
  <c r="V82" i="2" s="1"/>
  <c r="U82" i="2" a="1"/>
  <c r="U82" i="2" s="1"/>
  <c r="T82" i="2" a="1"/>
  <c r="T82" i="2" s="1"/>
  <c r="S82" i="2" a="1"/>
  <c r="S82" i="2" s="1"/>
  <c r="R82" i="2" a="1"/>
  <c r="R82" i="2" s="1"/>
  <c r="Q82" i="2" a="1"/>
  <c r="Q82" i="2" s="1"/>
  <c r="P82" i="2" a="1"/>
  <c r="P82" i="2" s="1"/>
  <c r="O82" i="2" a="1"/>
  <c r="O82" i="2" s="1"/>
  <c r="M82" i="2" a="1"/>
  <c r="M82" i="2" s="1"/>
  <c r="K82" i="2" a="1"/>
  <c r="K82" i="2" s="1"/>
  <c r="J82" i="2" a="1"/>
  <c r="J82" i="2" s="1"/>
  <c r="H82" i="2" a="1"/>
  <c r="H82" i="2" s="1"/>
  <c r="F82" i="2" a="1"/>
  <c r="F82" i="2" s="1"/>
  <c r="D82" i="2" a="1"/>
  <c r="D82" i="2" s="1"/>
  <c r="E82" i="2" s="1"/>
  <c r="C82" i="2" a="1"/>
  <c r="C82" i="2" s="1"/>
  <c r="A82" i="2" a="1"/>
  <c r="A82" i="2" s="1"/>
  <c r="AA82" i="2" s="1"/>
  <c r="X81" i="2" a="1"/>
  <c r="X81" i="2" s="1"/>
  <c r="W81" i="2" a="1"/>
  <c r="W81" i="2" s="1"/>
  <c r="V81" i="2" a="1"/>
  <c r="V81" i="2" s="1"/>
  <c r="U81" i="2" a="1"/>
  <c r="U81" i="2" s="1"/>
  <c r="T81" i="2" a="1"/>
  <c r="T81" i="2" s="1"/>
  <c r="S81" i="2" a="1"/>
  <c r="S81" i="2" s="1"/>
  <c r="R81" i="2" a="1"/>
  <c r="R81" i="2" s="1"/>
  <c r="Q81" i="2" a="1"/>
  <c r="Q81" i="2" s="1"/>
  <c r="P81" i="2" a="1"/>
  <c r="P81" i="2" s="1"/>
  <c r="O81" i="2" a="1"/>
  <c r="O81" i="2" s="1"/>
  <c r="M81" i="2" a="1"/>
  <c r="M81" i="2" s="1"/>
  <c r="K81" i="2" a="1"/>
  <c r="K81" i="2" s="1"/>
  <c r="J81" i="2" a="1"/>
  <c r="J81" i="2" s="1"/>
  <c r="H81" i="2" a="1"/>
  <c r="H81" i="2" s="1"/>
  <c r="F81" i="2" a="1"/>
  <c r="F81" i="2" s="1"/>
  <c r="D81" i="2" a="1"/>
  <c r="D81" i="2" s="1"/>
  <c r="E81" i="2" s="1"/>
  <c r="C81" i="2" a="1"/>
  <c r="C81" i="2" s="1"/>
  <c r="A81" i="2" a="1"/>
  <c r="A81" i="2" s="1"/>
  <c r="X80" i="2" a="1"/>
  <c r="X80" i="2" s="1"/>
  <c r="W80" i="2" a="1"/>
  <c r="W80" i="2" s="1"/>
  <c r="V80" i="2" a="1"/>
  <c r="V80" i="2" s="1"/>
  <c r="U80" i="2" a="1"/>
  <c r="U80" i="2" s="1"/>
  <c r="T80" i="2" a="1"/>
  <c r="T80" i="2" s="1"/>
  <c r="S80" i="2" a="1"/>
  <c r="S80" i="2" s="1"/>
  <c r="R80" i="2" a="1"/>
  <c r="R80" i="2" s="1"/>
  <c r="Q80" i="2" a="1"/>
  <c r="Q80" i="2" s="1"/>
  <c r="P80" i="2" a="1"/>
  <c r="P80" i="2" s="1"/>
  <c r="O80" i="2" a="1"/>
  <c r="O80" i="2" s="1"/>
  <c r="M80" i="2" a="1"/>
  <c r="M80" i="2" s="1"/>
  <c r="K80" i="2" a="1"/>
  <c r="K80" i="2" s="1"/>
  <c r="J80" i="2" a="1"/>
  <c r="J80" i="2" s="1"/>
  <c r="H80" i="2" a="1"/>
  <c r="H80" i="2" s="1"/>
  <c r="F80" i="2" a="1"/>
  <c r="F80" i="2" s="1"/>
  <c r="D80" i="2" a="1"/>
  <c r="D80" i="2" s="1"/>
  <c r="E80" i="2" s="1"/>
  <c r="C80" i="2" a="1"/>
  <c r="C80" i="2" s="1"/>
  <c r="A80" i="2" a="1"/>
  <c r="A80" i="2" s="1"/>
  <c r="X79" i="2" a="1"/>
  <c r="X79" i="2" s="1"/>
  <c r="W79" i="2" a="1"/>
  <c r="W79" i="2" s="1"/>
  <c r="V79" i="2" a="1"/>
  <c r="V79" i="2" s="1"/>
  <c r="U79" i="2" a="1"/>
  <c r="U79" i="2" s="1"/>
  <c r="T79" i="2" a="1"/>
  <c r="T79" i="2" s="1"/>
  <c r="S79" i="2" a="1"/>
  <c r="S79" i="2" s="1"/>
  <c r="R79" i="2" a="1"/>
  <c r="R79" i="2" s="1"/>
  <c r="Q79" i="2" a="1"/>
  <c r="Q79" i="2" s="1"/>
  <c r="P79" i="2" a="1"/>
  <c r="P79" i="2" s="1"/>
  <c r="O79" i="2" a="1"/>
  <c r="O79" i="2" s="1"/>
  <c r="M79" i="2" a="1"/>
  <c r="M79" i="2" s="1"/>
  <c r="K79" i="2" a="1"/>
  <c r="K79" i="2" s="1"/>
  <c r="J79" i="2" a="1"/>
  <c r="J79" i="2" s="1"/>
  <c r="H79" i="2" a="1"/>
  <c r="H79" i="2" s="1"/>
  <c r="F79" i="2" a="1"/>
  <c r="F79" i="2" s="1"/>
  <c r="D79" i="2" a="1"/>
  <c r="D79" i="2" s="1"/>
  <c r="E79" i="2" s="1"/>
  <c r="C79" i="2" a="1"/>
  <c r="C79" i="2" s="1"/>
  <c r="A79" i="2" a="1"/>
  <c r="A79" i="2" s="1"/>
  <c r="X78" i="2" a="1"/>
  <c r="X78" i="2" s="1"/>
  <c r="W78" i="2" a="1"/>
  <c r="W78" i="2" s="1"/>
  <c r="V78" i="2" a="1"/>
  <c r="V78" i="2" s="1"/>
  <c r="U78" i="2" a="1"/>
  <c r="U78" i="2" s="1"/>
  <c r="T78" i="2" a="1"/>
  <c r="T78" i="2" s="1"/>
  <c r="S78" i="2" a="1"/>
  <c r="S78" i="2" s="1"/>
  <c r="R78" i="2" a="1"/>
  <c r="R78" i="2" s="1"/>
  <c r="Q78" i="2" a="1"/>
  <c r="Q78" i="2" s="1"/>
  <c r="P78" i="2" a="1"/>
  <c r="P78" i="2" s="1"/>
  <c r="O78" i="2" a="1"/>
  <c r="O78" i="2" s="1"/>
  <c r="M78" i="2" a="1"/>
  <c r="M78" i="2" s="1"/>
  <c r="K78" i="2" a="1"/>
  <c r="K78" i="2" s="1"/>
  <c r="J78" i="2" a="1"/>
  <c r="J78" i="2" s="1"/>
  <c r="H78" i="2" a="1"/>
  <c r="H78" i="2" s="1"/>
  <c r="F78" i="2" a="1"/>
  <c r="F78" i="2" s="1"/>
  <c r="D78" i="2" a="1"/>
  <c r="D78" i="2" s="1"/>
  <c r="E78" i="2" s="1"/>
  <c r="C78" i="2" a="1"/>
  <c r="C78" i="2" s="1"/>
  <c r="A78" i="2" a="1"/>
  <c r="A78" i="2" s="1"/>
  <c r="X77" i="2" a="1"/>
  <c r="X77" i="2" s="1"/>
  <c r="W77" i="2" a="1"/>
  <c r="W77" i="2" s="1"/>
  <c r="V77" i="2" a="1"/>
  <c r="V77" i="2" s="1"/>
  <c r="U77" i="2" a="1"/>
  <c r="U77" i="2" s="1"/>
  <c r="T77" i="2" a="1"/>
  <c r="T77" i="2" s="1"/>
  <c r="S77" i="2" a="1"/>
  <c r="S77" i="2" s="1"/>
  <c r="R77" i="2" a="1"/>
  <c r="R77" i="2" s="1"/>
  <c r="Q77" i="2" a="1"/>
  <c r="Q77" i="2" s="1"/>
  <c r="P77" i="2" a="1"/>
  <c r="P77" i="2" s="1"/>
  <c r="O77" i="2" a="1"/>
  <c r="O77" i="2" s="1"/>
  <c r="M77" i="2" a="1"/>
  <c r="M77" i="2" s="1"/>
  <c r="K77" i="2" a="1"/>
  <c r="K77" i="2" s="1"/>
  <c r="J77" i="2" a="1"/>
  <c r="J77" i="2" s="1"/>
  <c r="H77" i="2" a="1"/>
  <c r="H77" i="2" s="1"/>
  <c r="F77" i="2" a="1"/>
  <c r="F77" i="2" s="1"/>
  <c r="D77" i="2" a="1"/>
  <c r="D77" i="2" s="1"/>
  <c r="E77" i="2" s="1"/>
  <c r="C77" i="2" a="1"/>
  <c r="C77" i="2" s="1"/>
  <c r="A77" i="2" a="1"/>
  <c r="A77" i="2" s="1"/>
  <c r="X76" i="2" a="1"/>
  <c r="X76" i="2" s="1"/>
  <c r="W76" i="2" a="1"/>
  <c r="W76" i="2" s="1"/>
  <c r="V76" i="2" a="1"/>
  <c r="V76" i="2" s="1"/>
  <c r="U76" i="2" a="1"/>
  <c r="U76" i="2" s="1"/>
  <c r="T76" i="2" a="1"/>
  <c r="T76" i="2" s="1"/>
  <c r="S76" i="2" a="1"/>
  <c r="S76" i="2" s="1"/>
  <c r="R76" i="2" a="1"/>
  <c r="R76" i="2" s="1"/>
  <c r="Q76" i="2" a="1"/>
  <c r="Q76" i="2" s="1"/>
  <c r="P76" i="2" a="1"/>
  <c r="P76" i="2" s="1"/>
  <c r="O76" i="2" a="1"/>
  <c r="O76" i="2" s="1"/>
  <c r="M76" i="2" a="1"/>
  <c r="M76" i="2" s="1"/>
  <c r="K76" i="2" a="1"/>
  <c r="K76" i="2" s="1"/>
  <c r="J76" i="2" a="1"/>
  <c r="J76" i="2" s="1"/>
  <c r="H76" i="2" a="1"/>
  <c r="H76" i="2" s="1"/>
  <c r="F76" i="2" a="1"/>
  <c r="F76" i="2" s="1"/>
  <c r="D76" i="2" a="1"/>
  <c r="D76" i="2" s="1"/>
  <c r="E76" i="2" s="1"/>
  <c r="C76" i="2" a="1"/>
  <c r="C76" i="2" s="1"/>
  <c r="A76" i="2" a="1"/>
  <c r="A76" i="2" s="1"/>
  <c r="X75" i="2" a="1"/>
  <c r="X75" i="2" s="1"/>
  <c r="W75" i="2" a="1"/>
  <c r="W75" i="2" s="1"/>
  <c r="V75" i="2" a="1"/>
  <c r="V75" i="2" s="1"/>
  <c r="U75" i="2" a="1"/>
  <c r="U75" i="2" s="1"/>
  <c r="T75" i="2" a="1"/>
  <c r="T75" i="2" s="1"/>
  <c r="S75" i="2" a="1"/>
  <c r="S75" i="2" s="1"/>
  <c r="R75" i="2" a="1"/>
  <c r="R75" i="2" s="1"/>
  <c r="Q75" i="2" a="1"/>
  <c r="Q75" i="2" s="1"/>
  <c r="P75" i="2" a="1"/>
  <c r="P75" i="2" s="1"/>
  <c r="O75" i="2" a="1"/>
  <c r="O75" i="2" s="1"/>
  <c r="M75" i="2" a="1"/>
  <c r="M75" i="2" s="1"/>
  <c r="K75" i="2" a="1"/>
  <c r="K75" i="2" s="1"/>
  <c r="J75" i="2" a="1"/>
  <c r="J75" i="2" s="1"/>
  <c r="H75" i="2" a="1"/>
  <c r="H75" i="2" s="1"/>
  <c r="F75" i="2" a="1"/>
  <c r="F75" i="2" s="1"/>
  <c r="D75" i="2" a="1"/>
  <c r="D75" i="2" s="1"/>
  <c r="E75" i="2" s="1"/>
  <c r="C75" i="2" a="1"/>
  <c r="C75" i="2" s="1"/>
  <c r="A75" i="2" a="1"/>
  <c r="A75" i="2" s="1"/>
  <c r="X74" i="2" a="1"/>
  <c r="X74" i="2" s="1"/>
  <c r="W74" i="2" a="1"/>
  <c r="W74" i="2" s="1"/>
  <c r="V74" i="2" a="1"/>
  <c r="V74" i="2" s="1"/>
  <c r="U74" i="2" a="1"/>
  <c r="U74" i="2" s="1"/>
  <c r="T74" i="2" a="1"/>
  <c r="T74" i="2" s="1"/>
  <c r="S74" i="2" a="1"/>
  <c r="S74" i="2" s="1"/>
  <c r="R74" i="2" a="1"/>
  <c r="R74" i="2" s="1"/>
  <c r="Q74" i="2" a="1"/>
  <c r="Q74" i="2" s="1"/>
  <c r="P74" i="2" a="1"/>
  <c r="P74" i="2" s="1"/>
  <c r="O74" i="2" a="1"/>
  <c r="O74" i="2" s="1"/>
  <c r="M74" i="2" a="1"/>
  <c r="M74" i="2" s="1"/>
  <c r="K74" i="2" a="1"/>
  <c r="K74" i="2" s="1"/>
  <c r="J74" i="2" a="1"/>
  <c r="J74" i="2" s="1"/>
  <c r="H74" i="2" a="1"/>
  <c r="H74" i="2" s="1"/>
  <c r="F74" i="2" a="1"/>
  <c r="F74" i="2" s="1"/>
  <c r="D74" i="2" a="1"/>
  <c r="D74" i="2" s="1"/>
  <c r="E74" i="2" s="1"/>
  <c r="C74" i="2" a="1"/>
  <c r="C74" i="2" s="1"/>
  <c r="A74" i="2" a="1"/>
  <c r="A74" i="2" s="1"/>
  <c r="X73" i="2" a="1"/>
  <c r="X73" i="2" s="1"/>
  <c r="W73" i="2" a="1"/>
  <c r="W73" i="2" s="1"/>
  <c r="V73" i="2" a="1"/>
  <c r="V73" i="2" s="1"/>
  <c r="U73" i="2" a="1"/>
  <c r="U73" i="2" s="1"/>
  <c r="T73" i="2" a="1"/>
  <c r="T73" i="2" s="1"/>
  <c r="S73" i="2" a="1"/>
  <c r="S73" i="2" s="1"/>
  <c r="R73" i="2" a="1"/>
  <c r="R73" i="2" s="1"/>
  <c r="Q73" i="2" a="1"/>
  <c r="Q73" i="2" s="1"/>
  <c r="P73" i="2" a="1"/>
  <c r="P73" i="2" s="1"/>
  <c r="O73" i="2" a="1"/>
  <c r="O73" i="2" s="1"/>
  <c r="M73" i="2" a="1"/>
  <c r="M73" i="2" s="1"/>
  <c r="K73" i="2" a="1"/>
  <c r="K73" i="2" s="1"/>
  <c r="J73" i="2" a="1"/>
  <c r="J73" i="2" s="1"/>
  <c r="H73" i="2" a="1"/>
  <c r="H73" i="2" s="1"/>
  <c r="F73" i="2" a="1"/>
  <c r="F73" i="2" s="1"/>
  <c r="D73" i="2" a="1"/>
  <c r="D73" i="2" s="1"/>
  <c r="E73" i="2" s="1"/>
  <c r="C73" i="2" a="1"/>
  <c r="C73" i="2" s="1"/>
  <c r="A73" i="2" a="1"/>
  <c r="A73" i="2" s="1"/>
  <c r="X72" i="2" a="1"/>
  <c r="X72" i="2" s="1"/>
  <c r="W72" i="2" a="1"/>
  <c r="W72" i="2" s="1"/>
  <c r="V72" i="2" a="1"/>
  <c r="V72" i="2" s="1"/>
  <c r="U72" i="2" a="1"/>
  <c r="U72" i="2" s="1"/>
  <c r="T72" i="2" a="1"/>
  <c r="T72" i="2" s="1"/>
  <c r="S72" i="2" a="1"/>
  <c r="S72" i="2" s="1"/>
  <c r="R72" i="2" a="1"/>
  <c r="R72" i="2" s="1"/>
  <c r="Q72" i="2" a="1"/>
  <c r="Q72" i="2" s="1"/>
  <c r="P72" i="2" a="1"/>
  <c r="P72" i="2" s="1"/>
  <c r="O72" i="2" a="1"/>
  <c r="O72" i="2" s="1"/>
  <c r="M72" i="2" a="1"/>
  <c r="M72" i="2" s="1"/>
  <c r="K72" i="2" a="1"/>
  <c r="K72" i="2" s="1"/>
  <c r="J72" i="2" a="1"/>
  <c r="J72" i="2" s="1"/>
  <c r="H72" i="2" a="1"/>
  <c r="H72" i="2" s="1"/>
  <c r="F72" i="2" a="1"/>
  <c r="F72" i="2" s="1"/>
  <c r="D72" i="2" a="1"/>
  <c r="D72" i="2" s="1"/>
  <c r="E72" i="2" s="1"/>
  <c r="C72" i="2" a="1"/>
  <c r="C72" i="2" s="1"/>
  <c r="A72" i="2" a="1"/>
  <c r="A72" i="2" s="1"/>
  <c r="X71" i="2" a="1"/>
  <c r="X71" i="2" s="1"/>
  <c r="W71" i="2" a="1"/>
  <c r="W71" i="2" s="1"/>
  <c r="V71" i="2" a="1"/>
  <c r="V71" i="2" s="1"/>
  <c r="U71" i="2" a="1"/>
  <c r="U71" i="2" s="1"/>
  <c r="T71" i="2" a="1"/>
  <c r="T71" i="2" s="1"/>
  <c r="S71" i="2" a="1"/>
  <c r="S71" i="2" s="1"/>
  <c r="R71" i="2" a="1"/>
  <c r="R71" i="2" s="1"/>
  <c r="Q71" i="2" a="1"/>
  <c r="Q71" i="2" s="1"/>
  <c r="P71" i="2" a="1"/>
  <c r="P71" i="2" s="1"/>
  <c r="O71" i="2" a="1"/>
  <c r="O71" i="2" s="1"/>
  <c r="M71" i="2" a="1"/>
  <c r="M71" i="2" s="1"/>
  <c r="K71" i="2" a="1"/>
  <c r="K71" i="2" s="1"/>
  <c r="J71" i="2" a="1"/>
  <c r="J71" i="2" s="1"/>
  <c r="H71" i="2" a="1"/>
  <c r="H71" i="2" s="1"/>
  <c r="F71" i="2" a="1"/>
  <c r="F71" i="2" s="1"/>
  <c r="D71" i="2" a="1"/>
  <c r="D71" i="2" s="1"/>
  <c r="E71" i="2" s="1"/>
  <c r="C71" i="2" a="1"/>
  <c r="C71" i="2" s="1"/>
  <c r="A71" i="2" a="1"/>
  <c r="A71" i="2" s="1"/>
  <c r="X70" i="2" a="1"/>
  <c r="X70" i="2" s="1"/>
  <c r="W70" i="2" a="1"/>
  <c r="W70" i="2" s="1"/>
  <c r="V70" i="2" a="1"/>
  <c r="V70" i="2" s="1"/>
  <c r="U70" i="2" a="1"/>
  <c r="U70" i="2" s="1"/>
  <c r="T70" i="2" a="1"/>
  <c r="T70" i="2" s="1"/>
  <c r="S70" i="2" a="1"/>
  <c r="S70" i="2" s="1"/>
  <c r="R70" i="2" a="1"/>
  <c r="R70" i="2" s="1"/>
  <c r="Q70" i="2" a="1"/>
  <c r="Q70" i="2" s="1"/>
  <c r="P70" i="2" a="1"/>
  <c r="P70" i="2" s="1"/>
  <c r="O70" i="2" a="1"/>
  <c r="O70" i="2" s="1"/>
  <c r="M70" i="2" a="1"/>
  <c r="M70" i="2" s="1"/>
  <c r="K70" i="2" a="1"/>
  <c r="K70" i="2" s="1"/>
  <c r="J70" i="2" a="1"/>
  <c r="J70" i="2" s="1"/>
  <c r="H70" i="2" a="1"/>
  <c r="H70" i="2" s="1"/>
  <c r="F70" i="2" a="1"/>
  <c r="F70" i="2" s="1"/>
  <c r="D70" i="2" a="1"/>
  <c r="D70" i="2" s="1"/>
  <c r="E70" i="2" s="1"/>
  <c r="C70" i="2" a="1"/>
  <c r="C70" i="2" s="1"/>
  <c r="A70" i="2" a="1"/>
  <c r="A70" i="2" s="1"/>
  <c r="AA70" i="2" s="1"/>
  <c r="X69" i="2" a="1"/>
  <c r="X69" i="2" s="1"/>
  <c r="W69" i="2" a="1"/>
  <c r="W69" i="2" s="1"/>
  <c r="V69" i="2" a="1"/>
  <c r="V69" i="2" s="1"/>
  <c r="U69" i="2" a="1"/>
  <c r="U69" i="2" s="1"/>
  <c r="T69" i="2" a="1"/>
  <c r="T69" i="2" s="1"/>
  <c r="S69" i="2" a="1"/>
  <c r="S69" i="2" s="1"/>
  <c r="R69" i="2" a="1"/>
  <c r="R69" i="2" s="1"/>
  <c r="Q69" i="2" a="1"/>
  <c r="Q69" i="2" s="1"/>
  <c r="P69" i="2" a="1"/>
  <c r="P69" i="2" s="1"/>
  <c r="O69" i="2" a="1"/>
  <c r="O69" i="2" s="1"/>
  <c r="M69" i="2" a="1"/>
  <c r="M69" i="2" s="1"/>
  <c r="K69" i="2" a="1"/>
  <c r="K69" i="2" s="1"/>
  <c r="J69" i="2" a="1"/>
  <c r="J69" i="2" s="1"/>
  <c r="H69" i="2" a="1"/>
  <c r="H69" i="2" s="1"/>
  <c r="F69" i="2" a="1"/>
  <c r="F69" i="2" s="1"/>
  <c r="D69" i="2" a="1"/>
  <c r="D69" i="2" s="1"/>
  <c r="E69" i="2" s="1"/>
  <c r="C69" i="2" a="1"/>
  <c r="C69" i="2" s="1"/>
  <c r="A69" i="2" a="1"/>
  <c r="A69" i="2" s="1"/>
  <c r="X68" i="2" a="1"/>
  <c r="X68" i="2" s="1"/>
  <c r="W68" i="2" a="1"/>
  <c r="W68" i="2" s="1"/>
  <c r="V68" i="2" a="1"/>
  <c r="V68" i="2" s="1"/>
  <c r="U68" i="2" a="1"/>
  <c r="U68" i="2" s="1"/>
  <c r="T68" i="2" a="1"/>
  <c r="T68" i="2" s="1"/>
  <c r="S68" i="2" a="1"/>
  <c r="S68" i="2" s="1"/>
  <c r="R68" i="2" a="1"/>
  <c r="R68" i="2" s="1"/>
  <c r="Q68" i="2" a="1"/>
  <c r="Q68" i="2" s="1"/>
  <c r="P68" i="2" a="1"/>
  <c r="P68" i="2" s="1"/>
  <c r="O68" i="2" a="1"/>
  <c r="O68" i="2" s="1"/>
  <c r="M68" i="2" a="1"/>
  <c r="M68" i="2" s="1"/>
  <c r="K68" i="2" a="1"/>
  <c r="K68" i="2" s="1"/>
  <c r="J68" i="2" a="1"/>
  <c r="J68" i="2" s="1"/>
  <c r="H68" i="2" a="1"/>
  <c r="H68" i="2" s="1"/>
  <c r="F68" i="2" a="1"/>
  <c r="F68" i="2" s="1"/>
  <c r="D68" i="2" a="1"/>
  <c r="D68" i="2" s="1"/>
  <c r="E68" i="2" s="1"/>
  <c r="C68" i="2" a="1"/>
  <c r="C68" i="2" s="1"/>
  <c r="A68" i="2" a="1"/>
  <c r="A68" i="2" s="1"/>
  <c r="AC68" i="2" s="1"/>
  <c r="X67" i="2" a="1"/>
  <c r="X67" i="2" s="1"/>
  <c r="W67" i="2" a="1"/>
  <c r="W67" i="2" s="1"/>
  <c r="V67" i="2" a="1"/>
  <c r="V67" i="2" s="1"/>
  <c r="U67" i="2" a="1"/>
  <c r="U67" i="2" s="1"/>
  <c r="T67" i="2" a="1"/>
  <c r="T67" i="2" s="1"/>
  <c r="S67" i="2" a="1"/>
  <c r="S67" i="2" s="1"/>
  <c r="R67" i="2" a="1"/>
  <c r="R67" i="2" s="1"/>
  <c r="Q67" i="2" a="1"/>
  <c r="Q67" i="2" s="1"/>
  <c r="P67" i="2" a="1"/>
  <c r="P67" i="2" s="1"/>
  <c r="O67" i="2" a="1"/>
  <c r="O67" i="2" s="1"/>
  <c r="M67" i="2" a="1"/>
  <c r="M67" i="2" s="1"/>
  <c r="K67" i="2" a="1"/>
  <c r="K67" i="2" s="1"/>
  <c r="J67" i="2" a="1"/>
  <c r="J67" i="2" s="1"/>
  <c r="H67" i="2" a="1"/>
  <c r="H67" i="2" s="1"/>
  <c r="F67" i="2" a="1"/>
  <c r="F67" i="2" s="1"/>
  <c r="D67" i="2" a="1"/>
  <c r="D67" i="2" s="1"/>
  <c r="E67" i="2" s="1"/>
  <c r="C67" i="2" a="1"/>
  <c r="C67" i="2" s="1"/>
  <c r="A67" i="2" a="1"/>
  <c r="A67" i="2" s="1"/>
  <c r="X66" i="2" a="1"/>
  <c r="X66" i="2" s="1"/>
  <c r="W66" i="2" a="1"/>
  <c r="W66" i="2" s="1"/>
  <c r="V66" i="2" a="1"/>
  <c r="V66" i="2" s="1"/>
  <c r="U66" i="2" a="1"/>
  <c r="U66" i="2" s="1"/>
  <c r="T66" i="2" a="1"/>
  <c r="T66" i="2" s="1"/>
  <c r="S66" i="2" a="1"/>
  <c r="S66" i="2" s="1"/>
  <c r="R66" i="2" a="1"/>
  <c r="R66" i="2" s="1"/>
  <c r="Q66" i="2" a="1"/>
  <c r="Q66" i="2" s="1"/>
  <c r="P66" i="2" a="1"/>
  <c r="P66" i="2" s="1"/>
  <c r="O66" i="2" a="1"/>
  <c r="O66" i="2" s="1"/>
  <c r="M66" i="2" a="1"/>
  <c r="M66" i="2" s="1"/>
  <c r="K66" i="2" a="1"/>
  <c r="K66" i="2" s="1"/>
  <c r="J66" i="2" a="1"/>
  <c r="J66" i="2" s="1"/>
  <c r="H66" i="2" a="1"/>
  <c r="H66" i="2" s="1"/>
  <c r="F66" i="2" a="1"/>
  <c r="F66" i="2" s="1"/>
  <c r="D66" i="2" a="1"/>
  <c r="D66" i="2" s="1"/>
  <c r="E66" i="2" s="1"/>
  <c r="C66" i="2" a="1"/>
  <c r="C66" i="2" s="1"/>
  <c r="A66" i="2" a="1"/>
  <c r="A66" i="2" s="1"/>
  <c r="X65" i="2" a="1"/>
  <c r="X65" i="2" s="1"/>
  <c r="W65" i="2" a="1"/>
  <c r="W65" i="2" s="1"/>
  <c r="V65" i="2" a="1"/>
  <c r="V65" i="2" s="1"/>
  <c r="U65" i="2" a="1"/>
  <c r="U65" i="2" s="1"/>
  <c r="T65" i="2" a="1"/>
  <c r="T65" i="2" s="1"/>
  <c r="S65" i="2" a="1"/>
  <c r="S65" i="2" s="1"/>
  <c r="R65" i="2" a="1"/>
  <c r="R65" i="2" s="1"/>
  <c r="Q65" i="2" a="1"/>
  <c r="Q65" i="2" s="1"/>
  <c r="P65" i="2" a="1"/>
  <c r="P65" i="2" s="1"/>
  <c r="O65" i="2" a="1"/>
  <c r="O65" i="2" s="1"/>
  <c r="M65" i="2" a="1"/>
  <c r="M65" i="2" s="1"/>
  <c r="K65" i="2" a="1"/>
  <c r="K65" i="2" s="1"/>
  <c r="J65" i="2" a="1"/>
  <c r="J65" i="2" s="1"/>
  <c r="H65" i="2" a="1"/>
  <c r="H65" i="2" s="1"/>
  <c r="F65" i="2" a="1"/>
  <c r="F65" i="2" s="1"/>
  <c r="D65" i="2" a="1"/>
  <c r="D65" i="2" s="1"/>
  <c r="E65" i="2" s="1"/>
  <c r="C65" i="2" a="1"/>
  <c r="C65" i="2" s="1"/>
  <c r="A65" i="2" a="1"/>
  <c r="A65" i="2" s="1"/>
  <c r="X64" i="2" a="1"/>
  <c r="X64" i="2" s="1"/>
  <c r="W64" i="2" a="1"/>
  <c r="W64" i="2" s="1"/>
  <c r="V64" i="2" a="1"/>
  <c r="V64" i="2" s="1"/>
  <c r="U64" i="2" a="1"/>
  <c r="U64" i="2" s="1"/>
  <c r="T64" i="2" a="1"/>
  <c r="T64" i="2"/>
  <c r="S64" i="2" a="1"/>
  <c r="S64" i="2" s="1"/>
  <c r="R64" i="2" a="1"/>
  <c r="R64" i="2" s="1"/>
  <c r="Q64" i="2" a="1"/>
  <c r="Q64" i="2" s="1"/>
  <c r="P64" i="2" a="1"/>
  <c r="P64" i="2" s="1"/>
  <c r="O64" i="2" a="1"/>
  <c r="O64" i="2" s="1"/>
  <c r="M64" i="2" a="1"/>
  <c r="M64" i="2" s="1"/>
  <c r="K64" i="2" a="1"/>
  <c r="K64" i="2" s="1"/>
  <c r="J64" i="2" a="1"/>
  <c r="J64" i="2" s="1"/>
  <c r="H64" i="2" a="1"/>
  <c r="H64" i="2" s="1"/>
  <c r="F64" i="2" a="1"/>
  <c r="F64" i="2" s="1"/>
  <c r="D64" i="2" a="1"/>
  <c r="D64" i="2" s="1"/>
  <c r="E64" i="2" s="1"/>
  <c r="C64" i="2" a="1"/>
  <c r="C64" i="2" s="1"/>
  <c r="A64" i="2" a="1"/>
  <c r="A64" i="2" s="1"/>
  <c r="X63" i="2" a="1"/>
  <c r="X63" i="2" s="1"/>
  <c r="W63" i="2" a="1"/>
  <c r="W63" i="2" s="1"/>
  <c r="V63" i="2" a="1"/>
  <c r="V63" i="2" s="1"/>
  <c r="U63" i="2" a="1"/>
  <c r="U63" i="2" s="1"/>
  <c r="T63" i="2" a="1"/>
  <c r="T63" i="2" s="1"/>
  <c r="S63" i="2" a="1"/>
  <c r="S63" i="2" s="1"/>
  <c r="R63" i="2" a="1"/>
  <c r="R63" i="2" s="1"/>
  <c r="Q63" i="2" a="1"/>
  <c r="Q63" i="2" s="1"/>
  <c r="P63" i="2" a="1"/>
  <c r="P63" i="2" s="1"/>
  <c r="O63" i="2" a="1"/>
  <c r="O63" i="2" s="1"/>
  <c r="M63" i="2" a="1"/>
  <c r="M63" i="2" s="1"/>
  <c r="K63" i="2" a="1"/>
  <c r="K63" i="2" s="1"/>
  <c r="J63" i="2" a="1"/>
  <c r="J63" i="2" s="1"/>
  <c r="H63" i="2" a="1"/>
  <c r="H63" i="2" s="1"/>
  <c r="F63" i="2" a="1"/>
  <c r="F63" i="2" s="1"/>
  <c r="D63" i="2" a="1"/>
  <c r="D63" i="2" s="1"/>
  <c r="E63" i="2" s="1"/>
  <c r="C63" i="2" a="1"/>
  <c r="C63" i="2" s="1"/>
  <c r="A63" i="2" a="1"/>
  <c r="A63" i="2" s="1"/>
  <c r="X62" i="2" a="1"/>
  <c r="X62" i="2" s="1"/>
  <c r="W62" i="2" a="1"/>
  <c r="W62" i="2" s="1"/>
  <c r="V62" i="2" a="1"/>
  <c r="V62" i="2" s="1"/>
  <c r="U62" i="2" a="1"/>
  <c r="U62" i="2" s="1"/>
  <c r="T62" i="2" a="1"/>
  <c r="T62" i="2" s="1"/>
  <c r="S62" i="2" a="1"/>
  <c r="S62" i="2" s="1"/>
  <c r="R62" i="2" a="1"/>
  <c r="R62" i="2" s="1"/>
  <c r="Q62" i="2" a="1"/>
  <c r="Q62" i="2" s="1"/>
  <c r="P62" i="2" a="1"/>
  <c r="P62" i="2" s="1"/>
  <c r="O62" i="2" a="1"/>
  <c r="O62" i="2" s="1"/>
  <c r="M62" i="2" a="1"/>
  <c r="M62" i="2" s="1"/>
  <c r="K62" i="2" a="1"/>
  <c r="K62" i="2" s="1"/>
  <c r="J62" i="2" a="1"/>
  <c r="J62" i="2" s="1"/>
  <c r="H62" i="2" a="1"/>
  <c r="H62" i="2" s="1"/>
  <c r="F62" i="2" a="1"/>
  <c r="F62" i="2" s="1"/>
  <c r="D62" i="2" a="1"/>
  <c r="D62" i="2" s="1"/>
  <c r="E62" i="2" s="1"/>
  <c r="C62" i="2" a="1"/>
  <c r="C62" i="2" s="1"/>
  <c r="A62" i="2" a="1"/>
  <c r="A62" i="2" s="1"/>
  <c r="X61" i="2" a="1"/>
  <c r="X61" i="2" s="1"/>
  <c r="W61" i="2" a="1"/>
  <c r="W61" i="2" s="1"/>
  <c r="V61" i="2" a="1"/>
  <c r="V61" i="2" s="1"/>
  <c r="U61" i="2" a="1"/>
  <c r="U61" i="2" s="1"/>
  <c r="T61" i="2" a="1"/>
  <c r="T61" i="2" s="1"/>
  <c r="S61" i="2" a="1"/>
  <c r="S61" i="2" s="1"/>
  <c r="R61" i="2" a="1"/>
  <c r="R61" i="2" s="1"/>
  <c r="Q61" i="2" a="1"/>
  <c r="Q61" i="2" s="1"/>
  <c r="P61" i="2" a="1"/>
  <c r="P61" i="2" s="1"/>
  <c r="O61" i="2" a="1"/>
  <c r="O61" i="2" s="1"/>
  <c r="M61" i="2" a="1"/>
  <c r="M61" i="2" s="1"/>
  <c r="K61" i="2" a="1"/>
  <c r="K61" i="2" s="1"/>
  <c r="J61" i="2" a="1"/>
  <c r="J61" i="2" s="1"/>
  <c r="H61" i="2" a="1"/>
  <c r="H61" i="2" s="1"/>
  <c r="F61" i="2" a="1"/>
  <c r="F61" i="2" s="1"/>
  <c r="D61" i="2" a="1"/>
  <c r="D61" i="2" s="1"/>
  <c r="E61" i="2" s="1"/>
  <c r="C61" i="2" a="1"/>
  <c r="C61" i="2" s="1"/>
  <c r="A61" i="2" a="1"/>
  <c r="A61" i="2" s="1"/>
  <c r="X60" i="2" a="1"/>
  <c r="X60" i="2" s="1"/>
  <c r="W60" i="2" a="1"/>
  <c r="W60" i="2" s="1"/>
  <c r="V60" i="2" a="1"/>
  <c r="V60" i="2" s="1"/>
  <c r="U60" i="2" a="1"/>
  <c r="U60" i="2" s="1"/>
  <c r="T60" i="2" a="1"/>
  <c r="T60" i="2" s="1"/>
  <c r="S60" i="2" a="1"/>
  <c r="S60" i="2" s="1"/>
  <c r="R60" i="2" a="1"/>
  <c r="R60" i="2" s="1"/>
  <c r="Q60" i="2" a="1"/>
  <c r="Q60" i="2" s="1"/>
  <c r="P60" i="2" a="1"/>
  <c r="P60" i="2" s="1"/>
  <c r="O60" i="2" a="1"/>
  <c r="O60" i="2" s="1"/>
  <c r="M60" i="2" a="1"/>
  <c r="M60" i="2" s="1"/>
  <c r="K60" i="2" a="1"/>
  <c r="K60" i="2" s="1"/>
  <c r="J60" i="2" a="1"/>
  <c r="J60" i="2" s="1"/>
  <c r="H60" i="2" a="1"/>
  <c r="H60" i="2" s="1"/>
  <c r="F60" i="2" a="1"/>
  <c r="F60" i="2" s="1"/>
  <c r="D60" i="2" a="1"/>
  <c r="D60" i="2" s="1"/>
  <c r="E60" i="2" s="1"/>
  <c r="C60" i="2" a="1"/>
  <c r="C60" i="2" s="1"/>
  <c r="A60" i="2" a="1"/>
  <c r="A60" i="2" s="1"/>
  <c r="X59" i="2" a="1"/>
  <c r="X59" i="2" s="1"/>
  <c r="W59" i="2" a="1"/>
  <c r="W59" i="2" s="1"/>
  <c r="V59" i="2" a="1"/>
  <c r="V59" i="2" s="1"/>
  <c r="U59" i="2" a="1"/>
  <c r="U59" i="2" s="1"/>
  <c r="T59" i="2" a="1"/>
  <c r="T59" i="2" s="1"/>
  <c r="S59" i="2" a="1"/>
  <c r="S59" i="2" s="1"/>
  <c r="R59" i="2" a="1"/>
  <c r="R59" i="2" s="1"/>
  <c r="Q59" i="2" a="1"/>
  <c r="Q59" i="2" s="1"/>
  <c r="P59" i="2" a="1"/>
  <c r="P59" i="2" s="1"/>
  <c r="O59" i="2" a="1"/>
  <c r="O59" i="2" s="1"/>
  <c r="M59" i="2" a="1"/>
  <c r="M59" i="2" s="1"/>
  <c r="K59" i="2" a="1"/>
  <c r="K59" i="2" s="1"/>
  <c r="J59" i="2" a="1"/>
  <c r="J59" i="2" s="1"/>
  <c r="H59" i="2" a="1"/>
  <c r="H59" i="2" s="1"/>
  <c r="F59" i="2" a="1"/>
  <c r="F59" i="2" s="1"/>
  <c r="D59" i="2" a="1"/>
  <c r="D59" i="2" s="1"/>
  <c r="E59" i="2" s="1"/>
  <c r="C59" i="2" a="1"/>
  <c r="C59" i="2" s="1"/>
  <c r="A59" i="2" a="1"/>
  <c r="A59" i="2" s="1"/>
  <c r="X58" i="2" a="1"/>
  <c r="X58" i="2" s="1"/>
  <c r="W58" i="2" a="1"/>
  <c r="W58" i="2" s="1"/>
  <c r="V58" i="2" a="1"/>
  <c r="V58" i="2" s="1"/>
  <c r="U58" i="2" a="1"/>
  <c r="U58" i="2" s="1"/>
  <c r="T58" i="2" a="1"/>
  <c r="T58" i="2" s="1"/>
  <c r="S58" i="2" a="1"/>
  <c r="S58" i="2" s="1"/>
  <c r="R58" i="2" a="1"/>
  <c r="R58" i="2" s="1"/>
  <c r="Q58" i="2" a="1"/>
  <c r="Q58" i="2" s="1"/>
  <c r="P58" i="2" a="1"/>
  <c r="P58" i="2" s="1"/>
  <c r="O58" i="2" a="1"/>
  <c r="O58" i="2" s="1"/>
  <c r="M58" i="2" a="1"/>
  <c r="M58" i="2" s="1"/>
  <c r="K58" i="2" a="1"/>
  <c r="K58" i="2" s="1"/>
  <c r="J58" i="2" a="1"/>
  <c r="J58" i="2" s="1"/>
  <c r="H58" i="2" a="1"/>
  <c r="H58" i="2" s="1"/>
  <c r="F58" i="2" a="1"/>
  <c r="F58" i="2" s="1"/>
  <c r="D58" i="2" a="1"/>
  <c r="D58" i="2" s="1"/>
  <c r="E58" i="2" s="1"/>
  <c r="C58" i="2" a="1"/>
  <c r="C58" i="2" s="1"/>
  <c r="A58" i="2" a="1"/>
  <c r="A58" i="2" s="1"/>
  <c r="X57" i="2" a="1"/>
  <c r="X57" i="2" s="1"/>
  <c r="W57" i="2" a="1"/>
  <c r="W57" i="2" s="1"/>
  <c r="V57" i="2" a="1"/>
  <c r="V57" i="2" s="1"/>
  <c r="U57" i="2" a="1"/>
  <c r="U57" i="2" s="1"/>
  <c r="T57" i="2" a="1"/>
  <c r="T57" i="2" s="1"/>
  <c r="S57" i="2" a="1"/>
  <c r="S57" i="2" s="1"/>
  <c r="R57" i="2" a="1"/>
  <c r="R57" i="2" s="1"/>
  <c r="Q57" i="2" a="1"/>
  <c r="Q57" i="2" s="1"/>
  <c r="P57" i="2" a="1"/>
  <c r="P57" i="2" s="1"/>
  <c r="O57" i="2" a="1"/>
  <c r="O57" i="2" s="1"/>
  <c r="M57" i="2" a="1"/>
  <c r="M57" i="2" s="1"/>
  <c r="K57" i="2" a="1"/>
  <c r="K57" i="2" s="1"/>
  <c r="J57" i="2" a="1"/>
  <c r="J57" i="2" s="1"/>
  <c r="H57" i="2" a="1"/>
  <c r="H57" i="2" s="1"/>
  <c r="F57" i="2" a="1"/>
  <c r="F57" i="2" s="1"/>
  <c r="D57" i="2" a="1"/>
  <c r="D57" i="2" s="1"/>
  <c r="E57" i="2" s="1"/>
  <c r="C57" i="2" a="1"/>
  <c r="C57" i="2" s="1"/>
  <c r="A57" i="2" a="1"/>
  <c r="A57" i="2" s="1"/>
  <c r="X56" i="2" a="1"/>
  <c r="X56" i="2" s="1"/>
  <c r="W56" i="2" a="1"/>
  <c r="W56" i="2" s="1"/>
  <c r="V56" i="2" a="1"/>
  <c r="V56" i="2" s="1"/>
  <c r="U56" i="2" a="1"/>
  <c r="U56" i="2" s="1"/>
  <c r="T56" i="2" a="1"/>
  <c r="T56" i="2" s="1"/>
  <c r="S56" i="2" a="1"/>
  <c r="S56" i="2" s="1"/>
  <c r="R56" i="2" a="1"/>
  <c r="R56" i="2" s="1"/>
  <c r="Q56" i="2" a="1"/>
  <c r="Q56" i="2" s="1"/>
  <c r="P56" i="2" a="1"/>
  <c r="P56" i="2" s="1"/>
  <c r="O56" i="2" a="1"/>
  <c r="O56" i="2" s="1"/>
  <c r="M56" i="2" a="1"/>
  <c r="M56" i="2" s="1"/>
  <c r="K56" i="2" a="1"/>
  <c r="K56" i="2" s="1"/>
  <c r="J56" i="2" a="1"/>
  <c r="J56" i="2" s="1"/>
  <c r="H56" i="2" a="1"/>
  <c r="H56" i="2" s="1"/>
  <c r="F56" i="2" a="1"/>
  <c r="F56" i="2" s="1"/>
  <c r="D56" i="2" a="1"/>
  <c r="D56" i="2" s="1"/>
  <c r="E56" i="2" s="1"/>
  <c r="C56" i="2" a="1"/>
  <c r="C56" i="2" s="1"/>
  <c r="A56" i="2" a="1"/>
  <c r="A56" i="2" s="1"/>
  <c r="Z56" i="2" s="1"/>
  <c r="X55" i="2" a="1"/>
  <c r="X55" i="2" s="1"/>
  <c r="W55" i="2" a="1"/>
  <c r="W55" i="2" s="1"/>
  <c r="V55" i="2" a="1"/>
  <c r="V55" i="2" s="1"/>
  <c r="U55" i="2" a="1"/>
  <c r="U55" i="2" s="1"/>
  <c r="T55" i="2" a="1"/>
  <c r="T55" i="2" s="1"/>
  <c r="S55" i="2" a="1"/>
  <c r="S55" i="2" s="1"/>
  <c r="R55" i="2" a="1"/>
  <c r="R55" i="2" s="1"/>
  <c r="Q55" i="2" a="1"/>
  <c r="Q55" i="2" s="1"/>
  <c r="P55" i="2" a="1"/>
  <c r="P55" i="2" s="1"/>
  <c r="O55" i="2" a="1"/>
  <c r="O55" i="2" s="1"/>
  <c r="M55" i="2" a="1"/>
  <c r="M55" i="2" s="1"/>
  <c r="K55" i="2" a="1"/>
  <c r="K55" i="2" s="1"/>
  <c r="J55" i="2" a="1"/>
  <c r="J55" i="2" s="1"/>
  <c r="H55" i="2" a="1"/>
  <c r="H55" i="2" s="1"/>
  <c r="F55" i="2" a="1"/>
  <c r="F55" i="2" s="1"/>
  <c r="D55" i="2" a="1"/>
  <c r="D55" i="2" s="1"/>
  <c r="E55" i="2" s="1"/>
  <c r="C55" i="2" a="1"/>
  <c r="C55" i="2" s="1"/>
  <c r="A55" i="2" a="1"/>
  <c r="A55" i="2" s="1"/>
  <c r="X54" i="2" a="1"/>
  <c r="X54" i="2" s="1"/>
  <c r="W54" i="2" a="1"/>
  <c r="W54" i="2" s="1"/>
  <c r="V54" i="2" a="1"/>
  <c r="V54" i="2" s="1"/>
  <c r="U54" i="2" a="1"/>
  <c r="U54" i="2" s="1"/>
  <c r="T54" i="2" a="1"/>
  <c r="T54" i="2" s="1"/>
  <c r="S54" i="2" a="1"/>
  <c r="S54" i="2" s="1"/>
  <c r="R54" i="2" a="1"/>
  <c r="R54" i="2" s="1"/>
  <c r="Q54" i="2" a="1"/>
  <c r="Q54" i="2" s="1"/>
  <c r="P54" i="2" a="1"/>
  <c r="P54" i="2" s="1"/>
  <c r="O54" i="2" a="1"/>
  <c r="O54" i="2" s="1"/>
  <c r="M54" i="2" a="1"/>
  <c r="M54" i="2" s="1"/>
  <c r="K54" i="2" a="1"/>
  <c r="K54" i="2" s="1"/>
  <c r="J54" i="2" a="1"/>
  <c r="J54" i="2" s="1"/>
  <c r="H54" i="2" a="1"/>
  <c r="H54" i="2" s="1"/>
  <c r="F54" i="2" a="1"/>
  <c r="F54" i="2" s="1"/>
  <c r="D54" i="2" a="1"/>
  <c r="D54" i="2" s="1"/>
  <c r="E54" i="2" s="1"/>
  <c r="C54" i="2" a="1"/>
  <c r="C54" i="2" s="1"/>
  <c r="A54" i="2" a="1"/>
  <c r="A54" i="2" s="1"/>
  <c r="Z54" i="2" s="1"/>
  <c r="X53" i="2" a="1"/>
  <c r="X53" i="2" s="1"/>
  <c r="W53" i="2" a="1"/>
  <c r="W53" i="2" s="1"/>
  <c r="V53" i="2" a="1"/>
  <c r="V53" i="2" s="1"/>
  <c r="U53" i="2" a="1"/>
  <c r="U53" i="2" s="1"/>
  <c r="T53" i="2" a="1"/>
  <c r="T53" i="2" s="1"/>
  <c r="S53" i="2" a="1"/>
  <c r="S53" i="2" s="1"/>
  <c r="R53" i="2" a="1"/>
  <c r="R53" i="2" s="1"/>
  <c r="Q53" i="2" a="1"/>
  <c r="Q53" i="2" s="1"/>
  <c r="P53" i="2" a="1"/>
  <c r="P53" i="2" s="1"/>
  <c r="O53" i="2" a="1"/>
  <c r="O53" i="2" s="1"/>
  <c r="M53" i="2" a="1"/>
  <c r="M53" i="2" s="1"/>
  <c r="K53" i="2" a="1"/>
  <c r="K53" i="2" s="1"/>
  <c r="J53" i="2" a="1"/>
  <c r="J53" i="2" s="1"/>
  <c r="H53" i="2" a="1"/>
  <c r="H53" i="2" s="1"/>
  <c r="F53" i="2" a="1"/>
  <c r="F53" i="2" s="1"/>
  <c r="D53" i="2" a="1"/>
  <c r="D53" i="2" s="1"/>
  <c r="E53" i="2" s="1"/>
  <c r="C53" i="2" a="1"/>
  <c r="C53" i="2" s="1"/>
  <c r="A53" i="2" a="1"/>
  <c r="A53" i="2" s="1"/>
  <c r="X52" i="2" a="1"/>
  <c r="X52" i="2" s="1"/>
  <c r="W52" i="2" a="1"/>
  <c r="W52" i="2" s="1"/>
  <c r="V52" i="2" a="1"/>
  <c r="V52" i="2" s="1"/>
  <c r="U52" i="2" a="1"/>
  <c r="U52" i="2" s="1"/>
  <c r="T52" i="2" a="1"/>
  <c r="T52" i="2" s="1"/>
  <c r="S52" i="2" a="1"/>
  <c r="S52" i="2" s="1"/>
  <c r="R52" i="2" a="1"/>
  <c r="R52" i="2" s="1"/>
  <c r="Q52" i="2" a="1"/>
  <c r="Q52" i="2" s="1"/>
  <c r="P52" i="2" a="1"/>
  <c r="P52" i="2" s="1"/>
  <c r="O52" i="2" a="1"/>
  <c r="O52" i="2" s="1"/>
  <c r="M52" i="2" a="1"/>
  <c r="M52" i="2" s="1"/>
  <c r="K52" i="2" a="1"/>
  <c r="K52" i="2" s="1"/>
  <c r="J52" i="2" a="1"/>
  <c r="J52" i="2" s="1"/>
  <c r="H52" i="2" a="1"/>
  <c r="H52" i="2" s="1"/>
  <c r="F52" i="2" a="1"/>
  <c r="F52" i="2" s="1"/>
  <c r="D52" i="2" a="1"/>
  <c r="D52" i="2" s="1"/>
  <c r="E52" i="2" s="1"/>
  <c r="C52" i="2" a="1"/>
  <c r="C52" i="2" s="1"/>
  <c r="A52" i="2" a="1"/>
  <c r="A52" i="2" s="1"/>
  <c r="AD52" i="2" s="1"/>
  <c r="X51" i="2" a="1"/>
  <c r="X51" i="2" s="1"/>
  <c r="W51" i="2" a="1"/>
  <c r="W51" i="2" s="1"/>
  <c r="V51" i="2" a="1"/>
  <c r="V51" i="2" s="1"/>
  <c r="U51" i="2" a="1"/>
  <c r="U51" i="2" s="1"/>
  <c r="T51" i="2" a="1"/>
  <c r="T51" i="2" s="1"/>
  <c r="S51" i="2" a="1"/>
  <c r="S51" i="2" s="1"/>
  <c r="R51" i="2" a="1"/>
  <c r="R51" i="2" s="1"/>
  <c r="Q51" i="2" a="1"/>
  <c r="Q51" i="2" s="1"/>
  <c r="P51" i="2" a="1"/>
  <c r="P51" i="2" s="1"/>
  <c r="O51" i="2" a="1"/>
  <c r="O51" i="2" s="1"/>
  <c r="M51" i="2" a="1"/>
  <c r="M51" i="2" s="1"/>
  <c r="K51" i="2" a="1"/>
  <c r="K51" i="2" s="1"/>
  <c r="J51" i="2" a="1"/>
  <c r="J51" i="2" s="1"/>
  <c r="H51" i="2" a="1"/>
  <c r="H51" i="2" s="1"/>
  <c r="F51" i="2" a="1"/>
  <c r="F51" i="2" s="1"/>
  <c r="D51" i="2" a="1"/>
  <c r="D51" i="2" s="1"/>
  <c r="E51" i="2" s="1"/>
  <c r="C51" i="2" a="1"/>
  <c r="C51" i="2" s="1"/>
  <c r="A51" i="2" a="1"/>
  <c r="A51" i="2" s="1"/>
  <c r="X50" i="2" a="1"/>
  <c r="X50" i="2" s="1"/>
  <c r="W50" i="2" a="1"/>
  <c r="W50" i="2" s="1"/>
  <c r="V50" i="2" a="1"/>
  <c r="V50" i="2" s="1"/>
  <c r="U50" i="2" a="1"/>
  <c r="U50" i="2" s="1"/>
  <c r="T50" i="2" a="1"/>
  <c r="T50" i="2" s="1"/>
  <c r="S50" i="2" a="1"/>
  <c r="S50" i="2" s="1"/>
  <c r="R50" i="2" a="1"/>
  <c r="R50" i="2" s="1"/>
  <c r="Q50" i="2" a="1"/>
  <c r="Q50" i="2" s="1"/>
  <c r="P50" i="2" a="1"/>
  <c r="P50" i="2" s="1"/>
  <c r="O50" i="2" a="1"/>
  <c r="O50" i="2" s="1"/>
  <c r="M50" i="2" a="1"/>
  <c r="M50" i="2" s="1"/>
  <c r="K50" i="2" a="1"/>
  <c r="K50" i="2" s="1"/>
  <c r="J50" i="2" a="1"/>
  <c r="J50" i="2" s="1"/>
  <c r="H50" i="2" a="1"/>
  <c r="H50" i="2" s="1"/>
  <c r="F50" i="2" a="1"/>
  <c r="F50" i="2" s="1"/>
  <c r="D50" i="2" a="1"/>
  <c r="D50" i="2" s="1"/>
  <c r="E50" i="2" s="1"/>
  <c r="C50" i="2" a="1"/>
  <c r="C50" i="2" s="1"/>
  <c r="A50" i="2" a="1"/>
  <c r="A50" i="2" s="1"/>
  <c r="X49" i="2" a="1"/>
  <c r="X49" i="2" s="1"/>
  <c r="W49" i="2" a="1"/>
  <c r="W49" i="2" s="1"/>
  <c r="V49" i="2" a="1"/>
  <c r="V49" i="2" s="1"/>
  <c r="U49" i="2" a="1"/>
  <c r="U49" i="2" s="1"/>
  <c r="T49" i="2" a="1"/>
  <c r="T49" i="2" s="1"/>
  <c r="S49" i="2" a="1"/>
  <c r="S49" i="2" s="1"/>
  <c r="R49" i="2" a="1"/>
  <c r="R49" i="2" s="1"/>
  <c r="Q49" i="2" a="1"/>
  <c r="Q49" i="2" s="1"/>
  <c r="P49" i="2" a="1"/>
  <c r="P49" i="2" s="1"/>
  <c r="O49" i="2" a="1"/>
  <c r="O49" i="2" s="1"/>
  <c r="M49" i="2" a="1"/>
  <c r="M49" i="2" s="1"/>
  <c r="K49" i="2" a="1"/>
  <c r="K49" i="2" s="1"/>
  <c r="J49" i="2" a="1"/>
  <c r="J49" i="2" s="1"/>
  <c r="H49" i="2" a="1"/>
  <c r="H49" i="2" s="1"/>
  <c r="F49" i="2" a="1"/>
  <c r="F49" i="2" s="1"/>
  <c r="D49" i="2" a="1"/>
  <c r="D49" i="2" s="1"/>
  <c r="E49" i="2" s="1"/>
  <c r="C49" i="2" a="1"/>
  <c r="C49" i="2" s="1"/>
  <c r="A49" i="2" a="1"/>
  <c r="A49" i="2" s="1"/>
  <c r="X48" i="2" a="1"/>
  <c r="X48" i="2" s="1"/>
  <c r="W48" i="2" a="1"/>
  <c r="W48" i="2" s="1"/>
  <c r="V48" i="2" a="1"/>
  <c r="V48" i="2" s="1"/>
  <c r="U48" i="2" a="1"/>
  <c r="U48" i="2" s="1"/>
  <c r="T48" i="2" a="1"/>
  <c r="T48" i="2" s="1"/>
  <c r="S48" i="2" a="1"/>
  <c r="S48" i="2" s="1"/>
  <c r="R48" i="2" a="1"/>
  <c r="R48" i="2" s="1"/>
  <c r="Q48" i="2" a="1"/>
  <c r="Q48" i="2" s="1"/>
  <c r="P48" i="2" a="1"/>
  <c r="P48" i="2" s="1"/>
  <c r="O48" i="2" a="1"/>
  <c r="O48" i="2" s="1"/>
  <c r="M48" i="2" a="1"/>
  <c r="M48" i="2" s="1"/>
  <c r="K48" i="2" a="1"/>
  <c r="K48" i="2" s="1"/>
  <c r="J48" i="2" a="1"/>
  <c r="J48" i="2" s="1"/>
  <c r="H48" i="2" a="1"/>
  <c r="H48" i="2" s="1"/>
  <c r="F48" i="2" a="1"/>
  <c r="F48" i="2" s="1"/>
  <c r="D48" i="2" a="1"/>
  <c r="D48" i="2" s="1"/>
  <c r="E48" i="2" s="1"/>
  <c r="C48" i="2" a="1"/>
  <c r="C48" i="2" s="1"/>
  <c r="A48" i="2" a="1"/>
  <c r="A48" i="2" s="1"/>
  <c r="AD48" i="2" s="1"/>
  <c r="X47" i="2" a="1"/>
  <c r="X47" i="2" s="1"/>
  <c r="W47" i="2" a="1"/>
  <c r="W47" i="2" s="1"/>
  <c r="V47" i="2" a="1"/>
  <c r="V47" i="2" s="1"/>
  <c r="U47" i="2" a="1"/>
  <c r="U47" i="2" s="1"/>
  <c r="T47" i="2" a="1"/>
  <c r="T47" i="2" s="1"/>
  <c r="S47" i="2" a="1"/>
  <c r="S47" i="2" s="1"/>
  <c r="R47" i="2" a="1"/>
  <c r="R47" i="2" s="1"/>
  <c r="Q47" i="2" a="1"/>
  <c r="Q47" i="2" s="1"/>
  <c r="P47" i="2" a="1"/>
  <c r="P47" i="2" s="1"/>
  <c r="O47" i="2" a="1"/>
  <c r="O47" i="2" s="1"/>
  <c r="M47" i="2" a="1"/>
  <c r="M47" i="2" s="1"/>
  <c r="K47" i="2" a="1"/>
  <c r="K47" i="2" s="1"/>
  <c r="J47" i="2" a="1"/>
  <c r="J47" i="2" s="1"/>
  <c r="H47" i="2" a="1"/>
  <c r="H47" i="2" s="1"/>
  <c r="F47" i="2" a="1"/>
  <c r="F47" i="2" s="1"/>
  <c r="D47" i="2" a="1"/>
  <c r="D47" i="2" s="1"/>
  <c r="E47" i="2" s="1"/>
  <c r="C47" i="2" a="1"/>
  <c r="C47" i="2" s="1"/>
  <c r="A47" i="2" a="1"/>
  <c r="A47" i="2" s="1"/>
  <c r="X46" i="2" a="1"/>
  <c r="X46" i="2" s="1"/>
  <c r="W46" i="2" a="1"/>
  <c r="W46" i="2" s="1"/>
  <c r="V46" i="2" a="1"/>
  <c r="V46" i="2" s="1"/>
  <c r="U46" i="2" a="1"/>
  <c r="U46" i="2" s="1"/>
  <c r="T46" i="2" a="1"/>
  <c r="T46" i="2" s="1"/>
  <c r="S46" i="2" a="1"/>
  <c r="S46" i="2" s="1"/>
  <c r="R46" i="2" a="1"/>
  <c r="R46" i="2" s="1"/>
  <c r="Q46" i="2" a="1"/>
  <c r="Q46" i="2" s="1"/>
  <c r="P46" i="2" a="1"/>
  <c r="P46" i="2" s="1"/>
  <c r="O46" i="2" a="1"/>
  <c r="O46" i="2" s="1"/>
  <c r="M46" i="2" a="1"/>
  <c r="M46" i="2" s="1"/>
  <c r="K46" i="2" a="1"/>
  <c r="K46" i="2" s="1"/>
  <c r="J46" i="2" a="1"/>
  <c r="J46" i="2" s="1"/>
  <c r="H46" i="2" a="1"/>
  <c r="H46" i="2" s="1"/>
  <c r="F46" i="2" a="1"/>
  <c r="F46" i="2" s="1"/>
  <c r="D46" i="2" a="1"/>
  <c r="D46" i="2" s="1"/>
  <c r="E46" i="2" s="1"/>
  <c r="C46" i="2" a="1"/>
  <c r="C46" i="2" s="1"/>
  <c r="A46" i="2" a="1"/>
  <c r="A46" i="2" s="1"/>
  <c r="X45" i="2" a="1"/>
  <c r="X45" i="2" s="1"/>
  <c r="W45" i="2" a="1"/>
  <c r="W45" i="2" s="1"/>
  <c r="V45" i="2" a="1"/>
  <c r="V45" i="2" s="1"/>
  <c r="U45" i="2" a="1"/>
  <c r="U45" i="2" s="1"/>
  <c r="T45" i="2" a="1"/>
  <c r="T45" i="2" s="1"/>
  <c r="S45" i="2" a="1"/>
  <c r="S45" i="2" s="1"/>
  <c r="R45" i="2" a="1"/>
  <c r="R45" i="2" s="1"/>
  <c r="Q45" i="2" a="1"/>
  <c r="Q45" i="2" s="1"/>
  <c r="P45" i="2" a="1"/>
  <c r="P45" i="2" s="1"/>
  <c r="O45" i="2" a="1"/>
  <c r="O45" i="2" s="1"/>
  <c r="M45" i="2" a="1"/>
  <c r="M45" i="2" s="1"/>
  <c r="K45" i="2" a="1"/>
  <c r="K45" i="2" s="1"/>
  <c r="J45" i="2" a="1"/>
  <c r="J45" i="2" s="1"/>
  <c r="H45" i="2" a="1"/>
  <c r="H45" i="2" s="1"/>
  <c r="F45" i="2" a="1"/>
  <c r="F45" i="2" s="1"/>
  <c r="D45" i="2" a="1"/>
  <c r="D45" i="2" s="1"/>
  <c r="E45" i="2" s="1"/>
  <c r="C45" i="2" a="1"/>
  <c r="C45" i="2" s="1"/>
  <c r="A45" i="2" a="1"/>
  <c r="A45" i="2" s="1"/>
  <c r="AA45" i="2" s="1"/>
  <c r="X44" i="2" a="1"/>
  <c r="X44" i="2" s="1"/>
  <c r="W44" i="2" a="1"/>
  <c r="W44" i="2" s="1"/>
  <c r="V44" i="2" a="1"/>
  <c r="V44" i="2" s="1"/>
  <c r="U44" i="2" a="1"/>
  <c r="U44" i="2" s="1"/>
  <c r="T44" i="2" a="1"/>
  <c r="T44" i="2" s="1"/>
  <c r="S44" i="2" a="1"/>
  <c r="S44" i="2" s="1"/>
  <c r="R44" i="2" a="1"/>
  <c r="R44" i="2" s="1"/>
  <c r="Q44" i="2" a="1"/>
  <c r="Q44" i="2" s="1"/>
  <c r="P44" i="2" a="1"/>
  <c r="P44" i="2" s="1"/>
  <c r="O44" i="2" a="1"/>
  <c r="O44" i="2" s="1"/>
  <c r="M44" i="2" a="1"/>
  <c r="M44" i="2" s="1"/>
  <c r="K44" i="2" a="1"/>
  <c r="K44" i="2" s="1"/>
  <c r="J44" i="2" a="1"/>
  <c r="J44" i="2" s="1"/>
  <c r="H44" i="2" a="1"/>
  <c r="H44" i="2" s="1"/>
  <c r="F44" i="2" a="1"/>
  <c r="F44" i="2" s="1"/>
  <c r="D44" i="2" a="1"/>
  <c r="D44" i="2" s="1"/>
  <c r="E44" i="2" s="1"/>
  <c r="C44" i="2" a="1"/>
  <c r="C44" i="2" s="1"/>
  <c r="A44" i="2" a="1"/>
  <c r="A44" i="2" s="1"/>
  <c r="X43" i="2" a="1"/>
  <c r="X43" i="2" s="1"/>
  <c r="W43" i="2" a="1"/>
  <c r="W43" i="2" s="1"/>
  <c r="V43" i="2" a="1"/>
  <c r="V43" i="2" s="1"/>
  <c r="U43" i="2" a="1"/>
  <c r="U43" i="2" s="1"/>
  <c r="T43" i="2" a="1"/>
  <c r="T43" i="2" s="1"/>
  <c r="S43" i="2" a="1"/>
  <c r="S43" i="2" s="1"/>
  <c r="R43" i="2" a="1"/>
  <c r="R43" i="2" s="1"/>
  <c r="Q43" i="2" a="1"/>
  <c r="Q43" i="2" s="1"/>
  <c r="P43" i="2" a="1"/>
  <c r="P43" i="2" s="1"/>
  <c r="O43" i="2" a="1"/>
  <c r="O43" i="2" s="1"/>
  <c r="M43" i="2" a="1"/>
  <c r="M43" i="2" s="1"/>
  <c r="K43" i="2" a="1"/>
  <c r="K43" i="2" s="1"/>
  <c r="J43" i="2" a="1"/>
  <c r="J43" i="2" s="1"/>
  <c r="H43" i="2" a="1"/>
  <c r="H43" i="2" s="1"/>
  <c r="F43" i="2" a="1"/>
  <c r="F43" i="2" s="1"/>
  <c r="D43" i="2" a="1"/>
  <c r="D43" i="2" s="1"/>
  <c r="E43" i="2" s="1"/>
  <c r="C43" i="2" a="1"/>
  <c r="C43" i="2" s="1"/>
  <c r="A43" i="2" a="1"/>
  <c r="A43" i="2" s="1"/>
  <c r="X42" i="2" a="1"/>
  <c r="X42" i="2" s="1"/>
  <c r="W42" i="2" a="1"/>
  <c r="W42" i="2" s="1"/>
  <c r="V42" i="2" a="1"/>
  <c r="V42" i="2" s="1"/>
  <c r="U42" i="2" a="1"/>
  <c r="U42" i="2" s="1"/>
  <c r="T42" i="2" a="1"/>
  <c r="T42" i="2" s="1"/>
  <c r="S42" i="2" a="1"/>
  <c r="S42" i="2" s="1"/>
  <c r="R42" i="2" a="1"/>
  <c r="R42" i="2" s="1"/>
  <c r="Q42" i="2" a="1"/>
  <c r="Q42" i="2" s="1"/>
  <c r="P42" i="2" a="1"/>
  <c r="P42" i="2" s="1"/>
  <c r="O42" i="2" a="1"/>
  <c r="O42" i="2" s="1"/>
  <c r="M42" i="2" a="1"/>
  <c r="M42" i="2" s="1"/>
  <c r="K42" i="2" a="1"/>
  <c r="K42" i="2" s="1"/>
  <c r="J42" i="2" a="1"/>
  <c r="J42" i="2" s="1"/>
  <c r="H42" i="2" a="1"/>
  <c r="H42" i="2" s="1"/>
  <c r="F42" i="2" a="1"/>
  <c r="F42" i="2" s="1"/>
  <c r="D42" i="2" a="1"/>
  <c r="D42" i="2" s="1"/>
  <c r="E42" i="2" s="1"/>
  <c r="C42" i="2" a="1"/>
  <c r="C42" i="2" s="1"/>
  <c r="A42" i="2" a="1"/>
  <c r="A42" i="2" s="1"/>
  <c r="X41" i="2" a="1"/>
  <c r="X41" i="2" s="1"/>
  <c r="W41" i="2" a="1"/>
  <c r="W41" i="2" s="1"/>
  <c r="V41" i="2" a="1"/>
  <c r="V41" i="2" s="1"/>
  <c r="U41" i="2" a="1"/>
  <c r="U41" i="2" s="1"/>
  <c r="T41" i="2" a="1"/>
  <c r="T41" i="2" s="1"/>
  <c r="S41" i="2" a="1"/>
  <c r="S41" i="2" s="1"/>
  <c r="R41" i="2" a="1"/>
  <c r="R41" i="2" s="1"/>
  <c r="Q41" i="2" a="1"/>
  <c r="Q41" i="2" s="1"/>
  <c r="P41" i="2" a="1"/>
  <c r="P41" i="2" s="1"/>
  <c r="O41" i="2" a="1"/>
  <c r="O41" i="2" s="1"/>
  <c r="M41" i="2" a="1"/>
  <c r="M41" i="2" s="1"/>
  <c r="K41" i="2" a="1"/>
  <c r="K41" i="2" s="1"/>
  <c r="J41" i="2" a="1"/>
  <c r="J41" i="2" s="1"/>
  <c r="H41" i="2" a="1"/>
  <c r="H41" i="2" s="1"/>
  <c r="F41" i="2" a="1"/>
  <c r="F41" i="2" s="1"/>
  <c r="D41" i="2" a="1"/>
  <c r="D41" i="2" s="1"/>
  <c r="E41" i="2" s="1"/>
  <c r="C41" i="2" a="1"/>
  <c r="C41" i="2" s="1"/>
  <c r="A41" i="2" a="1"/>
  <c r="A41" i="2" s="1"/>
  <c r="X40" i="2" a="1"/>
  <c r="X40" i="2" s="1"/>
  <c r="W40" i="2" a="1"/>
  <c r="W40" i="2" s="1"/>
  <c r="V40" i="2" a="1"/>
  <c r="V40" i="2" s="1"/>
  <c r="U40" i="2" a="1"/>
  <c r="U40" i="2" s="1"/>
  <c r="T40" i="2" a="1"/>
  <c r="T40" i="2" s="1"/>
  <c r="S40" i="2" a="1"/>
  <c r="S40" i="2" s="1"/>
  <c r="R40" i="2" a="1"/>
  <c r="R40" i="2" s="1"/>
  <c r="Q40" i="2" a="1"/>
  <c r="Q40" i="2" s="1"/>
  <c r="P40" i="2" a="1"/>
  <c r="P40" i="2" s="1"/>
  <c r="O40" i="2" a="1"/>
  <c r="O40" i="2" s="1"/>
  <c r="M40" i="2" a="1"/>
  <c r="M40" i="2" s="1"/>
  <c r="K40" i="2" a="1"/>
  <c r="K40" i="2" s="1"/>
  <c r="J40" i="2" a="1"/>
  <c r="J40" i="2" s="1"/>
  <c r="H40" i="2" a="1"/>
  <c r="H40" i="2" s="1"/>
  <c r="F40" i="2" a="1"/>
  <c r="F40" i="2" s="1"/>
  <c r="D40" i="2" a="1"/>
  <c r="D40" i="2" s="1"/>
  <c r="E40" i="2" s="1"/>
  <c r="C40" i="2" a="1"/>
  <c r="C40" i="2" s="1"/>
  <c r="A40" i="2" a="1"/>
  <c r="A40" i="2" s="1"/>
  <c r="X39" i="2" a="1"/>
  <c r="X39" i="2" s="1"/>
  <c r="W39" i="2" a="1"/>
  <c r="W39" i="2" s="1"/>
  <c r="V39" i="2" a="1"/>
  <c r="V39" i="2" s="1"/>
  <c r="U39" i="2" a="1"/>
  <c r="U39" i="2" s="1"/>
  <c r="T39" i="2" a="1"/>
  <c r="T39" i="2" s="1"/>
  <c r="S39" i="2" a="1"/>
  <c r="S39" i="2" s="1"/>
  <c r="R39" i="2" a="1"/>
  <c r="R39" i="2" s="1"/>
  <c r="Q39" i="2" a="1"/>
  <c r="Q39" i="2" s="1"/>
  <c r="P39" i="2" a="1"/>
  <c r="P39" i="2" s="1"/>
  <c r="O39" i="2" a="1"/>
  <c r="O39" i="2" s="1"/>
  <c r="M39" i="2" a="1"/>
  <c r="M39" i="2" s="1"/>
  <c r="K39" i="2" a="1"/>
  <c r="K39" i="2" s="1"/>
  <c r="J39" i="2" a="1"/>
  <c r="J39" i="2" s="1"/>
  <c r="H39" i="2" a="1"/>
  <c r="H39" i="2" s="1"/>
  <c r="F39" i="2" a="1"/>
  <c r="F39" i="2" s="1"/>
  <c r="D39" i="2" a="1"/>
  <c r="D39" i="2" s="1"/>
  <c r="E39" i="2" s="1"/>
  <c r="C39" i="2" a="1"/>
  <c r="C39" i="2" s="1"/>
  <c r="A39" i="2" a="1"/>
  <c r="A39" i="2" s="1"/>
  <c r="AC39" i="2" s="1"/>
  <c r="X38" i="2" a="1"/>
  <c r="X38" i="2" s="1"/>
  <c r="W38" i="2" a="1"/>
  <c r="W38" i="2" s="1"/>
  <c r="V38" i="2" a="1"/>
  <c r="V38" i="2" s="1"/>
  <c r="U38" i="2" a="1"/>
  <c r="U38" i="2" s="1"/>
  <c r="T38" i="2" a="1"/>
  <c r="T38" i="2" s="1"/>
  <c r="S38" i="2" a="1"/>
  <c r="S38" i="2" s="1"/>
  <c r="R38" i="2" a="1"/>
  <c r="R38" i="2" s="1"/>
  <c r="Q38" i="2" a="1"/>
  <c r="Q38" i="2" s="1"/>
  <c r="P38" i="2" a="1"/>
  <c r="P38" i="2" s="1"/>
  <c r="O38" i="2" a="1"/>
  <c r="O38" i="2" s="1"/>
  <c r="M38" i="2" a="1"/>
  <c r="M38" i="2" s="1"/>
  <c r="K38" i="2" a="1"/>
  <c r="K38" i="2" s="1"/>
  <c r="J38" i="2" a="1"/>
  <c r="J38" i="2" s="1"/>
  <c r="H38" i="2" a="1"/>
  <c r="H38" i="2" s="1"/>
  <c r="F38" i="2" a="1"/>
  <c r="F38" i="2" s="1"/>
  <c r="D38" i="2" a="1"/>
  <c r="D38" i="2" s="1"/>
  <c r="E38" i="2" s="1"/>
  <c r="C38" i="2" a="1"/>
  <c r="C38" i="2" s="1"/>
  <c r="A38" i="2" a="1"/>
  <c r="A38" i="2" s="1"/>
  <c r="X37" i="2" a="1"/>
  <c r="X37" i="2" s="1"/>
  <c r="W37" i="2" a="1"/>
  <c r="W37" i="2" s="1"/>
  <c r="V37" i="2" a="1"/>
  <c r="V37" i="2" s="1"/>
  <c r="U37" i="2" a="1"/>
  <c r="U37" i="2" s="1"/>
  <c r="T37" i="2" a="1"/>
  <c r="T37" i="2" s="1"/>
  <c r="S37" i="2" a="1"/>
  <c r="S37" i="2" s="1"/>
  <c r="R37" i="2" a="1"/>
  <c r="R37" i="2" s="1"/>
  <c r="Q37" i="2" a="1"/>
  <c r="Q37" i="2" s="1"/>
  <c r="P37" i="2" a="1"/>
  <c r="P37" i="2" s="1"/>
  <c r="O37" i="2" a="1"/>
  <c r="O37" i="2" s="1"/>
  <c r="M37" i="2" a="1"/>
  <c r="M37" i="2" s="1"/>
  <c r="K37" i="2" a="1"/>
  <c r="K37" i="2" s="1"/>
  <c r="J37" i="2" a="1"/>
  <c r="J37" i="2" s="1"/>
  <c r="H37" i="2" a="1"/>
  <c r="H37" i="2" s="1"/>
  <c r="F37" i="2" a="1"/>
  <c r="F37" i="2" s="1"/>
  <c r="D37" i="2" a="1"/>
  <c r="D37" i="2" s="1"/>
  <c r="E37" i="2" s="1"/>
  <c r="C37" i="2" a="1"/>
  <c r="C37" i="2" s="1"/>
  <c r="A37" i="2" a="1"/>
  <c r="A37" i="2" s="1"/>
  <c r="X36" i="2" a="1"/>
  <c r="X36" i="2" s="1"/>
  <c r="W36" i="2" a="1"/>
  <c r="W36" i="2" s="1"/>
  <c r="V36" i="2" a="1"/>
  <c r="V36" i="2" s="1"/>
  <c r="U36" i="2" a="1"/>
  <c r="U36" i="2" s="1"/>
  <c r="T36" i="2" a="1"/>
  <c r="T36" i="2" s="1"/>
  <c r="S36" i="2" a="1"/>
  <c r="S36" i="2" s="1"/>
  <c r="R36" i="2" a="1"/>
  <c r="R36" i="2" s="1"/>
  <c r="Q36" i="2" a="1"/>
  <c r="Q36" i="2" s="1"/>
  <c r="P36" i="2" a="1"/>
  <c r="P36" i="2" s="1"/>
  <c r="O36" i="2" a="1"/>
  <c r="O36" i="2" s="1"/>
  <c r="M36" i="2" a="1"/>
  <c r="M36" i="2" s="1"/>
  <c r="K36" i="2" a="1"/>
  <c r="K36" i="2" s="1"/>
  <c r="J36" i="2" a="1"/>
  <c r="J36" i="2" s="1"/>
  <c r="H36" i="2" a="1"/>
  <c r="H36" i="2" s="1"/>
  <c r="F36" i="2" a="1"/>
  <c r="F36" i="2" s="1"/>
  <c r="D36" i="2" a="1"/>
  <c r="D36" i="2" s="1"/>
  <c r="E36" i="2" s="1"/>
  <c r="C36" i="2" a="1"/>
  <c r="C36" i="2" s="1"/>
  <c r="A36" i="2" a="1"/>
  <c r="A36" i="2" s="1"/>
  <c r="AD36" i="2" s="1"/>
  <c r="X35" i="2" a="1"/>
  <c r="X35" i="2" s="1"/>
  <c r="W35" i="2" a="1"/>
  <c r="W35" i="2" s="1"/>
  <c r="V35" i="2" a="1"/>
  <c r="V35" i="2" s="1"/>
  <c r="U35" i="2" a="1"/>
  <c r="U35" i="2" s="1"/>
  <c r="T35" i="2" a="1"/>
  <c r="T35" i="2" s="1"/>
  <c r="S35" i="2" a="1"/>
  <c r="S35" i="2" s="1"/>
  <c r="R35" i="2" a="1"/>
  <c r="R35" i="2" s="1"/>
  <c r="Q35" i="2" a="1"/>
  <c r="Q35" i="2" s="1"/>
  <c r="P35" i="2" a="1"/>
  <c r="P35" i="2" s="1"/>
  <c r="O35" i="2" a="1"/>
  <c r="O35" i="2" s="1"/>
  <c r="M35" i="2" a="1"/>
  <c r="M35" i="2" s="1"/>
  <c r="K35" i="2" a="1"/>
  <c r="K35" i="2" s="1"/>
  <c r="J35" i="2" a="1"/>
  <c r="J35" i="2" s="1"/>
  <c r="H35" i="2" a="1"/>
  <c r="H35" i="2" s="1"/>
  <c r="F35" i="2" a="1"/>
  <c r="F35" i="2" s="1"/>
  <c r="D35" i="2" a="1"/>
  <c r="D35" i="2" s="1"/>
  <c r="E35" i="2" s="1"/>
  <c r="C35" i="2" a="1"/>
  <c r="C35" i="2" s="1"/>
  <c r="A35" i="2" a="1"/>
  <c r="A35" i="2" s="1"/>
  <c r="X34" i="2" a="1"/>
  <c r="X34" i="2" s="1"/>
  <c r="W34" i="2" a="1"/>
  <c r="W34" i="2" s="1"/>
  <c r="V34" i="2" a="1"/>
  <c r="V34" i="2" s="1"/>
  <c r="U34" i="2" a="1"/>
  <c r="U34" i="2" s="1"/>
  <c r="T34" i="2" a="1"/>
  <c r="T34" i="2" s="1"/>
  <c r="S34" i="2" a="1"/>
  <c r="S34" i="2" s="1"/>
  <c r="R34" i="2" a="1"/>
  <c r="R34" i="2" s="1"/>
  <c r="Q34" i="2" a="1"/>
  <c r="Q34" i="2" s="1"/>
  <c r="P34" i="2" a="1"/>
  <c r="P34" i="2" s="1"/>
  <c r="O34" i="2" a="1"/>
  <c r="O34" i="2" s="1"/>
  <c r="M34" i="2" a="1"/>
  <c r="M34" i="2" s="1"/>
  <c r="K34" i="2" a="1"/>
  <c r="K34" i="2" s="1"/>
  <c r="J34" i="2" a="1"/>
  <c r="J34" i="2" s="1"/>
  <c r="H34" i="2" a="1"/>
  <c r="H34" i="2" s="1"/>
  <c r="F34" i="2" a="1"/>
  <c r="F34" i="2" s="1"/>
  <c r="D34" i="2" a="1"/>
  <c r="D34" i="2" s="1"/>
  <c r="E34" i="2" s="1"/>
  <c r="C34" i="2" a="1"/>
  <c r="C34" i="2" s="1"/>
  <c r="A34" i="2" a="1"/>
  <c r="A34" i="2" s="1"/>
  <c r="X33" i="2" a="1"/>
  <c r="X33" i="2" s="1"/>
  <c r="W33" i="2" a="1"/>
  <c r="W33" i="2" s="1"/>
  <c r="V33" i="2" a="1"/>
  <c r="V33" i="2" s="1"/>
  <c r="U33" i="2" a="1"/>
  <c r="U33" i="2" s="1"/>
  <c r="T33" i="2" a="1"/>
  <c r="T33" i="2" s="1"/>
  <c r="S33" i="2" a="1"/>
  <c r="S33" i="2" s="1"/>
  <c r="R33" i="2" a="1"/>
  <c r="R33" i="2" s="1"/>
  <c r="Q33" i="2" a="1"/>
  <c r="Q33" i="2" s="1"/>
  <c r="P33" i="2" a="1"/>
  <c r="P33" i="2" s="1"/>
  <c r="O33" i="2" a="1"/>
  <c r="O33" i="2" s="1"/>
  <c r="M33" i="2" a="1"/>
  <c r="M33" i="2" s="1"/>
  <c r="K33" i="2" a="1"/>
  <c r="K33" i="2" s="1"/>
  <c r="J33" i="2" a="1"/>
  <c r="J33" i="2" s="1"/>
  <c r="H33" i="2" a="1"/>
  <c r="H33" i="2" s="1"/>
  <c r="F33" i="2" a="1"/>
  <c r="F33" i="2" s="1"/>
  <c r="D33" i="2" a="1"/>
  <c r="D33" i="2" s="1"/>
  <c r="E33" i="2" s="1"/>
  <c r="C33" i="2" a="1"/>
  <c r="C33" i="2" s="1"/>
  <c r="A33" i="2" a="1"/>
  <c r="A33" i="2" s="1"/>
  <c r="AA33" i="2" s="1"/>
  <c r="X32" i="2" a="1"/>
  <c r="X32" i="2" s="1"/>
  <c r="W32" i="2" a="1"/>
  <c r="W32" i="2" s="1"/>
  <c r="V32" i="2" a="1"/>
  <c r="V32" i="2" s="1"/>
  <c r="U32" i="2" a="1"/>
  <c r="U32" i="2" s="1"/>
  <c r="T32" i="2" a="1"/>
  <c r="T32" i="2" s="1"/>
  <c r="S32" i="2" a="1"/>
  <c r="S32" i="2" s="1"/>
  <c r="R32" i="2" a="1"/>
  <c r="R32" i="2" s="1"/>
  <c r="Q32" i="2" a="1"/>
  <c r="Q32" i="2" s="1"/>
  <c r="P32" i="2" a="1"/>
  <c r="P32" i="2" s="1"/>
  <c r="O32" i="2" a="1"/>
  <c r="O32" i="2" s="1"/>
  <c r="M32" i="2" a="1"/>
  <c r="M32" i="2" s="1"/>
  <c r="K32" i="2" a="1"/>
  <c r="K32" i="2" s="1"/>
  <c r="J32" i="2" a="1"/>
  <c r="J32" i="2" s="1"/>
  <c r="H32" i="2" a="1"/>
  <c r="H32" i="2" s="1"/>
  <c r="F32" i="2" a="1"/>
  <c r="F32" i="2" s="1"/>
  <c r="D32" i="2" a="1"/>
  <c r="D32" i="2" s="1"/>
  <c r="E32" i="2" s="1"/>
  <c r="C32" i="2" a="1"/>
  <c r="C32" i="2" s="1"/>
  <c r="A32" i="2" a="1"/>
  <c r="A32" i="2" s="1"/>
  <c r="X31" i="2" a="1"/>
  <c r="X31" i="2" s="1"/>
  <c r="W31" i="2" a="1"/>
  <c r="W31" i="2" s="1"/>
  <c r="V31" i="2" a="1"/>
  <c r="V31" i="2" s="1"/>
  <c r="U31" i="2" a="1"/>
  <c r="U31" i="2" s="1"/>
  <c r="T31" i="2" a="1"/>
  <c r="T31" i="2" s="1"/>
  <c r="S31" i="2" a="1"/>
  <c r="S31" i="2" s="1"/>
  <c r="R31" i="2" a="1"/>
  <c r="R31" i="2" s="1"/>
  <c r="Q31" i="2" a="1"/>
  <c r="Q31" i="2" s="1"/>
  <c r="P31" i="2" a="1"/>
  <c r="P31" i="2" s="1"/>
  <c r="O31" i="2" a="1"/>
  <c r="O31" i="2" s="1"/>
  <c r="M31" i="2" a="1"/>
  <c r="M31" i="2" s="1"/>
  <c r="K31" i="2" a="1"/>
  <c r="K31" i="2" s="1"/>
  <c r="J31" i="2" a="1"/>
  <c r="J31" i="2" s="1"/>
  <c r="H31" i="2" a="1"/>
  <c r="H31" i="2" s="1"/>
  <c r="F31" i="2" a="1"/>
  <c r="F31" i="2" s="1"/>
  <c r="D31" i="2" a="1"/>
  <c r="D31" i="2" s="1"/>
  <c r="E31" i="2" s="1"/>
  <c r="C31" i="2" a="1"/>
  <c r="C31" i="2" s="1"/>
  <c r="A31" i="2" a="1"/>
  <c r="A31" i="2" s="1"/>
  <c r="X30" i="2" a="1"/>
  <c r="X30" i="2" s="1"/>
  <c r="W30" i="2" a="1"/>
  <c r="W30" i="2" s="1"/>
  <c r="V30" i="2" a="1"/>
  <c r="V30" i="2" s="1"/>
  <c r="U30" i="2" a="1"/>
  <c r="U30" i="2" s="1"/>
  <c r="T30" i="2" a="1"/>
  <c r="T30" i="2" s="1"/>
  <c r="S30" i="2" a="1"/>
  <c r="S30" i="2" s="1"/>
  <c r="R30" i="2" a="1"/>
  <c r="R30" i="2" s="1"/>
  <c r="Q30" i="2" a="1"/>
  <c r="Q30" i="2" s="1"/>
  <c r="P30" i="2" a="1"/>
  <c r="P30" i="2" s="1"/>
  <c r="O30" i="2" a="1"/>
  <c r="O30" i="2" s="1"/>
  <c r="M30" i="2" a="1"/>
  <c r="M30" i="2" s="1"/>
  <c r="K30" i="2" a="1"/>
  <c r="K30" i="2" s="1"/>
  <c r="J30" i="2" a="1"/>
  <c r="J30" i="2" s="1"/>
  <c r="H30" i="2" a="1"/>
  <c r="H30" i="2" s="1"/>
  <c r="F30" i="2" a="1"/>
  <c r="F30" i="2" s="1"/>
  <c r="D30" i="2" a="1"/>
  <c r="D30" i="2" s="1"/>
  <c r="E30" i="2" s="1"/>
  <c r="C30" i="2" a="1"/>
  <c r="C30" i="2" s="1"/>
  <c r="A30" i="2" a="1"/>
  <c r="A30" i="2" s="1"/>
  <c r="X29" i="2" a="1"/>
  <c r="X29" i="2" s="1"/>
  <c r="W29" i="2" a="1"/>
  <c r="W29" i="2" s="1"/>
  <c r="V29" i="2" a="1"/>
  <c r="V29" i="2" s="1"/>
  <c r="U29" i="2" a="1"/>
  <c r="U29" i="2" s="1"/>
  <c r="T29" i="2" a="1"/>
  <c r="T29" i="2" s="1"/>
  <c r="S29" i="2" a="1"/>
  <c r="S29" i="2" s="1"/>
  <c r="R29" i="2" a="1"/>
  <c r="R29" i="2" s="1"/>
  <c r="Q29" i="2" a="1"/>
  <c r="Q29" i="2" s="1"/>
  <c r="P29" i="2" a="1"/>
  <c r="P29" i="2" s="1"/>
  <c r="O29" i="2" a="1"/>
  <c r="O29" i="2" s="1"/>
  <c r="M29" i="2" a="1"/>
  <c r="M29" i="2" s="1"/>
  <c r="K29" i="2" a="1"/>
  <c r="K29" i="2" s="1"/>
  <c r="J29" i="2" a="1"/>
  <c r="J29" i="2" s="1"/>
  <c r="H29" i="2" a="1"/>
  <c r="H29" i="2" s="1"/>
  <c r="F29" i="2" a="1"/>
  <c r="F29" i="2" s="1"/>
  <c r="D29" i="2" a="1"/>
  <c r="D29" i="2" s="1"/>
  <c r="E29" i="2" s="1"/>
  <c r="C29" i="2" a="1"/>
  <c r="C29" i="2" s="1"/>
  <c r="A29" i="2" a="1"/>
  <c r="A29" i="2" s="1"/>
  <c r="X28" i="2" a="1"/>
  <c r="X28" i="2" s="1"/>
  <c r="W28" i="2" a="1"/>
  <c r="W28" i="2" s="1"/>
  <c r="V28" i="2" a="1"/>
  <c r="V28" i="2" s="1"/>
  <c r="U28" i="2" a="1"/>
  <c r="U28" i="2" s="1"/>
  <c r="T28" i="2" a="1"/>
  <c r="T28" i="2" s="1"/>
  <c r="S28" i="2" a="1"/>
  <c r="S28" i="2" s="1"/>
  <c r="R28" i="2" a="1"/>
  <c r="R28" i="2" s="1"/>
  <c r="Q28" i="2" a="1"/>
  <c r="Q28" i="2" s="1"/>
  <c r="P28" i="2" a="1"/>
  <c r="P28" i="2" s="1"/>
  <c r="O28" i="2" a="1"/>
  <c r="O28" i="2" s="1"/>
  <c r="M28" i="2" a="1"/>
  <c r="M28" i="2" s="1"/>
  <c r="K28" i="2" a="1"/>
  <c r="K28" i="2" s="1"/>
  <c r="J28" i="2" a="1"/>
  <c r="J28" i="2" s="1"/>
  <c r="H28" i="2" a="1"/>
  <c r="H28" i="2" s="1"/>
  <c r="F28" i="2" a="1"/>
  <c r="F28" i="2" s="1"/>
  <c r="D28" i="2" a="1"/>
  <c r="D28" i="2" s="1"/>
  <c r="E28" i="2" s="1"/>
  <c r="C28" i="2" a="1"/>
  <c r="C28" i="2" s="1"/>
  <c r="A28" i="2" a="1"/>
  <c r="A28" i="2" s="1"/>
  <c r="X27" i="2" a="1"/>
  <c r="X27" i="2" s="1"/>
  <c r="W27" i="2" a="1"/>
  <c r="W27" i="2" s="1"/>
  <c r="V27" i="2" a="1"/>
  <c r="V27" i="2" s="1"/>
  <c r="U27" i="2" a="1"/>
  <c r="U27" i="2" s="1"/>
  <c r="T27" i="2" a="1"/>
  <c r="T27" i="2" s="1"/>
  <c r="S27" i="2" a="1"/>
  <c r="S27" i="2" s="1"/>
  <c r="R27" i="2" a="1"/>
  <c r="R27" i="2" s="1"/>
  <c r="Q27" i="2" a="1"/>
  <c r="Q27" i="2" s="1"/>
  <c r="P27" i="2" a="1"/>
  <c r="P27" i="2" s="1"/>
  <c r="O27" i="2" a="1"/>
  <c r="O27" i="2" s="1"/>
  <c r="M27" i="2" a="1"/>
  <c r="M27" i="2" s="1"/>
  <c r="K27" i="2" a="1"/>
  <c r="K27" i="2" s="1"/>
  <c r="J27" i="2" a="1"/>
  <c r="J27" i="2" s="1"/>
  <c r="H27" i="2" a="1"/>
  <c r="H27" i="2" s="1"/>
  <c r="F27" i="2" a="1"/>
  <c r="F27" i="2" s="1"/>
  <c r="D27" i="2" a="1"/>
  <c r="D27" i="2" s="1"/>
  <c r="E27" i="2" s="1"/>
  <c r="C27" i="2" a="1"/>
  <c r="C27" i="2" s="1"/>
  <c r="A27" i="2" a="1"/>
  <c r="A27" i="2" s="1"/>
  <c r="AC27" i="2" s="1"/>
  <c r="X26" i="2" a="1"/>
  <c r="X26" i="2" s="1"/>
  <c r="W26" i="2" a="1"/>
  <c r="W26" i="2" s="1"/>
  <c r="V26" i="2" a="1"/>
  <c r="V26" i="2" s="1"/>
  <c r="U26" i="2" a="1"/>
  <c r="U26" i="2" s="1"/>
  <c r="T26" i="2" a="1"/>
  <c r="T26" i="2" s="1"/>
  <c r="S26" i="2" a="1"/>
  <c r="S26" i="2" s="1"/>
  <c r="R26" i="2" a="1"/>
  <c r="R26" i="2" s="1"/>
  <c r="Q26" i="2" a="1"/>
  <c r="Q26" i="2" s="1"/>
  <c r="P26" i="2" a="1"/>
  <c r="P26" i="2" s="1"/>
  <c r="O26" i="2" a="1"/>
  <c r="O26" i="2" s="1"/>
  <c r="M26" i="2" a="1"/>
  <c r="M26" i="2" s="1"/>
  <c r="K26" i="2" a="1"/>
  <c r="K26" i="2" s="1"/>
  <c r="J26" i="2" a="1"/>
  <c r="J26" i="2" s="1"/>
  <c r="H26" i="2" a="1"/>
  <c r="H26" i="2" s="1"/>
  <c r="F26" i="2" a="1"/>
  <c r="F26" i="2" s="1"/>
  <c r="D26" i="2" a="1"/>
  <c r="D26" i="2" s="1"/>
  <c r="E26" i="2" s="1"/>
  <c r="C26" i="2" a="1"/>
  <c r="C26" i="2" s="1"/>
  <c r="A26" i="2" a="1"/>
  <c r="A26" i="2" s="1"/>
  <c r="X25" i="2" a="1"/>
  <c r="X25" i="2" s="1"/>
  <c r="W25" i="2" a="1"/>
  <c r="W25" i="2" s="1"/>
  <c r="V25" i="2" a="1"/>
  <c r="V25" i="2" s="1"/>
  <c r="U25" i="2" a="1"/>
  <c r="U25" i="2" s="1"/>
  <c r="T25" i="2" a="1"/>
  <c r="T25" i="2" s="1"/>
  <c r="S25" i="2" a="1"/>
  <c r="S25" i="2" s="1"/>
  <c r="R25" i="2" a="1"/>
  <c r="R25" i="2" s="1"/>
  <c r="Q25" i="2" a="1"/>
  <c r="Q25" i="2" s="1"/>
  <c r="P25" i="2" a="1"/>
  <c r="P25" i="2" s="1"/>
  <c r="O25" i="2" a="1"/>
  <c r="O25" i="2" s="1"/>
  <c r="M25" i="2" a="1"/>
  <c r="M25" i="2" s="1"/>
  <c r="K25" i="2" a="1"/>
  <c r="K25" i="2" s="1"/>
  <c r="J25" i="2" a="1"/>
  <c r="J25" i="2" s="1"/>
  <c r="H25" i="2" a="1"/>
  <c r="H25" i="2" s="1"/>
  <c r="F25" i="2" a="1"/>
  <c r="F25" i="2" s="1"/>
  <c r="D25" i="2" a="1"/>
  <c r="D25" i="2" s="1"/>
  <c r="E25" i="2" s="1"/>
  <c r="C25" i="2" a="1"/>
  <c r="C25" i="2" s="1"/>
  <c r="A25" i="2" a="1"/>
  <c r="A25" i="2" s="1"/>
  <c r="X24" i="2" a="1"/>
  <c r="X24" i="2" s="1"/>
  <c r="W24" i="2" a="1"/>
  <c r="W24" i="2" s="1"/>
  <c r="V24" i="2" a="1"/>
  <c r="V24" i="2" s="1"/>
  <c r="U24" i="2" a="1"/>
  <c r="U24" i="2" s="1"/>
  <c r="T24" i="2" a="1"/>
  <c r="T24" i="2" s="1"/>
  <c r="S24" i="2" a="1"/>
  <c r="S24" i="2" s="1"/>
  <c r="R24" i="2" a="1"/>
  <c r="R24" i="2" s="1"/>
  <c r="Q24" i="2" a="1"/>
  <c r="Q24" i="2" s="1"/>
  <c r="P24" i="2" a="1"/>
  <c r="P24" i="2" s="1"/>
  <c r="O24" i="2" a="1"/>
  <c r="O24" i="2" s="1"/>
  <c r="M24" i="2" a="1"/>
  <c r="M24" i="2" s="1"/>
  <c r="K24" i="2" a="1"/>
  <c r="K24" i="2" s="1"/>
  <c r="J24" i="2" a="1"/>
  <c r="J24" i="2" s="1"/>
  <c r="H24" i="2" a="1"/>
  <c r="H24" i="2" s="1"/>
  <c r="F24" i="2" a="1"/>
  <c r="F24" i="2" s="1"/>
  <c r="D24" i="2" a="1"/>
  <c r="D24" i="2" s="1"/>
  <c r="E24" i="2" s="1"/>
  <c r="C24" i="2" a="1"/>
  <c r="C24" i="2" s="1"/>
  <c r="A24" i="2" a="1"/>
  <c r="A24" i="2" s="1"/>
  <c r="AD24" i="2" s="1"/>
  <c r="X23" i="2" a="1"/>
  <c r="X23" i="2" s="1"/>
  <c r="W23" i="2" a="1"/>
  <c r="W23" i="2" s="1"/>
  <c r="V23" i="2" a="1"/>
  <c r="V23" i="2" s="1"/>
  <c r="U23" i="2" a="1"/>
  <c r="U23" i="2" s="1"/>
  <c r="T23" i="2" a="1"/>
  <c r="T23" i="2" s="1"/>
  <c r="S23" i="2" a="1"/>
  <c r="S23" i="2" s="1"/>
  <c r="R23" i="2" a="1"/>
  <c r="R23" i="2" s="1"/>
  <c r="Q23" i="2" a="1"/>
  <c r="Q23" i="2" s="1"/>
  <c r="P23" i="2" a="1"/>
  <c r="P23" i="2" s="1"/>
  <c r="O23" i="2" a="1"/>
  <c r="O23" i="2" s="1"/>
  <c r="M23" i="2" a="1"/>
  <c r="M23" i="2" s="1"/>
  <c r="K23" i="2" a="1"/>
  <c r="K23" i="2" s="1"/>
  <c r="J23" i="2" a="1"/>
  <c r="J23" i="2" s="1"/>
  <c r="H23" i="2" a="1"/>
  <c r="H23" i="2" s="1"/>
  <c r="F23" i="2" a="1"/>
  <c r="F23" i="2" s="1"/>
  <c r="D23" i="2" a="1"/>
  <c r="D23" i="2" s="1"/>
  <c r="E23" i="2" s="1"/>
  <c r="C23" i="2" a="1"/>
  <c r="C23" i="2" s="1"/>
  <c r="A23" i="2" a="1"/>
  <c r="A23" i="2" s="1"/>
  <c r="X22" i="2" a="1"/>
  <c r="X22" i="2" s="1"/>
  <c r="W22" i="2" a="1"/>
  <c r="W22" i="2" s="1"/>
  <c r="V22" i="2" a="1"/>
  <c r="V22" i="2" s="1"/>
  <c r="U22" i="2" a="1"/>
  <c r="U22" i="2" s="1"/>
  <c r="T22" i="2" a="1"/>
  <c r="T22" i="2" s="1"/>
  <c r="S22" i="2" a="1"/>
  <c r="S22" i="2" s="1"/>
  <c r="R22" i="2" a="1"/>
  <c r="R22" i="2" s="1"/>
  <c r="Q22" i="2" a="1"/>
  <c r="Q22" i="2" s="1"/>
  <c r="P22" i="2" a="1"/>
  <c r="P22" i="2" s="1"/>
  <c r="O22" i="2" a="1"/>
  <c r="O22" i="2" s="1"/>
  <c r="M22" i="2" a="1"/>
  <c r="M22" i="2" s="1"/>
  <c r="K22" i="2" a="1"/>
  <c r="K22" i="2" s="1"/>
  <c r="J22" i="2" a="1"/>
  <c r="J22" i="2" s="1"/>
  <c r="H22" i="2" a="1"/>
  <c r="H22" i="2" s="1"/>
  <c r="F22" i="2" a="1"/>
  <c r="F22" i="2" s="1"/>
  <c r="D22" i="2" a="1"/>
  <c r="D22" i="2" s="1"/>
  <c r="E22" i="2" s="1"/>
  <c r="C22" i="2" a="1"/>
  <c r="C22" i="2" s="1"/>
  <c r="A22" i="2" a="1"/>
  <c r="A22" i="2" s="1"/>
  <c r="X21" i="2" a="1"/>
  <c r="X21" i="2" s="1"/>
  <c r="W21" i="2" a="1"/>
  <c r="W21" i="2" s="1"/>
  <c r="V21" i="2" a="1"/>
  <c r="V21" i="2" s="1"/>
  <c r="U21" i="2" a="1"/>
  <c r="U21" i="2" s="1"/>
  <c r="T21" i="2" a="1"/>
  <c r="T21" i="2" s="1"/>
  <c r="S21" i="2" a="1"/>
  <c r="S21" i="2" s="1"/>
  <c r="R21" i="2" a="1"/>
  <c r="R21" i="2" s="1"/>
  <c r="Q21" i="2" a="1"/>
  <c r="Q21" i="2" s="1"/>
  <c r="P21" i="2" a="1"/>
  <c r="P21" i="2" s="1"/>
  <c r="O21" i="2" a="1"/>
  <c r="O21" i="2" s="1"/>
  <c r="M21" i="2" a="1"/>
  <c r="M21" i="2" s="1"/>
  <c r="K21" i="2" a="1"/>
  <c r="K21" i="2" s="1"/>
  <c r="J21" i="2" a="1"/>
  <c r="J21" i="2" s="1"/>
  <c r="H21" i="2" a="1"/>
  <c r="H21" i="2" s="1"/>
  <c r="F21" i="2" a="1"/>
  <c r="F21" i="2" s="1"/>
  <c r="D21" i="2" a="1"/>
  <c r="D21" i="2" s="1"/>
  <c r="E21" i="2" s="1"/>
  <c r="C21" i="2" a="1"/>
  <c r="C21" i="2" s="1"/>
  <c r="A21" i="2" a="1"/>
  <c r="A21" i="2" s="1"/>
  <c r="AA21" i="2" s="1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S20" i="2" a="1"/>
  <c r="S20" i="2" s="1"/>
  <c r="R20" i="2" a="1"/>
  <c r="R20" i="2" s="1"/>
  <c r="Q20" i="2" a="1"/>
  <c r="Q20" i="2" s="1"/>
  <c r="P20" i="2" a="1"/>
  <c r="P20" i="2" s="1"/>
  <c r="O20" i="2" a="1"/>
  <c r="O20" i="2" s="1"/>
  <c r="M20" i="2" a="1"/>
  <c r="M20" i="2" s="1"/>
  <c r="K20" i="2" a="1"/>
  <c r="K20" i="2" s="1"/>
  <c r="J20" i="2" a="1"/>
  <c r="J20" i="2" s="1"/>
  <c r="H20" i="2" a="1"/>
  <c r="H20" i="2" s="1"/>
  <c r="F20" i="2" a="1"/>
  <c r="F20" i="2" s="1"/>
  <c r="D20" i="2" a="1"/>
  <c r="D20" i="2" s="1"/>
  <c r="E20" i="2" s="1"/>
  <c r="C20" i="2" a="1"/>
  <c r="C20" i="2" s="1"/>
  <c r="A20" i="2" a="1"/>
  <c r="A20" i="2" s="1"/>
  <c r="X19" i="2" a="1"/>
  <c r="X19" i="2" s="1"/>
  <c r="W19" i="2" a="1"/>
  <c r="W19" i="2" s="1"/>
  <c r="V19" i="2" a="1"/>
  <c r="V19" i="2" s="1"/>
  <c r="U19" i="2" a="1"/>
  <c r="U19" i="2" s="1"/>
  <c r="T19" i="2" a="1"/>
  <c r="T19" i="2" s="1"/>
  <c r="S19" i="2" a="1"/>
  <c r="S19" i="2" s="1"/>
  <c r="R19" i="2" a="1"/>
  <c r="R19" i="2" s="1"/>
  <c r="Q19" i="2" a="1"/>
  <c r="Q19" i="2" s="1"/>
  <c r="P19" i="2" a="1"/>
  <c r="P19" i="2" s="1"/>
  <c r="O19" i="2" a="1"/>
  <c r="O19" i="2" s="1"/>
  <c r="M19" i="2" a="1"/>
  <c r="M19" i="2" s="1"/>
  <c r="K19" i="2" a="1"/>
  <c r="K19" i="2" s="1"/>
  <c r="J19" i="2" a="1"/>
  <c r="J19" i="2" s="1"/>
  <c r="H19" i="2" a="1"/>
  <c r="H19" i="2" s="1"/>
  <c r="F19" i="2" a="1"/>
  <c r="F19" i="2" s="1"/>
  <c r="D19" i="2" a="1"/>
  <c r="D19" i="2" s="1"/>
  <c r="E19" i="2" s="1"/>
  <c r="C19" i="2" a="1"/>
  <c r="C19" i="2" s="1"/>
  <c r="A19" i="2" a="1"/>
  <c r="A19" i="2" s="1"/>
  <c r="X18" i="2" a="1"/>
  <c r="X18" i="2" s="1"/>
  <c r="W18" i="2" a="1"/>
  <c r="W18" i="2" s="1"/>
  <c r="V18" i="2" a="1"/>
  <c r="V18" i="2" s="1"/>
  <c r="U18" i="2" a="1"/>
  <c r="U18" i="2" s="1"/>
  <c r="T18" i="2" a="1"/>
  <c r="T18" i="2" s="1"/>
  <c r="S18" i="2" a="1"/>
  <c r="S18" i="2" s="1"/>
  <c r="R18" i="2" a="1"/>
  <c r="R18" i="2" s="1"/>
  <c r="Q18" i="2" a="1"/>
  <c r="Q18" i="2" s="1"/>
  <c r="P18" i="2" a="1"/>
  <c r="P18" i="2" s="1"/>
  <c r="O18" i="2" a="1"/>
  <c r="O18" i="2" s="1"/>
  <c r="M18" i="2" a="1"/>
  <c r="M18" i="2" s="1"/>
  <c r="K18" i="2" a="1"/>
  <c r="K18" i="2" s="1"/>
  <c r="J18" i="2" a="1"/>
  <c r="J18" i="2" s="1"/>
  <c r="H18" i="2" a="1"/>
  <c r="H18" i="2" s="1"/>
  <c r="F18" i="2" a="1"/>
  <c r="F18" i="2" s="1"/>
  <c r="D18" i="2" a="1"/>
  <c r="D18" i="2" s="1"/>
  <c r="E18" i="2" s="1"/>
  <c r="C18" i="2" a="1"/>
  <c r="C18" i="2" s="1"/>
  <c r="A18" i="2" a="1"/>
  <c r="A18" i="2" s="1"/>
  <c r="X17" i="2" a="1"/>
  <c r="X17" i="2" s="1"/>
  <c r="W17" i="2" a="1"/>
  <c r="W17" i="2" s="1"/>
  <c r="V17" i="2" a="1"/>
  <c r="V17" i="2" s="1"/>
  <c r="U17" i="2" a="1"/>
  <c r="U17" i="2" s="1"/>
  <c r="T17" i="2" a="1"/>
  <c r="T17" i="2" s="1"/>
  <c r="S17" i="2" a="1"/>
  <c r="S17" i="2" s="1"/>
  <c r="R17" i="2" a="1"/>
  <c r="R17" i="2" s="1"/>
  <c r="Q17" i="2" a="1"/>
  <c r="Q17" i="2" s="1"/>
  <c r="P17" i="2" a="1"/>
  <c r="P17" i="2" s="1"/>
  <c r="O17" i="2" a="1"/>
  <c r="O17" i="2" s="1"/>
  <c r="M17" i="2" a="1"/>
  <c r="M17" i="2" s="1"/>
  <c r="K17" i="2" a="1"/>
  <c r="K17" i="2" s="1"/>
  <c r="J17" i="2" a="1"/>
  <c r="J17" i="2" s="1"/>
  <c r="H17" i="2" a="1"/>
  <c r="H17" i="2" s="1"/>
  <c r="F17" i="2" a="1"/>
  <c r="F17" i="2" s="1"/>
  <c r="D17" i="2" a="1"/>
  <c r="D17" i="2" s="1"/>
  <c r="E17" i="2" s="1"/>
  <c r="C17" i="2" a="1"/>
  <c r="C17" i="2" s="1"/>
  <c r="A17" i="2" a="1"/>
  <c r="A17" i="2" s="1"/>
  <c r="X16" i="2" a="1"/>
  <c r="X16" i="2" s="1"/>
  <c r="W16" i="2" a="1"/>
  <c r="W16" i="2" s="1"/>
  <c r="V16" i="2" a="1"/>
  <c r="V16" i="2" s="1"/>
  <c r="U16" i="2" a="1"/>
  <c r="U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M16" i="2" a="1"/>
  <c r="M16" i="2" s="1"/>
  <c r="K16" i="2" a="1"/>
  <c r="K16" i="2" s="1"/>
  <c r="J16" i="2" a="1"/>
  <c r="J16" i="2" s="1"/>
  <c r="H16" i="2" a="1"/>
  <c r="H16" i="2" s="1"/>
  <c r="F16" i="2" a="1"/>
  <c r="F16" i="2" s="1"/>
  <c r="D16" i="2" a="1"/>
  <c r="D16" i="2" s="1"/>
  <c r="E16" i="2" s="1"/>
  <c r="C16" i="2" a="1"/>
  <c r="C16" i="2" s="1"/>
  <c r="A16" i="2" a="1"/>
  <c r="A16" i="2" s="1"/>
  <c r="X15" i="2" a="1"/>
  <c r="X15" i="2" s="1"/>
  <c r="W15" i="2" a="1"/>
  <c r="W15" i="2" s="1"/>
  <c r="V15" i="2" a="1"/>
  <c r="V15" i="2" s="1"/>
  <c r="U15" i="2" a="1"/>
  <c r="U15" i="2" s="1"/>
  <c r="T15" i="2" a="1"/>
  <c r="T15" i="2" s="1"/>
  <c r="S15" i="2" a="1"/>
  <c r="S15" i="2" s="1"/>
  <c r="R15" i="2" a="1"/>
  <c r="R15" i="2" s="1"/>
  <c r="Q15" i="2" a="1"/>
  <c r="Q15" i="2" s="1"/>
  <c r="P15" i="2" a="1"/>
  <c r="P15" i="2" s="1"/>
  <c r="O15" i="2" a="1"/>
  <c r="O15" i="2" s="1"/>
  <c r="M15" i="2" a="1"/>
  <c r="M15" i="2" s="1"/>
  <c r="K15" i="2" a="1"/>
  <c r="K15" i="2" s="1"/>
  <c r="J15" i="2" a="1"/>
  <c r="J15" i="2" s="1"/>
  <c r="H15" i="2" a="1"/>
  <c r="H15" i="2" s="1"/>
  <c r="F15" i="2" a="1"/>
  <c r="F15" i="2" s="1"/>
  <c r="D15" i="2" a="1"/>
  <c r="D15" i="2" s="1"/>
  <c r="E15" i="2" s="1"/>
  <c r="C15" i="2" a="1"/>
  <c r="C15" i="2" s="1"/>
  <c r="A15" i="2" a="1"/>
  <c r="A15" i="2" s="1"/>
  <c r="X14" i="2" a="1"/>
  <c r="X14" i="2" s="1"/>
  <c r="W14" i="2" a="1"/>
  <c r="W14" i="2" s="1"/>
  <c r="V14" i="2" a="1"/>
  <c r="V14" i="2" s="1"/>
  <c r="U14" i="2" a="1"/>
  <c r="U14" i="2" s="1"/>
  <c r="T14" i="2" a="1"/>
  <c r="T14" i="2" s="1"/>
  <c r="S14" i="2" a="1"/>
  <c r="S14" i="2" s="1"/>
  <c r="R14" i="2" a="1"/>
  <c r="R14" i="2" s="1"/>
  <c r="Q14" i="2" a="1"/>
  <c r="Q14" i="2" s="1"/>
  <c r="P14" i="2" a="1"/>
  <c r="P14" i="2" s="1"/>
  <c r="O14" i="2" a="1"/>
  <c r="O14" i="2" s="1"/>
  <c r="M14" i="2" a="1"/>
  <c r="M14" i="2" s="1"/>
  <c r="K14" i="2" a="1"/>
  <c r="K14" i="2" s="1"/>
  <c r="J14" i="2" a="1"/>
  <c r="J14" i="2" s="1"/>
  <c r="H14" i="2" a="1"/>
  <c r="H14" i="2" s="1"/>
  <c r="F14" i="2" a="1"/>
  <c r="F14" i="2" s="1"/>
  <c r="D14" i="2" a="1"/>
  <c r="D14" i="2" s="1"/>
  <c r="E14" i="2" s="1"/>
  <c r="C14" i="2" a="1"/>
  <c r="C14" i="2" s="1"/>
  <c r="A14" i="2" a="1"/>
  <c r="A14" i="2" s="1"/>
  <c r="X13" i="2" a="1"/>
  <c r="X13" i="2" s="1"/>
  <c r="W13" i="2" a="1"/>
  <c r="W13" i="2" s="1"/>
  <c r="V13" i="2" a="1"/>
  <c r="V13" i="2" s="1"/>
  <c r="U13" i="2" a="1"/>
  <c r="U13" i="2" s="1"/>
  <c r="T13" i="2" a="1"/>
  <c r="T13" i="2" s="1"/>
  <c r="S13" i="2" a="1"/>
  <c r="S13" i="2" s="1"/>
  <c r="R13" i="2" a="1"/>
  <c r="R13" i="2" s="1"/>
  <c r="Q13" i="2" a="1"/>
  <c r="Q13" i="2" s="1"/>
  <c r="P13" i="2" a="1"/>
  <c r="P13" i="2" s="1"/>
  <c r="O13" i="2" a="1"/>
  <c r="O13" i="2" s="1"/>
  <c r="M13" i="2" a="1"/>
  <c r="M13" i="2" s="1"/>
  <c r="K13" i="2" a="1"/>
  <c r="K13" i="2" s="1"/>
  <c r="J13" i="2" a="1"/>
  <c r="J13" i="2" s="1"/>
  <c r="H13" i="2" a="1"/>
  <c r="H13" i="2" s="1"/>
  <c r="F13" i="2" a="1"/>
  <c r="F13" i="2" s="1"/>
  <c r="D13" i="2" a="1"/>
  <c r="D13" i="2" s="1"/>
  <c r="E13" i="2" s="1"/>
  <c r="C13" i="2" a="1"/>
  <c r="C13" i="2" s="1"/>
  <c r="A13" i="2" a="1"/>
  <c r="A13" i="2" s="1"/>
  <c r="X12" i="2" a="1"/>
  <c r="X12" i="2" s="1"/>
  <c r="W12" i="2" a="1"/>
  <c r="W12" i="2" s="1"/>
  <c r="V12" i="2" a="1"/>
  <c r="V12" i="2" s="1"/>
  <c r="U12" i="2" a="1"/>
  <c r="U12" i="2" s="1"/>
  <c r="T12" i="2" a="1"/>
  <c r="T12" i="2" s="1"/>
  <c r="S12" i="2" a="1"/>
  <c r="S12" i="2" s="1"/>
  <c r="R12" i="2" a="1"/>
  <c r="R12" i="2" s="1"/>
  <c r="Q12" i="2" a="1"/>
  <c r="Q12" i="2" s="1"/>
  <c r="P12" i="2" a="1"/>
  <c r="P12" i="2" s="1"/>
  <c r="O12" i="2" a="1"/>
  <c r="O12" i="2" s="1"/>
  <c r="M12" i="2" a="1"/>
  <c r="M12" i="2" s="1"/>
  <c r="K12" i="2" a="1"/>
  <c r="K12" i="2" s="1"/>
  <c r="J12" i="2" a="1"/>
  <c r="J12" i="2" s="1"/>
  <c r="H12" i="2" a="1"/>
  <c r="H12" i="2" s="1"/>
  <c r="F12" i="2" a="1"/>
  <c r="F12" i="2" s="1"/>
  <c r="D12" i="2" a="1"/>
  <c r="D12" i="2" s="1"/>
  <c r="E12" i="2" s="1"/>
  <c r="C12" i="2" a="1"/>
  <c r="C12" i="2" s="1"/>
  <c r="A12" i="2" a="1"/>
  <c r="A12" i="2" s="1"/>
  <c r="AD12" i="2" s="1"/>
  <c r="X11" i="2" a="1"/>
  <c r="X11" i="2" s="1"/>
  <c r="W11" i="2" a="1"/>
  <c r="W11" i="2" s="1"/>
  <c r="V11" i="2" a="1"/>
  <c r="V11" i="2" s="1"/>
  <c r="U11" i="2" a="1"/>
  <c r="U11" i="2" s="1"/>
  <c r="T11" i="2" a="1"/>
  <c r="T11" i="2" s="1"/>
  <c r="S11" i="2" a="1"/>
  <c r="S11" i="2" s="1"/>
  <c r="R11" i="2" a="1"/>
  <c r="R11" i="2" s="1"/>
  <c r="Q11" i="2" a="1"/>
  <c r="Q11" i="2" s="1"/>
  <c r="P11" i="2" a="1"/>
  <c r="P11" i="2" s="1"/>
  <c r="O11" i="2" a="1"/>
  <c r="O11" i="2" s="1"/>
  <c r="M11" i="2" a="1"/>
  <c r="M11" i="2" s="1"/>
  <c r="K11" i="2" a="1"/>
  <c r="K11" i="2" s="1"/>
  <c r="J11" i="2" a="1"/>
  <c r="J11" i="2" s="1"/>
  <c r="H11" i="2" a="1"/>
  <c r="H11" i="2" s="1"/>
  <c r="F11" i="2" a="1"/>
  <c r="F11" i="2" s="1"/>
  <c r="D11" i="2" a="1"/>
  <c r="D11" i="2" s="1"/>
  <c r="E11" i="2" s="1"/>
  <c r="C11" i="2" a="1"/>
  <c r="C11" i="2" s="1"/>
  <c r="A11" i="2" a="1"/>
  <c r="A11" i="2" s="1"/>
  <c r="X10" i="2" a="1"/>
  <c r="X10" i="2" s="1"/>
  <c r="W10" i="2" a="1"/>
  <c r="W10" i="2" s="1"/>
  <c r="V10" i="2" a="1"/>
  <c r="V10" i="2" s="1"/>
  <c r="U10" i="2" a="1"/>
  <c r="U10" i="2" s="1"/>
  <c r="T10" i="2" a="1"/>
  <c r="T10" i="2" s="1"/>
  <c r="S10" i="2" a="1"/>
  <c r="S10" i="2" s="1"/>
  <c r="R10" i="2" a="1"/>
  <c r="R10" i="2" s="1"/>
  <c r="Q10" i="2" a="1"/>
  <c r="Q10" i="2" s="1"/>
  <c r="P10" i="2" a="1"/>
  <c r="P10" i="2" s="1"/>
  <c r="O10" i="2" a="1"/>
  <c r="O10" i="2" s="1"/>
  <c r="M10" i="2" a="1"/>
  <c r="M10" i="2" s="1"/>
  <c r="K10" i="2" a="1"/>
  <c r="K10" i="2" s="1"/>
  <c r="J10" i="2" a="1"/>
  <c r="J10" i="2" s="1"/>
  <c r="H10" i="2" a="1"/>
  <c r="H10" i="2" s="1"/>
  <c r="F10" i="2" a="1"/>
  <c r="F10" i="2" s="1"/>
  <c r="D10" i="2" a="1"/>
  <c r="D10" i="2" s="1"/>
  <c r="E10" i="2" s="1"/>
  <c r="C10" i="2" a="1"/>
  <c r="C10" i="2" s="1"/>
  <c r="A10" i="2" a="1"/>
  <c r="A10" i="2" s="1"/>
  <c r="X9" i="2" a="1"/>
  <c r="X9" i="2" s="1"/>
  <c r="W9" i="2" a="1"/>
  <c r="W9" i="2" s="1"/>
  <c r="V9" i="2" a="1"/>
  <c r="V9" i="2" s="1"/>
  <c r="U9" i="2" a="1"/>
  <c r="U9" i="2" s="1"/>
  <c r="T9" i="2" a="1"/>
  <c r="T9" i="2" s="1"/>
  <c r="S9" i="2" a="1"/>
  <c r="S9" i="2" s="1"/>
  <c r="R9" i="2" a="1"/>
  <c r="R9" i="2" s="1"/>
  <c r="Q9" i="2" a="1"/>
  <c r="Q9" i="2" s="1"/>
  <c r="P9" i="2" a="1"/>
  <c r="P9" i="2" s="1"/>
  <c r="O9" i="2" a="1"/>
  <c r="O9" i="2" s="1"/>
  <c r="M9" i="2" a="1"/>
  <c r="M9" i="2" s="1"/>
  <c r="K9" i="2" a="1"/>
  <c r="K9" i="2" s="1"/>
  <c r="J9" i="2" a="1"/>
  <c r="J9" i="2" s="1"/>
  <c r="H9" i="2" a="1"/>
  <c r="H9" i="2" s="1"/>
  <c r="F9" i="2" a="1"/>
  <c r="F9" i="2" s="1"/>
  <c r="D9" i="2" a="1"/>
  <c r="D9" i="2" s="1"/>
  <c r="E9" i="2" s="1"/>
  <c r="C9" i="2" a="1"/>
  <c r="C9" i="2" s="1"/>
  <c r="A9" i="2" a="1"/>
  <c r="A9" i="2" s="1"/>
  <c r="AA9" i="2" s="1"/>
  <c r="X8" i="2" a="1"/>
  <c r="X8" i="2" s="1"/>
  <c r="W8" i="2" a="1"/>
  <c r="W8" i="2" s="1"/>
  <c r="V8" i="2" a="1"/>
  <c r="V8" i="2" s="1"/>
  <c r="U8" i="2" a="1"/>
  <c r="U8" i="2" s="1"/>
  <c r="T8" i="2" a="1"/>
  <c r="T8" i="2" s="1"/>
  <c r="S8" i="2" a="1"/>
  <c r="S8" i="2" s="1"/>
  <c r="R8" i="2" a="1"/>
  <c r="R8" i="2" s="1"/>
  <c r="Q8" i="2" a="1"/>
  <c r="Q8" i="2" s="1"/>
  <c r="P8" i="2" a="1"/>
  <c r="P8" i="2" s="1"/>
  <c r="O8" i="2" a="1"/>
  <c r="O8" i="2" s="1"/>
  <c r="M8" i="2" a="1"/>
  <c r="M8" i="2" s="1"/>
  <c r="K8" i="2" a="1"/>
  <c r="K8" i="2" s="1"/>
  <c r="J8" i="2" a="1"/>
  <c r="J8" i="2" s="1"/>
  <c r="H8" i="2" a="1"/>
  <c r="H8" i="2"/>
  <c r="F8" i="2" a="1"/>
  <c r="F8" i="2" s="1"/>
  <c r="D8" i="2" a="1"/>
  <c r="D8" i="2" s="1"/>
  <c r="E8" i="2" s="1"/>
  <c r="C8" i="2" a="1"/>
  <c r="C8" i="2" s="1"/>
  <c r="A8" i="2" a="1"/>
  <c r="A8" i="2" s="1"/>
  <c r="X7" i="2" a="1"/>
  <c r="X7" i="2" s="1"/>
  <c r="W7" i="2" a="1"/>
  <c r="W7" i="2" s="1"/>
  <c r="V7" i="2" a="1"/>
  <c r="V7" i="2" s="1"/>
  <c r="U7" i="2" a="1"/>
  <c r="U7" i="2" s="1"/>
  <c r="T7" i="2" a="1"/>
  <c r="T7" i="2" s="1"/>
  <c r="S7" i="2" a="1"/>
  <c r="S7" i="2" s="1"/>
  <c r="R7" i="2" a="1"/>
  <c r="R7" i="2" s="1"/>
  <c r="Q7" i="2" a="1"/>
  <c r="Q7" i="2" s="1"/>
  <c r="P7" i="2" a="1"/>
  <c r="P7" i="2" s="1"/>
  <c r="O7" i="2" a="1"/>
  <c r="O7" i="2" s="1"/>
  <c r="M7" i="2" a="1"/>
  <c r="M7" i="2" s="1"/>
  <c r="K7" i="2" a="1"/>
  <c r="K7" i="2" s="1"/>
  <c r="J7" i="2" a="1"/>
  <c r="J7" i="2" s="1"/>
  <c r="H7" i="2" a="1"/>
  <c r="H7" i="2" s="1"/>
  <c r="F7" i="2" a="1"/>
  <c r="F7" i="2" s="1"/>
  <c r="D7" i="2" a="1"/>
  <c r="D7" i="2" s="1"/>
  <c r="E7" i="2" s="1"/>
  <c r="C7" i="2" a="1"/>
  <c r="C7" i="2" s="1"/>
  <c r="A7" i="2" a="1"/>
  <c r="A7" i="2" s="1"/>
  <c r="X6" i="2" a="1"/>
  <c r="X6" i="2" s="1"/>
  <c r="W6" i="2" a="1"/>
  <c r="W6" i="2" s="1"/>
  <c r="V6" i="2" a="1"/>
  <c r="V6" i="2" s="1"/>
  <c r="U6" i="2" a="1"/>
  <c r="U6" i="2" s="1"/>
  <c r="T6" i="2" a="1"/>
  <c r="T6" i="2" s="1"/>
  <c r="S6" i="2" a="1"/>
  <c r="S6" i="2" s="1"/>
  <c r="R6" i="2" a="1"/>
  <c r="R6" i="2" s="1"/>
  <c r="Q6" i="2" a="1"/>
  <c r="Q6" i="2" s="1"/>
  <c r="P6" i="2" a="1"/>
  <c r="P6" i="2" s="1"/>
  <c r="O6" i="2" a="1"/>
  <c r="O6" i="2" s="1"/>
  <c r="M6" i="2" a="1"/>
  <c r="M6" i="2" s="1"/>
  <c r="K6" i="2" a="1"/>
  <c r="K6" i="2" s="1"/>
  <c r="J6" i="2" a="1"/>
  <c r="J6" i="2" s="1"/>
  <c r="H6" i="2" a="1"/>
  <c r="H6" i="2" s="1"/>
  <c r="F6" i="2" a="1"/>
  <c r="F6" i="2" s="1"/>
  <c r="D6" i="2" a="1"/>
  <c r="D6" i="2" s="1"/>
  <c r="E6" i="2" s="1"/>
  <c r="C6" i="2" a="1"/>
  <c r="C6" i="2" s="1"/>
  <c r="A6" i="2" a="1"/>
  <c r="A6" i="2" s="1"/>
  <c r="X5" i="2" a="1"/>
  <c r="X5" i="2" s="1"/>
  <c r="W5" i="2" a="1"/>
  <c r="W5" i="2" s="1"/>
  <c r="V5" i="2" a="1"/>
  <c r="V5" i="2" s="1"/>
  <c r="U5" i="2" a="1"/>
  <c r="U5" i="2" s="1"/>
  <c r="T5" i="2" a="1"/>
  <c r="T5" i="2" s="1"/>
  <c r="S5" i="2" a="1"/>
  <c r="S5" i="2" s="1"/>
  <c r="R5" i="2" a="1"/>
  <c r="R5" i="2" s="1"/>
  <c r="Q5" i="2" a="1"/>
  <c r="Q5" i="2" s="1"/>
  <c r="P5" i="2" a="1"/>
  <c r="P5" i="2" s="1"/>
  <c r="O5" i="2" a="1"/>
  <c r="O5" i="2" s="1"/>
  <c r="M5" i="2" a="1"/>
  <c r="M5" i="2" s="1"/>
  <c r="K5" i="2" a="1"/>
  <c r="K5" i="2" s="1"/>
  <c r="J5" i="2" a="1"/>
  <c r="J5" i="2" s="1"/>
  <c r="H5" i="2" a="1"/>
  <c r="H5" i="2" s="1"/>
  <c r="F5" i="2" a="1"/>
  <c r="F5" i="2" s="1"/>
  <c r="D5" i="2" a="1"/>
  <c r="D5" i="2" s="1"/>
  <c r="E5" i="2" s="1"/>
  <c r="C5" i="2" a="1"/>
  <c r="C5" i="2" s="1"/>
  <c r="A5" i="2" a="1"/>
  <c r="A5" i="2" s="1"/>
  <c r="X4" i="2" a="1"/>
  <c r="X4" i="2" s="1"/>
  <c r="W4" i="2" a="1"/>
  <c r="W4" i="2" s="1"/>
  <c r="V4" i="2" a="1"/>
  <c r="V4" i="2" s="1"/>
  <c r="U4" i="2" a="1"/>
  <c r="U4" i="2" s="1"/>
  <c r="T4" i="2" a="1"/>
  <c r="T4" i="2" s="1"/>
  <c r="S4" i="2" a="1"/>
  <c r="S4" i="2" s="1"/>
  <c r="R4" i="2" a="1"/>
  <c r="R4" i="2" s="1"/>
  <c r="Q4" i="2" a="1"/>
  <c r="Q4" i="2" s="1"/>
  <c r="P4" i="2" a="1"/>
  <c r="P4" i="2" s="1"/>
  <c r="O4" i="2" a="1"/>
  <c r="O4" i="2" s="1"/>
  <c r="M4" i="2" a="1"/>
  <c r="M4" i="2" s="1"/>
  <c r="K4" i="2" a="1"/>
  <c r="K4" i="2" s="1"/>
  <c r="J4" i="2" a="1"/>
  <c r="J4" i="2" s="1"/>
  <c r="H4" i="2" a="1"/>
  <c r="H4" i="2" s="1"/>
  <c r="F4" i="2" a="1"/>
  <c r="F4" i="2" s="1"/>
  <c r="D4" i="2" a="1"/>
  <c r="D4" i="2" s="1"/>
  <c r="E4" i="2" s="1"/>
  <c r="C4" i="2" a="1"/>
  <c r="C4" i="2" s="1"/>
  <c r="A4" i="2" a="1"/>
  <c r="A4" i="2" s="1"/>
  <c r="X3" i="2" a="1"/>
  <c r="X3" i="2" s="1"/>
  <c r="W3" i="2" a="1"/>
  <c r="W3" i="2" s="1"/>
  <c r="V3" i="2" a="1"/>
  <c r="V3" i="2" s="1"/>
  <c r="U3" i="2" a="1"/>
  <c r="U3" i="2" s="1"/>
  <c r="T3" i="2" a="1"/>
  <c r="T3" i="2" s="1"/>
  <c r="S3" i="2" a="1"/>
  <c r="S3" i="2" s="1"/>
  <c r="R3" i="2" a="1"/>
  <c r="R3" i="2" s="1"/>
  <c r="Q3" i="2" a="1"/>
  <c r="Q3" i="2" s="1"/>
  <c r="P3" i="2" a="1"/>
  <c r="P3" i="2" s="1"/>
  <c r="O3" i="2" a="1"/>
  <c r="O3" i="2" s="1"/>
  <c r="M3" i="2" a="1"/>
  <c r="M3" i="2" s="1"/>
  <c r="K3" i="2" a="1"/>
  <c r="K3" i="2" s="1"/>
  <c r="J3" i="2" a="1"/>
  <c r="J3" i="2" s="1"/>
  <c r="H3" i="2" a="1"/>
  <c r="H3" i="2" s="1"/>
  <c r="F3" i="2" a="1"/>
  <c r="F3" i="2" s="1"/>
  <c r="D3" i="2" a="1"/>
  <c r="D3" i="2" s="1"/>
  <c r="E3" i="2" s="1"/>
  <c r="C3" i="2" a="1"/>
  <c r="C3" i="2" s="1"/>
  <c r="A3" i="2" a="1"/>
  <c r="A3" i="2" s="1"/>
  <c r="X2" i="2" a="1"/>
  <c r="X2" i="2" s="1"/>
  <c r="W2" i="2" a="1"/>
  <c r="W2" i="2" s="1"/>
  <c r="V2" i="2" a="1"/>
  <c r="V2" i="2" s="1"/>
  <c r="U2" i="2" a="1"/>
  <c r="U2" i="2" s="1"/>
  <c r="T2" i="2" a="1"/>
  <c r="T2" i="2" s="1"/>
  <c r="S2" i="2" a="1"/>
  <c r="S2" i="2" s="1"/>
  <c r="R2" i="2" a="1"/>
  <c r="R2" i="2" s="1"/>
  <c r="Q2" i="2" a="1"/>
  <c r="Q2" i="2" s="1"/>
  <c r="P2" i="2" a="1"/>
  <c r="P2" i="2" s="1"/>
  <c r="O2" i="2" a="1"/>
  <c r="O2" i="2" s="1"/>
  <c r="M2" i="2" a="1"/>
  <c r="M2" i="2" s="1"/>
  <c r="K2" i="2" a="1"/>
  <c r="K2" i="2" s="1"/>
  <c r="J2" i="2" a="1"/>
  <c r="J2" i="2" s="1"/>
  <c r="H2" i="2" a="1"/>
  <c r="H2" i="2" s="1"/>
  <c r="F2" i="2" a="1"/>
  <c r="F2" i="2" s="1"/>
  <c r="D2" i="2" a="1"/>
  <c r="D2" i="2" s="1"/>
  <c r="E2" i="2" s="1"/>
  <c r="C2" i="2" a="1"/>
  <c r="C2" i="2" s="1"/>
  <c r="A2" i="2" a="1"/>
  <c r="A2" i="2" s="1"/>
  <c r="AA224" i="2" l="1"/>
  <c r="N291" i="2"/>
  <c r="N51" i="2"/>
  <c r="AC272" i="2"/>
  <c r="AB377" i="2"/>
  <c r="N112" i="2"/>
  <c r="AC395" i="2"/>
  <c r="AD217" i="2"/>
  <c r="AA378" i="2"/>
  <c r="Z68" i="2"/>
  <c r="AD236" i="2"/>
  <c r="AB236" i="2"/>
  <c r="Z351" i="2"/>
  <c r="AD385" i="2"/>
  <c r="N297" i="2"/>
  <c r="AA364" i="2"/>
  <c r="AA359" i="2"/>
  <c r="AC128" i="2"/>
  <c r="Z128" i="2"/>
  <c r="AA48" i="2"/>
  <c r="AC236" i="2"/>
  <c r="AC270" i="2"/>
  <c r="Z104" i="2"/>
  <c r="AA176" i="2"/>
  <c r="Z116" i="2"/>
  <c r="AB133" i="2"/>
  <c r="AD388" i="2"/>
  <c r="AA388" i="2"/>
  <c r="AA258" i="2"/>
  <c r="AC258" i="2"/>
  <c r="N138" i="2"/>
  <c r="AC188" i="2"/>
  <c r="AB188" i="2"/>
  <c r="Z258" i="2"/>
  <c r="AD258" i="2"/>
  <c r="N248" i="2"/>
  <c r="N356" i="2"/>
  <c r="N371" i="2"/>
  <c r="AD297" i="2"/>
  <c r="AC351" i="2"/>
  <c r="N359" i="2"/>
  <c r="N212" i="2"/>
  <c r="N236" i="2"/>
  <c r="N272" i="2"/>
  <c r="AC3" i="2"/>
  <c r="AD3" i="2"/>
  <c r="AC15" i="2"/>
  <c r="AD15" i="2"/>
  <c r="AD27" i="2"/>
  <c r="AC86" i="2"/>
  <c r="AD86" i="2"/>
  <c r="AC110" i="2"/>
  <c r="AD110" i="2"/>
  <c r="AC80" i="2"/>
  <c r="Z80" i="2"/>
  <c r="AA282" i="2"/>
  <c r="AD282" i="2"/>
  <c r="AC282" i="2"/>
  <c r="Z282" i="2"/>
  <c r="N282" i="2"/>
  <c r="AC311" i="2"/>
  <c r="AD311" i="2"/>
  <c r="AA311" i="2"/>
  <c r="AB311" i="2"/>
  <c r="AC317" i="2"/>
  <c r="AD317" i="2"/>
  <c r="AB317" i="2"/>
  <c r="AA317" i="2"/>
  <c r="AC62" i="2"/>
  <c r="AD62" i="2"/>
  <c r="Z40" i="2"/>
  <c r="AC40" i="2"/>
  <c r="AA24" i="2"/>
  <c r="AA12" i="2"/>
  <c r="AA36" i="2"/>
  <c r="AC74" i="2"/>
  <c r="AD74" i="2"/>
  <c r="AC98" i="2"/>
  <c r="AD98" i="2"/>
  <c r="AB100" i="2"/>
  <c r="AC92" i="2"/>
  <c r="Z92" i="2"/>
  <c r="AD100" i="2"/>
  <c r="AD122" i="2"/>
  <c r="AB215" i="2"/>
  <c r="AA215" i="2"/>
  <c r="AD215" i="2"/>
  <c r="Z309" i="2"/>
  <c r="AC309" i="2"/>
  <c r="AD309" i="2"/>
  <c r="Z321" i="2"/>
  <c r="AD321" i="2"/>
  <c r="AC321" i="2"/>
  <c r="AC278" i="2"/>
  <c r="AB278" i="2"/>
  <c r="AA278" i="2"/>
  <c r="Z278" i="2"/>
  <c r="AD278" i="2"/>
  <c r="AC112" i="2"/>
  <c r="AD112" i="2"/>
  <c r="AB112" i="2"/>
  <c r="N40" i="2"/>
  <c r="AD39" i="2"/>
  <c r="N129" i="2"/>
  <c r="AC229" i="2"/>
  <c r="N229" i="2"/>
  <c r="AA212" i="2"/>
  <c r="AC212" i="2"/>
  <c r="AB212" i="2"/>
  <c r="AB227" i="2"/>
  <c r="AD227" i="2"/>
  <c r="AA227" i="2"/>
  <c r="AB239" i="2"/>
  <c r="AD239" i="2"/>
  <c r="AA239" i="2"/>
  <c r="AD260" i="2"/>
  <c r="AB260" i="2"/>
  <c r="AA260" i="2"/>
  <c r="AC260" i="2"/>
  <c r="AB176" i="2"/>
  <c r="AD176" i="2"/>
  <c r="AD224" i="2"/>
  <c r="AC224" i="2"/>
  <c r="AD291" i="2"/>
  <c r="AC291" i="2"/>
  <c r="AC299" i="2"/>
  <c r="AD299" i="2"/>
  <c r="AB299" i="2"/>
  <c r="AA299" i="2"/>
  <c r="AC200" i="2"/>
  <c r="AD200" i="2"/>
  <c r="AA200" i="2"/>
  <c r="AB200" i="2"/>
  <c r="N284" i="2"/>
  <c r="AD290" i="2"/>
  <c r="AA290" i="2"/>
  <c r="N100" i="2"/>
  <c r="AB124" i="2"/>
  <c r="AB275" i="2"/>
  <c r="AD275" i="2"/>
  <c r="AA275" i="2"/>
  <c r="AD124" i="2"/>
  <c r="AD248" i="2"/>
  <c r="AC248" i="2"/>
  <c r="AA248" i="2"/>
  <c r="N213" i="2"/>
  <c r="AB251" i="2"/>
  <c r="AA251" i="2"/>
  <c r="AB263" i="2"/>
  <c r="AD263" i="2"/>
  <c r="AA263" i="2"/>
  <c r="AD128" i="2"/>
  <c r="AA188" i="2"/>
  <c r="AB219" i="2"/>
  <c r="Z219" i="2"/>
  <c r="AD284" i="2"/>
  <c r="AC284" i="2"/>
  <c r="AB284" i="2"/>
  <c r="AA284" i="2"/>
  <c r="AC293" i="2"/>
  <c r="AD293" i="2"/>
  <c r="AD383" i="2"/>
  <c r="AB383" i="2"/>
  <c r="AC383" i="2"/>
  <c r="AD272" i="2"/>
  <c r="AB272" i="2"/>
  <c r="AC376" i="2"/>
  <c r="AA376" i="2"/>
  <c r="N376" i="2"/>
  <c r="AD376" i="2"/>
  <c r="AB376" i="2"/>
  <c r="Z376" i="2"/>
  <c r="N258" i="2"/>
  <c r="AA293" i="2"/>
  <c r="N222" i="2"/>
  <c r="AA270" i="2"/>
  <c r="N270" i="2"/>
  <c r="Z270" i="2"/>
  <c r="Z333" i="2"/>
  <c r="N333" i="2"/>
  <c r="AD333" i="2"/>
  <c r="AC333" i="2"/>
  <c r="AA214" i="2"/>
  <c r="AC217" i="2"/>
  <c r="N224" i="2"/>
  <c r="AA236" i="2"/>
  <c r="AC305" i="2"/>
  <c r="AD305" i="2"/>
  <c r="AB305" i="2"/>
  <c r="N309" i="2"/>
  <c r="AC329" i="2"/>
  <c r="AD329" i="2"/>
  <c r="AA329" i="2"/>
  <c r="AD362" i="2"/>
  <c r="AC362" i="2"/>
  <c r="AA399" i="2"/>
  <c r="AB399" i="2"/>
  <c r="Z399" i="2"/>
  <c r="N399" i="2"/>
  <c r="AC399" i="2"/>
  <c r="Z352" i="2"/>
  <c r="AB352" i="2"/>
  <c r="AB364" i="2"/>
  <c r="Z364" i="2"/>
  <c r="AC364" i="2"/>
  <c r="AC400" i="2"/>
  <c r="AC335" i="2"/>
  <c r="AA335" i="2"/>
  <c r="N390" i="2"/>
  <c r="N400" i="2"/>
  <c r="AB335" i="2"/>
  <c r="AD373" i="2"/>
  <c r="AA373" i="2"/>
  <c r="AB400" i="2"/>
  <c r="AA400" i="2"/>
  <c r="Z400" i="2"/>
  <c r="AA323" i="2"/>
  <c r="AB373" i="2"/>
  <c r="AB323" i="2"/>
  <c r="Z354" i="2"/>
  <c r="AB380" i="2"/>
  <c r="AD380" i="2"/>
  <c r="AA380" i="2"/>
  <c r="N260" i="2"/>
  <c r="AD323" i="2"/>
  <c r="N368" i="2"/>
  <c r="N388" i="2"/>
  <c r="Z392" i="2"/>
  <c r="N364" i="2"/>
  <c r="N351" i="2"/>
  <c r="Z388" i="2"/>
  <c r="N321" i="2"/>
  <c r="AA351" i="2"/>
  <c r="AB388" i="2"/>
  <c r="Z385" i="2"/>
  <c r="AC388" i="2"/>
  <c r="AA385" i="2"/>
  <c r="AB395" i="2"/>
  <c r="K16" i="1"/>
  <c r="K15" i="1"/>
  <c r="G34" i="1"/>
  <c r="G30" i="1"/>
  <c r="G22" i="1"/>
  <c r="G18" i="1"/>
  <c r="G13" i="1"/>
  <c r="I30" i="1"/>
  <c r="E34" i="1"/>
  <c r="E30" i="1"/>
  <c r="E22" i="1"/>
  <c r="E18" i="1"/>
  <c r="E13" i="1"/>
  <c r="K33" i="1"/>
  <c r="K25" i="1"/>
  <c r="K21" i="1"/>
  <c r="K12" i="1"/>
  <c r="I13" i="1"/>
  <c r="I33" i="1"/>
  <c r="I25" i="1"/>
  <c r="I21" i="1"/>
  <c r="I16" i="1"/>
  <c r="I12" i="1"/>
  <c r="I34" i="1"/>
  <c r="G33" i="1"/>
  <c r="G25" i="1"/>
  <c r="G21" i="1"/>
  <c r="G16" i="1"/>
  <c r="G12" i="1"/>
  <c r="E33" i="1"/>
  <c r="E25" i="1"/>
  <c r="E21" i="1"/>
  <c r="E16" i="1"/>
  <c r="E12" i="1"/>
  <c r="K31" i="1"/>
  <c r="K24" i="1"/>
  <c r="K19" i="1"/>
  <c r="K10" i="1"/>
  <c r="I18" i="1"/>
  <c r="I31" i="1"/>
  <c r="I24" i="1"/>
  <c r="I19" i="1"/>
  <c r="I15" i="1"/>
  <c r="I10" i="1"/>
  <c r="G31" i="1"/>
  <c r="G24" i="1"/>
  <c r="G19" i="1"/>
  <c r="G15" i="1"/>
  <c r="G10" i="1"/>
  <c r="E31" i="1"/>
  <c r="E24" i="1"/>
  <c r="E19" i="1"/>
  <c r="E15" i="1"/>
  <c r="E10" i="1"/>
  <c r="I22" i="1"/>
  <c r="K34" i="1"/>
  <c r="K30" i="1"/>
  <c r="K22" i="1"/>
  <c r="L22" i="1" s="1"/>
  <c r="K18" i="1"/>
  <c r="L18" i="1" s="1"/>
  <c r="K13" i="1"/>
  <c r="AD8" i="2"/>
  <c r="AC8" i="2"/>
  <c r="N8" i="2"/>
  <c r="AB8" i="2"/>
  <c r="AA8" i="2"/>
  <c r="Z8" i="2"/>
  <c r="AB14" i="2"/>
  <c r="AA14" i="2"/>
  <c r="Z14" i="2"/>
  <c r="AD14" i="2"/>
  <c r="AC14" i="2"/>
  <c r="N14" i="2"/>
  <c r="AD49" i="2"/>
  <c r="AC49" i="2"/>
  <c r="N49" i="2"/>
  <c r="AB49" i="2"/>
  <c r="AA49" i="2"/>
  <c r="Z49" i="2"/>
  <c r="AC50" i="2"/>
  <c r="AA50" i="2"/>
  <c r="AD50" i="2"/>
  <c r="AB50" i="2"/>
  <c r="Z50" i="2"/>
  <c r="N50" i="2"/>
  <c r="AB2" i="2"/>
  <c r="AA2" i="2"/>
  <c r="Z2" i="2"/>
  <c r="AD2" i="2"/>
  <c r="AC2" i="2"/>
  <c r="N2" i="2"/>
  <c r="AD22" i="2"/>
  <c r="AC22" i="2"/>
  <c r="N22" i="2"/>
  <c r="AB22" i="2"/>
  <c r="AA22" i="2"/>
  <c r="Z22" i="2"/>
  <c r="AD23" i="2"/>
  <c r="AC23" i="2"/>
  <c r="N23" i="2"/>
  <c r="AB23" i="2"/>
  <c r="AA23" i="2"/>
  <c r="Z23" i="2"/>
  <c r="Z28" i="2"/>
  <c r="AD28" i="2"/>
  <c r="AC28" i="2"/>
  <c r="N28" i="2"/>
  <c r="AB28" i="2"/>
  <c r="AA28" i="2"/>
  <c r="AD29" i="2"/>
  <c r="AC29" i="2"/>
  <c r="N29" i="2"/>
  <c r="AB29" i="2"/>
  <c r="AA29" i="2"/>
  <c r="Z29" i="2"/>
  <c r="AD34" i="2"/>
  <c r="AC34" i="2"/>
  <c r="N34" i="2"/>
  <c r="AB34" i="2"/>
  <c r="AA34" i="2"/>
  <c r="Z34" i="2"/>
  <c r="AD10" i="2"/>
  <c r="AC10" i="2"/>
  <c r="N10" i="2"/>
  <c r="AB10" i="2"/>
  <c r="AA10" i="2"/>
  <c r="Z10" i="2"/>
  <c r="AD11" i="2"/>
  <c r="AC11" i="2"/>
  <c r="N11" i="2"/>
  <c r="AB11" i="2"/>
  <c r="AA11" i="2"/>
  <c r="Z11" i="2"/>
  <c r="Z16" i="2"/>
  <c r="AD16" i="2"/>
  <c r="AC16" i="2"/>
  <c r="N16" i="2"/>
  <c r="AB16" i="2"/>
  <c r="AA16" i="2"/>
  <c r="AD17" i="2"/>
  <c r="AC17" i="2"/>
  <c r="N17" i="2"/>
  <c r="AB17" i="2"/>
  <c r="AA17" i="2"/>
  <c r="Z17" i="2"/>
  <c r="AD30" i="2"/>
  <c r="AC30" i="2"/>
  <c r="N30" i="2"/>
  <c r="AB30" i="2"/>
  <c r="AA30" i="2"/>
  <c r="Z30" i="2"/>
  <c r="AD35" i="2"/>
  <c r="AC35" i="2"/>
  <c r="N35" i="2"/>
  <c r="AB35" i="2"/>
  <c r="AA35" i="2"/>
  <c r="Z35" i="2"/>
  <c r="AD41" i="2"/>
  <c r="AC41" i="2"/>
  <c r="N41" i="2"/>
  <c r="AB41" i="2"/>
  <c r="AA41" i="2"/>
  <c r="Z41" i="2"/>
  <c r="AD18" i="2"/>
  <c r="AC18" i="2"/>
  <c r="N18" i="2"/>
  <c r="AB18" i="2"/>
  <c r="AA18" i="2"/>
  <c r="Z18" i="2"/>
  <c r="AC19" i="2"/>
  <c r="N19" i="2"/>
  <c r="AB19" i="2"/>
  <c r="AA19" i="2"/>
  <c r="Z19" i="2"/>
  <c r="AD19" i="2"/>
  <c r="AC31" i="2"/>
  <c r="N31" i="2"/>
  <c r="AB31" i="2"/>
  <c r="AA31" i="2"/>
  <c r="Z31" i="2"/>
  <c r="AD31" i="2"/>
  <c r="AD42" i="2"/>
  <c r="AC42" i="2"/>
  <c r="N42" i="2"/>
  <c r="AB42" i="2"/>
  <c r="AA42" i="2"/>
  <c r="Z42" i="2"/>
  <c r="AD46" i="2"/>
  <c r="AC46" i="2"/>
  <c r="N46" i="2"/>
  <c r="AB46" i="2"/>
  <c r="AA46" i="2"/>
  <c r="Z46" i="2"/>
  <c r="AC43" i="2"/>
  <c r="N43" i="2"/>
  <c r="AB43" i="2"/>
  <c r="AA43" i="2"/>
  <c r="Z43" i="2"/>
  <c r="AD43" i="2"/>
  <c r="AD47" i="2"/>
  <c r="AC47" i="2"/>
  <c r="N47" i="2"/>
  <c r="AB47" i="2"/>
  <c r="AA47" i="2"/>
  <c r="Z47" i="2"/>
  <c r="AD25" i="2"/>
  <c r="AC25" i="2"/>
  <c r="N25" i="2"/>
  <c r="AB25" i="2"/>
  <c r="AA25" i="2"/>
  <c r="Z25" i="2"/>
  <c r="Z4" i="2"/>
  <c r="AD4" i="2"/>
  <c r="AC4" i="2"/>
  <c r="N4" i="2"/>
  <c r="AB4" i="2"/>
  <c r="AA4" i="2"/>
  <c r="AD5" i="2"/>
  <c r="AC5" i="2"/>
  <c r="N5" i="2"/>
  <c r="AB5" i="2"/>
  <c r="AA5" i="2"/>
  <c r="Z5" i="2"/>
  <c r="AD20" i="2"/>
  <c r="AC20" i="2"/>
  <c r="N20" i="2"/>
  <c r="AB20" i="2"/>
  <c r="AA20" i="2"/>
  <c r="Z20" i="2"/>
  <c r="AB26" i="2"/>
  <c r="AA26" i="2"/>
  <c r="Z26" i="2"/>
  <c r="AD26" i="2"/>
  <c r="AC26" i="2"/>
  <c r="N26" i="2"/>
  <c r="AD32" i="2"/>
  <c r="AC32" i="2"/>
  <c r="N32" i="2"/>
  <c r="AB32" i="2"/>
  <c r="AA32" i="2"/>
  <c r="Z32" i="2"/>
  <c r="AD6" i="2"/>
  <c r="AC6" i="2"/>
  <c r="N6" i="2"/>
  <c r="AB6" i="2"/>
  <c r="AA6" i="2"/>
  <c r="Z6" i="2"/>
  <c r="AC7" i="2"/>
  <c r="N7" i="2"/>
  <c r="AB7" i="2"/>
  <c r="AA7" i="2"/>
  <c r="Z7" i="2"/>
  <c r="AD7" i="2"/>
  <c r="AD37" i="2"/>
  <c r="AC37" i="2"/>
  <c r="N37" i="2"/>
  <c r="AB37" i="2"/>
  <c r="AA37" i="2"/>
  <c r="Z37" i="2"/>
  <c r="AD44" i="2"/>
  <c r="AC44" i="2"/>
  <c r="N44" i="2"/>
  <c r="AB44" i="2"/>
  <c r="AA44" i="2"/>
  <c r="Z44" i="2"/>
  <c r="AD13" i="2"/>
  <c r="AC13" i="2"/>
  <c r="N13" i="2"/>
  <c r="AB13" i="2"/>
  <c r="AA13" i="2"/>
  <c r="Z13" i="2"/>
  <c r="AB38" i="2"/>
  <c r="AA38" i="2"/>
  <c r="Z38" i="2"/>
  <c r="AD38" i="2"/>
  <c r="AC38" i="2"/>
  <c r="N38" i="2"/>
  <c r="AB9" i="2"/>
  <c r="AB21" i="2"/>
  <c r="AB33" i="2"/>
  <c r="AA40" i="2"/>
  <c r="AB45" i="2"/>
  <c r="AB51" i="2"/>
  <c r="AA51" i="2"/>
  <c r="Z51" i="2"/>
  <c r="AC56" i="2"/>
  <c r="N56" i="2"/>
  <c r="AB56" i="2"/>
  <c r="AA56" i="2"/>
  <c r="AD56" i="2"/>
  <c r="AD83" i="2"/>
  <c r="AC83" i="2"/>
  <c r="N83" i="2"/>
  <c r="AB83" i="2"/>
  <c r="AA83" i="2"/>
  <c r="Z83" i="2"/>
  <c r="AD88" i="2"/>
  <c r="AC88" i="2"/>
  <c r="N88" i="2"/>
  <c r="AB88" i="2"/>
  <c r="AA88" i="2"/>
  <c r="Z88" i="2"/>
  <c r="AD102" i="2"/>
  <c r="AC102" i="2"/>
  <c r="N102" i="2"/>
  <c r="AB102" i="2"/>
  <c r="AA102" i="2"/>
  <c r="Z102" i="2"/>
  <c r="AD115" i="2"/>
  <c r="AC115" i="2"/>
  <c r="N115" i="2"/>
  <c r="AB115" i="2"/>
  <c r="AA115" i="2"/>
  <c r="Z115" i="2"/>
  <c r="AD120" i="2"/>
  <c r="AC120" i="2"/>
  <c r="N120" i="2"/>
  <c r="AB120" i="2"/>
  <c r="AA120" i="2"/>
  <c r="Z120" i="2"/>
  <c r="AD132" i="2"/>
  <c r="AC132" i="2"/>
  <c r="N132" i="2"/>
  <c r="AB132" i="2"/>
  <c r="AA132" i="2"/>
  <c r="Z132" i="2"/>
  <c r="N9" i="2"/>
  <c r="AC9" i="2"/>
  <c r="N21" i="2"/>
  <c r="AC21" i="2"/>
  <c r="N33" i="2"/>
  <c r="AC33" i="2"/>
  <c r="AB40" i="2"/>
  <c r="N45" i="2"/>
  <c r="AC45" i="2"/>
  <c r="AB52" i="2"/>
  <c r="AD69" i="2"/>
  <c r="AC69" i="2"/>
  <c r="N69" i="2"/>
  <c r="AB69" i="2"/>
  <c r="AA69" i="2"/>
  <c r="Z69" i="2"/>
  <c r="AD105" i="2"/>
  <c r="AC105" i="2"/>
  <c r="N105" i="2"/>
  <c r="AB105" i="2"/>
  <c r="AA105" i="2"/>
  <c r="Z105" i="2"/>
  <c r="AB111" i="2"/>
  <c r="AA111" i="2"/>
  <c r="Z111" i="2"/>
  <c r="AD111" i="2"/>
  <c r="AC111" i="2"/>
  <c r="N111" i="2"/>
  <c r="AD131" i="2"/>
  <c r="AC131" i="2"/>
  <c r="N131" i="2"/>
  <c r="AB131" i="2"/>
  <c r="AA131" i="2"/>
  <c r="Z131" i="2"/>
  <c r="AD9" i="2"/>
  <c r="AD21" i="2"/>
  <c r="AD33" i="2"/>
  <c r="AD45" i="2"/>
  <c r="AD59" i="2"/>
  <c r="AB59" i="2"/>
  <c r="Z59" i="2"/>
  <c r="N59" i="2"/>
  <c r="AA59" i="2"/>
  <c r="AD79" i="2"/>
  <c r="AC79" i="2"/>
  <c r="N79" i="2"/>
  <c r="AB79" i="2"/>
  <c r="AA79" i="2"/>
  <c r="Z79" i="2"/>
  <c r="AD119" i="2"/>
  <c r="AC119" i="2"/>
  <c r="N119" i="2"/>
  <c r="AB119" i="2"/>
  <c r="AA119" i="2"/>
  <c r="Z119" i="2"/>
  <c r="AD40" i="2"/>
  <c r="Z53" i="2"/>
  <c r="AD53" i="2"/>
  <c r="AC53" i="2"/>
  <c r="N53" i="2"/>
  <c r="AB53" i="2"/>
  <c r="AA53" i="2"/>
  <c r="AC59" i="2"/>
  <c r="AD67" i="2"/>
  <c r="AC67" i="2"/>
  <c r="N67" i="2"/>
  <c r="AB67" i="2"/>
  <c r="AA67" i="2"/>
  <c r="Z67" i="2"/>
  <c r="AD72" i="2"/>
  <c r="AC72" i="2"/>
  <c r="N72" i="2"/>
  <c r="AB72" i="2"/>
  <c r="AA72" i="2"/>
  <c r="Z72" i="2"/>
  <c r="AD85" i="2"/>
  <c r="AC85" i="2"/>
  <c r="N85" i="2"/>
  <c r="AB85" i="2"/>
  <c r="AA85" i="2"/>
  <c r="Z85" i="2"/>
  <c r="AD103" i="2"/>
  <c r="AC103" i="2"/>
  <c r="N103" i="2"/>
  <c r="AB103" i="2"/>
  <c r="AA103" i="2"/>
  <c r="Z103" i="2"/>
  <c r="AD108" i="2"/>
  <c r="AC108" i="2"/>
  <c r="N108" i="2"/>
  <c r="AB108" i="2"/>
  <c r="AA108" i="2"/>
  <c r="Z108" i="2"/>
  <c r="Z3" i="2"/>
  <c r="Z15" i="2"/>
  <c r="Z27" i="2"/>
  <c r="Z39" i="2"/>
  <c r="AD54" i="2"/>
  <c r="AC54" i="2"/>
  <c r="N54" i="2"/>
  <c r="AA54" i="2"/>
  <c r="AD60" i="2"/>
  <c r="AC60" i="2"/>
  <c r="N60" i="2"/>
  <c r="AB60" i="2"/>
  <c r="AA60" i="2"/>
  <c r="Z60" i="2"/>
  <c r="AD121" i="2"/>
  <c r="AC121" i="2"/>
  <c r="N121" i="2"/>
  <c r="AB121" i="2"/>
  <c r="AA121" i="2"/>
  <c r="Z121" i="2"/>
  <c r="AA3" i="2"/>
  <c r="AA15" i="2"/>
  <c r="AA27" i="2"/>
  <c r="AA39" i="2"/>
  <c r="AD71" i="2"/>
  <c r="AC71" i="2"/>
  <c r="N71" i="2"/>
  <c r="AB71" i="2"/>
  <c r="AA71" i="2"/>
  <c r="Z71" i="2"/>
  <c r="Z89" i="2"/>
  <c r="AD89" i="2"/>
  <c r="AC89" i="2"/>
  <c r="N89" i="2"/>
  <c r="AB89" i="2"/>
  <c r="AA89" i="2"/>
  <c r="AD90" i="2"/>
  <c r="AC90" i="2"/>
  <c r="N90" i="2"/>
  <c r="AB90" i="2"/>
  <c r="AA90" i="2"/>
  <c r="Z90" i="2"/>
  <c r="AD93" i="2"/>
  <c r="AC93" i="2"/>
  <c r="N93" i="2"/>
  <c r="AB93" i="2"/>
  <c r="AA93" i="2"/>
  <c r="Z93" i="2"/>
  <c r="AB99" i="2"/>
  <c r="AA99" i="2"/>
  <c r="Z99" i="2"/>
  <c r="AD99" i="2"/>
  <c r="AC99" i="2"/>
  <c r="N99" i="2"/>
  <c r="AD107" i="2"/>
  <c r="AC107" i="2"/>
  <c r="N107" i="2"/>
  <c r="AB107" i="2"/>
  <c r="AA107" i="2"/>
  <c r="Z107" i="2"/>
  <c r="AB3" i="2"/>
  <c r="AB15" i="2"/>
  <c r="AB27" i="2"/>
  <c r="AB39" i="2"/>
  <c r="AC51" i="2"/>
  <c r="AB63" i="2"/>
  <c r="AA63" i="2"/>
  <c r="Z63" i="2"/>
  <c r="AD63" i="2"/>
  <c r="AC63" i="2"/>
  <c r="N63" i="2"/>
  <c r="AD64" i="2"/>
  <c r="AC64" i="2"/>
  <c r="N64" i="2"/>
  <c r="AB64" i="2"/>
  <c r="AA64" i="2"/>
  <c r="Z64" i="2"/>
  <c r="AB75" i="2"/>
  <c r="AA75" i="2"/>
  <c r="Z75" i="2"/>
  <c r="AD75" i="2"/>
  <c r="AC75" i="2"/>
  <c r="N75" i="2"/>
  <c r="AD76" i="2"/>
  <c r="AC76" i="2"/>
  <c r="N76" i="2"/>
  <c r="AB76" i="2"/>
  <c r="AA76" i="2"/>
  <c r="Z76" i="2"/>
  <c r="Z125" i="2"/>
  <c r="AD125" i="2"/>
  <c r="AC125" i="2"/>
  <c r="N125" i="2"/>
  <c r="AB125" i="2"/>
  <c r="AA125" i="2"/>
  <c r="AD126" i="2"/>
  <c r="AC126" i="2"/>
  <c r="N126" i="2"/>
  <c r="AB126" i="2"/>
  <c r="AA126" i="2"/>
  <c r="Z126" i="2"/>
  <c r="N3" i="2"/>
  <c r="Z12" i="2"/>
  <c r="N15" i="2"/>
  <c r="Z24" i="2"/>
  <c r="N27" i="2"/>
  <c r="Z36" i="2"/>
  <c r="N39" i="2"/>
  <c r="Z48" i="2"/>
  <c r="AD51" i="2"/>
  <c r="AD73" i="2"/>
  <c r="AC73" i="2"/>
  <c r="N73" i="2"/>
  <c r="AB73" i="2"/>
  <c r="AA73" i="2"/>
  <c r="Z73" i="2"/>
  <c r="AD96" i="2"/>
  <c r="AC96" i="2"/>
  <c r="N96" i="2"/>
  <c r="AB96" i="2"/>
  <c r="AA96" i="2"/>
  <c r="Z96" i="2"/>
  <c r="AD109" i="2"/>
  <c r="AC109" i="2"/>
  <c r="N109" i="2"/>
  <c r="AB109" i="2"/>
  <c r="AA109" i="2"/>
  <c r="Z109" i="2"/>
  <c r="AC52" i="2"/>
  <c r="N52" i="2"/>
  <c r="AA52" i="2"/>
  <c r="Z52" i="2"/>
  <c r="AD57" i="2"/>
  <c r="AB57" i="2"/>
  <c r="AA57" i="2"/>
  <c r="Z57" i="2"/>
  <c r="AC57" i="2"/>
  <c r="AD61" i="2"/>
  <c r="AC61" i="2"/>
  <c r="N61" i="2"/>
  <c r="AB61" i="2"/>
  <c r="Z61" i="2"/>
  <c r="AD91" i="2"/>
  <c r="AC91" i="2"/>
  <c r="N91" i="2"/>
  <c r="AB91" i="2"/>
  <c r="AA91" i="2"/>
  <c r="Z91" i="2"/>
  <c r="Z113" i="2"/>
  <c r="AD113" i="2"/>
  <c r="AC113" i="2"/>
  <c r="N113" i="2"/>
  <c r="AB113" i="2"/>
  <c r="AA113" i="2"/>
  <c r="AD114" i="2"/>
  <c r="AC114" i="2"/>
  <c r="N114" i="2"/>
  <c r="AB114" i="2"/>
  <c r="AA114" i="2"/>
  <c r="Z114" i="2"/>
  <c r="AB12" i="2"/>
  <c r="AB24" i="2"/>
  <c r="AB36" i="2"/>
  <c r="AB48" i="2"/>
  <c r="AB54" i="2"/>
  <c r="N57" i="2"/>
  <c r="AA58" i="2"/>
  <c r="Z58" i="2"/>
  <c r="AD58" i="2"/>
  <c r="AC58" i="2"/>
  <c r="N58" i="2"/>
  <c r="AB58" i="2"/>
  <c r="AA61" i="2"/>
  <c r="AD81" i="2"/>
  <c r="AC81" i="2"/>
  <c r="N81" i="2"/>
  <c r="AB81" i="2"/>
  <c r="AA81" i="2"/>
  <c r="Z81" i="2"/>
  <c r="AD95" i="2"/>
  <c r="AC95" i="2"/>
  <c r="N95" i="2"/>
  <c r="AB95" i="2"/>
  <c r="AA95" i="2"/>
  <c r="Z95" i="2"/>
  <c r="Z9" i="2"/>
  <c r="N12" i="2"/>
  <c r="AC12" i="2"/>
  <c r="Z21" i="2"/>
  <c r="N24" i="2"/>
  <c r="AC24" i="2"/>
  <c r="Z33" i="2"/>
  <c r="N36" i="2"/>
  <c r="AC36" i="2"/>
  <c r="Z45" i="2"/>
  <c r="N48" i="2"/>
  <c r="AC48" i="2"/>
  <c r="AD55" i="2"/>
  <c r="AC55" i="2"/>
  <c r="N55" i="2"/>
  <c r="AB55" i="2"/>
  <c r="AA55" i="2"/>
  <c r="Z55" i="2"/>
  <c r="AD84" i="2"/>
  <c r="AC84" i="2"/>
  <c r="N84" i="2"/>
  <c r="AB84" i="2"/>
  <c r="AA84" i="2"/>
  <c r="Z84" i="2"/>
  <c r="AD117" i="2"/>
  <c r="AC117" i="2"/>
  <c r="N117" i="2"/>
  <c r="AB117" i="2"/>
  <c r="AA117" i="2"/>
  <c r="Z117" i="2"/>
  <c r="AD127" i="2"/>
  <c r="AC127" i="2"/>
  <c r="N127" i="2"/>
  <c r="AB127" i="2"/>
  <c r="AA127" i="2"/>
  <c r="Z127" i="2"/>
  <c r="Z65" i="2"/>
  <c r="AD65" i="2"/>
  <c r="AC65" i="2"/>
  <c r="N65" i="2"/>
  <c r="AB65" i="2"/>
  <c r="AA65" i="2"/>
  <c r="AD66" i="2"/>
  <c r="AC66" i="2"/>
  <c r="N66" i="2"/>
  <c r="AB66" i="2"/>
  <c r="AA66" i="2"/>
  <c r="Z66" i="2"/>
  <c r="Z77" i="2"/>
  <c r="AD77" i="2"/>
  <c r="AC77" i="2"/>
  <c r="N77" i="2"/>
  <c r="AB77" i="2"/>
  <c r="AA77" i="2"/>
  <c r="AD78" i="2"/>
  <c r="AC78" i="2"/>
  <c r="N78" i="2"/>
  <c r="AB78" i="2"/>
  <c r="AA78" i="2"/>
  <c r="Z78" i="2"/>
  <c r="AB87" i="2"/>
  <c r="AA87" i="2"/>
  <c r="Z87" i="2"/>
  <c r="AD87" i="2"/>
  <c r="AC87" i="2"/>
  <c r="N87" i="2"/>
  <c r="AD97" i="2"/>
  <c r="AC97" i="2"/>
  <c r="N97" i="2"/>
  <c r="AB97" i="2"/>
  <c r="AA97" i="2"/>
  <c r="Z97" i="2"/>
  <c r="Z101" i="2"/>
  <c r="AD101" i="2"/>
  <c r="AC101" i="2"/>
  <c r="N101" i="2"/>
  <c r="AB101" i="2"/>
  <c r="AA101" i="2"/>
  <c r="AB123" i="2"/>
  <c r="AA123" i="2"/>
  <c r="Z123" i="2"/>
  <c r="AD123" i="2"/>
  <c r="AC123" i="2"/>
  <c r="N123" i="2"/>
  <c r="AD68" i="2"/>
  <c r="AB70" i="2"/>
  <c r="AD80" i="2"/>
  <c r="AB82" i="2"/>
  <c r="AD92" i="2"/>
  <c r="AB94" i="2"/>
  <c r="AD104" i="2"/>
  <c r="AB106" i="2"/>
  <c r="AD116" i="2"/>
  <c r="AB118" i="2"/>
  <c r="AB130" i="2"/>
  <c r="Z174" i="2"/>
  <c r="AD174" i="2"/>
  <c r="AC174" i="2"/>
  <c r="N174" i="2"/>
  <c r="AB174" i="2"/>
  <c r="AA174" i="2"/>
  <c r="AD183" i="2"/>
  <c r="AC183" i="2"/>
  <c r="N183" i="2"/>
  <c r="AB183" i="2"/>
  <c r="AA183" i="2"/>
  <c r="Z183" i="2"/>
  <c r="N70" i="2"/>
  <c r="AC70" i="2"/>
  <c r="N82" i="2"/>
  <c r="AC82" i="2"/>
  <c r="N94" i="2"/>
  <c r="AC94" i="2"/>
  <c r="N106" i="2"/>
  <c r="AC106" i="2"/>
  <c r="N118" i="2"/>
  <c r="AC118" i="2"/>
  <c r="N130" i="2"/>
  <c r="AC130" i="2"/>
  <c r="AD134" i="2"/>
  <c r="AC134" i="2"/>
  <c r="N134" i="2"/>
  <c r="AB134" i="2"/>
  <c r="AA134" i="2"/>
  <c r="Z134" i="2"/>
  <c r="AD142" i="2"/>
  <c r="AC142" i="2"/>
  <c r="N142" i="2"/>
  <c r="AB142" i="2"/>
  <c r="AA142" i="2"/>
  <c r="Z142" i="2"/>
  <c r="AD145" i="2"/>
  <c r="AC145" i="2"/>
  <c r="N145" i="2"/>
  <c r="AB145" i="2"/>
  <c r="AA145" i="2"/>
  <c r="Z145" i="2"/>
  <c r="AC165" i="2"/>
  <c r="N165" i="2"/>
  <c r="AB165" i="2"/>
  <c r="AA165" i="2"/>
  <c r="Z165" i="2"/>
  <c r="AD165" i="2"/>
  <c r="AA203" i="2"/>
  <c r="Z203" i="2"/>
  <c r="AD203" i="2"/>
  <c r="AC203" i="2"/>
  <c r="N203" i="2"/>
  <c r="AB203" i="2"/>
  <c r="AD207" i="2"/>
  <c r="AC207" i="2"/>
  <c r="N207" i="2"/>
  <c r="AB207" i="2"/>
  <c r="AA207" i="2"/>
  <c r="Z207" i="2"/>
  <c r="Z62" i="2"/>
  <c r="AD70" i="2"/>
  <c r="Z74" i="2"/>
  <c r="AD82" i="2"/>
  <c r="Z86" i="2"/>
  <c r="AD94" i="2"/>
  <c r="Z98" i="2"/>
  <c r="AD106" i="2"/>
  <c r="Z110" i="2"/>
  <c r="AD118" i="2"/>
  <c r="Z122" i="2"/>
  <c r="AD130" i="2"/>
  <c r="AA155" i="2"/>
  <c r="Z155" i="2"/>
  <c r="AD155" i="2"/>
  <c r="AC155" i="2"/>
  <c r="N155" i="2"/>
  <c r="AB155" i="2"/>
  <c r="AD171" i="2"/>
  <c r="AC171" i="2"/>
  <c r="N171" i="2"/>
  <c r="AB171" i="2"/>
  <c r="AA171" i="2"/>
  <c r="Z171" i="2"/>
  <c r="AB184" i="2"/>
  <c r="AA184" i="2"/>
  <c r="Z184" i="2"/>
  <c r="AD184" i="2"/>
  <c r="AC184" i="2"/>
  <c r="N184" i="2"/>
  <c r="AA62" i="2"/>
  <c r="AA74" i="2"/>
  <c r="AA86" i="2"/>
  <c r="AA98" i="2"/>
  <c r="AA110" i="2"/>
  <c r="AA122" i="2"/>
  <c r="Z129" i="2"/>
  <c r="Z138" i="2"/>
  <c r="AD138" i="2"/>
  <c r="AC138" i="2"/>
  <c r="AB138" i="2"/>
  <c r="AA138" i="2"/>
  <c r="Z150" i="2"/>
  <c r="AD150" i="2"/>
  <c r="AC150" i="2"/>
  <c r="N150" i="2"/>
  <c r="AB150" i="2"/>
  <c r="AA150" i="2"/>
  <c r="Z162" i="2"/>
  <c r="AD162" i="2"/>
  <c r="AC162" i="2"/>
  <c r="N162" i="2"/>
  <c r="AB162" i="2"/>
  <c r="AA162" i="2"/>
  <c r="AD166" i="2"/>
  <c r="AC166" i="2"/>
  <c r="N166" i="2"/>
  <c r="AB166" i="2"/>
  <c r="AA166" i="2"/>
  <c r="Z166" i="2"/>
  <c r="AD175" i="2"/>
  <c r="AC175" i="2"/>
  <c r="N175" i="2"/>
  <c r="AB175" i="2"/>
  <c r="AA175" i="2"/>
  <c r="Z175" i="2"/>
  <c r="Z198" i="2"/>
  <c r="AD198" i="2"/>
  <c r="AC198" i="2"/>
  <c r="N198" i="2"/>
  <c r="AB198" i="2"/>
  <c r="AA198" i="2"/>
  <c r="AD199" i="2"/>
  <c r="AC199" i="2"/>
  <c r="N199" i="2"/>
  <c r="AB199" i="2"/>
  <c r="AA199" i="2"/>
  <c r="Z199" i="2"/>
  <c r="AB208" i="2"/>
  <c r="AA208" i="2"/>
  <c r="Z208" i="2"/>
  <c r="AD208" i="2"/>
  <c r="AC208" i="2"/>
  <c r="N208" i="2"/>
  <c r="AB62" i="2"/>
  <c r="AB74" i="2"/>
  <c r="AB86" i="2"/>
  <c r="AB98" i="2"/>
  <c r="Z100" i="2"/>
  <c r="AB110" i="2"/>
  <c r="Z112" i="2"/>
  <c r="AB122" i="2"/>
  <c r="Z124" i="2"/>
  <c r="AA129" i="2"/>
  <c r="AA143" i="2"/>
  <c r="Z143" i="2"/>
  <c r="AD143" i="2"/>
  <c r="AC143" i="2"/>
  <c r="N143" i="2"/>
  <c r="AB143" i="2"/>
  <c r="AB172" i="2"/>
  <c r="AA172" i="2"/>
  <c r="Z172" i="2"/>
  <c r="AD172" i="2"/>
  <c r="AC172" i="2"/>
  <c r="N172" i="2"/>
  <c r="AD178" i="2"/>
  <c r="AC178" i="2"/>
  <c r="N178" i="2"/>
  <c r="AB178" i="2"/>
  <c r="AA178" i="2"/>
  <c r="Z178" i="2"/>
  <c r="AD181" i="2"/>
  <c r="AC181" i="2"/>
  <c r="N181" i="2"/>
  <c r="AB181" i="2"/>
  <c r="AA181" i="2"/>
  <c r="Z181" i="2"/>
  <c r="AD209" i="2"/>
  <c r="AC209" i="2"/>
  <c r="N209" i="2"/>
  <c r="AB209" i="2"/>
  <c r="AA209" i="2"/>
  <c r="Z209" i="2"/>
  <c r="Z210" i="2"/>
  <c r="AD210" i="2"/>
  <c r="AC210" i="2"/>
  <c r="N210" i="2"/>
  <c r="AB210" i="2"/>
  <c r="AA210" i="2"/>
  <c r="AC211" i="2"/>
  <c r="Z211" i="2"/>
  <c r="N211" i="2"/>
  <c r="AD211" i="2"/>
  <c r="AB211" i="2"/>
  <c r="AA211" i="2"/>
  <c r="N62" i="2"/>
  <c r="N74" i="2"/>
  <c r="N86" i="2"/>
  <c r="N98" i="2"/>
  <c r="AA100" i="2"/>
  <c r="N110" i="2"/>
  <c r="AA112" i="2"/>
  <c r="N122" i="2"/>
  <c r="AA124" i="2"/>
  <c r="AB129" i="2"/>
  <c r="AD133" i="2"/>
  <c r="AA133" i="2"/>
  <c r="Z133" i="2"/>
  <c r="AD139" i="2"/>
  <c r="AC139" i="2"/>
  <c r="N139" i="2"/>
  <c r="AB139" i="2"/>
  <c r="AA139" i="2"/>
  <c r="Z139" i="2"/>
  <c r="AD151" i="2"/>
  <c r="AC151" i="2"/>
  <c r="N151" i="2"/>
  <c r="AB151" i="2"/>
  <c r="AA151" i="2"/>
  <c r="Z151" i="2"/>
  <c r="AD159" i="2"/>
  <c r="AC159" i="2"/>
  <c r="N159" i="2"/>
  <c r="AB159" i="2"/>
  <c r="AA159" i="2"/>
  <c r="Z159" i="2"/>
  <c r="AD169" i="2"/>
  <c r="AC169" i="2"/>
  <c r="N169" i="2"/>
  <c r="AB169" i="2"/>
  <c r="AA169" i="2"/>
  <c r="Z169" i="2"/>
  <c r="AD193" i="2"/>
  <c r="AC193" i="2"/>
  <c r="N193" i="2"/>
  <c r="AB193" i="2"/>
  <c r="AA193" i="2"/>
  <c r="Z193" i="2"/>
  <c r="AC129" i="2"/>
  <c r="AD135" i="2"/>
  <c r="AC135" i="2"/>
  <c r="N135" i="2"/>
  <c r="AB135" i="2"/>
  <c r="AA135" i="2"/>
  <c r="AD163" i="2"/>
  <c r="AC163" i="2"/>
  <c r="N163" i="2"/>
  <c r="AB163" i="2"/>
  <c r="AA163" i="2"/>
  <c r="Z163" i="2"/>
  <c r="AD194" i="2"/>
  <c r="AC194" i="2"/>
  <c r="N194" i="2"/>
  <c r="AB194" i="2"/>
  <c r="AA194" i="2"/>
  <c r="Z194" i="2"/>
  <c r="N124" i="2"/>
  <c r="Z135" i="2"/>
  <c r="AD147" i="2"/>
  <c r="AC147" i="2"/>
  <c r="N147" i="2"/>
  <c r="AB147" i="2"/>
  <c r="AA147" i="2"/>
  <c r="Z147" i="2"/>
  <c r="AB160" i="2"/>
  <c r="AA160" i="2"/>
  <c r="Z160" i="2"/>
  <c r="AD160" i="2"/>
  <c r="AC160" i="2"/>
  <c r="N160" i="2"/>
  <c r="AA167" i="2"/>
  <c r="Z167" i="2"/>
  <c r="AD167" i="2"/>
  <c r="AC167" i="2"/>
  <c r="N167" i="2"/>
  <c r="AB167" i="2"/>
  <c r="AD182" i="2"/>
  <c r="AC182" i="2"/>
  <c r="N182" i="2"/>
  <c r="AB182" i="2"/>
  <c r="AA182" i="2"/>
  <c r="Z182" i="2"/>
  <c r="Z186" i="2"/>
  <c r="AD186" i="2"/>
  <c r="AC186" i="2"/>
  <c r="N186" i="2"/>
  <c r="AB186" i="2"/>
  <c r="AA186" i="2"/>
  <c r="AB136" i="2"/>
  <c r="AA136" i="2"/>
  <c r="Z136" i="2"/>
  <c r="AD136" i="2"/>
  <c r="AC136" i="2"/>
  <c r="N136" i="2"/>
  <c r="AD140" i="2"/>
  <c r="AC140" i="2"/>
  <c r="N140" i="2"/>
  <c r="AB140" i="2"/>
  <c r="AA140" i="2"/>
  <c r="Z140" i="2"/>
  <c r="AB148" i="2"/>
  <c r="AA148" i="2"/>
  <c r="Z148" i="2"/>
  <c r="AD148" i="2"/>
  <c r="AC148" i="2"/>
  <c r="N148" i="2"/>
  <c r="AD152" i="2"/>
  <c r="AC152" i="2"/>
  <c r="N152" i="2"/>
  <c r="AB152" i="2"/>
  <c r="AA152" i="2"/>
  <c r="Z152" i="2"/>
  <c r="AA179" i="2"/>
  <c r="Z179" i="2"/>
  <c r="AD179" i="2"/>
  <c r="AC179" i="2"/>
  <c r="N179" i="2"/>
  <c r="AB179" i="2"/>
  <c r="AD187" i="2"/>
  <c r="AC187" i="2"/>
  <c r="N187" i="2"/>
  <c r="AB187" i="2"/>
  <c r="AA187" i="2"/>
  <c r="Z187" i="2"/>
  <c r="AD190" i="2"/>
  <c r="AC190" i="2"/>
  <c r="N190" i="2"/>
  <c r="AB190" i="2"/>
  <c r="AA190" i="2"/>
  <c r="Z190" i="2"/>
  <c r="AD205" i="2"/>
  <c r="AC205" i="2"/>
  <c r="N205" i="2"/>
  <c r="AB205" i="2"/>
  <c r="AA205" i="2"/>
  <c r="Z205" i="2"/>
  <c r="AA68" i="2"/>
  <c r="AA80" i="2"/>
  <c r="AA92" i="2"/>
  <c r="AA104" i="2"/>
  <c r="AA116" i="2"/>
  <c r="AA128" i="2"/>
  <c r="N133" i="2"/>
  <c r="AD164" i="2"/>
  <c r="AC164" i="2"/>
  <c r="N164" i="2"/>
  <c r="AB164" i="2"/>
  <c r="AA164" i="2"/>
  <c r="Z164" i="2"/>
  <c r="AD195" i="2"/>
  <c r="AC195" i="2"/>
  <c r="N195" i="2"/>
  <c r="AB195" i="2"/>
  <c r="AA195" i="2"/>
  <c r="Z195" i="2"/>
  <c r="AD206" i="2"/>
  <c r="AC206" i="2"/>
  <c r="N206" i="2"/>
  <c r="AB206" i="2"/>
  <c r="AA206" i="2"/>
  <c r="Z206" i="2"/>
  <c r="AB68" i="2"/>
  <c r="Z70" i="2"/>
  <c r="AB80" i="2"/>
  <c r="Z82" i="2"/>
  <c r="AB92" i="2"/>
  <c r="Z94" i="2"/>
  <c r="AB104" i="2"/>
  <c r="Z106" i="2"/>
  <c r="AB116" i="2"/>
  <c r="Z118" i="2"/>
  <c r="AB128" i="2"/>
  <c r="Z130" i="2"/>
  <c r="AC141" i="2"/>
  <c r="N141" i="2"/>
  <c r="AB141" i="2"/>
  <c r="AA141" i="2"/>
  <c r="Z141" i="2"/>
  <c r="AD141" i="2"/>
  <c r="AC153" i="2"/>
  <c r="N153" i="2"/>
  <c r="AB153" i="2"/>
  <c r="AA153" i="2"/>
  <c r="Z153" i="2"/>
  <c r="AD153" i="2"/>
  <c r="AD157" i="2"/>
  <c r="AC157" i="2"/>
  <c r="N157" i="2"/>
  <c r="AB157" i="2"/>
  <c r="AA157" i="2"/>
  <c r="Z157" i="2"/>
  <c r="AA191" i="2"/>
  <c r="Z191" i="2"/>
  <c r="AD191" i="2"/>
  <c r="AC191" i="2"/>
  <c r="N191" i="2"/>
  <c r="AB191" i="2"/>
  <c r="N68" i="2"/>
  <c r="N80" i="2"/>
  <c r="N92" i="2"/>
  <c r="N104" i="2"/>
  <c r="N116" i="2"/>
  <c r="N128" i="2"/>
  <c r="AD137" i="2"/>
  <c r="AC137" i="2"/>
  <c r="N137" i="2"/>
  <c r="AB137" i="2"/>
  <c r="AA137" i="2"/>
  <c r="Z137" i="2"/>
  <c r="AD154" i="2"/>
  <c r="AC154" i="2"/>
  <c r="N154" i="2"/>
  <c r="AB154" i="2"/>
  <c r="AA154" i="2"/>
  <c r="Z154" i="2"/>
  <c r="AB196" i="2"/>
  <c r="AA196" i="2"/>
  <c r="Z196" i="2"/>
  <c r="AD196" i="2"/>
  <c r="AC196" i="2"/>
  <c r="N196" i="2"/>
  <c r="AD202" i="2"/>
  <c r="AC202" i="2"/>
  <c r="N202" i="2"/>
  <c r="AB202" i="2"/>
  <c r="AA202" i="2"/>
  <c r="Z202" i="2"/>
  <c r="AD221" i="2"/>
  <c r="AC221" i="2"/>
  <c r="N221" i="2"/>
  <c r="AB221" i="2"/>
  <c r="AA221" i="2"/>
  <c r="Z221" i="2"/>
  <c r="AD177" i="2"/>
  <c r="AD189" i="2"/>
  <c r="AD201" i="2"/>
  <c r="AD243" i="2"/>
  <c r="AC243" i="2"/>
  <c r="N243" i="2"/>
  <c r="AB243" i="2"/>
  <c r="AA243" i="2"/>
  <c r="Z243" i="2"/>
  <c r="Z277" i="2"/>
  <c r="AD277" i="2"/>
  <c r="AC277" i="2"/>
  <c r="N277" i="2"/>
  <c r="AB277" i="2"/>
  <c r="AA277" i="2"/>
  <c r="Z176" i="2"/>
  <c r="Z188" i="2"/>
  <c r="Z200" i="2"/>
  <c r="AC220" i="2"/>
  <c r="N220" i="2"/>
  <c r="AB220" i="2"/>
  <c r="AA220" i="2"/>
  <c r="Z220" i="2"/>
  <c r="AD220" i="2"/>
  <c r="AC244" i="2"/>
  <c r="N244" i="2"/>
  <c r="AB244" i="2"/>
  <c r="AA244" i="2"/>
  <c r="Z244" i="2"/>
  <c r="AD244" i="2"/>
  <c r="AD249" i="2"/>
  <c r="AC249" i="2"/>
  <c r="N249" i="2"/>
  <c r="AB249" i="2"/>
  <c r="AA249" i="2"/>
  <c r="Z249" i="2"/>
  <c r="AD216" i="2"/>
  <c r="AC216" i="2"/>
  <c r="N216" i="2"/>
  <c r="AB216" i="2"/>
  <c r="AA216" i="2"/>
  <c r="Z216" i="2"/>
  <c r="AD231" i="2"/>
  <c r="AC231" i="2"/>
  <c r="N231" i="2"/>
  <c r="AB231" i="2"/>
  <c r="Z231" i="2"/>
  <c r="Z265" i="2"/>
  <c r="AD265" i="2"/>
  <c r="AC265" i="2"/>
  <c r="N265" i="2"/>
  <c r="AB265" i="2"/>
  <c r="AA265" i="2"/>
  <c r="AD269" i="2"/>
  <c r="AC269" i="2"/>
  <c r="N269" i="2"/>
  <c r="AB269" i="2"/>
  <c r="AA269" i="2"/>
  <c r="Z269" i="2"/>
  <c r="AD273" i="2"/>
  <c r="AC273" i="2"/>
  <c r="N273" i="2"/>
  <c r="AB273" i="2"/>
  <c r="AA273" i="2"/>
  <c r="Z273" i="2"/>
  <c r="AD279" i="2"/>
  <c r="AC279" i="2"/>
  <c r="N279" i="2"/>
  <c r="AB279" i="2"/>
  <c r="AA279" i="2"/>
  <c r="Z279" i="2"/>
  <c r="AD218" i="2"/>
  <c r="AC218" i="2"/>
  <c r="N218" i="2"/>
  <c r="AB218" i="2"/>
  <c r="AA218" i="2"/>
  <c r="Z218" i="2"/>
  <c r="AA231" i="2"/>
  <c r="AD245" i="2"/>
  <c r="AC245" i="2"/>
  <c r="N245" i="2"/>
  <c r="AB245" i="2"/>
  <c r="AA245" i="2"/>
  <c r="Z245" i="2"/>
  <c r="AD250" i="2"/>
  <c r="AC250" i="2"/>
  <c r="N250" i="2"/>
  <c r="AB250" i="2"/>
  <c r="AA250" i="2"/>
  <c r="Z250" i="2"/>
  <c r="Z149" i="2"/>
  <c r="Z161" i="2"/>
  <c r="Z173" i="2"/>
  <c r="N176" i="2"/>
  <c r="Z185" i="2"/>
  <c r="N188" i="2"/>
  <c r="Z197" i="2"/>
  <c r="N200" i="2"/>
  <c r="AC232" i="2"/>
  <c r="N232" i="2"/>
  <c r="AB232" i="2"/>
  <c r="AA232" i="2"/>
  <c r="Z232" i="2"/>
  <c r="AD232" i="2"/>
  <c r="AD237" i="2"/>
  <c r="AC237" i="2"/>
  <c r="N237" i="2"/>
  <c r="AB237" i="2"/>
  <c r="AA237" i="2"/>
  <c r="Z237" i="2"/>
  <c r="AD255" i="2"/>
  <c r="AC255" i="2"/>
  <c r="N255" i="2"/>
  <c r="AB255" i="2"/>
  <c r="AA255" i="2"/>
  <c r="Z255" i="2"/>
  <c r="AC280" i="2"/>
  <c r="N280" i="2"/>
  <c r="AB280" i="2"/>
  <c r="AA280" i="2"/>
  <c r="Z280" i="2"/>
  <c r="AD280" i="2"/>
  <c r="Z144" i="2"/>
  <c r="AA149" i="2"/>
  <c r="Z156" i="2"/>
  <c r="AA161" i="2"/>
  <c r="Z168" i="2"/>
  <c r="AA173" i="2"/>
  <c r="Z180" i="2"/>
  <c r="AA185" i="2"/>
  <c r="Z192" i="2"/>
  <c r="AA197" i="2"/>
  <c r="Z204" i="2"/>
  <c r="AD225" i="2"/>
  <c r="AC225" i="2"/>
  <c r="N225" i="2"/>
  <c r="AB225" i="2"/>
  <c r="AA225" i="2"/>
  <c r="Z225" i="2"/>
  <c r="AD228" i="2"/>
  <c r="AC228" i="2"/>
  <c r="N228" i="2"/>
  <c r="AB228" i="2"/>
  <c r="AA228" i="2"/>
  <c r="Z228" i="2"/>
  <c r="AD238" i="2"/>
  <c r="AC238" i="2"/>
  <c r="N238" i="2"/>
  <c r="AB238" i="2"/>
  <c r="AA238" i="2"/>
  <c r="AA246" i="2"/>
  <c r="Z246" i="2"/>
  <c r="AD246" i="2"/>
  <c r="AC246" i="2"/>
  <c r="N246" i="2"/>
  <c r="AB246" i="2"/>
  <c r="AC256" i="2"/>
  <c r="N256" i="2"/>
  <c r="AB256" i="2"/>
  <c r="AA256" i="2"/>
  <c r="Z256" i="2"/>
  <c r="AD256" i="2"/>
  <c r="AD261" i="2"/>
  <c r="AC261" i="2"/>
  <c r="N261" i="2"/>
  <c r="AB261" i="2"/>
  <c r="AA261" i="2"/>
  <c r="Z261" i="2"/>
  <c r="AD266" i="2"/>
  <c r="AC266" i="2"/>
  <c r="N266" i="2"/>
  <c r="AB266" i="2"/>
  <c r="AA266" i="2"/>
  <c r="Z266" i="2"/>
  <c r="AD274" i="2"/>
  <c r="AC274" i="2"/>
  <c r="N274" i="2"/>
  <c r="AB274" i="2"/>
  <c r="AA274" i="2"/>
  <c r="Z274" i="2"/>
  <c r="AA144" i="2"/>
  <c r="AB149" i="2"/>
  <c r="AA156" i="2"/>
  <c r="AB161" i="2"/>
  <c r="AA168" i="2"/>
  <c r="AB173" i="2"/>
  <c r="AA180" i="2"/>
  <c r="AB185" i="2"/>
  <c r="AA192" i="2"/>
  <c r="AB197" i="2"/>
  <c r="AA204" i="2"/>
  <c r="Z217" i="2"/>
  <c r="AA217" i="2"/>
  <c r="AD226" i="2"/>
  <c r="AC226" i="2"/>
  <c r="N226" i="2"/>
  <c r="AB226" i="2"/>
  <c r="AA226" i="2"/>
  <c r="AD233" i="2"/>
  <c r="AC233" i="2"/>
  <c r="N233" i="2"/>
  <c r="AB233" i="2"/>
  <c r="AA233" i="2"/>
  <c r="Z233" i="2"/>
  <c r="AC296" i="2"/>
  <c r="N296" i="2"/>
  <c r="AB296" i="2"/>
  <c r="AA296" i="2"/>
  <c r="Z296" i="2"/>
  <c r="AD296" i="2"/>
  <c r="AB144" i="2"/>
  <c r="Z146" i="2"/>
  <c r="N149" i="2"/>
  <c r="AC149" i="2"/>
  <c r="AB156" i="2"/>
  <c r="Z158" i="2"/>
  <c r="N161" i="2"/>
  <c r="AC161" i="2"/>
  <c r="AB168" i="2"/>
  <c r="Z170" i="2"/>
  <c r="N173" i="2"/>
  <c r="AC173" i="2"/>
  <c r="AB180" i="2"/>
  <c r="N185" i="2"/>
  <c r="AC185" i="2"/>
  <c r="AB192" i="2"/>
  <c r="N197" i="2"/>
  <c r="AC197" i="2"/>
  <c r="AB204" i="2"/>
  <c r="AD213" i="2"/>
  <c r="AB213" i="2"/>
  <c r="AA213" i="2"/>
  <c r="Z213" i="2"/>
  <c r="AD219" i="2"/>
  <c r="AC219" i="2"/>
  <c r="N219" i="2"/>
  <c r="AA234" i="2"/>
  <c r="Z234" i="2"/>
  <c r="AC234" i="2"/>
  <c r="N234" i="2"/>
  <c r="AB234" i="2"/>
  <c r="Z241" i="2"/>
  <c r="AD241" i="2"/>
  <c r="AC241" i="2"/>
  <c r="N241" i="2"/>
  <c r="AB241" i="2"/>
  <c r="AA241" i="2"/>
  <c r="AD262" i="2"/>
  <c r="AC262" i="2"/>
  <c r="N262" i="2"/>
  <c r="AB262" i="2"/>
  <c r="AA262" i="2"/>
  <c r="Z262" i="2"/>
  <c r="N144" i="2"/>
  <c r="AC144" i="2"/>
  <c r="AA146" i="2"/>
  <c r="N156" i="2"/>
  <c r="AC156" i="2"/>
  <c r="AA158" i="2"/>
  <c r="N168" i="2"/>
  <c r="AC168" i="2"/>
  <c r="AA170" i="2"/>
  <c r="Z177" i="2"/>
  <c r="N180" i="2"/>
  <c r="AC180" i="2"/>
  <c r="Z189" i="2"/>
  <c r="N192" i="2"/>
  <c r="AC192" i="2"/>
  <c r="Z201" i="2"/>
  <c r="N204" i="2"/>
  <c r="AC204" i="2"/>
  <c r="N217" i="2"/>
  <c r="AA222" i="2"/>
  <c r="Z222" i="2"/>
  <c r="AC222" i="2"/>
  <c r="AB222" i="2"/>
  <c r="Z229" i="2"/>
  <c r="AD229" i="2"/>
  <c r="AB229" i="2"/>
  <c r="AA229" i="2"/>
  <c r="AD242" i="2"/>
  <c r="AC242" i="2"/>
  <c r="N242" i="2"/>
  <c r="AB242" i="2"/>
  <c r="AA242" i="2"/>
  <c r="Z242" i="2"/>
  <c r="AD257" i="2"/>
  <c r="AC257" i="2"/>
  <c r="N257" i="2"/>
  <c r="AB257" i="2"/>
  <c r="AA257" i="2"/>
  <c r="Z257" i="2"/>
  <c r="AD281" i="2"/>
  <c r="AC281" i="2"/>
  <c r="N281" i="2"/>
  <c r="AB281" i="2"/>
  <c r="AA281" i="2"/>
  <c r="Z281" i="2"/>
  <c r="AD285" i="2"/>
  <c r="AC285" i="2"/>
  <c r="N285" i="2"/>
  <c r="AB285" i="2"/>
  <c r="AA285" i="2"/>
  <c r="Z285" i="2"/>
  <c r="AB146" i="2"/>
  <c r="AB158" i="2"/>
  <c r="AB170" i="2"/>
  <c r="AA177" i="2"/>
  <c r="AA189" i="2"/>
  <c r="AA201" i="2"/>
  <c r="AD212" i="2"/>
  <c r="Z212" i="2"/>
  <c r="Z238" i="2"/>
  <c r="Z253" i="2"/>
  <c r="AD253" i="2"/>
  <c r="AC253" i="2"/>
  <c r="N253" i="2"/>
  <c r="AB253" i="2"/>
  <c r="AA253" i="2"/>
  <c r="N146" i="2"/>
  <c r="AC146" i="2"/>
  <c r="N158" i="2"/>
  <c r="AC158" i="2"/>
  <c r="N170" i="2"/>
  <c r="AC170" i="2"/>
  <c r="AB177" i="2"/>
  <c r="AB189" i="2"/>
  <c r="AB201" i="2"/>
  <c r="AD267" i="2"/>
  <c r="AC267" i="2"/>
  <c r="N267" i="2"/>
  <c r="AB267" i="2"/>
  <c r="AA267" i="2"/>
  <c r="Z267" i="2"/>
  <c r="N177" i="2"/>
  <c r="N189" i="2"/>
  <c r="N201" i="2"/>
  <c r="AD214" i="2"/>
  <c r="AC214" i="2"/>
  <c r="N214" i="2"/>
  <c r="AB214" i="2"/>
  <c r="AD230" i="2"/>
  <c r="AC230" i="2"/>
  <c r="N230" i="2"/>
  <c r="AB230" i="2"/>
  <c r="AA230" i="2"/>
  <c r="Z230" i="2"/>
  <c r="AD254" i="2"/>
  <c r="AC254" i="2"/>
  <c r="N254" i="2"/>
  <c r="AB254" i="2"/>
  <c r="AA254" i="2"/>
  <c r="Z254" i="2"/>
  <c r="AC268" i="2"/>
  <c r="N268" i="2"/>
  <c r="AB268" i="2"/>
  <c r="AA268" i="2"/>
  <c r="Z268" i="2"/>
  <c r="AD268" i="2"/>
  <c r="AD286" i="2"/>
  <c r="AC286" i="2"/>
  <c r="N286" i="2"/>
  <c r="AB286" i="2"/>
  <c r="AA286" i="2"/>
  <c r="Z286" i="2"/>
  <c r="N215" i="2"/>
  <c r="AC215" i="2"/>
  <c r="Z224" i="2"/>
  <c r="N227" i="2"/>
  <c r="AC227" i="2"/>
  <c r="Z236" i="2"/>
  <c r="N239" i="2"/>
  <c r="AC239" i="2"/>
  <c r="Z248" i="2"/>
  <c r="N251" i="2"/>
  <c r="AC251" i="2"/>
  <c r="AB258" i="2"/>
  <c r="Z260" i="2"/>
  <c r="N263" i="2"/>
  <c r="AC263" i="2"/>
  <c r="AB270" i="2"/>
  <c r="Z272" i="2"/>
  <c r="N275" i="2"/>
  <c r="AC275" i="2"/>
  <c r="AB282" i="2"/>
  <c r="Z284" i="2"/>
  <c r="N287" i="2"/>
  <c r="AD287" i="2"/>
  <c r="AB288" i="2"/>
  <c r="AD353" i="2"/>
  <c r="AB353" i="2"/>
  <c r="AC353" i="2"/>
  <c r="AA353" i="2"/>
  <c r="Z353" i="2"/>
  <c r="N353" i="2"/>
  <c r="AC360" i="2"/>
  <c r="N360" i="2"/>
  <c r="AD360" i="2"/>
  <c r="AB360" i="2"/>
  <c r="AA360" i="2"/>
  <c r="Z360" i="2"/>
  <c r="AC288" i="2"/>
  <c r="AA302" i="2"/>
  <c r="Z302" i="2"/>
  <c r="AC302" i="2"/>
  <c r="N302" i="2"/>
  <c r="AB302" i="2"/>
  <c r="AA326" i="2"/>
  <c r="Z326" i="2"/>
  <c r="AD326" i="2"/>
  <c r="AC326" i="2"/>
  <c r="N326" i="2"/>
  <c r="AB326" i="2"/>
  <c r="AD337" i="2"/>
  <c r="AC337" i="2"/>
  <c r="N337" i="2"/>
  <c r="AB337" i="2"/>
  <c r="AA337" i="2"/>
  <c r="Z337" i="2"/>
  <c r="AD289" i="2"/>
  <c r="AC289" i="2"/>
  <c r="N289" i="2"/>
  <c r="AA289" i="2"/>
  <c r="AD292" i="2"/>
  <c r="AA292" i="2"/>
  <c r="Z292" i="2"/>
  <c r="AC312" i="2"/>
  <c r="N312" i="2"/>
  <c r="AB312" i="2"/>
  <c r="AA312" i="2"/>
  <c r="Z312" i="2"/>
  <c r="AD312" i="2"/>
  <c r="AD340" i="2"/>
  <c r="AC340" i="2"/>
  <c r="N340" i="2"/>
  <c r="AB340" i="2"/>
  <c r="AA340" i="2"/>
  <c r="Z340" i="2"/>
  <c r="Z349" i="2"/>
  <c r="N349" i="2"/>
  <c r="AD349" i="2"/>
  <c r="AC349" i="2"/>
  <c r="AB349" i="2"/>
  <c r="AA349" i="2"/>
  <c r="N292" i="2"/>
  <c r="AD298" i="2"/>
  <c r="AA298" i="2"/>
  <c r="Z298" i="2"/>
  <c r="N298" i="2"/>
  <c r="AD310" i="2"/>
  <c r="AC310" i="2"/>
  <c r="N310" i="2"/>
  <c r="AB310" i="2"/>
  <c r="AA310" i="2"/>
  <c r="Z310" i="2"/>
  <c r="Z240" i="2"/>
  <c r="Z252" i="2"/>
  <c r="Z264" i="2"/>
  <c r="Z276" i="2"/>
  <c r="AD294" i="2"/>
  <c r="AC294" i="2"/>
  <c r="N294" i="2"/>
  <c r="AB294" i="2"/>
  <c r="AC300" i="2"/>
  <c r="N300" i="2"/>
  <c r="AB300" i="2"/>
  <c r="AA300" i="2"/>
  <c r="AD300" i="2"/>
  <c r="AD308" i="2"/>
  <c r="AC308" i="2"/>
  <c r="N308" i="2"/>
  <c r="AB308" i="2"/>
  <c r="AA308" i="2"/>
  <c r="Z308" i="2"/>
  <c r="AD313" i="2"/>
  <c r="AC313" i="2"/>
  <c r="N313" i="2"/>
  <c r="AB313" i="2"/>
  <c r="AA313" i="2"/>
  <c r="Z313" i="2"/>
  <c r="Z345" i="2"/>
  <c r="AD345" i="2"/>
  <c r="AC345" i="2"/>
  <c r="N345" i="2"/>
  <c r="AB345" i="2"/>
  <c r="AA345" i="2"/>
  <c r="Z223" i="2"/>
  <c r="Z235" i="2"/>
  <c r="AA240" i="2"/>
  <c r="Z247" i="2"/>
  <c r="AA252" i="2"/>
  <c r="Z259" i="2"/>
  <c r="AA264" i="2"/>
  <c r="Z271" i="2"/>
  <c r="AA276" i="2"/>
  <c r="Z283" i="2"/>
  <c r="N288" i="2"/>
  <c r="AB291" i="2"/>
  <c r="AA291" i="2"/>
  <c r="Z291" i="2"/>
  <c r="AB292" i="2"/>
  <c r="Z294" i="2"/>
  <c r="AB298" i="2"/>
  <c r="AD302" i="2"/>
  <c r="AA223" i="2"/>
  <c r="AA235" i="2"/>
  <c r="AB240" i="2"/>
  <c r="AA247" i="2"/>
  <c r="AB252" i="2"/>
  <c r="AA259" i="2"/>
  <c r="AB264" i="2"/>
  <c r="AA271" i="2"/>
  <c r="AB276" i="2"/>
  <c r="AA283" i="2"/>
  <c r="AC292" i="2"/>
  <c r="Z297" i="2"/>
  <c r="AB297" i="2"/>
  <c r="AA297" i="2"/>
  <c r="AC298" i="2"/>
  <c r="Z300" i="2"/>
  <c r="AD318" i="2"/>
  <c r="AC318" i="2"/>
  <c r="N318" i="2"/>
  <c r="AB318" i="2"/>
  <c r="AA318" i="2"/>
  <c r="Z318" i="2"/>
  <c r="AB319" i="2"/>
  <c r="AA319" i="2"/>
  <c r="Z319" i="2"/>
  <c r="AD319" i="2"/>
  <c r="AC319" i="2"/>
  <c r="N319" i="2"/>
  <c r="AC324" i="2"/>
  <c r="N324" i="2"/>
  <c r="AB324" i="2"/>
  <c r="AA324" i="2"/>
  <c r="Z324" i="2"/>
  <c r="AD324" i="2"/>
  <c r="AA338" i="2"/>
  <c r="Z338" i="2"/>
  <c r="AD338" i="2"/>
  <c r="AC338" i="2"/>
  <c r="N338" i="2"/>
  <c r="AB338" i="2"/>
  <c r="AD346" i="2"/>
  <c r="AC346" i="2"/>
  <c r="N346" i="2"/>
  <c r="AB346" i="2"/>
  <c r="AA346" i="2"/>
  <c r="Z346" i="2"/>
  <c r="AB223" i="2"/>
  <c r="AB235" i="2"/>
  <c r="N240" i="2"/>
  <c r="AC240" i="2"/>
  <c r="AB247" i="2"/>
  <c r="N252" i="2"/>
  <c r="AC252" i="2"/>
  <c r="AB259" i="2"/>
  <c r="N264" i="2"/>
  <c r="AC264" i="2"/>
  <c r="AB271" i="2"/>
  <c r="N276" i="2"/>
  <c r="AC276" i="2"/>
  <c r="AB283" i="2"/>
  <c r="AB295" i="2"/>
  <c r="AA295" i="2"/>
  <c r="AD295" i="2"/>
  <c r="AC295" i="2"/>
  <c r="N295" i="2"/>
  <c r="AD301" i="2"/>
  <c r="AC301" i="2"/>
  <c r="N301" i="2"/>
  <c r="AB301" i="2"/>
  <c r="AA301" i="2"/>
  <c r="AD316" i="2"/>
  <c r="AC316" i="2"/>
  <c r="N316" i="2"/>
  <c r="AA316" i="2"/>
  <c r="Z316" i="2"/>
  <c r="AD330" i="2"/>
  <c r="AC330" i="2"/>
  <c r="N330" i="2"/>
  <c r="AB330" i="2"/>
  <c r="AA330" i="2"/>
  <c r="Z330" i="2"/>
  <c r="AB331" i="2"/>
  <c r="AA331" i="2"/>
  <c r="Z331" i="2"/>
  <c r="AD331" i="2"/>
  <c r="AC331" i="2"/>
  <c r="N331" i="2"/>
  <c r="N223" i="2"/>
  <c r="AC223" i="2"/>
  <c r="N235" i="2"/>
  <c r="AC235" i="2"/>
  <c r="N247" i="2"/>
  <c r="AC247" i="2"/>
  <c r="N259" i="2"/>
  <c r="AC259" i="2"/>
  <c r="N271" i="2"/>
  <c r="AC271" i="2"/>
  <c r="N283" i="2"/>
  <c r="AC283" i="2"/>
  <c r="Z289" i="2"/>
  <c r="AD325" i="2"/>
  <c r="AC325" i="2"/>
  <c r="N325" i="2"/>
  <c r="AB325" i="2"/>
  <c r="AA325" i="2"/>
  <c r="Z325" i="2"/>
  <c r="N363" i="2"/>
  <c r="AC363" i="2"/>
  <c r="AB363" i="2"/>
  <c r="AD363" i="2"/>
  <c r="AA363" i="2"/>
  <c r="Z363" i="2"/>
  <c r="Z215" i="2"/>
  <c r="Z227" i="2"/>
  <c r="Z239" i="2"/>
  <c r="Z251" i="2"/>
  <c r="Z263" i="2"/>
  <c r="Z275" i="2"/>
  <c r="N278" i="2"/>
  <c r="Z287" i="2"/>
  <c r="AB289" i="2"/>
  <c r="AA314" i="2"/>
  <c r="Z314" i="2"/>
  <c r="AC314" i="2"/>
  <c r="N314" i="2"/>
  <c r="AB314" i="2"/>
  <c r="AD322" i="2"/>
  <c r="AC322" i="2"/>
  <c r="N322" i="2"/>
  <c r="AB322" i="2"/>
  <c r="AA322" i="2"/>
  <c r="Z322" i="2"/>
  <c r="AD328" i="2"/>
  <c r="AC328" i="2"/>
  <c r="N328" i="2"/>
  <c r="AB328" i="2"/>
  <c r="AA328" i="2"/>
  <c r="Z328" i="2"/>
  <c r="AD342" i="2"/>
  <c r="AC342" i="2"/>
  <c r="N342" i="2"/>
  <c r="AB342" i="2"/>
  <c r="AA342" i="2"/>
  <c r="Z342" i="2"/>
  <c r="AB343" i="2"/>
  <c r="AA343" i="2"/>
  <c r="Z343" i="2"/>
  <c r="AD343" i="2"/>
  <c r="AC343" i="2"/>
  <c r="N343" i="2"/>
  <c r="AD347" i="2"/>
  <c r="AC347" i="2"/>
  <c r="N347" i="2"/>
  <c r="AB347" i="2"/>
  <c r="AA347" i="2"/>
  <c r="Z347" i="2"/>
  <c r="AA287" i="2"/>
  <c r="Z288" i="2"/>
  <c r="Z290" i="2"/>
  <c r="AC290" i="2"/>
  <c r="N290" i="2"/>
  <c r="AB290" i="2"/>
  <c r="AD306" i="2"/>
  <c r="AC306" i="2"/>
  <c r="N306" i="2"/>
  <c r="AB306" i="2"/>
  <c r="AA306" i="2"/>
  <c r="Z306" i="2"/>
  <c r="AC336" i="2"/>
  <c r="N336" i="2"/>
  <c r="AB336" i="2"/>
  <c r="AA336" i="2"/>
  <c r="Z336" i="2"/>
  <c r="AD336" i="2"/>
  <c r="AB287" i="2"/>
  <c r="AA288" i="2"/>
  <c r="AD304" i="2"/>
  <c r="AC304" i="2"/>
  <c r="N304" i="2"/>
  <c r="AA304" i="2"/>
  <c r="Z304" i="2"/>
  <c r="AB307" i="2"/>
  <c r="AA307" i="2"/>
  <c r="Z307" i="2"/>
  <c r="AD307" i="2"/>
  <c r="AC307" i="2"/>
  <c r="N307" i="2"/>
  <c r="AD334" i="2"/>
  <c r="AC334" i="2"/>
  <c r="N334" i="2"/>
  <c r="AB334" i="2"/>
  <c r="AA334" i="2"/>
  <c r="Z334" i="2"/>
  <c r="AC348" i="2"/>
  <c r="N348" i="2"/>
  <c r="AB348" i="2"/>
  <c r="AA348" i="2"/>
  <c r="Z348" i="2"/>
  <c r="AD348" i="2"/>
  <c r="AC358" i="2"/>
  <c r="N358" i="2"/>
  <c r="AD358" i="2"/>
  <c r="AB358" i="2"/>
  <c r="AA358" i="2"/>
  <c r="Z358" i="2"/>
  <c r="AA309" i="2"/>
  <c r="AA321" i="2"/>
  <c r="AA333" i="2"/>
  <c r="AC354" i="2"/>
  <c r="AD357" i="2"/>
  <c r="AB357" i="2"/>
  <c r="Z357" i="2"/>
  <c r="N361" i="2"/>
  <c r="AD367" i="2"/>
  <c r="AC367" i="2"/>
  <c r="N367" i="2"/>
  <c r="AB367" i="2"/>
  <c r="AA367" i="2"/>
  <c r="Z367" i="2"/>
  <c r="Z299" i="2"/>
  <c r="AB309" i="2"/>
  <c r="Z311" i="2"/>
  <c r="AB321" i="2"/>
  <c r="Z323" i="2"/>
  <c r="AB333" i="2"/>
  <c r="Z335" i="2"/>
  <c r="AB351" i="2"/>
  <c r="N354" i="2"/>
  <c r="AD354" i="2"/>
  <c r="N357" i="2"/>
  <c r="AA371" i="2"/>
  <c r="Z371" i="2"/>
  <c r="AD371" i="2"/>
  <c r="AB371" i="2"/>
  <c r="AD379" i="2"/>
  <c r="AC379" i="2"/>
  <c r="N379" i="2"/>
  <c r="AB379" i="2"/>
  <c r="AA379" i="2"/>
  <c r="Z379" i="2"/>
  <c r="AB390" i="2"/>
  <c r="AD355" i="2"/>
  <c r="AB355" i="2"/>
  <c r="Z355" i="2"/>
  <c r="AD391" i="2"/>
  <c r="AC391" i="2"/>
  <c r="N391" i="2"/>
  <c r="AB391" i="2"/>
  <c r="AA391" i="2"/>
  <c r="Z391" i="2"/>
  <c r="AD396" i="2"/>
  <c r="AC396" i="2"/>
  <c r="N396" i="2"/>
  <c r="AB396" i="2"/>
  <c r="AA396" i="2"/>
  <c r="AC352" i="2"/>
  <c r="N352" i="2"/>
  <c r="AA352" i="2"/>
  <c r="AD352" i="2"/>
  <c r="Z365" i="2"/>
  <c r="N299" i="2"/>
  <c r="N311" i="2"/>
  <c r="Z320" i="2"/>
  <c r="N323" i="2"/>
  <c r="Z332" i="2"/>
  <c r="N335" i="2"/>
  <c r="Z344" i="2"/>
  <c r="N355" i="2"/>
  <c r="AA357" i="2"/>
  <c r="AB368" i="2"/>
  <c r="AC368" i="2"/>
  <c r="AA368" i="2"/>
  <c r="Z368" i="2"/>
  <c r="Z303" i="2"/>
  <c r="Z315" i="2"/>
  <c r="AA320" i="2"/>
  <c r="Z327" i="2"/>
  <c r="AA332" i="2"/>
  <c r="Z339" i="2"/>
  <c r="AA344" i="2"/>
  <c r="AC350" i="2"/>
  <c r="AA350" i="2"/>
  <c r="AB350" i="2"/>
  <c r="AA366" i="2"/>
  <c r="N366" i="2"/>
  <c r="AD372" i="2"/>
  <c r="AC372" i="2"/>
  <c r="N372" i="2"/>
  <c r="AB372" i="2"/>
  <c r="AA372" i="2"/>
  <c r="AA303" i="2"/>
  <c r="AA315" i="2"/>
  <c r="AB320" i="2"/>
  <c r="AA327" i="2"/>
  <c r="AB332" i="2"/>
  <c r="AA339" i="2"/>
  <c r="AB344" i="2"/>
  <c r="AD350" i="2"/>
  <c r="AA361" i="2"/>
  <c r="Z372" i="2"/>
  <c r="AA375" i="2"/>
  <c r="N375" i="2"/>
  <c r="AC375" i="2"/>
  <c r="AB375" i="2"/>
  <c r="Z375" i="2"/>
  <c r="AD377" i="2"/>
  <c r="AC377" i="2"/>
  <c r="N377" i="2"/>
  <c r="AA377" i="2"/>
  <c r="AC397" i="2"/>
  <c r="N397" i="2"/>
  <c r="AD397" i="2"/>
  <c r="AB397" i="2"/>
  <c r="AA397" i="2"/>
  <c r="Z397" i="2"/>
  <c r="Z293" i="2"/>
  <c r="AB303" i="2"/>
  <c r="Z305" i="2"/>
  <c r="AB315" i="2"/>
  <c r="Z317" i="2"/>
  <c r="N320" i="2"/>
  <c r="AC320" i="2"/>
  <c r="AB327" i="2"/>
  <c r="Z329" i="2"/>
  <c r="N332" i="2"/>
  <c r="AC332" i="2"/>
  <c r="AB339" i="2"/>
  <c r="Z341" i="2"/>
  <c r="N344" i="2"/>
  <c r="AC344" i="2"/>
  <c r="N350" i="2"/>
  <c r="AA355" i="2"/>
  <c r="Z356" i="2"/>
  <c r="AC381" i="2"/>
  <c r="N381" i="2"/>
  <c r="AB381" i="2"/>
  <c r="AA381" i="2"/>
  <c r="Z381" i="2"/>
  <c r="AD381" i="2"/>
  <c r="N303" i="2"/>
  <c r="AC303" i="2"/>
  <c r="N315" i="2"/>
  <c r="AC315" i="2"/>
  <c r="N327" i="2"/>
  <c r="AC327" i="2"/>
  <c r="N339" i="2"/>
  <c r="AC339" i="2"/>
  <c r="AA341" i="2"/>
  <c r="AC355" i="2"/>
  <c r="AA356" i="2"/>
  <c r="AD359" i="2"/>
  <c r="AB359" i="2"/>
  <c r="Z359" i="2"/>
  <c r="AA362" i="2"/>
  <c r="Z362" i="2"/>
  <c r="AB362" i="2"/>
  <c r="N362" i="2"/>
  <c r="Z366" i="2"/>
  <c r="AD394" i="2"/>
  <c r="Z394" i="2"/>
  <c r="AC394" i="2"/>
  <c r="AB394" i="2"/>
  <c r="N394" i="2"/>
  <c r="AB341" i="2"/>
  <c r="AB356" i="2"/>
  <c r="AD365" i="2"/>
  <c r="AC365" i="2"/>
  <c r="N365" i="2"/>
  <c r="AA365" i="2"/>
  <c r="AB366" i="2"/>
  <c r="AA394" i="2"/>
  <c r="AD398" i="2"/>
  <c r="AC398" i="2"/>
  <c r="N398" i="2"/>
  <c r="AB398" i="2"/>
  <c r="AA398" i="2"/>
  <c r="Z398" i="2"/>
  <c r="N293" i="2"/>
  <c r="N305" i="2"/>
  <c r="N317" i="2"/>
  <c r="N329" i="2"/>
  <c r="N341" i="2"/>
  <c r="AC341" i="2"/>
  <c r="AC356" i="2"/>
  <c r="AC366" i="2"/>
  <c r="AD386" i="2"/>
  <c r="AC386" i="2"/>
  <c r="N386" i="2"/>
  <c r="AB386" i="2"/>
  <c r="AA386" i="2"/>
  <c r="Z386" i="2"/>
  <c r="AA387" i="2"/>
  <c r="AD387" i="2"/>
  <c r="AC387" i="2"/>
  <c r="AB387" i="2"/>
  <c r="Z387" i="2"/>
  <c r="N387" i="2"/>
  <c r="AB354" i="2"/>
  <c r="AD361" i="2"/>
  <c r="AB361" i="2"/>
  <c r="Z361" i="2"/>
  <c r="AD366" i="2"/>
  <c r="AD370" i="2"/>
  <c r="Z370" i="2"/>
  <c r="AC370" i="2"/>
  <c r="AB370" i="2"/>
  <c r="N370" i="2"/>
  <c r="AD382" i="2"/>
  <c r="Z382" i="2"/>
  <c r="N382" i="2"/>
  <c r="AC382" i="2"/>
  <c r="AB382" i="2"/>
  <c r="AA382" i="2"/>
  <c r="Z390" i="2"/>
  <c r="AD390" i="2"/>
  <c r="AA390" i="2"/>
  <c r="AC390" i="2"/>
  <c r="AD374" i="2"/>
  <c r="AC374" i="2"/>
  <c r="N374" i="2"/>
  <c r="AB374" i="2"/>
  <c r="AA374" i="2"/>
  <c r="Z374" i="2"/>
  <c r="Z378" i="2"/>
  <c r="AD378" i="2"/>
  <c r="N378" i="2"/>
  <c r="AD384" i="2"/>
  <c r="AC384" i="2"/>
  <c r="N384" i="2"/>
  <c r="AB384" i="2"/>
  <c r="AA392" i="2"/>
  <c r="AD399" i="2"/>
  <c r="AD401" i="2"/>
  <c r="AC401" i="2"/>
  <c r="N401" i="2"/>
  <c r="AC373" i="2"/>
  <c r="N373" i="2"/>
  <c r="Z389" i="2"/>
  <c r="AC392" i="2"/>
  <c r="AA389" i="2"/>
  <c r="AD392" i="2"/>
  <c r="N380" i="2"/>
  <c r="AA383" i="2"/>
  <c r="Z383" i="2"/>
  <c r="N383" i="2"/>
  <c r="AC393" i="2"/>
  <c r="N393" i="2"/>
  <c r="AB393" i="2"/>
  <c r="AA393" i="2"/>
  <c r="Z393" i="2"/>
  <c r="AC369" i="2"/>
  <c r="N369" i="2"/>
  <c r="AB369" i="2"/>
  <c r="AA369" i="2"/>
  <c r="Z369" i="2"/>
  <c r="AB378" i="2"/>
  <c r="Z384" i="2"/>
  <c r="Z401" i="2"/>
  <c r="Z380" i="2"/>
  <c r="AC385" i="2"/>
  <c r="N385" i="2"/>
  <c r="N392" i="2"/>
  <c r="AA395" i="2"/>
  <c r="Z395" i="2"/>
  <c r="N395" i="2"/>
  <c r="AB401" i="2"/>
  <c r="AD389" i="2"/>
  <c r="AC389" i="2"/>
  <c r="N389" i="2"/>
  <c r="L30" i="1" l="1"/>
  <c r="L13" i="1"/>
  <c r="F15" i="1"/>
  <c r="J22" i="1"/>
  <c r="J15" i="1"/>
  <c r="L34" i="1"/>
  <c r="L19" i="1"/>
  <c r="H18" i="1"/>
  <c r="C25" i="1"/>
  <c r="C21" i="1"/>
  <c r="C33" i="1"/>
  <c r="C12" i="1"/>
  <c r="L24" i="1"/>
  <c r="H19" i="1"/>
  <c r="L31" i="1"/>
  <c r="J24" i="1"/>
  <c r="J31" i="1"/>
  <c r="H15" i="1"/>
  <c r="F19" i="1"/>
  <c r="F24" i="1"/>
  <c r="J18" i="1"/>
  <c r="F31" i="1"/>
  <c r="H24" i="1"/>
  <c r="F12" i="1"/>
  <c r="H31" i="1"/>
  <c r="C16" i="1"/>
  <c r="F21" i="1"/>
  <c r="J34" i="1"/>
  <c r="F18" i="1"/>
  <c r="J12" i="1"/>
  <c r="F22" i="1"/>
  <c r="J16" i="1"/>
  <c r="F30" i="1"/>
  <c r="J21" i="1"/>
  <c r="C34" i="1"/>
  <c r="F16" i="1"/>
  <c r="J25" i="1"/>
  <c r="J30" i="1"/>
  <c r="L15" i="1"/>
  <c r="J33" i="1"/>
  <c r="H13" i="1"/>
  <c r="L16" i="1"/>
  <c r="C30" i="1"/>
  <c r="C22" i="1"/>
  <c r="C10" i="1"/>
  <c r="J19" i="1"/>
  <c r="F33" i="1"/>
  <c r="J13" i="1"/>
  <c r="C18" i="1"/>
  <c r="H12" i="1"/>
  <c r="L12" i="1"/>
  <c r="H22" i="1"/>
  <c r="H16" i="1"/>
  <c r="L21" i="1"/>
  <c r="H30" i="1"/>
  <c r="C31" i="1"/>
  <c r="C13" i="1"/>
  <c r="H21" i="1"/>
  <c r="L25" i="1"/>
  <c r="H34" i="1"/>
  <c r="C15" i="1"/>
  <c r="C19" i="1"/>
  <c r="H25" i="1"/>
  <c r="L33" i="1"/>
  <c r="C24" i="1"/>
  <c r="F34" i="1"/>
  <c r="F25" i="1"/>
  <c r="H33" i="1"/>
  <c r="F13" i="1"/>
  <c r="K27" i="1"/>
  <c r="L27" i="1" s="1"/>
  <c r="K28" i="1"/>
  <c r="L28" i="1" s="1"/>
  <c r="G27" i="1"/>
  <c r="H27" i="1" s="1"/>
  <c r="G28" i="1"/>
  <c r="H28" i="1" s="1"/>
  <c r="E27" i="1"/>
  <c r="E28" i="1"/>
  <c r="I28" i="1"/>
  <c r="J28" i="1" s="1"/>
  <c r="I27" i="1"/>
  <c r="J27" i="1" s="1"/>
  <c r="D25" i="1" l="1"/>
  <c r="D34" i="1"/>
  <c r="D18" i="1"/>
  <c r="D12" i="1"/>
  <c r="D13" i="1"/>
  <c r="D31" i="1"/>
  <c r="D22" i="1"/>
  <c r="D24" i="1"/>
  <c r="D30" i="1"/>
  <c r="D21" i="1"/>
  <c r="D19" i="1"/>
  <c r="D33" i="1"/>
  <c r="D15" i="1"/>
  <c r="D16" i="1"/>
  <c r="F28" i="1"/>
  <c r="C28" i="1"/>
  <c r="D28" i="1" s="1"/>
  <c r="F27" i="1"/>
  <c r="C27" i="1"/>
  <c r="D27" i="1" s="1"/>
  <c r="C6" i="1" l="1"/>
</calcChain>
</file>

<file path=xl/sharedStrings.xml><?xml version="1.0" encoding="utf-8"?>
<sst xmlns="http://schemas.openxmlformats.org/spreadsheetml/2006/main" count="30403" uniqueCount="2495">
  <si>
    <t>Expected Launch Date</t>
  </si>
  <si>
    <t>QA Date</t>
  </si>
  <si>
    <t>Pass Rate</t>
  </si>
  <si>
    <t>QA Elements</t>
  </si>
  <si>
    <t>All Page</t>
  </si>
  <si>
    <t>Product Detail</t>
  </si>
  <si>
    <t>Product List</t>
  </si>
  <si>
    <t>Blog Page</t>
  </si>
  <si>
    <t>Page (No PLP / PDP)</t>
  </si>
  <si>
    <t>Total</t>
  </si>
  <si>
    <t>Address</t>
  </si>
  <si>
    <t>Pass</t>
  </si>
  <si>
    <t>has issues (not english)</t>
  </si>
  <si>
    <t>Status Code</t>
  </si>
  <si>
    <t>has issues (301, 302, 404)</t>
  </si>
  <si>
    <t>Title</t>
  </si>
  <si>
    <t>has issues (separator, typo, space)</t>
  </si>
  <si>
    <t>Meta Description</t>
  </si>
  <si>
    <t>has issues (missing, duplicate)</t>
  </si>
  <si>
    <t>H1</t>
  </si>
  <si>
    <t>has issues (missing)</t>
  </si>
  <si>
    <t>Canonical</t>
  </si>
  <si>
    <t>has issues</t>
  </si>
  <si>
    <t>Social Tag</t>
  </si>
  <si>
    <t>has issues (duplicate, need check)</t>
  </si>
  <si>
    <t>Schema</t>
  </si>
  <si>
    <t>Address QA</t>
  </si>
  <si>
    <t>Segments</t>
  </si>
  <si>
    <t>Status Code QA</t>
  </si>
  <si>
    <t>Title 1</t>
  </si>
  <si>
    <t>Title QA</t>
  </si>
  <si>
    <t>Meta Description 1</t>
  </si>
  <si>
    <t>Meta Description QA</t>
  </si>
  <si>
    <t>H1-1</t>
  </si>
  <si>
    <t>H1 Count 1</t>
  </si>
  <si>
    <t>H1 QA</t>
  </si>
  <si>
    <t>Canonical Link Element 1</t>
  </si>
  <si>
    <t>Canonical QA</t>
  </si>
  <si>
    <t>og title 1</t>
  </si>
  <si>
    <t>og description 1</t>
  </si>
  <si>
    <t>og type 1</t>
  </si>
  <si>
    <t>og sitename 1</t>
  </si>
  <si>
    <t>og image 1</t>
  </si>
  <si>
    <t>og image 2</t>
  </si>
  <si>
    <t>og url 1</t>
  </si>
  <si>
    <t>twitter title 1</t>
  </si>
  <si>
    <t>twitter description 1</t>
  </si>
  <si>
    <t>twitter card 1</t>
  </si>
  <si>
    <t>Social Tag QA</t>
  </si>
  <si>
    <t>Type-1</t>
  </si>
  <si>
    <t>Type-2</t>
  </si>
  <si>
    <t>Type-3</t>
  </si>
  <si>
    <t>Type-4</t>
  </si>
  <si>
    <t>Type-5</t>
  </si>
  <si>
    <t>Schema QA</t>
  </si>
  <si>
    <t>Overall Comment</t>
  </si>
  <si>
    <t>duplicate desc.</t>
  </si>
  <si>
    <t>Schema 보강 필요 (Page)</t>
  </si>
  <si>
    <t>404 링크 (404 Inlinks 시트 참조)</t>
  </si>
  <si>
    <t>예외 적용 (blocked by robots.txt)</t>
  </si>
  <si>
    <t>duplicate</t>
  </si>
  <si>
    <t>missing</t>
  </si>
  <si>
    <t>duplicate title
duplicate desc.</t>
  </si>
  <si>
    <t>Schema 보강 필요 (Blog)</t>
  </si>
  <si>
    <t>underbar("_") x
hyphen is recommended</t>
  </si>
  <si>
    <t>예외 적용 (Pagination - Canonical)</t>
  </si>
  <si>
    <t>Schema 보강 필요 (PLP)</t>
  </si>
  <si>
    <t>not english</t>
  </si>
  <si>
    <t>duplicate title</t>
  </si>
  <si>
    <t>Schema 보강 필요 (PDP)</t>
  </si>
  <si>
    <t>check "-23"</t>
  </si>
  <si>
    <t>삭제 필요 (dev / test)</t>
  </si>
  <si>
    <t>check "-01"</t>
  </si>
  <si>
    <t>Content Type</t>
  </si>
  <si>
    <t>Status</t>
  </si>
  <si>
    <t>Indexability</t>
  </si>
  <si>
    <t>Indexability Status</t>
  </si>
  <si>
    <t>Title 1 Length</t>
  </si>
  <si>
    <t>Title 1 Pixel Width</t>
  </si>
  <si>
    <t>Title 2</t>
  </si>
  <si>
    <t>Title 2 Length</t>
  </si>
  <si>
    <t>Title 2 Pixel Width</t>
  </si>
  <si>
    <t>Meta Description 1 Length</t>
  </si>
  <si>
    <t>Meta Description 1 Pixel Width</t>
  </si>
  <si>
    <t>Meta Keywords 1</t>
  </si>
  <si>
    <t>Meta Keywords 1 Length</t>
  </si>
  <si>
    <t>H1-1 Length</t>
  </si>
  <si>
    <t>H1-2</t>
  </si>
  <si>
    <t>H1-2 Length</t>
  </si>
  <si>
    <t>H2-1</t>
  </si>
  <si>
    <t>H2-1 Length</t>
  </si>
  <si>
    <t>Meta Robots 1</t>
  </si>
  <si>
    <t>X-Robots-Tag 1</t>
  </si>
  <si>
    <t>Meta Refresh 1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</si>
  <si>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</si>
  <si>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</si>
  <si>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</si>
  <si>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</si>
  <si>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</si>
  <si>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</si>
  <si>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</si>
  <si>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Total Transferred (bytes)</t>
  </si>
  <si>
    <t>CO2 (mg)</t>
  </si>
  <si>
    <t>Carbon Rating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</si>
  <si>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</si>
  <si>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</si>
  <si>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</si>
  <si>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</si>
  <si>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</si>
  <si>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</si>
  <si>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</si>
  <si>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</si>
  <si>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</si>
  <si>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</si>
  <si>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</si>
  <si>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</si>
  <si>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</si>
  <si>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</si>
  <si>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</si>
  <si>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</si>
  <si>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</si>
  <si>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</si>
  <si>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</si>
  <si>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Near Duplicate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</si>
  <si>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</si>
  <si>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</si>
  <si>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</si>
  <si>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</si>
  <si>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</si>
  <si>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</si>
  <si>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</si>
  <si>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</si>
  <si>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</si>
  <si>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Language</t>
  </si>
  <si>
    <t>HTTP Version</t>
  </si>
  <si>
    <t>og image 3</t>
  </si>
  <si>
    <t>og image 4</t>
  </si>
  <si>
    <t>Mobile Alternate Link</t>
  </si>
  <si>
    <t>Closest Semantically Similar Address</t>
  </si>
  <si>
    <t>Semantic Similarity Score</t>
  </si>
  <si>
    <t>No. Semantically Similar</t>
  </si>
  <si>
    <t>Semantic Relevance Score</t>
  </si>
  <si>
    <t>URL Encoded Address</t>
  </si>
  <si>
    <t>Crawl Timestamp</t>
  </si>
  <si>
    <t>https://innisfree-taiwan.myshopify.com/</t>
  </si>
  <si>
    <t>text/html; charset=utf-8</t>
  </si>
  <si>
    <t>OK</t>
  </si>
  <si>
    <t>Indexable</t>
  </si>
  <si>
    <t>innisfree 台灣官方網站 &amp; 線上購物 官網下單滿千免運_x000D_ | INNISFREE Taiwan</t>
  </si>
  <si>
    <t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t>
  </si>
  <si>
    <t>INNISFREE Taiwan</t>
  </si>
  <si>
    <t>zh-TW</t>
  </si>
  <si>
    <t>innisfree 台灣官方網站 &amp; 線上購物 官網下單滿千免運 | INNISFREE Taiwan</t>
  </si>
  <si>
    <t>website</t>
  </si>
  <si>
    <t>http://innisfree-taiwan.myshopify.com/cdn/shop/files/logo.png?v=1767594135</t>
  </si>
  <si>
    <t>https://innisfree-taiwan.myshopify.com/cdn/shop/files/logo.png?v=1767594135</t>
  </si>
  <si>
    <t>summary_large_image</t>
  </si>
  <si>
    <t>1</t>
  </si>
  <si>
    <t>2026-02-09 18:14:04</t>
  </si>
  <si>
    <t>https://innisfree-taiwan.myshopify.com/a/service</t>
  </si>
  <si>
    <t>Not Found</t>
  </si>
  <si>
    <t>Non-Indexable</t>
  </si>
  <si>
    <t>Client Error</t>
  </si>
  <si>
    <t>2026-02-09 18:14:56</t>
  </si>
  <si>
    <t>https://innisfree-taiwan.myshopify.com/account</t>
  </si>
  <si>
    <t>Found</t>
  </si>
  <si>
    <t>Blocked by robots.txt</t>
  </si>
  <si>
    <t>https://innisfree-taiwan.myshopify.com/account/login?return_url=%2Faccount</t>
  </si>
  <si>
    <t>HTTP Redirect</t>
  </si>
  <si>
    <t>2026-02-09 18:15:16</t>
  </si>
  <si>
    <t>https://innisfree-taiwan.myshopify.com/account/addresses</t>
  </si>
  <si>
    <t>https://innisfree-taiwan.myshopify.com/account/login?return_url=%2Faccount%2Faddresses</t>
  </si>
  <si>
    <t>https://innisfree-taiwan.myshopify.com/account/login</t>
  </si>
  <si>
    <t>帳號_x000D_ | INNISFREE Taiwan</t>
  </si>
  <si>
    <t>重設密碼</t>
  </si>
  <si>
    <t>會員登入</t>
  </si>
  <si>
    <t>帳號 | INNISFREE Taiwan</t>
  </si>
  <si>
    <t>2</t>
  </si>
  <si>
    <t>2026-02-09 18:14:24</t>
  </si>
  <si>
    <t>2026-02-09 18:16:47</t>
  </si>
  <si>
    <t>2026-02-09 18:16:48</t>
  </si>
  <si>
    <t>https://innisfree-taiwan.myshopify.com/account/register</t>
  </si>
  <si>
    <t>建立帳號_x000D_ | INNISFREE Taiwan</t>
  </si>
  <si>
    <t>註冊</t>
  </si>
  <si>
    <t>建立帳號 | INNISFREE Taiwan</t>
  </si>
  <si>
    <t>2026-02-09 18:14:12</t>
  </si>
  <si>
    <t>https://innisfree-taiwan.myshopify.com/blogs/event</t>
  </si>
  <si>
    <t>活動_x000D_ | INNISFREE Taiwan</t>
  </si>
  <si>
    <t>活動</t>
  </si>
  <si>
    <t>活動 | INNISFREE Taiwan</t>
  </si>
  <si>
    <t>2026-02-09 18:15:15</t>
  </si>
  <si>
    <t>https://innisfree-taiwan.myshopify.com/blogs/event/gift-set_event-list</t>
  </si>
  <si>
    <t>Gift set_Event List_x000D_ | INNISFREE Taiwan</t>
  </si>
  <si>
    <t>Gift set_Event List</t>
  </si>
  <si>
    <t>Gift set_Event List | INNISFREE Taiwan</t>
  </si>
  <si>
    <t>article</t>
  </si>
  <si>
    <t>http://innisfree-taiwan.myshopify.com/cdn/shop/articles/Gift_set_Event_List_PC__963x600_1256ad40-bdd5-472a-99dd-26407920d6ec.jpg?v=1770101796</t>
  </si>
  <si>
    <t>https://innisfree-taiwan.myshopify.com/cdn/shop/articles/Gift_set_Event_List_PC__963x600_1256ad40-bdd5-472a-99dd-26407920d6ec.jpg?v=1770101796</t>
  </si>
  <si>
    <t>2026-02-09 18:14:21</t>
  </si>
  <si>
    <t>https://innisfree-taiwan.myshopify.com/blogs/event/leave-a-review-and-get-a-free-face-mask</t>
  </si>
  <si>
    <t>填心得 領面膜！_x000D_ | INNISFREE Taiwan</t>
  </si>
  <si>
    <t>填心得 領面膜！</t>
  </si>
  <si>
    <t>填心得 領面膜！ | INNISFREE Taiwan</t>
  </si>
  <si>
    <t>http://innisfree-taiwan.myshopify.com/cdn/shop/articles/377_EV0102_attimg_origin_a54ebf7e-6a2b-4bb2-a2d0-aeee77f64cd7.jpg?v=1769748350</t>
  </si>
  <si>
    <t>https://innisfree-taiwan.myshopify.com/cdn/shop/articles/377_EV0102_attimg_origin_a54ebf7e-6a2b-4bb2-a2d0-aeee77f64cd7.jpg?v=1769748350</t>
  </si>
  <si>
    <t>2026-02-09 18:14:27</t>
  </si>
  <si>
    <t>https://innisfree-taiwan.myshopify.com/blogs/event/monthly-vip-exclusive-offers</t>
  </si>
  <si>
    <t>👑每月VIP專屬優惠👑_x000D_ | INNISFREE Taiwan</t>
  </si>
  <si>
    <t>👑每月VIP專屬優惠👑</t>
  </si>
  <si>
    <t>👑每月VIP專屬優惠👑 | INNISFREE Taiwan</t>
  </si>
  <si>
    <t>http://innisfree-taiwan.myshopify.com/cdn/shop/articles/pdp_mig_323ab24c_374_EV0102_attimg_origin_jpg.jpg?v=1768455377</t>
  </si>
  <si>
    <t>https://innisfree-taiwan.myshopify.com/cdn/shop/articles/pdp_mig_323ab24c_374_EV0102_attimg_origin_jpg.jpg?v=1768455377</t>
  </si>
  <si>
    <t>2026-02-09 18:14:34</t>
  </si>
  <si>
    <t>https://innisfree-taiwan.myshopify.com/blogs/event/pdrn-anniversary-celebration</t>
  </si>
  <si>
    <t>🥳PDRN上市周年慶🎊🎂_x000D_ | INNISFREE Taiwan</t>
  </si>
  <si>
    <t>🥳PDRN上市周年慶🎊🎂</t>
  </si>
  <si>
    <t>🥳PDRN上市周年慶🎊🎂 | INNISFREE Taiwan</t>
  </si>
  <si>
    <t>http://innisfree-taiwan.myshopify.com/cdn/shop/articles/376_EV0102_attimg_origin.jpg?v=1768455380</t>
  </si>
  <si>
    <t>https://innisfree-taiwan.myshopify.com/cdn/shop/articles/376_EV0102_attimg_origin.jpg?v=1768455380</t>
  </si>
  <si>
    <t>2026-02-09 18:14:15</t>
  </si>
  <si>
    <t>https://innisfree-taiwan.myshopify.com/blogs/event/tagged/active</t>
  </si>
  <si>
    <t>活動_x000D_ – tagged "active" | INNISFREE Taiwan</t>
  </si>
  <si>
    <t>2026-02-09 18:14:26</t>
  </si>
  <si>
    <t>https://innisfree-taiwan.myshopify.com/blogs/event/tagged/inactive</t>
  </si>
  <si>
    <t>活動_x000D_ – tagged "inactive" | INNISFREE Taiwan</t>
  </si>
  <si>
    <t>https://innisfree-taiwan.myshopify.com/blogs/event/tagged/inactive?page=1</t>
  </si>
  <si>
    <t>Canonicalised</t>
  </si>
  <si>
    <t>2026-02-09 18:17:15</t>
  </si>
  <si>
    <t>https://innisfree-taiwan.myshopify.com/blogs/event/tagged/inactive?page=2</t>
  </si>
  <si>
    <t>活動_x000D_ – tagged "inactive" – Page 2 | INNISFREE Taiwan</t>
  </si>
  <si>
    <t>2026-02-09 18:16:46</t>
  </si>
  <si>
    <t>https://innisfree-taiwan.myshopify.com/blogs/event/tagged/inactive?page=3</t>
  </si>
  <si>
    <t>活動_x000D_ – tagged "inactive" – Page 3 | INNISFREE Taiwan</t>
  </si>
  <si>
    <t>https://innisfree-taiwan.myshopify.com/blogs/event/tagged/inactive?page=4</t>
  </si>
  <si>
    <t>活動_x000D_ – tagged "inactive" – Page 4 | INNISFREE Taiwan</t>
  </si>
  <si>
    <t>https://innisfree-taiwan.myshopify.com/blogs/event/value-gift-set-for-gifting-or-personal-use</t>
  </si>
  <si>
    <t>超值精選禮盒💚 送禮自用超划算😍_x000D_ | INNISFREE Taiwan</t>
  </si>
  <si>
    <t>超值精選禮盒💚 送禮自用超划算😍</t>
  </si>
  <si>
    <t>超值精選禮盒💚 送禮自用超划算😍 | INNISFREE Taiwan</t>
  </si>
  <si>
    <t>http://innisfree-taiwan.myshopify.com/cdn/shop/articles/368_EV0102_attimg_origin_1e29214d-606f-420e-98b1-070a68afb85d.jpg?v=1768782077</t>
  </si>
  <si>
    <t>https://innisfree-taiwan.myshopify.com/cdn/shop/articles/368_EV0102_attimg_origin_1e29214d-606f-420e-98b1-070a68afb85d.jpg?v=1768782077</t>
  </si>
  <si>
    <t>2026-02-09 18:14:16</t>
  </si>
  <si>
    <t>https://innisfree-taiwan.myshopify.com/blogs/event/welcome-new-inni-friends-to-the-island-of-freedom</t>
  </si>
  <si>
    <t>歡迎INNI新朋友來到自由之島🙌_x000D_ | INNISFREE Taiwan</t>
  </si>
  <si>
    <t>歡迎INNI新朋友來到自由之島🙌</t>
  </si>
  <si>
    <t>歡迎INNI新朋友來到自由之島🙌 | INNISFREE Taiwan</t>
  </si>
  <si>
    <t>http://innisfree-taiwan.myshopify.com/cdn/shop/articles/375_EV0102_attimg_origin.jpg?v=1768455375</t>
  </si>
  <si>
    <t>https://innisfree-taiwan.myshopify.com/cdn/shop/articles/375_EV0102_attimg_origin.jpg?v=1768455375</t>
  </si>
  <si>
    <t>https://innisfree-taiwan.myshopify.com/blogs/event/{{%20routes.collections_url%20}}/promotion</t>
  </si>
  <si>
    <t>https://innisfree-taiwan.myshopify.com/blogs/event/%7B%7B%20routes.collections_url%20%7D%7D/promotion</t>
  </si>
  <si>
    <t>2026-02-09 18:15:47</t>
  </si>
  <si>
    <t>https://innisfree-taiwan.myshopify.com/blogs/event?page=1</t>
  </si>
  <si>
    <t>https://innisfree-taiwan.myshopify.com/blogs/event?page=2</t>
  </si>
  <si>
    <t>活動_x000D_ – Page 2 | INNISFREE Taiwan</t>
  </si>
  <si>
    <t>https://innisfree-taiwan.myshopify.com/blogs/event?page=3</t>
  </si>
  <si>
    <t>活動_x000D_ – Page 3 | INNISFREE Taiwan</t>
  </si>
  <si>
    <t>2026-02-09 18:16:51</t>
  </si>
  <si>
    <t>https://innisfree-taiwan.myshopify.com/blogs/event?page=4</t>
  </si>
  <si>
    <t>活動_x000D_ – Page 4 | INNISFREE Taiwan</t>
  </si>
  <si>
    <t>2026-02-09 18:17:14</t>
  </si>
  <si>
    <t>https://innisfree-taiwan.myshopify.com/blogs/event?page=5</t>
  </si>
  <si>
    <t>活動_x000D_ – Page 5 | INNISFREE Taiwan</t>
  </si>
  <si>
    <t>https://innisfree-taiwan.myshopify.com/blogs/magazine</t>
  </si>
  <si>
    <t>精選文章_x000D_ | INNISFREE Taiwan</t>
  </si>
  <si>
    <t>精選文章</t>
  </si>
  <si>
    <t>精選文章 | INNISFREE Taiwan</t>
  </si>
  <si>
    <t>2026-02-09 18:14:11</t>
  </si>
  <si>
    <t>https://innisfree-taiwan.myshopify.com/blogs/magazine/2024-popular-moisturizer-recommendations</t>
  </si>
  <si>
    <t>2024人氣面霜推薦！網友好評大推產品＆乳霜推薦使用方法總整理_x000D_ | INNISFREE Taiwan</t>
  </si>
  <si>
    <t>為何推薦使用面霜？ 如果說化妝水是開啟保養通道的第一步，那面霜就是幫忙將保養鎖在肌膚的最後一道程序。它不只根據產品配方有多種功效，且塗抹於皮膚表面後，會形成一層薄透的保護膜，這層保護膜可是有個重要功效，那就是…保護肌膚水分！ &amp;gt;如果說化妝水是開啟保養通道的第一步，那面霜就是幫忙將保養鎖在肌膚的最後一道程序。它不只根據產品配方有多種功效，且塗抹於皮膚表面後，會形成一層薄透的保護膜，這層保護膜可是有個重要功效，那就是…保護肌膚水分！ 面霜可以幫助「鎖住」先前塗抹的質地較水、較容易流失的水分和養分，也能阻隔外界環境中會對皮膚造成刺激影響的有害因素，可以說是保養程序中不可或缺的一個步驟。若缺少了面霜，敷再多面膜、塗再多保養品，水分可能</t>
  </si>
  <si>
    <t>2024人氣面霜推薦！網友好評大推產品＆乳霜推薦使用方法總整理</t>
  </si>
  <si>
    <t>2024人氣面霜推薦！網友好評大推產品＆乳霜推薦使用方法總整理 | INNISFREE Taiwan</t>
  </si>
  <si>
    <t>http://innisfree-taiwan.myshopify.com/cdn/shop/articles/pdp_mig_ef0137eb_5_attimg1_origin_jpg_78d75c9a-f7d0-49ef-8d79-f75af6a16136.jpg?v=1769590079</t>
  </si>
  <si>
    <t>https://innisfree-taiwan.myshopify.com/cdn/shop/articles/pdp_mig_ef0137eb_5_attimg1_origin_jpg_78d75c9a-f7d0-49ef-8d79-f75af6a16136.jpg?v=1769590079</t>
  </si>
  <si>
    <t>2026-02-09 18:16:27</t>
  </si>
  <si>
    <t>https://innisfree-taiwan.myshopify.com/blogs/magazine/3-step-facial-moisturizing-routine</t>
  </si>
  <si>
    <t>臉部保濕3步驟大公開！教你正確保養，擺脫乾燥肌！_x000D_ | INNISFREE Taiwan</t>
  </si>
  <si>
    <t>臉部保濕多重要？3大你不會想嘗試的乾燥後果😱 你知道嗎？如果肌膚缺乏水分，不僅容易緊繃不舒服，且乾燥的肌膚也會讓你看起來「無光」。甚至長期缺乏保養還可能會出現： ✔ 細紋 ✔ 皺紋 ✔ 鬆弛 等症狀，等症狀，導致你看起來比實際年齡還要大！而且若角質層缺水，可能會使得天然保濕因子減少，出現角質層的組織排列混亂，肌膚防禦力下降，甚至代謝異常，出現出屑、脫皮症狀。所以你說，為了漂亮和肌膚的健康，保濕是不是真的很重要！ 臉部乾燥3原因：NG保濕方式要注意❌ 但為何臉部水分會流失，導致乾燥的情況出現？其實乾燥是在你不知不覺的日常中偷偷找上門的，其中又以下面3大因素為常見的皮膚乾燥原因，請大家提醒大家，一起小心避免！ 1. 年齡造成的水分流失</t>
  </si>
  <si>
    <t>臉部保濕3步驟大公開！教你正確保養，擺脫乾燥肌！</t>
  </si>
  <si>
    <t>臉部保濕3步驟大公開！教你正確保養，擺脫乾燥肌！ | INNISFREE Taiwan</t>
  </si>
  <si>
    <t>http://innisfree-taiwan.myshopify.com/cdn/shop/articles/pdp_mig_6d4b9fb6_9_attimg1_origin_png.png?v=1769590104</t>
  </si>
  <si>
    <t>https://innisfree-taiwan.myshopify.com/cdn/shop/articles/pdp_mig_6d4b9fb6_9_attimg1_origin_png.png?v=1769590104</t>
  </si>
  <si>
    <t>2026-02-09 18:16:42</t>
  </si>
  <si>
    <t>https://innisfree-taiwan.myshopify.com/blogs/magazine/4-effective-steps-to-remove-blackheads</t>
  </si>
  <si>
    <t>去粉刺最有效的方法4步驟！清除粉刺派出面膜和粉刺夾，無痛移除黑白頭_x000D_ | INNISFREE Taiwan</t>
  </si>
  <si>
    <t>去粉刺最有效的方法是什麼？如何透過日常保養避免粉刺？各位姊妹們是不是每次照鏡子時，只要看到鼻子上黑黑白白的粉刺，就忍不住想要「手動清潔」呢？小編勸你先冷靜～因為粉刺處理不對，可能變成更可怕的紅腫痘痘、甚至留疤，千萬別因為一時的衝動讓肌膚留下瑕疵！今天就讓小編來當你的保養軍師，教你去粉刺最有效的方法，輕鬆擺脫討人厭的小黑點與小白頭！ 粉刺是什麼？粉刺生成4原因 在探究去粉刺方法之前，讓我們先來認識「粉刺」這個頑皮的肌膚問題。簡單來說，粉刺就是毛孔裡不斷堆積的垃圾，其形成的原因有很多，快來看看你是因為哪種情況而中招： 皮脂過多 若你擁有油性肌，那皮脂分泌過多很可能就是你毛孔堵塞的罪魁禍首！ 角質堆積 如果臉上覺得粗粗的，這是死皮細胞搞得</t>
  </si>
  <si>
    <t>去粉刺最有效的方法4步驟！清除粉刺派出面膜和粉刺夾，無痛移除黑白頭</t>
  </si>
  <si>
    <t>去粉刺最有效的方法4步驟！清除粉刺派出面膜和粉刺夾，無痛移除黑白頭 | INNISFREE Taiwan</t>
  </si>
  <si>
    <t>http://innisfree-taiwan.myshopify.com/cdn/shop/articles/pdp_mig_395b7cad_19_attimg1_origin_jpg_396bd313-2ff3-4e22-9c2e-67dd2388a365.jpg?v=1768549567</t>
  </si>
  <si>
    <t>https://innisfree-taiwan.myshopify.com/cdn/shop/articles/pdp_mig_395b7cad_19_attimg1_origin_jpg_396bd313-2ff3-4e22-9c2e-67dd2388a365.jpg?v=1768549567</t>
  </si>
  <si>
    <t>2026-02-09 18:16:25</t>
  </si>
  <si>
    <t>https://innisfree-taiwan.myshopify.com/blogs/magazine/ampoule-usage-guide-how-and-when-to-use</t>
  </si>
  <si>
    <t>正確安瓶使用順序大解密！快速了解安瓶怎麼用、什麼時候用_x000D_ | INNISFREE Taiwan</t>
  </si>
  <si>
    <t>安瓶是什麼？了解使用順序前先看看其由來 「安瓶」源自英文（Ampoule），一開始是指用來裝藥品的無菌玻璃容器，是藥師為了將藥品與空氣、細菌隔絕所用之容器。 後來有美容保養業者開始使用此概念，將類似安瓶的容器用來裝化妝品、保養品，更運用安瓶的特性存放活性高的高濃縮保養液， 也因為存放的保養品濃度比、活性比、純度比都為高級的高濃度精華，所需的製作成本更高，因此安瓶的價格也就相對較高。 而這樣珍貴、小容量、高濃度的保養品，就是現在我們聽到的「安瓶」。 安瓶怎麼開？使用順序第一步：簡易開法教學 然而你是否有過這樣的經驗：買了安瓶卻卡關，不知道到底怎麼開？以前的安瓶通常是2mL以下的高濃縮美容保養液，密封的包裝技術比較複雜， 打開方式是從瓶</t>
  </si>
  <si>
    <t>正確安瓶使用順序大解密！快速了解安瓶怎麼用、什麼時候用</t>
  </si>
  <si>
    <t>正確安瓶使用順序大解密！快速了解安瓶怎麼用、什麼時候用 | INNISFREE Taiwan</t>
  </si>
  <si>
    <t>http://innisfree-taiwan.myshopify.com/cdn/shop/articles/pdp_mig_23814c2c_4_attimg1_origin_jpg_67f30ed6-e670-4ba8-81e6-4e8ea13106ac.jpg?v=1769590004</t>
  </si>
  <si>
    <t>https://innisfree-taiwan.myshopify.com/cdn/shop/articles/pdp_mig_23814c2c_4_attimg1_origin_jpg_67f30ed6-e670-4ba8-81e6-4e8ea13106ac.jpg?v=1769590004</t>
  </si>
  <si>
    <t>2026-02-09 18:16:35</t>
  </si>
  <si>
    <t>https://innisfree-taiwan.myshopify.com/blogs/magazine/cakey-makeup-vs-patchy-makeup-differences</t>
  </si>
  <si>
    <t>浮粉跟卡粉差在哪？浮粉怎麼辦？_x000D_ | INNISFREE Taiwan</t>
  </si>
  <si>
    <t>浮粉跟卡粉差在哪？浮粉怎麼辦？分享底妝斑駁5大原因和急救方法 浮粉怎麼辦？浮粉或卡粉究竟是因為什麼原因？完美妝容的關鍵是服貼與自然，但有時上完妝沒多久就開始斑駁脫落，不只讓肌膚看起來粗糙不平，還可能使臉部膚色不均。而你知道自己的妝容是『浮粉』還是『卡粉』嗎？其實這兩者有不同的成因和解決方法！今天讓小編帶你一次了解這兩者的區別，並告訴你6個實用小技巧，幫助你打造服貼、輕透的完美妝容～ 浮粉是什麼？和卡粉有什麼差別？ 雖然浮粉與卡粉都是妝容不服貼的表現，但其發生時間、原因及解決方式各不相同： ■ 『浮粉』➡ 指粉底或底妝產品在肌膚表面無法緊密貼合，導致妝感「浮在肌膚上」，通常發生在妝後數小時，特別是在肌膚出油後。 ■ 『卡粉』➡ 指底妝</t>
  </si>
  <si>
    <t>浮粉跟卡粉差在哪？浮粉怎麼辦？</t>
  </si>
  <si>
    <t>浮粉跟卡粉差在哪？浮粉怎麼辦？ | INNISFREE Taiwan</t>
  </si>
  <si>
    <t>http://innisfree-taiwan.myshopify.com/cdn/shop/articles/pdp_mig_6c92879f_14_attimg1_origin_jpg_1b24834d-bce4-48b1-a49e-f71eb88adafd.jpg?v=1768549613</t>
  </si>
  <si>
    <t>https://innisfree-taiwan.myshopify.com/cdn/shop/articles/pdp_mig_6c92879f_14_attimg1_origin_jpg_1b24834d-bce4-48b1-a49e-f71eb88adafd.jpg?v=1768549613</t>
  </si>
  <si>
    <t>2026-02-09 18:16:41</t>
  </si>
  <si>
    <t>https://innisfree-taiwan.myshopify.com/blogs/magazine/causes-of-dry-skin-and-how-to-improve-it</t>
  </si>
  <si>
    <t>皮膚乾燥原因有哪些？如何改善？乾肌人必看保養方法與保養品推薦_x000D_ | INNISFREE Taiwan</t>
  </si>
  <si>
    <t>皮膚乾燥原因有哪些？如何改善？乾肌人必看保養方法與保養品推薦 長期有搔癢、泛紅等皮膚乾燥困擾，卻遲遲找不到原因嗎？其實肌膚乾燥有時不是「天氣惹的禍」，可能是你的生活習慣或保養方式出了問題，讓肌膚鬧起了脾氣！這篇文章將從乾燥的症狀、根本原因到實用保養方法，手把手教你如何打敗乾燥不適。不管你是臉上乾得卡粉，還是身體肌膚乾燥粗糙，讀完後跟著我們一起輕鬆挑保養品，找回柔嫩又水潤的肌膚光彩！ 皮膚乾燥不只會脫屑或搔癢！5大症狀一次看 當肌膚水分不足時，肌膚乾燥的症狀便會悄然出現。以下是常見的肌膚乾燥症狀： ✔ 搔癢 乾燥的肌膚容易引發搔癢感，尤其是冬季或長時間暴露於冷風中時特別明顯。 ✔ 緊繃感 洗臉後若感覺肌膚緊繃、像是被拉扯，可能是肌膚屏</t>
  </si>
  <si>
    <t>皮膚乾燥原因有哪些？如何改善？乾肌人必看保養方法與保養品推薦</t>
  </si>
  <si>
    <t>Error Parsing HTML</t>
  </si>
  <si>
    <t>https://innisfree-taiwan.myshopify.com/blogs/magazine/ceramide-benefits-and-skincare-guide</t>
  </si>
  <si>
    <t>神經醯胺功效有哪些？一篇看懂神經醯胺是什麼與保養品推薦_x000D_ | INNISFREE Taiwan</t>
  </si>
  <si>
    <t>神經醯胺功效有哪些？一篇看懂神經醯胺是什麼與保養品推薦 神經醯胺是什麼？功效有哪些？近幾年超夯的神經醯胺是保養品的愛用成分，且不只是外用的保養品，在內服的營養補充品中都能找到其身影。而究竟神經醯胺有哪些作用？又能如何幫你挽救乾燥肌膚、扭轉肌齡呢？現在就和小編一起深入了解神經醯胺的定義、功效與保養品挑選方法，最後也會和你分享2款INNISFREE神經醯胺保養品，一起養成水嫩光澤肌！ 神經醯胺是什麼？常見種類與功效一次看 神經醯胺，學名Ceramide，又被稱為「賽洛美」、「分子酊」。它是人體肌膚中一種天然的脂質成分，約佔角質層脂質的50%以上，扮演著「屏障守護者」的角色。肌膚因為這個成分的存在，能有效鎖住水分、阻擋外界侵害，保持柔潤的</t>
  </si>
  <si>
    <t>神經醯胺功效有哪些？一篇看懂神經醯胺是什麼與保養品推薦</t>
  </si>
  <si>
    <t>神經醯胺功效有哪些？一篇看懂神經醯胺是什麼與保養品推薦 | INNISFREE Taiwan</t>
  </si>
  <si>
    <t>http://innisfree-taiwan.myshopify.com/cdn/shop/articles/pdp_mig_c6b17a9a_20_attimg1_origin_jpg_9b718333-e57e-4035-b3b8-f4663d01b12f.jpg?v=1768550049</t>
  </si>
  <si>
    <t>https://innisfree-taiwan.myshopify.com/cdn/shop/articles/pdp_mig_c6b17a9a_20_attimg1_origin_jpg_9b718333-e57e-4035-b3b8-f4663d01b12f.jpg?v=1768550049</t>
  </si>
  <si>
    <t>2026-02-09 18:16:23</t>
  </si>
  <si>
    <t>https://innisfree-taiwan.myshopify.com/blogs/magazine/dry-skin-characteristics-and-care-tips</t>
  </si>
  <si>
    <t>你是乾性肌膚嗎？乾性肌膚特徵＋4大保養關鍵大公開！_x000D_ | INNISFREE Taiwan</t>
  </si>
  <si>
    <t>怎麼樣是乾性肌膚？膚質檢測表快速告訴你 想知道自己是不是乾性肌膚，那就快來看看有沒有以下膚質狀況，如有符合的情形請打勾V。 ◻ 洗完臉容易感覺肌膚乾澀、緊繃不舒服 ◻ 過中午後，T字部分依然乾燥幾乎無出油 ◻ 肌膚常常看起來無光、摸起來粗糙 ◻ 肌膚易受外在環境影響出現乾癢、脫皮問題 如果上面情形符合2個或以上的勾勾，那～你就幾乎可以確認自己是乾性肌膚啦！ 乾性肌膚特徵說明😣 那麼更詳細一點來說，乾性肌膚有什麼特徵？就像上面的膚質檢測表中的情形，乾性肌膚的油脂分泌較少，因此比起其它像是油性、混合性肌膚類型，乾性肌膚更容易受到外在環境影響，可能外界只要一點點刺激，乾肌就容易出現敏弱現象， 像是：換季時、空氣汙染，甚至是經歷壓力、焦慮時</t>
  </si>
  <si>
    <t>你是乾性肌膚嗎？乾性肌膚特徵＋4大保養關鍵大公開！</t>
  </si>
  <si>
    <t>你是乾性肌膚嗎？乾性肌膚特徵＋4大保養關鍵大公開！ | INNISFREE Taiwan</t>
  </si>
  <si>
    <t>http://innisfree-taiwan.myshopify.com/cdn/shop/articles/pdp_mig_bd41c2e0_6_attimg1_origin_jpg_027335c6-f7f3-4440-bc1c-329254d7308a.jpg?v=1769589937</t>
  </si>
  <si>
    <t>https://innisfree-taiwan.myshopify.com/cdn/shop/articles/pdp_mig_bd41c2e0_6_attimg1_origin_jpg_027335c6-f7f3-4440-bc1c-329254d7308a.jpg?v=1769589937</t>
  </si>
  <si>
    <t>https://innisfree-taiwan.myshopify.com/blogs/magazine/facial-skincare-routine-correct-order-guide</t>
  </si>
  <si>
    <t>臉部保養順序解析：掌握正確保養順序，達到超有感保養！_x000D_ | INNISFREE Taiwan</t>
  </si>
  <si>
    <t>臉部保養順序重要嗎？不同膚質保養SOP解析 大多數人都知道，不同膚質挑選的保養品類型會有區別，那麼當然保養順序也會有所差別。因此首先就讓我們先了解不同膚質的保養順序和注意要點有哪些。 乾性肌膚 油性肌膚 敏弱肌膚 特徵 ● 肌膚含水量較低，且幾乎不出油 ● 肌膚水分流失較快 ● 若保養沒做好，容易導致脫屑、粗糙等肌膚問題 ● 需選擇油脂含量較高的保養產品 ● 肌膚含水量較高，但皮脂線分泌也很旺盛 ● 需特別注意清潔與保養，才不容易因油脂分泌旺盛而堵塞毛孔，導致毛孔粗大、粉刺與痘痘 ● 建議可選購能調理肌膚油水平衡的保養品 ● 肌膚較薄弱，容易因外界影響，導致肌膚泛紅、發癢 ● 需挑選低刺激、溫和的保養品 ● 避免使用含酒精、人工香料</t>
  </si>
  <si>
    <t>臉部保養順序解析：掌握正確保養順序，達到超有感保養！</t>
  </si>
  <si>
    <t>臉部保養順序解析：掌握正確保養順序，達到超有感保養！ | INNISFREE Taiwan</t>
  </si>
  <si>
    <t>http://innisfree-taiwan.myshopify.com/cdn/shop/articles/pdp_mig_1d586e8b_8_attimg1_origin_jpg_2208f33d-ac94-449a-894a-1d36b84c5d96.jpg?v=1768549781</t>
  </si>
  <si>
    <t>https://innisfree-taiwan.myshopify.com/cdn/shop/articles/pdp_mig_1d586e8b_8_attimg1_origin_jpg_2208f33d-ac94-449a-894a-1d36b84c5d96.jpg?v=1768549781</t>
  </si>
  <si>
    <t>https://innisfree-taiwan.myshopify.com/blogs/magazine/how-often-should-you-use-a-face-mask</t>
  </si>
  <si>
    <t>面膜多久敷一次？每次敷多久？敷完面膜要洗臉嗎？常見QA快速看_x000D_ | INNISFREE Taiwan</t>
  </si>
  <si>
    <t>想要皮膚變好的你，是否也急著想知道「面膜多久敷一次、每次敷多久、敷完面膜要洗臉嗎」等保養問題？作為一種能夠快速為皮膚提供滋養的保養方式，面膜是愛美人士的日常必備品，特別是在現代生活中，我們的肌膚常因爲環境、壓力、飲食等因素而出現問題，這時面膜就成了皮膚的急救救星。然而關於敷面膜的正確方式總是有許多說法，本篇就讓INNISFREE來為你一解疑惑！ 敷面膜好處有哪些？4大優點「歐逆」超推薦 敷面膜的原理主要是透過密封肌膚的方式，短時間內集中補充所需的水分與養分。且透過面膜中含有的精華液、有效成分滲透至肌底，能深層呵護、喚回肌膚的彈性與光澤感。而根據不同的面膜種類，其效果也會有所不同，能夠針對各類肌膚問題來加強保養，例如：乾燥、老化、暗沉</t>
  </si>
  <si>
    <t>面膜多久敷一次？每次敷多久？敷完面膜要洗臉嗎？常見QA快速看</t>
  </si>
  <si>
    <t>面膜多久敷一次？每次敷多久？敷完面膜要洗臉嗎？常見QA快速看 | INNISFREE Taiwan</t>
  </si>
  <si>
    <t>http://innisfree-taiwan.myshopify.com/cdn/shop/articles/pdp_mig_705bb79d_11_attimg1_origin_png.png?v=1768549763</t>
  </si>
  <si>
    <t>https://innisfree-taiwan.myshopify.com/cdn/shop/articles/pdp_mig_705bb79d_11_attimg1_origin_png.png?v=1768549763</t>
  </si>
  <si>
    <t>2026-02-09 18:16:34</t>
  </si>
  <si>
    <t>https://innisfree-taiwan.myshopify.com/blogs/magazine/how-to-apply-eye-cream-correctly</t>
  </si>
  <si>
    <t>眼霜怎麼擦？正確用法與人氣眼霜推薦，想要透亮眼周就看這篇_x000D_ | INNISFREE Taiwan</t>
  </si>
  <si>
    <t>眼霜怎麼擦？正確用法與人氣眼霜推薦，想要透亮眼周就看這篇 想知道眼霜怎麼擦？正確用法是什麼？看這篇準沒錯！對許多人來說，泡泡眼、熊貓眼和魚尾紋等眼周肌膚問題就像是噩夢，趕都趕不走，不僅讓人看來失神，外觀也較為顯老，甚至有時連底妝都無法掩蓋過！而如果想扭轉這些眼周肌膚困擾，培養起保養習慣就很重要～本篇讓小編一步步教你眼霜的正確用法，並於最後向大家推薦2款好用的眼霜，讓你隨時散發自信光彩！ 分享眼周常見3種困擾！不好好保養問題就會找上門 有時不管多努力用笑容掩蓋疲累，眼下肌膚的暗沉或眼周腫大，都會默默地出賣你的真實心聲。且不只如此，細紋也是常見的眼周問題之一，讓我們透過以下的說明，帶你看看這些眼周肌膚困擾的成因。 😭 泡泡眼 早上起來眼</t>
  </si>
  <si>
    <t>眼霜怎麼擦？正確用法與人氣眼霜推薦，想要透亮眼周就看這篇</t>
  </si>
  <si>
    <t>眼霜怎麼擦？正確用法與人氣眼霜推薦，想要透亮眼周就看這篇 | INNISFREE Taiwan</t>
  </si>
  <si>
    <t>http://innisfree-taiwan.myshopify.com/cdn/shop/articles/pdp_mig_1b7a0bdc_15_attimg1_origin_jpg_71bf0ed4-f563-472a-8ed6-0f61ecba7592.jpg?v=1768549804</t>
  </si>
  <si>
    <t>https://innisfree-taiwan.myshopify.com/cdn/shop/articles/pdp_mig_1b7a0bdc_15_attimg1_origin_jpg_71bf0ed4-f563-472a-8ed6-0f61ecba7592.jpg?v=1768549804</t>
  </si>
  <si>
    <t>https://innisfree-taiwan.myshopify.com/blogs/magazine/how-to-choose-products-for-enlarged-pores</t>
  </si>
  <si>
    <t>毛孔粗大保養品怎麼挑？打造完美膚質4大關鍵不可少！_x000D_ | INNISFREE Taiwan</t>
  </si>
  <si>
    <t>毛孔粗大的原因有哪些？ 你是否也為了毛孔粗大和粉刺瑕疵苦惱不已？且不論擦了多少保養品、買了多貴的精華液，皮膚依舊粗糙不平、粉刺林始終茂密？而此問題的來源，其實就出在肌膚表面堆積的老廢角質和髒汙上。 基本上，臉部肌膚的毛孔超過兩萬個，隨著年齡增長或受到自由基的傷害，若沒有定時且使用正確方式清理角質，老廢角質就容易越積越厚。當毛孔被角質、皮脂及髒汙阻塞，再接觸到空氣後便容易氧化滋生細菌，漸漸地毛孔就被越撐越大，形成令人困擾的毛孔粗大現象，且也會造成保養品無法被完整吸收。建議毛孔粗大保養品，要依據下列2大依據挑選才不踩雷： 清潔產品 選擇具保水效果的洗面乳，加強角質層健康。另外可視膚況1~2週搭配使用一次泥狀清潔面膜，深層清除肌膚的皮脂髒</t>
  </si>
  <si>
    <t>毛孔粗大保養品怎麼挑？打造完美膚質4大關鍵不可少！</t>
  </si>
  <si>
    <t>毛孔粗大保養品怎麼挑？打造完美膚質4大關鍵不可少！ | INNISFREE Taiwan</t>
  </si>
  <si>
    <t>http://innisfree-taiwan.myshopify.com/cdn/shop/articles/pdp_mig_776a18f6_3_attimg1_origin_jpg_ba030c6a-5c8b-4dbf-8c76-507a2a7f2d24.jpg?v=1769590030</t>
  </si>
  <si>
    <t>https://innisfree-taiwan.myshopify.com/cdn/shop/articles/pdp_mig_776a18f6_3_attimg1_origin_jpg_ba030c6a-5c8b-4dbf-8c76-507a2a7f2d24.jpg?v=1769590030</t>
  </si>
  <si>
    <t>https://innisfree-taiwan.myshopify.com/blogs/magazine/how-to-get-rid-of-dark-circles</t>
  </si>
  <si>
    <t>黑眼圈怎麼消除？教你改善4大類型黑眼圈和了解形成原因_x000D_ | INNISFREE Taiwan</t>
  </si>
  <si>
    <t>你知道嗎？黑眼圈其實有不同類型，且其形成原因也比你想像中複雜許多，因此想要改善黑眼圈，就要追根究柢，從判斷自己是哪種類型的「熊貓眼」開始。而如果你也深受身受其擾，就一起來看看這篇文章！今天我們不只要解析黑眼圈的形成原因，還要教你如何改善這道「抹不去的陰影」，並加碼推薦3款人氣保養品，幫助你脫離看起來總是又累又沒精神的窘境！ 黑眼圈是什麼？形成原因主要有哪些？ 簡單來說，黑眼圈的生成主要是源於眼周附近的色素沉澱，進而導致肌膚變得暗沉，而顏色從淡紫、深藍到暗棕都有可能。至於其形成原因，其實不僅僅是因為熬夜，也有可能是遺傳、生活習慣甚至身體狀況所導致，大致上可分為以下3種： 詳細原因 說明 先天因素 天生皮膚薄或遺傳因素 有些人天生皮膚較</t>
  </si>
  <si>
    <t>黑眼圈怎麼消除？教你改善4大類型黑眼圈和了解形成原因</t>
  </si>
  <si>
    <t>黑眼圈怎麼消除？教你改善4大類型黑眼圈和了解形成原因 | INNISFREE Taiwan</t>
  </si>
  <si>
    <t>http://innisfree-taiwan.myshopify.com/cdn/shop/articles/pdp_mig_2a266f0c_10_attimg1_origin_png.png?v=1768549926</t>
  </si>
  <si>
    <t>https://innisfree-taiwan.myshopify.com/cdn/shop/articles/pdp_mig_2a266f0c_10_attimg1_origin_png.png?v=1768549926</t>
  </si>
  <si>
    <t>https://innisfree-taiwan.myshopify.com/blogs/magazine/how-to-use-korean-toner-pads-correctly</t>
  </si>
  <si>
    <t>韓國棉片用法推薦！正確使用方法與順序看這篇，好膚質就該這樣保養_x000D_ | INNISFREE Taiwan</t>
  </si>
  <si>
    <t>韓國棉片用法推薦！正確使用方法與順序看這篇，好膚質就該這樣保養 最近超夯的韓國棉片是什麼？使用方法和順序又該怎麼安排？小小的一片圓形小棉片，已經在韓國女生保養圈裡刮起一股新潮流，不僅能用於清潔和清除角質，還能在濕敷與潤澤中發揮很好的效果。如果你也想知道棉片究竟有多好用，或者正確的使用方法是什麼？今天就讓我們一起深入了解，認識這項保養界的新寵兒！ 韓國棉片是什麼？3種棉片用法和用途一次看 棉片（Cotton Pad）在韓國已經成為每個女生化妝台上的必備品，且根據材質與功能不同，不僅能用於基礎清潔，還可以結合臉部保養品，達到深層保養的效果。以下是棉片的主要種類與用途： 1. 擦拭清潔型棉片 這類棉片材質輕柔且吸水性佳，其設計是用於搭配化</t>
  </si>
  <si>
    <t>韓國棉片用法推薦！正確使用方法與順序看這篇，好膚質就該這樣保養</t>
  </si>
  <si>
    <t>韓國棉片用法推薦！正確使用方法與順序看這篇，好膚質就該這樣保養 | INNISFREE Taiwan</t>
  </si>
  <si>
    <t>http://innisfree-taiwan.myshopify.com/cdn/shop/articles/pdp_mig_bc5e208b_13_attimg1_origin_jpg_05b93181-dc36-4b29-806a-bca17e7ff163.jpg?v=1768549865</t>
  </si>
  <si>
    <t>https://innisfree-taiwan.myshopify.com/cdn/shop/articles/pdp_mig_bc5e208b_13_attimg1_origin_jpg_05b93181-dc36-4b29-806a-bca17e7ff163.jpg?v=1768549865</t>
  </si>
  <si>
    <t>https://innisfree-taiwan.myshopify.com/blogs/magazine/loose-powder-uses-vs-pressed-powder</t>
  </si>
  <si>
    <t>蜜粉用途有哪些？跟粉餅差在哪？正確用法與推薦3款蜜粉大公開_x000D_ | INNISFREE Taiwan</t>
  </si>
  <si>
    <t>蜜粉的正確用法是什麼？除了定妝還有什麼用途呢？無論是通勤路上風吹日曬雨淋，還是浪漫約會中不小心流汗的瞬間，「蜜粉」就是妝容的隱形守護者，不僅能拯救你的日常妝感，甚至能讓妝容在派對狂歡後也依然精緻！不過蜜粉到底應該怎麼選、怎麼用，才能提高持妝度？今天跟著小編一起了解蜜粉的用途、挑選訣竅與使用技巧，讓你在化妝的道路上更得心應手！ 蜜粉是什麼？用途有哪些？ 蜜粉是一種細緻的粉末狀化妝品，主要用於妝後定妝，可以幫助控制油光、提升妝容的持久度。除此之外，它還有以下這些用途： 1. 保持膚況乾爽 適合混合肌與油性肌，可幫助吸附多餘油脂，維持乾爽膚況。 2. 修飾瑕疵 有些蜜粉能幫助填補毛孔與細紋，讓肌膚看起來更平滑。 3. 持久妝效 避免底妝因</t>
  </si>
  <si>
    <t>蜜粉用途有哪些？跟粉餅差在哪？正確用法與推薦3款蜜粉大公開</t>
  </si>
  <si>
    <t>蜜粉用途有哪些？跟粉餅差在哪？正確用法與推薦3款蜜粉大公開 | INNISFREE Taiwan</t>
  </si>
  <si>
    <t>http://innisfree-taiwan.myshopify.com/cdn/shop/articles/pdp_mig_c1497207_12_attimg1_origin_jpg_65a020ea-775b-46c3-a501-c63879ccf91a.jpg?v=1768549952</t>
  </si>
  <si>
    <t>https://innisfree-taiwan.myshopify.com/cdn/shop/articles/pdp_mig_c1497207_12_attimg1_origin_jpg_65a020ea-775b-46c3-a501-c63879ccf91a.jpg?v=1768549952</t>
  </si>
  <si>
    <t>2026-02-09 18:16:28</t>
  </si>
  <si>
    <t>https://innisfree-taiwan.myshopify.com/blogs/magazine/morning-c-night-a-skincare-routine-guide</t>
  </si>
  <si>
    <t>早C晚A是什麼意思？早C晚A順序與產品推薦＋挑選要點全祕笈_x000D_ | INNISFREE Taiwan</t>
  </si>
  <si>
    <t>早C晚A是什麼意思？早C晚A順序與產品推薦＋挑選要點全祕笈 早C晚A是什麼？順序又該怎麼安排？如果你每天起床都覺得臉上暗沉沒光澤，卻怎麼保養都無感，那就快試試保養界最夯的「早C晚A」保養哲學！這個保養方法簡單、有效，又適合忙碌、愛美的現代女生。今天就讓INNISFREE來聊聊什麼是「早C晚A」，教你怎麼做才能讓保養發揮成效，也會和你分享挑選產品的5個Tips，讓你每天早上素顏也能美美的，晚上還能保有肌膚光澤！ 早C晚A是什麼意思？適用族群有哪些？ 雖然「早C晚A」每個字都看得懂，但聽起來又有點像密碼，其實超簡單啦！以下就分別拆解「早C」和「晚A」的意思，並會向你說明其適用族群。相信看完以下的彙整，你會更了解「早C晚A」保養法。 早C</t>
  </si>
  <si>
    <t>早C晚A是什麼意思？早C晚A順序與產品推薦＋挑選要點全祕笈</t>
  </si>
  <si>
    <t>早C晚A是什麼意思？早C晚A順序與產品推薦＋挑選要點全祕笈 | INNISFREE Taiwan</t>
  </si>
  <si>
    <t>http://innisfree-taiwan.myshopify.com/cdn/shop/articles/pdp_mig_a32b9358_18_attimg1_origin_jpg_ca58d4bf-cbb6-4a43-8a82-99116ef84539.jpg?v=1768549982</t>
  </si>
  <si>
    <t>https://innisfree-taiwan.myshopify.com/cdn/shop/articles/pdp_mig_a32b9358_18_attimg1_origin_jpg_ca58d4bf-cbb6-4a43-8a82-99116ef84539.jpg?v=1768549982</t>
  </si>
  <si>
    <t>2026-02-09 18:16:24</t>
  </si>
  <si>
    <t>https://innisfree-taiwan.myshopify.com/blogs/magazine/pre-makeup-skincare-routine-5-step-guide</t>
  </si>
  <si>
    <t>妝前保養順序推薦！5步驟教你安排保養品順序，輕鬆打造持久妝容_x000D_ | INNISFREE Taiwan</t>
  </si>
  <si>
    <t>上妝完沒多久，妝容就開始浮粉、斑駁嗎？也許是你的妝前保養沒做好！不管是乾肌人或油肌人，上妝前為肌膚做好打底、讓膚況更穩定，都是妝容能均勻持久的一大關鍵。且保養品的順序安排尤其重要，不只能使底妝更服貼，還可以幫你打造出人人都稱羨的好膚質。本篇就讓小編告訴你妝前保養有多重要，也會分享正確的保養品使用順序，一起看下去，讓底妝更耐久！ 妝前保養重要嗎？可以帶來哪些好處？ 你是否有過這樣的煩惱？明明早上化妝精緻到不行，到了中午卻浮粉脫妝，甚至一到下午更像是臉部災難現場。而產生這些問題的罪魁禍首，很可能就是你忽略了妝前保養！因為好的妝前保養可以幫你： ✅ 提升妝容服貼度與持久性 如果把化妝比喻成畫畫，那麼妝前保養就是「準備畫布」的過程。潤澤、柔</t>
  </si>
  <si>
    <t>妝前保養順序推薦！5步驟教你安排保養品順序，輕鬆打造持久妝容</t>
  </si>
  <si>
    <t>妝前保養順序推薦！5步驟教你安排保養品順序，輕鬆打造持久妝容 | INNISFREE Taiwan</t>
  </si>
  <si>
    <t>http://innisfree-taiwan.myshopify.com/cdn/shop/articles/pdp_mig_0d3b7df4_17_attimg1_origin_jpg_b1d1b711-f662-4d6b-96e6-487a636dc82a.jpg?v=1768550000</t>
  </si>
  <si>
    <t>https://innisfree-taiwan.myshopify.com/cdn/shop/articles/pdp_mig_0d3b7df4_17_attimg1_origin_jpg_b1d1b711-f662-4d6b-96e6-487a636dc82a.jpg?v=1768550000</t>
  </si>
  <si>
    <t>https://innisfree-taiwan.myshopify.com/blogs/magazine/sensitive-skin-care-3-step-routine</t>
  </si>
  <si>
    <t>敏感肌保養怎麼做？教你正確保養3步驟，推薦敏感肌保養品！_x000D_ | INNISFREE Taiwan</t>
  </si>
  <si>
    <t>你是敏感肌嗎？保養前簡單膚質小測驗 如果肌膚有常出現以下症狀請打勾V。 ◻ 泛紅 ◻ 脫屑 ◻ 乾癢 ◻ 緊繃 ◻ 灼熱 ◻ 刺痛 如果上面幾項你符合1～2項，那不一定是敏弱肌膚，可能只是剛好出現了突發刺激而引起肌膚不適，只需要在日常保養再多注意一些即可； 如果符合3～4項，那可能是輕中度敏弱性肌膚，該特別注意肌膚的水分與滋養；如果符合5～6項，則建議尋求專業皮膚科醫生的協助。 為何需要敏感肌保養？成因解析帶你看 然而，為何敏弱肌需要特別注意保養？這就要從敏感肌的成因開始說明。造成敏弱性肌膚的原因有很多，不論是環境變化、年齡、日常習慣、壓力等都可能導致「皮膚防禦力下降」，因而出現肌膚問題。 所以，敏感肌的出現主要可以理解成因為皮膚防</t>
  </si>
  <si>
    <t>敏感肌保養怎麼做？教你正確保養3步驟，推薦敏感肌保養品！</t>
  </si>
  <si>
    <t>敏感肌保養怎麼做？教你正確保養3步驟，推薦敏感肌保養品！ | INNISFREE Taiwan</t>
  </si>
  <si>
    <t>http://innisfree-taiwan.myshopify.com/cdn/shop/articles/pdp_mig_f631c4ef_7_attimg1_origin_jpg_ff30b3d9-2cb2-46bf-ab38-990671ceb03d.jpg?v=1768550023</t>
  </si>
  <si>
    <t>https://innisfree-taiwan.myshopify.com/cdn/shop/articles/pdp_mig_f631c4ef_7_attimg1_origin_jpg_ff30b3d9-2cb2-46bf-ab38-990671ceb03d.jpg?v=1768550023</t>
  </si>
  <si>
    <t>https://innisfree-taiwan.myshopify.com/blogs/magazine/tagged/recommend</t>
  </si>
  <si>
    <t>精選文章_x000D_ – tagged "recommend" | INNISFREE Taiwan</t>
  </si>
  <si>
    <t>2026-02-09 18:16:26</t>
  </si>
  <si>
    <t>https://innisfree-taiwan.myshopify.com/blogs/magazine/tagged/routine</t>
  </si>
  <si>
    <t>精選文章_x000D_ – tagged "routine" | INNISFREE Taiwan</t>
  </si>
  <si>
    <t>https://innisfree-taiwan.myshopify.com/blogs/magazine/tagged/trouble-care</t>
  </si>
  <si>
    <t>精選文章_x000D_ – tagged "trouble-care" | INNISFREE Taiwan</t>
  </si>
  <si>
    <t>2026-02-09 18:16:22</t>
  </si>
  <si>
    <t>https://innisfree-taiwan.myshopify.com/blogs/magazine/tagged/trouble-care?page=1</t>
  </si>
  <si>
    <t>2026-02-09 18:17:17</t>
  </si>
  <si>
    <t>https://innisfree-taiwan.myshopify.com/blogs/magazine/tagged/trouble-care?page=2</t>
  </si>
  <si>
    <t>精選文章_x000D_ – tagged "trouble-care" – Page 2 | INNISFREE Taiwan</t>
  </si>
  <si>
    <t>2026-02-09 18:16:38</t>
  </si>
  <si>
    <t>https://innisfree-taiwan.myshopify.com/blogs/magazine/{{%20blog.url%20}}</t>
  </si>
  <si>
    <t>text/plain; charset=utf-8</t>
  </si>
  <si>
    <t>https://innisfree-taiwan.myshopify.com/blogs/magazine/%7B%7B%20blog.url%20%7D%7D</t>
  </si>
  <si>
    <t>2026-02-09 18:16:33</t>
  </si>
  <si>
    <t>https://innisfree-taiwan.myshopify.com/blogs/magazine/{{%20blog.url%20}}/2024-popular-moisturizer-recommendations</t>
  </si>
  <si>
    <t>https://innisfree-taiwan.myshopify.com/blogs/magazine/%7B%7B%20blog.url%20%7D%7D/2024-popular-moisturizer-recommendations</t>
  </si>
  <si>
    <t>2026-02-09 18:17:22</t>
  </si>
  <si>
    <t>https://innisfree-taiwan.myshopify.com/blogs/magazine/{{%20blog.url%20}}/3-step-facial-moisturizing-routine</t>
  </si>
  <si>
    <t>https://innisfree-taiwan.myshopify.com/blogs/magazine/%7B%7B%20blog.url%20%7D%7D/3-step-facial-moisturizing-routine</t>
  </si>
  <si>
    <t>2026-02-09 18:16:36</t>
  </si>
  <si>
    <t>https://innisfree-taiwan.myshopify.com/blogs/magazine/{{%20blog.url%20}}/4-effective-steps-to-remove-blackheads</t>
  </si>
  <si>
    <t>https://innisfree-taiwan.myshopify.com/blogs/magazine/%7B%7B%20blog.url%20%7D%7D/4-effective-steps-to-remove-blackheads</t>
  </si>
  <si>
    <t>2026-02-09 18:17:21</t>
  </si>
  <si>
    <t>https://innisfree-taiwan.myshopify.com/blogs/magazine/{{%20blog.url%20}}/causes-of-dry-skin-and-how-to-improve-it</t>
  </si>
  <si>
    <t>https://innisfree-taiwan.myshopify.com/blogs/magazine/%7B%7B%20blog.url%20%7D%7D/causes-of-dry-skin-and-how-to-improve-it</t>
  </si>
  <si>
    <t>2026-02-09 18:16:31</t>
  </si>
  <si>
    <t>https://innisfree-taiwan.myshopify.com/blogs/magazine/{{%20blog.url%20}}/dry-skin-characteristics-and-care-tips</t>
  </si>
  <si>
    <t>https://innisfree-taiwan.myshopify.com/blogs/magazine/%7B%7B%20blog.url%20%7D%7D/dry-skin-characteristics-and-care-tips</t>
  </si>
  <si>
    <t>https://innisfree-taiwan.myshopify.com/blogs/magazine/{{%20blog.url%20}}/facial-skincare-routine-correct-order-guide</t>
  </si>
  <si>
    <t>https://innisfree-taiwan.myshopify.com/blogs/magazine/%7B%7B%20blog.url%20%7D%7D/facial-skincare-routine-correct-order-guide</t>
  </si>
  <si>
    <t>https://innisfree-taiwan.myshopify.com/blogs/magazine/{{%20blog.url%20}}/how-often-should-you-use-a-face-mask</t>
  </si>
  <si>
    <t>https://innisfree-taiwan.myshopify.com/blogs/magazine/%7B%7B%20blog.url%20%7D%7D/how-often-should-you-use-a-face-mask</t>
  </si>
  <si>
    <t>2026-02-09 18:16:32</t>
  </si>
  <si>
    <t>https://innisfree-taiwan.myshopify.com/blogs/magazine/{{%20blog.url%20}}/how-to-choose-products-for-enlarged-pores</t>
  </si>
  <si>
    <t>https://innisfree-taiwan.myshopify.com/blogs/magazine/%7B%7B%20blog.url%20%7D%7D/how-to-choose-products-for-enlarged-pores</t>
  </si>
  <si>
    <t>https://innisfree-taiwan.myshopify.com/blogs/magazine/{{%20blog.url%20}}/how-to-get-rid-of-dark-circles</t>
  </si>
  <si>
    <t>https://innisfree-taiwan.myshopify.com/blogs/magazine/%7B%7B%20blog.url%20%7D%7D/how-to-get-rid-of-dark-circles</t>
  </si>
  <si>
    <t>https://innisfree-taiwan.myshopify.com/blogs/magazine/{{%20blog.url%20}}/loose-powder-uses-vs-pressed-powder</t>
  </si>
  <si>
    <t>https://innisfree-taiwan.myshopify.com/blogs/magazine/%7B%7B%20blog.url%20%7D%7D/loose-powder-uses-vs-pressed-powder</t>
  </si>
  <si>
    <t>https://innisfree-taiwan.myshopify.com/blogs/magazine/{{%20blog.url%20}}/morning-c-night-a-skincare-routine-guide</t>
  </si>
  <si>
    <t>https://innisfree-taiwan.myshopify.com/blogs/magazine/%7B%7B%20blog.url%20%7D%7D/morning-c-night-a-skincare-routine-guide</t>
  </si>
  <si>
    <t>2026-02-09 18:16:37</t>
  </si>
  <si>
    <t>https://innisfree-taiwan.myshopify.com/blogs/magazine/{{%20blog.url%20}}/sensitive-skin-care-3-step-routine</t>
  </si>
  <si>
    <t>https://innisfree-taiwan.myshopify.com/blogs/magazine/%7B%7B%20blog.url%20%7D%7D/sensitive-skin-care-3-step-routine</t>
  </si>
  <si>
    <t>https://innisfree-taiwan.myshopify.com/blogs/magazine?page=1</t>
  </si>
  <si>
    <t>https://innisfree-taiwan.myshopify.com/blogs/magazine?page=2</t>
  </si>
  <si>
    <t>精選文章_x000D_ – Page 2 | INNISFREE Taiwan</t>
  </si>
  <si>
    <t>https://innisfree-taiwan.myshopify.com/blogs/magazine?page=3</t>
  </si>
  <si>
    <t>精選文章_x000D_ – Page 3 | INNISFREE Taiwan</t>
  </si>
  <si>
    <t>https://innisfree-taiwan.myshopify.com/blogs/notice</t>
  </si>
  <si>
    <t>公告_x000D_ | INNISFREE Taiwan</t>
  </si>
  <si>
    <t>公告</t>
  </si>
  <si>
    <t>公告 | INNISFREE Taiwan</t>
  </si>
  <si>
    <t>2026-02-09 18:14:41</t>
  </si>
  <si>
    <t>https://innisfree-taiwan.myshopify.com/cart</t>
  </si>
  <si>
    <t>您的購物車_x000D_ | INNISFREE Taiwan</t>
  </si>
  <si>
    <t>購物車</t>
  </si>
  <si>
    <t>購物車內沒有商品。</t>
  </si>
  <si>
    <t>您的購物車 | INNISFREE Taiwan</t>
  </si>
  <si>
    <t>2026-02-09 18:14:23</t>
  </si>
  <si>
    <t>https://innisfree-taiwan.myshopify.com/collections/a-alcohol-pdrn-skin-cleansing-series</t>
  </si>
  <si>
    <t>A醇/PDRN淨膚系列_x000D_ | INNISFREE Taiwan</t>
  </si>
  <si>
    <t>A醇/PDRN淨膚系列</t>
  </si>
  <si>
    <t>A醇/PDRN淨膚系列 | INNISFREE Taiwan</t>
  </si>
  <si>
    <t>2026-02-09 18:14:25</t>
  </si>
  <si>
    <t>https://innisfree-taiwan.myshopify.com/collections/a-alcohol-pdrn-skin-cleansing-series?page=1</t>
  </si>
  <si>
    <t>https://innisfree-taiwan.myshopify.com/collections/a-alcohol-pdrn-skin-cleansing-series?page=2</t>
  </si>
  <si>
    <t>A醇/PDRN淨膚系列_x000D_ – Page 2 | INNISFREE Taiwan</t>
  </si>
  <si>
    <t>2026-02-09 18:15:22</t>
  </si>
  <si>
    <t>https://innisfree-taiwan.myshopify.com/collections/a-alcohol-pdrn-skin-cleansing-series?page=3</t>
  </si>
  <si>
    <t>A醇/PDRN淨膚系列_x000D_ – Page 3 | INNISFREE Taiwan</t>
  </si>
  <si>
    <t>https://innisfree-taiwan.myshopify.com/collections/all</t>
  </si>
  <si>
    <t>ALL_x000D_ | INNISFREE Taiwan</t>
  </si>
  <si>
    <t>ALL</t>
  </si>
  <si>
    <t>ALL | INNISFREE Taiwan</t>
  </si>
  <si>
    <t>2026-02-09 18:14:42</t>
  </si>
  <si>
    <t>https://innisfree-taiwan.myshopify.com/collections/all?page=1</t>
  </si>
  <si>
    <t>2026-02-09 18:17:09</t>
  </si>
  <si>
    <t>https://innisfree-taiwan.myshopify.com/collections/all?page=10</t>
  </si>
  <si>
    <t>ALL_x000D_ – Page 10 | INNISFREE Taiwan</t>
  </si>
  <si>
    <t>2026-02-09 18:17:29</t>
  </si>
  <si>
    <t>https://innisfree-taiwan.myshopify.com/collections/all?page=11</t>
  </si>
  <si>
    <t>ALL_x000D_ – Page 11 | INNISFREE Taiwan</t>
  </si>
  <si>
    <t>https://innisfree-taiwan.myshopify.com/collections/all?page=12</t>
  </si>
  <si>
    <t>ALL_x000D_ – Page 12 | INNISFREE Taiwan</t>
  </si>
  <si>
    <t>2026-02-09 18:17:13</t>
  </si>
  <si>
    <t>https://innisfree-taiwan.myshopify.com/collections/all?page=13</t>
  </si>
  <si>
    <t>ALL_x000D_ – Page 13 | INNISFREE Taiwan</t>
  </si>
  <si>
    <t>https://innisfree-taiwan.myshopify.com/collections/all?page=14</t>
  </si>
  <si>
    <t>ALL_x000D_ – Page 14 | INNISFREE Taiwan</t>
  </si>
  <si>
    <t>2026-02-09 18:17:06</t>
  </si>
  <si>
    <t>https://innisfree-taiwan.myshopify.com/collections/all?page=15</t>
  </si>
  <si>
    <t>ALL_x000D_ – Page 15 | INNISFREE Taiwan</t>
  </si>
  <si>
    <t>2026-02-09 18:17:07</t>
  </si>
  <si>
    <t>https://innisfree-taiwan.myshopify.com/collections/all?page=16</t>
  </si>
  <si>
    <t>ALL_x000D_ – Page 16 | INNISFREE Taiwan</t>
  </si>
  <si>
    <t>2026-02-09 18:14:53</t>
  </si>
  <si>
    <t>https://innisfree-taiwan.myshopify.com/collections/all?page=2</t>
  </si>
  <si>
    <t>ALL_x000D_ – Page 2 | INNISFREE Taiwan</t>
  </si>
  <si>
    <t>2026-02-09 18:14:54</t>
  </si>
  <si>
    <t>https://innisfree-taiwan.myshopify.com/collections/all?page=3</t>
  </si>
  <si>
    <t>ALL_x000D_ – Page 3 | INNISFREE Taiwan</t>
  </si>
  <si>
    <t>https://innisfree-taiwan.myshopify.com/collections/all?page=4</t>
  </si>
  <si>
    <t>ALL_x000D_ – Page 4 | INNISFREE Taiwan</t>
  </si>
  <si>
    <t>https://innisfree-taiwan.myshopify.com/collections/all?page=5</t>
  </si>
  <si>
    <t>ALL_x000D_ – Page 5 | INNISFREE Taiwan</t>
  </si>
  <si>
    <t>2026-02-09 18:17:08</t>
  </si>
  <si>
    <t>https://innisfree-taiwan.myshopify.com/collections/all?page=6</t>
  </si>
  <si>
    <t>ALL_x000D_ – Page 6 | INNISFREE Taiwan</t>
  </si>
  <si>
    <t>2026-02-09 18:17:12</t>
  </si>
  <si>
    <t>https://innisfree-taiwan.myshopify.com/collections/all?page=7</t>
  </si>
  <si>
    <t>ALL_x000D_ – Page 7 | INNISFREE Taiwan</t>
  </si>
  <si>
    <t>2026-02-09 18:17:11</t>
  </si>
  <si>
    <t>https://innisfree-taiwan.myshopify.com/collections/all?page=8</t>
  </si>
  <si>
    <t>ALL_x000D_ – Page 8 | INNISFREE Taiwan</t>
  </si>
  <si>
    <t>2026-02-09 18:17:30</t>
  </si>
  <si>
    <t>https://innisfree-taiwan.myshopify.com/collections/all?page=9</t>
  </si>
  <si>
    <t>ALL_x000D_ – Page 9 | INNISFREE Taiwan</t>
  </si>
  <si>
    <t>2026-02-09 18:17:31</t>
  </si>
  <si>
    <t>https://innisfree-taiwan.myshopify.com/collections/base-makeup-powder</t>
  </si>
  <si>
    <t>底妝/蜜粉_x000D_ | INNISFREE Taiwan</t>
  </si>
  <si>
    <t>底妝/蜜粉</t>
  </si>
  <si>
    <t>底妝/蜜粉 | INNISFREE Taiwan</t>
  </si>
  <si>
    <t>2026-02-09 18:14:22</t>
  </si>
  <si>
    <t>https://innisfree-taiwan.myshopify.com/collections/best-sellers</t>
  </si>
  <si>
    <t>熱銷推薦_x000D_ | INNISFREE Taiwan</t>
  </si>
  <si>
    <t>熱銷推薦</t>
  </si>
  <si>
    <t>熱銷推薦 | INNISFREE Taiwan</t>
  </si>
  <si>
    <t>2026-02-09 18:14:14</t>
  </si>
  <si>
    <t>https://innisfree-taiwan.myshopify.com/collections/best-sellers?page=1</t>
  </si>
  <si>
    <t>2026-02-09 18:16:43</t>
  </si>
  <si>
    <t>https://innisfree-taiwan.myshopify.com/collections/best-sellers?page=2</t>
  </si>
  <si>
    <t>熱銷推薦_x000D_ – Page 2 | INNISFREE Taiwan</t>
  </si>
  <si>
    <t>2026-02-09 18:15:52</t>
  </si>
  <si>
    <t>https://innisfree-taiwan.myshopify.com/collections/black-tea-repair-series</t>
  </si>
  <si>
    <t>紅茶修護系列_x000D_ | INNISFREE Taiwan</t>
  </si>
  <si>
    <t>紅茶修護系列</t>
  </si>
  <si>
    <t>紅茶修護系列 | INNISFREE Taiwan</t>
  </si>
  <si>
    <t>2026-02-09 18:17:16</t>
  </si>
  <si>
    <t>https://innisfree-taiwan.myshopify.com/collections/black-tea-ultimate-repair-series</t>
  </si>
  <si>
    <t>紅茶極效修護系列_x000D_ | INNISFREE Taiwan</t>
  </si>
  <si>
    <t>紅茶極效修護系列</t>
  </si>
  <si>
    <t>紅茶極效修護系列 | INNISFREE Taiwan</t>
  </si>
  <si>
    <t>2026-02-09 18:14:31</t>
  </si>
  <si>
    <t>https://innisfree-taiwan.myshopify.com/collections/body-care</t>
  </si>
  <si>
    <t>身體護理_x000D_ | INNISFREE Taiwan</t>
  </si>
  <si>
    <t>身體護理</t>
  </si>
  <si>
    <t>身體護理 | INNISFREE Taiwan</t>
  </si>
  <si>
    <t>https://innisfree-taiwan.myshopify.com/collections/body-care?page=1</t>
  </si>
  <si>
    <t>2026-02-09 18:16:44</t>
  </si>
  <si>
    <t>https://innisfree-taiwan.myshopify.com/collections/body-care?page=2</t>
  </si>
  <si>
    <t>身體護理_x000D_ – Page 2 | INNISFREE Taiwan</t>
  </si>
  <si>
    <t>2026-02-09 18:15:32</t>
  </si>
  <si>
    <t>https://innisfree-taiwan.myshopify.com/collections/body-hair</t>
  </si>
  <si>
    <t>身體髮品_x000D_ | INNISFREE Taiwan</t>
  </si>
  <si>
    <t>身體髮品</t>
  </si>
  <si>
    <t>身體髮品 | INNISFREE Taiwan</t>
  </si>
  <si>
    <t>https://innisfree-taiwan.myshopify.com/collections/body-hair?page=1</t>
  </si>
  <si>
    <t>https://innisfree-taiwan.myshopify.com/collections/body-hair?page=2</t>
  </si>
  <si>
    <t>身體髮品_x000D_ – Page 2 | INNISFREE Taiwan</t>
  </si>
  <si>
    <t>2026-02-09 18:15:42</t>
  </si>
  <si>
    <t>https://innisfree-taiwan.myshopify.com/collections/christmas</t>
  </si>
  <si>
    <t>閃耀聖誕🎄💫 限定版禮盒新上市!_x000D_ | INNISFREE Taiwan</t>
  </si>
  <si>
    <t>閃耀聖誕🎄💫 限定版禮盒新上市!</t>
  </si>
  <si>
    <t>閃耀聖誕🎄💫 限定版禮盒新上市! | INNISFREE Taiwan</t>
  </si>
  <si>
    <t>2026-02-09 18:16:21</t>
  </si>
  <si>
    <t>https://innisfree-taiwan.myshopify.com/collections/cold-orchid-complex-nourishing-series</t>
  </si>
  <si>
    <t>寒蘭複合滋養系列_x000D_ | INNISFREE Taiwan</t>
  </si>
  <si>
    <t>寒蘭複合滋養系列</t>
  </si>
  <si>
    <t>寒蘭複合滋養系列 | INNISFREE Taiwan</t>
  </si>
  <si>
    <t>2026-02-09 18:14:43</t>
  </si>
  <si>
    <t>https://innisfree-taiwan.myshopify.com/collections/essence</t>
  </si>
  <si>
    <t>精華水/機能水_x000D_ | INNISFREE Taiwan</t>
  </si>
  <si>
    <t>精華水/機能水</t>
  </si>
  <si>
    <t>精華水/機能水 | INNISFREE Taiwan</t>
  </si>
  <si>
    <t>2026-02-09 18:14:33</t>
  </si>
  <si>
    <t>https://innisfree-taiwan.myshopify.com/collections/essence-ampoule</t>
  </si>
  <si>
    <t>精華液/安瓶_x000D_ | INNISFREE Taiwan</t>
  </si>
  <si>
    <t>精華液/安瓶</t>
  </si>
  <si>
    <t>精華液/安瓶 | INNISFREE Taiwan</t>
  </si>
  <si>
    <t>https://innisfree-taiwan.myshopify.com/collections/essence-ampoule?page=1</t>
  </si>
  <si>
    <t>https://innisfree-taiwan.myshopify.com/collections/essence-ampoule?page=2</t>
  </si>
  <si>
    <t>精華液/安瓶_x000D_ – Page 2 | INNISFREE Taiwan</t>
  </si>
  <si>
    <t>2026-02-09 18:15:25</t>
  </si>
  <si>
    <t>https://innisfree-taiwan.myshopify.com/collections/essence-ampoule?page=3</t>
  </si>
  <si>
    <t>精華液/安瓶_x000D_ – Page 3 | INNISFREE Taiwan</t>
  </si>
  <si>
    <t>https://innisfree-taiwan.myshopify.com/collections/exclusive-online</t>
  </si>
  <si>
    <t>2026-02-09 18:16:18</t>
  </si>
  <si>
    <t>https://innisfree-taiwan.myshopify.com/collections/eye-cream</t>
  </si>
  <si>
    <t>眼霜/眼部精華_x000D_ | INNISFREE Taiwan</t>
  </si>
  <si>
    <t>眼霜/眼部精華</t>
  </si>
  <si>
    <t>眼霜/眼部精華 | INNISFREE Taiwan</t>
  </si>
  <si>
    <t>2026-02-09 18:14:13</t>
  </si>
  <si>
    <t>https://innisfree-taiwan.myshopify.com/collections/eye-gloss</t>
  </si>
  <si>
    <t>眼彩_x000D_ | INNISFREE Taiwan</t>
  </si>
  <si>
    <t>眼彩</t>
  </si>
  <si>
    <t>眼彩 | INNISFREE Taiwan</t>
  </si>
  <si>
    <t>2026-02-09 18:14:36</t>
  </si>
  <si>
    <t>https://innisfree-taiwan.myshopify.com/collections/face-cream</t>
  </si>
  <si>
    <t>面霜_x000D_ | INNISFREE Taiwan</t>
  </si>
  <si>
    <t>面霜</t>
  </si>
  <si>
    <t>面霜 | INNISFREE Taiwan</t>
  </si>
  <si>
    <t>https://innisfree-taiwan.myshopify.com/collections/face-cream?page=1</t>
  </si>
  <si>
    <t>2026-02-09 18:17:27</t>
  </si>
  <si>
    <t>https://innisfree-taiwan.myshopify.com/collections/face-cream?page=2</t>
  </si>
  <si>
    <t>面霜_x000D_ – Page 2 | INNISFREE Taiwan</t>
  </si>
  <si>
    <t>2026-02-09 18:17:18</t>
  </si>
  <si>
    <t>https://innisfree-taiwan.myshopify.com/collections/face-makeup</t>
  </si>
  <si>
    <t>臉部彩妝_x000D_ | INNISFREE Taiwan</t>
  </si>
  <si>
    <t>臉部彩妝</t>
  </si>
  <si>
    <t>臉部彩妝 | INNISFREE Taiwan</t>
  </si>
  <si>
    <t>2026-02-09 18:17:24</t>
  </si>
  <si>
    <t>https://innisfree-taiwan.myshopify.com/collections/face-makeup?page=1</t>
  </si>
  <si>
    <t>2026-02-09 18:17:32</t>
  </si>
  <si>
    <t>https://innisfree-taiwan.myshopify.com/collections/face-makeup?page=2</t>
  </si>
  <si>
    <t>臉部彩妝_x000D_ – Page 2 | INNISFREE Taiwan</t>
  </si>
  <si>
    <t>2026-02-09 18:17:25</t>
  </si>
  <si>
    <t>https://innisfree-taiwan.myshopify.com/collections/facial-care</t>
  </si>
  <si>
    <t>臉部保養_x000D_ | INNISFREE Taiwan</t>
  </si>
  <si>
    <t>臉部保養</t>
  </si>
  <si>
    <t>臉部保養 | INNISFREE Taiwan</t>
  </si>
  <si>
    <t>https://innisfree-taiwan.myshopify.com/collections/facial-care?page=1</t>
  </si>
  <si>
    <t>2026-02-09 18:17:28</t>
  </si>
  <si>
    <t>https://innisfree-taiwan.myshopify.com/collections/facial-care?page=10</t>
  </si>
  <si>
    <t>臉部保養_x000D_ – Page 10 | INNISFREE Taiwan</t>
  </si>
  <si>
    <t>https://innisfree-taiwan.myshopify.com/collections/facial-care?page=2</t>
  </si>
  <si>
    <t>臉部保養_x000D_ – Page 2 | INNISFREE Taiwan</t>
  </si>
  <si>
    <t>https://innisfree-taiwan.myshopify.com/collections/facial-care?page=3</t>
  </si>
  <si>
    <t>臉部保養_x000D_ – Page 3 | INNISFREE Taiwan</t>
  </si>
  <si>
    <t>https://innisfree-taiwan.myshopify.com/collections/facial-care?page=4</t>
  </si>
  <si>
    <t>臉部保養_x000D_ – Page 4 | INNISFREE Taiwan</t>
  </si>
  <si>
    <t>https://innisfree-taiwan.myshopify.com/collections/facial-care?page=5</t>
  </si>
  <si>
    <t>臉部保養_x000D_ – Page 5 | INNISFREE Taiwan</t>
  </si>
  <si>
    <t>https://innisfree-taiwan.myshopify.com/collections/facial-care?page=6</t>
  </si>
  <si>
    <t>臉部保養_x000D_ – Page 6 | INNISFREE Taiwan</t>
  </si>
  <si>
    <t>https://innisfree-taiwan.myshopify.com/collections/facial-care?page=7</t>
  </si>
  <si>
    <t>臉部保養_x000D_ – Page 7 | INNISFREE Taiwan</t>
  </si>
  <si>
    <t>https://innisfree-taiwan.myshopify.com/collections/facial-care?page=8</t>
  </si>
  <si>
    <t>臉部保養_x000D_ – Page 8 | INNISFREE Taiwan</t>
  </si>
  <si>
    <t>https://innisfree-taiwan.myshopify.com/collections/facial-care?page=9</t>
  </si>
  <si>
    <t>臉部保養_x000D_ – Page 9 | INNISFREE Taiwan</t>
  </si>
  <si>
    <t>2026-02-09 18:17:26</t>
  </si>
  <si>
    <t>https://innisfree-taiwan.myshopify.com/collections/facial-cleanser</t>
  </si>
  <si>
    <t>洗面乳/卸妝_x000D_ | INNISFREE Taiwan</t>
  </si>
  <si>
    <t>洗面乳/卸妝</t>
  </si>
  <si>
    <t>洗面乳/卸妝 | INNISFREE Taiwan</t>
  </si>
  <si>
    <t>https://innisfree-taiwan.myshopify.com/collections/facial-mask</t>
  </si>
  <si>
    <t>面膜_x000D_ | INNISFREE Taiwan</t>
  </si>
  <si>
    <t>面膜</t>
  </si>
  <si>
    <t>面膜 | INNISFREE Taiwan</t>
  </si>
  <si>
    <t>2026-02-09 18:14:35</t>
  </si>
  <si>
    <t>https://innisfree-taiwan.myshopify.com/collections/for-men</t>
  </si>
  <si>
    <t>男士保養_x000D_ | INNISFREE Taiwan</t>
  </si>
  <si>
    <t>男士保養</t>
  </si>
  <si>
    <t>男士保養 | INNISFREE Taiwan</t>
  </si>
  <si>
    <t>2026-02-09 18:14:17</t>
  </si>
  <si>
    <t>https://innisfree-taiwan.myshopify.com/collections/for-new-members</t>
  </si>
  <si>
    <t>月 新客保養$_x000D_ | INNISFREE Taiwan</t>
  </si>
  <si>
    <t>月 新客保養$</t>
  </si>
  <si>
    <t>月 新客保養$ | INNISFREE Taiwan</t>
  </si>
  <si>
    <t>2026-02-09 18:16:17</t>
  </si>
  <si>
    <t>https://innisfree-taiwan.myshopify.com/collections/green-tea-ceramide</t>
  </si>
  <si>
    <t>綠茶神經醯胺 新品上市!_x000D_ | INNISFREE Taiwan</t>
  </si>
  <si>
    <t>綠茶神經醯胺 新品上市!</t>
  </si>
  <si>
    <t>綠茶神經醯胺 新品上市! | INNISFREE Taiwan</t>
  </si>
  <si>
    <t>https://innisfree-taiwan.myshopify.com/collections/green-tea-hyaluronic-acid-moisturizing-series</t>
  </si>
  <si>
    <t>綠茶玻尿酸保濕系列_x000D_ | INNISFREE Taiwan</t>
  </si>
  <si>
    <t>綠茶玻尿酸保濕系列</t>
  </si>
  <si>
    <t>綠茶玻尿酸保濕系列 | INNISFREE Taiwan</t>
  </si>
  <si>
    <t>https://innisfree-taiwan.myshopify.com/collections/green-tea-hyaluronic-acid-moisturizing-series?page=1</t>
  </si>
  <si>
    <t>2026-02-09 18:16:45</t>
  </si>
  <si>
    <t>https://innisfree-taiwan.myshopify.com/collections/green-tea-hyaluronic-acid-moisturizing-series?page=2</t>
  </si>
  <si>
    <t>綠茶玻尿酸保濕系列_x000D_ – Page 2 | INNISFREE Taiwan</t>
  </si>
  <si>
    <t>2026-02-09 18:15:27</t>
  </si>
  <si>
    <t>https://innisfree-taiwan.myshopify.com/collections/green-tea-hyaluronic-acid-moisturizing-series?page=3</t>
  </si>
  <si>
    <t>綠茶玻尿酸保濕系列_x000D_ – Page 3 | INNISFREE Taiwan</t>
  </si>
  <si>
    <t>https://innisfree-taiwan.myshopify.com/collections/hair-care</t>
  </si>
  <si>
    <t>頭髮護理_x000D_ | INNISFREE Taiwan</t>
  </si>
  <si>
    <t>頭髮護理</t>
  </si>
  <si>
    <t>頭髮護理 | INNISFREE Taiwan</t>
  </si>
  <si>
    <t>https://innisfree-taiwan.myshopify.com/collections/hand-foot-care</t>
  </si>
  <si>
    <t>手部/足部護理_x000D_ | INNISFREE Taiwan</t>
  </si>
  <si>
    <t>手部/足部護理</t>
  </si>
  <si>
    <t>手部/足部護理 | INNISFREE Taiwan</t>
  </si>
  <si>
    <t>https://innisfree-taiwan.myshopify.com/collections/limited-time-event</t>
  </si>
  <si>
    <t>期間限定活動_x000D_ | INNISFREE Taiwan</t>
  </si>
  <si>
    <t>期間限定活動</t>
  </si>
  <si>
    <t>期間限定活動 | INNISFREE Taiwan</t>
  </si>
  <si>
    <t>https://innisfree-taiwan.myshopify.com/collections/limited-time-event?page=1</t>
  </si>
  <si>
    <t>https://innisfree-taiwan.myshopify.com/collections/limited-time-event?page=2</t>
  </si>
  <si>
    <t>期間限定活動_x000D_ – Page 2 | INNISFREE Taiwan</t>
  </si>
  <si>
    <t>https://innisfree-taiwan.myshopify.com/collections/lip-balm</t>
  </si>
  <si>
    <t>護唇膏_x000D_ | INNISFREE Taiwan</t>
  </si>
  <si>
    <t>護唇膏</t>
  </si>
  <si>
    <t>護唇膏 | INNISFREE Taiwan</t>
  </si>
  <si>
    <t>https://innisfree-taiwan.myshopify.com/collections/lip-gloss</t>
  </si>
  <si>
    <t>唇彩_x000D_ | INNISFREE Taiwan</t>
  </si>
  <si>
    <t>唇彩</t>
  </si>
  <si>
    <t>唇彩 | INNISFREE Taiwan</t>
  </si>
  <si>
    <t>https://innisfree-taiwan.myshopify.com/collections/loose-powder</t>
  </si>
  <si>
    <t>蜜粉_x000D_ | INNISFREE Taiwan</t>
  </si>
  <si>
    <t>蜜粉</t>
  </si>
  <si>
    <t>蜜粉 | INNISFREE Taiwan</t>
  </si>
  <si>
    <t>https://innisfree-taiwan.myshopify.com/collections/lotion-cream</t>
  </si>
  <si>
    <t>乳液/面霜_x000D_ | INNISFREE Taiwan</t>
  </si>
  <si>
    <t>乳液/面霜</t>
  </si>
  <si>
    <t>乳液/面霜 | INNISFREE Taiwan</t>
  </si>
  <si>
    <t>2026-02-09 18:14:44</t>
  </si>
  <si>
    <t>https://innisfree-taiwan.myshopify.com/collections/lotion-cream?page=1</t>
  </si>
  <si>
    <t>https://innisfree-taiwan.myshopify.com/collections/lotion-cream?page=2</t>
  </si>
  <si>
    <t>乳液/面霜_x000D_ – Page 2 | INNISFREE Taiwan</t>
  </si>
  <si>
    <t>2026-02-09 18:14:45</t>
  </si>
  <si>
    <t>https://innisfree-taiwan.myshopify.com/collections/maintainance</t>
  </si>
  <si>
    <t>保養_x000D_ | INNISFREE Taiwan</t>
  </si>
  <si>
    <t>保養</t>
  </si>
  <si>
    <t>保養 | INNISFREE Taiwan</t>
  </si>
  <si>
    <t>https://innisfree-taiwan.myshopify.com/collections/maintainance?page=1</t>
  </si>
  <si>
    <t>2026-02-09 18:16:53</t>
  </si>
  <si>
    <t>https://innisfree-taiwan.myshopify.com/collections/maintainance?page=2</t>
  </si>
  <si>
    <t>保養_x000D_ – Page 2 | INNISFREE Taiwan</t>
  </si>
  <si>
    <t>2026-02-09 18:15:14</t>
  </si>
  <si>
    <t>https://innisfree-taiwan.myshopify.com/collections/maintainance?page=3</t>
  </si>
  <si>
    <t>保養_x000D_ – Page 3 | INNISFREE Taiwan</t>
  </si>
  <si>
    <t>https://innisfree-taiwan.myshopify.com/collections/maintainance?page=4</t>
  </si>
  <si>
    <t>保養_x000D_ – Page 4 | INNISFREE Taiwan</t>
  </si>
  <si>
    <t>https://innisfree-taiwan.myshopify.com/collections/maintainance?page=5</t>
  </si>
  <si>
    <t>保養_x000D_ – Page 5 | INNISFREE Taiwan</t>
  </si>
  <si>
    <t>2026-02-09 18:16:52</t>
  </si>
  <si>
    <t>https://innisfree-taiwan.myshopify.com/collections/maintainance?page=6</t>
  </si>
  <si>
    <t>保養_x000D_ – Page 6 | INNISFREE Taiwan</t>
  </si>
  <si>
    <t>https://innisfree-taiwan.myshopify.com/collections/maintainance?page=7</t>
  </si>
  <si>
    <t>保養_x000D_ – Page 7 | INNISFREE Taiwan</t>
  </si>
  <si>
    <t>https://innisfree-taiwan.myshopify.com/collections/maintainance?page=8</t>
  </si>
  <si>
    <t>保養_x000D_ – Page 8 | INNISFREE Taiwan</t>
  </si>
  <si>
    <t>2026-02-09 18:15:12</t>
  </si>
  <si>
    <t>https://innisfree-taiwan.myshopify.com/collections/makeup</t>
  </si>
  <si>
    <t>彩妝_x000D_ | INNISFREE Taiwan</t>
  </si>
  <si>
    <t>彩妝</t>
  </si>
  <si>
    <t>彩妝 | INNISFREE Taiwan</t>
  </si>
  <si>
    <t>https://innisfree-taiwan.myshopify.com/collections/makeup-removal-cleansing</t>
  </si>
  <si>
    <t>卸妝/潔顏_x000D_ | INNISFREE Taiwan</t>
  </si>
  <si>
    <t>卸妝/潔顏</t>
  </si>
  <si>
    <t>卸妝/潔顏 | INNISFREE Taiwan</t>
  </si>
  <si>
    <t>2026-02-09 18:14:37</t>
  </si>
  <si>
    <t>https://innisfree-taiwan.myshopify.com/collections/makeup-tools</t>
  </si>
  <si>
    <t>美妝工具_x000D_ | INNISFREE Taiwan</t>
  </si>
  <si>
    <t>美妝工具</t>
  </si>
  <si>
    <t>美妝工具 | INNISFREE Taiwan</t>
  </si>
  <si>
    <t>https://innisfree-taiwan.myshopify.com/collections/makeup?page=1</t>
  </si>
  <si>
    <t>2026-02-09 18:16:57</t>
  </si>
  <si>
    <t>https://innisfree-taiwan.myshopify.com/collections/makeup?page=2</t>
  </si>
  <si>
    <t>彩妝_x000D_ – Page 2 | INNISFREE Taiwan</t>
  </si>
  <si>
    <t>2026-02-09 18:15:03</t>
  </si>
  <si>
    <t>https://innisfree-taiwan.myshopify.com/collections/makeup?page=3</t>
  </si>
  <si>
    <t>彩妝_x000D_ – Page 3 | INNISFREE Taiwan</t>
  </si>
  <si>
    <t>https://innisfree-taiwan.myshopify.com/collections/moon-s-star-serum</t>
  </si>
  <si>
    <t>月 明星精華95折 任件再送果凍面膜入組!_x000D_ | INNISFREE Taiwan</t>
  </si>
  <si>
    <t>月 明星精華95折 任件再送果凍面膜入組!</t>
  </si>
  <si>
    <t>月 明星精華95折 任件再送果凍面膜入組! | INNISFREE Taiwan</t>
  </si>
  <si>
    <t>https://innisfree-taiwan.myshopify.com/collections/new</t>
  </si>
  <si>
    <t>新品上市_x000D_ | INNISFREE Taiwan</t>
  </si>
  <si>
    <t>新品上市</t>
  </si>
  <si>
    <t>新品上市 | INNISFREE Taiwan</t>
  </si>
  <si>
    <t>https://innisfree-taiwan.myshopify.com/collections/ninefold-perfect-anti-aging-series</t>
  </si>
  <si>
    <t>九重完美抗老系列_x000D_ | INNISFREE Taiwan</t>
  </si>
  <si>
    <t>九重完美抗老系列</t>
  </si>
  <si>
    <t>九重完美抗老系列 | INNISFREE Taiwan</t>
  </si>
  <si>
    <t>https://innisfree-taiwan.myshopify.com/collections/primer</t>
  </si>
  <si>
    <t>飾底乳_x000D_ | INNISFREE Taiwan</t>
  </si>
  <si>
    <t>飾底乳</t>
  </si>
  <si>
    <t>飾底乳 | INNISFREE Taiwan</t>
  </si>
  <si>
    <t>https://innisfree-taiwan.myshopify.com/collections/product-series</t>
  </si>
  <si>
    <t>產品系列_x000D_ | INNISFREE Taiwan</t>
  </si>
  <si>
    <t>產品系列</t>
  </si>
  <si>
    <t>產品系列 | INNISFREE Taiwan</t>
  </si>
  <si>
    <t>https://innisfree-taiwan.myshopify.com/collections/product-series?page=1</t>
  </si>
  <si>
    <t>2026-02-09 18:17:03</t>
  </si>
  <si>
    <t>https://innisfree-taiwan.myshopify.com/collections/product-series?page=2</t>
  </si>
  <si>
    <t>產品系列_x000D_ – Page 2 | INNISFREE Taiwan</t>
  </si>
  <si>
    <t>2026-02-09 18:14:57</t>
  </si>
  <si>
    <t>https://innisfree-taiwan.myshopify.com/collections/product-series?page=3</t>
  </si>
  <si>
    <t>產品系列_x000D_ – Page 3 | INNISFREE Taiwan</t>
  </si>
  <si>
    <t>https://innisfree-taiwan.myshopify.com/collections/product-series?page=4</t>
  </si>
  <si>
    <t>產品系列_x000D_ – Page 4 | INNISFREE Taiwan</t>
  </si>
  <si>
    <t>2026-02-09 18:17:04</t>
  </si>
  <si>
    <t>https://innisfree-taiwan.myshopify.com/collections/product-series?page=5</t>
  </si>
  <si>
    <t>產品系列_x000D_ – Page 5 | INNISFREE Taiwan</t>
  </si>
  <si>
    <t>https://innisfree-taiwan.myshopify.com/collections/product-series?page=6</t>
  </si>
  <si>
    <t>產品系列_x000D_ – Page 6 | INNISFREE Taiwan</t>
  </si>
  <si>
    <t>2026-02-09 18:17:02</t>
  </si>
  <si>
    <t>https://innisfree-taiwan.myshopify.com/collections/product-series?page=7</t>
  </si>
  <si>
    <t>產品系列_x000D_ – Page 7 | INNISFREE Taiwan</t>
  </si>
  <si>
    <t>https://innisfree-taiwan.myshopify.com/collections/product-series?page=8</t>
  </si>
  <si>
    <t>產品系列_x000D_ – Page 8 | INNISFREE Taiwan</t>
  </si>
  <si>
    <t>2026-02-09 18:15:01</t>
  </si>
  <si>
    <t>https://innisfree-taiwan.myshopify.com/collections/promotion</t>
  </si>
  <si>
    <t>現正優惠_x000D_ | INNISFREE Taiwan</t>
  </si>
  <si>
    <t>現正優惠</t>
  </si>
  <si>
    <t>現正優惠 | INNISFREE Taiwan</t>
  </si>
  <si>
    <t>https://innisfree-taiwan.myshopify.com/collections/serum</t>
  </si>
  <si>
    <t>精華_x000D_ | INNISFREE Taiwan</t>
  </si>
  <si>
    <t>精華</t>
  </si>
  <si>
    <t>精華 | INNISFREE Taiwan</t>
  </si>
  <si>
    <t>https://innisfree-taiwan.myshopify.com/collections/serum?page=1</t>
  </si>
  <si>
    <t>https://innisfree-taiwan.myshopify.com/collections/serum?page=2</t>
  </si>
  <si>
    <t>精華_x000D_ – Page 2 | INNISFREE Taiwan</t>
  </si>
  <si>
    <t>2026-02-09 18:17:19</t>
  </si>
  <si>
    <t>https://innisfree-taiwan.myshopify.com/collections/serum?page=3</t>
  </si>
  <si>
    <t>精華_x000D_ – Page 3 | INNISFREE Taiwan</t>
  </si>
  <si>
    <t>https://innisfree-taiwan.myshopify.com/collections/serum?page=4</t>
  </si>
  <si>
    <t>精華_x000D_ – Page 4 | INNISFREE Taiwan</t>
  </si>
  <si>
    <t>https://innisfree-taiwan.myshopify.com/collections/sheet-mask</t>
  </si>
  <si>
    <t>片狀面膜_x000D_ | INNISFREE Taiwan</t>
  </si>
  <si>
    <t>片狀面膜</t>
  </si>
  <si>
    <t>片狀面膜 | INNISFREE Taiwan</t>
  </si>
  <si>
    <t>2026-02-09 18:17:23</t>
  </si>
  <si>
    <t>https://innisfree-taiwan.myshopify.com/collections/sunscreen-make-up-cream</t>
  </si>
  <si>
    <t>防曬/素顏霜_x000D_ | INNISFREE Taiwan</t>
  </si>
  <si>
    <t>防曬/素顏霜</t>
  </si>
  <si>
    <t>防曬/素顏霜 | INNISFREE Taiwan</t>
  </si>
  <si>
    <t>https://innisfree-taiwan.myshopify.com/collections/toner</t>
  </si>
  <si>
    <t>化妝水/調理液_x000D_ | INNISFREE Taiwan</t>
  </si>
  <si>
    <t>化妝水/調理液</t>
  </si>
  <si>
    <t>化妝水/調理液 | INNISFREE Taiwan</t>
  </si>
  <si>
    <t>https://innisfree-taiwan.myshopify.com/collections/torreya-centella-asiatica-repair-series</t>
  </si>
  <si>
    <t>香榧積雪草修護系列_x000D_ | INNISFREE Taiwan</t>
  </si>
  <si>
    <t>香榧積雪草修護系列</t>
  </si>
  <si>
    <t>香榧積雪草修護系列 | INNISFREE Taiwan</t>
  </si>
  <si>
    <t>https://innisfree-taiwan.myshopify.com/collections/vitamin-c-brightening-series</t>
  </si>
  <si>
    <t>維他命C亮白系列_x000D_ | INNISFREE Taiwan</t>
  </si>
  <si>
    <t>維他命C亮白系列</t>
  </si>
  <si>
    <t>維他命C亮白系列 | INNISFREE Taiwan</t>
  </si>
  <si>
    <t>2026-02-09 18:14:32</t>
  </si>
  <si>
    <t>https://innisfree-taiwan.myshopify.com/collections/vitamin-c-brightening-series?page=1</t>
  </si>
  <si>
    <t>2026-02-09 18:16:54</t>
  </si>
  <si>
    <t>https://innisfree-taiwan.myshopify.com/collections/vitamin-c-brightening-series?page=2</t>
  </si>
  <si>
    <t>維他命C亮白系列_x000D_ – Page 2 | INNISFREE Taiwan</t>
  </si>
  <si>
    <t>2026-02-09 18:15:05</t>
  </si>
  <si>
    <t>https://innisfree-taiwan.myshopify.com/collections/volcanic-mud-pore-conditioning-series</t>
  </si>
  <si>
    <t>火山泥毛孔調理系列_x000D_ | INNISFREE Taiwan</t>
  </si>
  <si>
    <t>火山泥毛孔調理系列</t>
  </si>
  <si>
    <t>火山泥毛孔調理系列 | INNISFREE Taiwan</t>
  </si>
  <si>
    <t>https://innisfree-taiwan.myshopify.com/collections/winnie-family</t>
  </si>
  <si>
    <t>維尼家族系列_x000D_ | INNISFREE Taiwan</t>
  </si>
  <si>
    <t>維尼家族系列</t>
  </si>
  <si>
    <t>維尼家族系列 | INNISFREE Taiwan</t>
  </si>
  <si>
    <t>https://innisfree-taiwan.myshopify.com/collections/官網限定</t>
  </si>
  <si>
    <t>官網限定_x000D_ | INNISFREE Taiwan</t>
  </si>
  <si>
    <t>官網限定</t>
  </si>
  <si>
    <t>官網限定 | INNISFREE Taiwan</t>
  </si>
  <si>
    <t>https://innisfree-taiwan.myshopify.com/collections/%e5%ae%98%e7%b6%b2%e9%99%90%e5%ae%9a</t>
  </si>
  <si>
    <t>https://innisfree-taiwan.myshopify.com/collections/%E5%AE%98%E7%B6%B2%E9%99%90%E5%AE%9A</t>
  </si>
  <si>
    <t>https://innisfree-taiwan.myshopify.com/pages/about-brand-inni</t>
  </si>
  <si>
    <t>品牌故事_x000D_ | INNISFREE Taiwan</t>
  </si>
  <si>
    <t>innisfree是將濟州島賜予的大自然恩惠融入產品，為消費者打造健康與美麗，致力於環保綠色生活的自然主義美妝品牌！濟州島擁有獨特的地理及氣候環境，豐富的火山灰土讓濟州島擁有肥沃的土壤，有豐富礦物質水源、適宜的氣溫與雨量，孕育出優質的天然原料。</t>
  </si>
  <si>
    <t>品牌故事 | INNISFREE Taiwan</t>
  </si>
  <si>
    <t>0</t>
  </si>
  <si>
    <t>https://innisfree-taiwan.myshopify.com/pages/about-campaign-gfc</t>
  </si>
  <si>
    <t>About Campaign Green Forest_x000D_ | INNISFREE Taiwan</t>
  </si>
  <si>
    <t>About Campaign Green Forest | INNISFREE Taiwan</t>
  </si>
  <si>
    <t>https://innisfree-taiwan.myshopify.com/pages/about-ingredients-bija</t>
  </si>
  <si>
    <t>About Ingredients Bija_x000D_ | INNISFREE Taiwan</t>
  </si>
  <si>
    <t>About Ingredients Bija | INNISFREE Taiwan</t>
  </si>
  <si>
    <t>2026-02-09 18:15:55</t>
  </si>
  <si>
    <t>https://innisfree-taiwan.myshopify.com/pages/about-ingredients-cherry-blossom</t>
  </si>
  <si>
    <t>About Ingredients Cherry Blossom_x000D_ | INNISFREE Taiwan</t>
  </si>
  <si>
    <t>About Ingredients Cherry Blossom | INNISFREE Taiwan</t>
  </si>
  <si>
    <t>2026-02-09 18:15:53</t>
  </si>
  <si>
    <t>https://innisfree-taiwan.myshopify.com/pages/about-ingredients-green-barley</t>
  </si>
  <si>
    <t>About Ingredients Green Barley_x000D_ | INNISFREE Taiwan</t>
  </si>
  <si>
    <t>About Ingredients Green Barley | INNISFREE Taiwan</t>
  </si>
  <si>
    <t>2026-02-09 18:15:54</t>
  </si>
  <si>
    <t>https://innisfree-taiwan.myshopify.com/pages/about-ingredients-green-tea</t>
  </si>
  <si>
    <t>About Ingredients Green Tea_x000D_ | INNISFREE Taiwan</t>
  </si>
  <si>
    <t>About Ingredients Green Tea | INNISFREE Taiwan</t>
  </si>
  <si>
    <t>https://innisfree-taiwan.myshopify.com/pages/about-ingredients-lava-seawater</t>
  </si>
  <si>
    <t>About Ingredients Lava Seawater_x000D_ | INNISFREE Taiwan</t>
  </si>
  <si>
    <t>About Ingredients Lava Seawater | INNISFREE Taiwan</t>
  </si>
  <si>
    <t>https://innisfree-taiwan.myshopify.com/pages/about-ingredients-marine-seaweed</t>
  </si>
  <si>
    <t>About Ingredients Marine Seaweed_x000D_ | INNISFREE Taiwan</t>
  </si>
  <si>
    <t>About Ingredients Marine Seaweed | INNISFREE Taiwan</t>
  </si>
  <si>
    <t>2026-02-09 18:15:57</t>
  </si>
  <si>
    <t>https://innisfree-taiwan.myshopify.com/pages/about-ingredients-orchid</t>
  </si>
  <si>
    <t>About Ingredients Orchid_x000D_ | INNISFREE Taiwan</t>
  </si>
  <si>
    <t>About Ingredients Orchid | INNISFREE Taiwan</t>
  </si>
  <si>
    <t>2026-02-09 18:15:56</t>
  </si>
  <si>
    <t>https://innisfree-taiwan.myshopify.com/pages/about-ingredients-phytoncide</t>
  </si>
  <si>
    <t>About Ingredients Phytoncide_x000D_ | INNISFREE Taiwan</t>
  </si>
  <si>
    <t>About Ingredients Phytoncide | INNISFREE Taiwan</t>
  </si>
  <si>
    <t>https://innisfree-taiwan.myshopify.com/pages/about-ingredients-pomegranate</t>
  </si>
  <si>
    <t>About Ingredients Pomegranate_x000D_ | INNISFREE Taiwan</t>
  </si>
  <si>
    <t>About Ingredients Pomegranate | INNISFREE Taiwan</t>
  </si>
  <si>
    <t>https://innisfree-taiwan.myshopify.com/pages/about-ingredients-soybean</t>
  </si>
  <si>
    <t>About Ingredients Soybean_x000D_ | INNISFREE Taiwan</t>
  </si>
  <si>
    <t>About Ingredients Soybean | INNISFREE Taiwan</t>
  </si>
  <si>
    <t>https://innisfree-taiwan.myshopify.com/pages/about-ingredients-tangerine</t>
  </si>
  <si>
    <t>About Ingredients Tangerine_x000D_ | INNISFREE Taiwan</t>
  </si>
  <si>
    <t>About Ingredients Tangerine | INNISFREE Taiwan</t>
  </si>
  <si>
    <t>https://innisfree-taiwan.myshopify.com/pages/about-ingredients-volcanic</t>
  </si>
  <si>
    <t>About Ingredients Volcanic_x000D_ | INNISFREE Taiwan</t>
  </si>
  <si>
    <t>About Ingredients Volcanic | INNISFREE Taiwan</t>
  </si>
  <si>
    <t>https://innisfree-taiwan.myshopify.com/pages/activate-account-form</t>
  </si>
  <si>
    <t>activate-account-form_x000D_ | INNISFREE Taiwan</t>
  </si>
  <si>
    <t>activate-account-form | INNISFREE Taiwan</t>
  </si>
  <si>
    <t>https://innisfree-taiwan.myshopify.com/pages/contact</t>
  </si>
  <si>
    <t>退貨須知_x000D_ | INNISFREE Taiwan</t>
  </si>
  <si>
    <t>若有任何問題，歡迎聯繫我們，客服電話：0800-600-308，innisfree台灣官方網站諮詢回覆時間：週一至週五 9:00~18:00（國定假日及週末休息）。</t>
  </si>
  <si>
    <t>聯絡客服</t>
  </si>
  <si>
    <t>退貨須知 | INNISFREE Taiwan</t>
  </si>
  <si>
    <t>https://innisfree-taiwan.myshopify.com/pages/edit-account</t>
  </si>
  <si>
    <t>我的會員帳戶_x000D_ | INNISFREE Taiwan</t>
  </si>
  <si>
    <t>確認訂單狀態、修改會員資料、1對1諮詢服務、折扣碼、活動資訊等</t>
  </si>
  <si>
    <t>管理會員資訊</t>
  </si>
  <si>
    <t>我的會員帳戶 | INNISFREE Taiwan</t>
  </si>
  <si>
    <t>2026-02-09 18:15:17</t>
  </si>
  <si>
    <t>https://innisfree-taiwan.myshopify.com/pages/employ-whatwd</t>
  </si>
  <si>
    <t>我們的工作_x000D_ | INNISFREE Taiwan</t>
  </si>
  <si>
    <t>我們的工作</t>
  </si>
  <si>
    <t>我們的工作 | INNISFREE Taiwan</t>
  </si>
  <si>
    <t>2026-02-09 18:15:33</t>
  </si>
  <si>
    <t>https://innisfree-taiwan.myshopify.com/pages/employ-whatwsf</t>
  </si>
  <si>
    <t>我們的理念_x000D_ | INNISFREE Taiwan</t>
  </si>
  <si>
    <t>我們的理念</t>
  </si>
  <si>
    <t>我們的理念 | INNISFREE Taiwan</t>
  </si>
  <si>
    <t>https://innisfree-taiwan.myshopify.com/pages/exchange-return</t>
  </si>
  <si>
    <t>innisfree台灣官方網站線上購物，退貨需於到貨7天內進行申請，且商品為未開封的狀態，並僅接受整筆退貨。</t>
  </si>
  <si>
    <t>退貨須知</t>
  </si>
  <si>
    <t>https://innisfree-taiwan.myshopify.com/pages/faq</t>
  </si>
  <si>
    <t>常見問題_x000D_ | INNISFREE Taiwan</t>
  </si>
  <si>
    <t>有哪些付款方式？目前可使用信用卡或Line Pay進行結帳。1.信用卡：僅接受台灣地區發行的VISA, Master, JCB, Union Pay。2.Line Pay於Line Pay的付款頁面確認金額及輸入付款密碼後即可完成付款。</t>
  </si>
  <si>
    <t>常見問題</t>
  </si>
  <si>
    <t>常見問題 | INNISFREE Taiwan</t>
  </si>
  <si>
    <t>https://innisfree-taiwan.myshopify.com/pages/membership</t>
  </si>
  <si>
    <t>會員制度_x000D_ | INNISFREE Taiwan</t>
  </si>
  <si>
    <t>免費註冊innisfree會員即可收到臉部保養、身體保養、頭髮保養及彩妝商品的最新資訊，並隨時查看您的專屬優惠、生日優惠和會員點數等重要訊息。</t>
  </si>
  <si>
    <t>加入會員</t>
  </si>
  <si>
    <t>會員制度 | INNISFREE Taiwan</t>
  </si>
  <si>
    <t>https://innisfree-taiwan.myshopify.com/pages/membership-benefit</t>
  </si>
  <si>
    <t>會員權益_x000D_ | INNISFREE Taiwan</t>
  </si>
  <si>
    <t>會員權益</t>
  </si>
  <si>
    <t>會員權益 | INNISFREE Taiwan</t>
  </si>
  <si>
    <t>https://innisfree-taiwan.myshopify.com/pages/order-list</t>
  </si>
  <si>
    <t>線上歷史訂單</t>
  </si>
  <si>
    <t>https://innisfree-taiwan.myshopify.com/pages/point-list</t>
  </si>
  <si>
    <t>管理點數</t>
  </si>
  <si>
    <t>https://innisfree-taiwan.myshopify.com/pages/shopping-guide</t>
  </si>
  <si>
    <t>訂單資料_x000D_ | INNISFREE Taiwan</t>
  </si>
  <si>
    <t>可查看您在innisfree台灣官方網站上訂單資訊及配送狀態。</t>
  </si>
  <si>
    <t>訂單資料</t>
  </si>
  <si>
    <t>訂單資料 | INNISFREE Taiwan</t>
  </si>
  <si>
    <t>https://innisfree-taiwan.myshopify.com/pages/site-map</t>
  </si>
  <si>
    <t>網站地圖_x000D_ | INNISFREE Taiwan</t>
  </si>
  <si>
    <t>全站完整導覽innisfree台灣官方網站內的所有頁面資訊。</t>
  </si>
  <si>
    <t>網站地圖</t>
  </si>
  <si>
    <t>網站地圖 | INNISFREE Taiwan</t>
  </si>
  <si>
    <t>https://innisfree-taiwan.myshopify.com/pages/store-locator</t>
  </si>
  <si>
    <t>門市資訊_x000D_ | INNISFREE Taiwan</t>
  </si>
  <si>
    <t>了解更多 innisfree 全台門市查詢、專櫃地點、營業時間等資訊。</t>
  </si>
  <si>
    <t>門市資訊</t>
  </si>
  <si>
    <t>門市資訊 | INNISFREE Taiwan</t>
  </si>
  <si>
    <t>https://innisfree-taiwan.myshopify.com/pages/wishlist</t>
  </si>
  <si>
    <t>My Wishlist_x000D_ | INNISFREE Taiwan</t>
  </si>
  <si>
    <t>My Wishlist</t>
  </si>
  <si>
    <t>My Wishlist | INNISFREE Taiwan</t>
  </si>
  <si>
    <t>https://innisfree-taiwan.myshopify.com/policies/privacy-policy</t>
  </si>
  <si>
    <t>隱私政策_x000D_ | INNISFREE Taiwan</t>
  </si>
  <si>
    <t>隱私政策</t>
  </si>
  <si>
    <t>隱私政策 | INNISFREE Taiwan</t>
  </si>
  <si>
    <t>https://innisfree-taiwan.myshopify.com/policies/terms-of-service</t>
  </si>
  <si>
    <t>服務條款_x000D_ | INNISFREE Taiwan</t>
  </si>
  <si>
    <t>服務條款</t>
  </si>
  <si>
    <t>服務條款 | INNISFREE Taiwan</t>
  </si>
  <si>
    <t>https://innisfree-taiwan.myshopify.com/products/02-rcapdrn</t>
  </si>
  <si>
    <t>[2月限定]雙A爆亮水煮蛋肌組_x000D_ | INNISFREE Taiwan</t>
  </si>
  <si>
    <t>A醇淨膚超修護安瓶</t>
  </si>
  <si>
    <t>1%A醇PDRN水光安瓶+A醇淨膚超修護安瓶 30ml [A醇2+1循環保養] 醫美小白也能無痛體驗不用針的水光奇蹟 每2日使用A醇安瓶溫和代謝老廢角質，改善痘痘粉刺困擾 第3日使用PDRN光安瓶加強煥膚，緊緻肌膚、減少細紋，同時改善毛孔粗大問題</t>
  </si>
  <si>
    <t>[2月限定]雙A爆亮水煮蛋肌組</t>
  </si>
  <si>
    <t>[2月限定]雙A爆亮水煮蛋肌組 | INNISFREE Taiwan</t>
  </si>
  <si>
    <t>product</t>
  </si>
  <si>
    <t>http://innisfree-taiwan.myshopify.com/cdn/shop/files/20260109_1725_ID0101_1.jpg?v=1770623248</t>
  </si>
  <si>
    <t>https://innisfree-taiwan.myshopify.com/cdn/shop/files/20260109_1725_ID0101_1.jpg?v=1770623248</t>
  </si>
  <si>
    <t>https://innisfree-taiwan.myshopify.com/products/aloe-revital-soothing-gel</t>
  </si>
  <si>
    <t>蘆薈修護紓緩凝膠 300ml_x000D_ | INNISFREE Taiwan</t>
  </si>
  <si>
    <t>為疲憊的肌膚即刻補充水分、恢復活力的鎮靜舒緩凝膠。</t>
  </si>
  <si>
    <t>蘆薈修護紓緩凝膠 300ml</t>
  </si>
  <si>
    <t>蘆薈修護紓緩凝膠 300ml | INNISFREE Taiwan</t>
  </si>
  <si>
    <t>http://innisfree-taiwan.myshopify.com/cdn/shop/files/pdp_mig_5bf3dd34_20241203_5_ID0101_1_jpg.jpg?v=1768543115</t>
  </si>
  <si>
    <t>https://innisfree-taiwan.myshopify.com/cdn/shop/files/pdp_mig_5bf3dd34_20241203_5_ID0101_1_jpg.jpg?v=1768543115</t>
  </si>
  <si>
    <t>2026-02-09 18:15:44</t>
  </si>
  <si>
    <t>https://innisfree-taiwan.myshopify.com/products/bija-cica-balm-ex23</t>
  </si>
  <si>
    <t>香榧積雪草修護霜 40ml_x000D_ | INNISFREE Taiwan</t>
  </si>
  <si>
    <t>Document</t>
  </si>
  <si>
    <t>舒緩並調理問題肌膚的修護霜，有效修護及鎮靜肌膚。適合所有肌膚類型，想改善粉刺痘痘問題的顧客。</t>
  </si>
  <si>
    <t>香榧積雪草修護霜 40ml</t>
  </si>
  <si>
    <t>香榧積雪草修護霜 40ml | INNISFREE Taiwan</t>
  </si>
  <si>
    <t>http://innisfree-taiwan.myshopify.com/cdn/shop/files/pdp_mig_d3e7341e_20260109_1271_ID0101_1_jpg.jpg?v=1768543080</t>
  </si>
  <si>
    <t>https://innisfree-taiwan.myshopify.com/cdn/shop/files/pdp_mig_d3e7341e_20260109_1271_ID0101_1_jpg.jpg?v=1768543080</t>
  </si>
  <si>
    <t>2026-02-09 18:15:45</t>
  </si>
  <si>
    <t>https://innisfree-taiwan.myshopify.com/products/bija-trouble-facial-foam23</t>
  </si>
  <si>
    <t>香榧鬥荳潔面乳 150g_x000D_ | INNISFREE Taiwan</t>
  </si>
  <si>
    <t>專為痘痘問題肌膚設計的潔面乳，綿密的泡沫可以徹底清除毛孔的髒汙，並舒緩不穩定的肌膚。 適合所有肌膚類型，想改善粉刺痘痘問題的顧客。</t>
  </si>
  <si>
    <t>香榧鬥荳潔面乳 150g</t>
  </si>
  <si>
    <t>香榧鬥荳潔面乳 150g | INNISFREE Taiwan</t>
  </si>
  <si>
    <t>http://innisfree-taiwan.myshopify.com/cdn/shop/files/pdp_mig_ccfa728a_20231129_296_ID0101_2_jpg.jpg?v=1768543114</t>
  </si>
  <si>
    <t>https://innisfree-taiwan.myshopify.com/cdn/shop/files/pdp_mig_ccfa728a_20231129_296_ID0101_2_jpg.jpg?v=1768543114</t>
  </si>
  <si>
    <t>2026-02-09 18:15:46</t>
  </si>
  <si>
    <t>https://innisfree-taiwan.myshopify.com/products/bija-trouble-lotion23</t>
  </si>
  <si>
    <t>香榧鬥荳調理乳 100ml_x000D_ | INNISFREE Taiwan</t>
  </si>
  <si>
    <t>紅茶極效修護安瓶</t>
  </si>
  <si>
    <t>專為痘痘問題肌膚設計的調理乳，提供清爽無負擔的舒緩保濕。 適合所有肌膚類型，想改善粉刺痘痘問題的顧客。</t>
  </si>
  <si>
    <t>香榧鬥荳調理乳 100ml</t>
  </si>
  <si>
    <t>香榧鬥荳調理乳 100ml | INNISFREE Taiwan</t>
  </si>
  <si>
    <t>http://innisfree-taiwan.myshopify.com/cdn/shop/files/pdp_mig_9599f4d1_20231127_328_ID0101_1_jpg.jpg?v=1768543104</t>
  </si>
  <si>
    <t>https://innisfree-taiwan.myshopify.com/cdn/shop/files/pdp_mig_9599f4d1_20231127_328_ID0101_1_jpg.jpg?v=1768543104</t>
  </si>
  <si>
    <t>https://innisfree-taiwan.myshopify.com/products/bija-trouble-skin-170ml-23</t>
  </si>
  <si>
    <t>香榧鬥荳調理水 170ml_x000D_ | INNISFREE Taiwan</t>
  </si>
  <si>
    <t>專為痘痘問題肌膚設計的調理水，溫和去除肌膚老廢角質。 適合所有肌膚類型，想改善粉刺痘痘問題的顧客。</t>
  </si>
  <si>
    <t>香榧鬥荳調理水 170ml</t>
  </si>
  <si>
    <t>香榧鬥荳調理水 170ml | INNISFREE Taiwan</t>
  </si>
  <si>
    <t>http://innisfree-taiwan.myshopify.com/cdn/shop/files/pdp_mig_c17839af_20231127_297_ID0101_1_jpg.jpg?v=1768543105</t>
  </si>
  <si>
    <t>https://innisfree-taiwan.myshopify.com/cdn/shop/files/pdp_mig_c17839af_20231127_297_ID0101_1_jpg.jpg?v=1768543105</t>
  </si>
  <si>
    <t>https://innisfree-taiwan.myshopify.com/products/black-tea-youth-enhancing-oil-30ml</t>
  </si>
  <si>
    <t>紅茶極效修護精華油 30ml_x000D_ | INNISFREE Taiwan</t>
  </si>
  <si>
    <t>採用RESET肌膚重置修護科技™研發的精華油，改善肌膚疲憊感，讓肌膚恢復緊緻，擁有彈嫩透亮的好膚質。</t>
  </si>
  <si>
    <t>紅茶極效修護精華油 30ml</t>
  </si>
  <si>
    <t>紅茶極效修護精華油 30ml | INNISFREE Taiwan</t>
  </si>
  <si>
    <t>http://innisfree-taiwan.myshopify.com/cdn/shop/files/pdp_mig_5729231f_20240306_1197_ID0101_1_jpg.jpg?v=1768543097</t>
  </si>
  <si>
    <t>https://innisfree-taiwan.myshopify.com/cdn/shop/files/pdp_mig_5729231f_20240306_1197_ID0101_1_jpg.jpg?v=1768543097</t>
  </si>
  <si>
    <t>2026-02-09 18:15:11</t>
  </si>
  <si>
    <t>https://innisfree-taiwan.myshopify.com/products/black-tea-youth-enhancing-treatment-essence-145ml</t>
  </si>
  <si>
    <t>紅茶極效修護晶露 145ml_x000D_ | INNISFREE Taiwan</t>
  </si>
  <si>
    <t>紅茶極效修護晶露</t>
  </si>
  <si>
    <t>RESET肌膚重置修護科技™集中修護抗老，舒緩疲憊的肌膚，讓肌膚恢復緊緻，擁有彈嫩透亮好膚質的精華水。 適合經常熬夜或工作壓力大，肌膚缺乏活力和彈性的顧客。</t>
  </si>
  <si>
    <t>紅茶極效修護晶露 145ml</t>
  </si>
  <si>
    <t>紅茶極效修護晶露 145ml | INNISFREE Taiwan</t>
  </si>
  <si>
    <t>http://innisfree-taiwan.myshopify.com/cdn/shop/files/pdp_mig_92a54f59_20251001_709_ID0101_1_jpg.jpg?v=1768543103</t>
  </si>
  <si>
    <t>https://innisfree-taiwan.myshopify.com/cdn/shop/files/pdp_mig_92a54f59_20251001_709_ID0101_1_jpg.jpg?v=1768543103</t>
  </si>
  <si>
    <t>https://innisfree-taiwan.myshopify.com/products/black-tea-youth-enhancing-treatment-essence-75ml</t>
  </si>
  <si>
    <t>紅茶極效修護晶露 75ml_x000D_ | INNISFREE Taiwan</t>
  </si>
  <si>
    <t>蘊含RESET肌膚重置修護科技™，修護受損疲憊的肌膚，讓肌膚恢復緊緻，擁有彈嫩透亮好膚質的精華水。 適合經常熬夜或工作壓力大，肌膚缺乏活力和彈性的顧客。</t>
  </si>
  <si>
    <t>紅茶極效修護晶露 75ml</t>
  </si>
  <si>
    <t>紅茶極效修護晶露 75ml | INNISFREE Taiwan</t>
  </si>
  <si>
    <t>http://innisfree-taiwan.myshopify.com/cdn/shop/files/pdp_mig_d8f608e3_20240306_972_ID0101_1_jpg.jpg?v=1768543103</t>
  </si>
  <si>
    <t>https://innisfree-taiwan.myshopify.com/cdn/shop/files/pdp_mig_d8f608e3_20240306_972_ID0101_1_jpg.jpg?v=1768543103</t>
  </si>
  <si>
    <t>2026-02-09 18:15:06</t>
  </si>
  <si>
    <t>https://innisfree-taiwan.myshopify.com/products/chi-set3</t>
  </si>
  <si>
    <t>【💖綺綺團購優惠】綠茶神經醯胺牛奶水三入囤貨組_x000D_ | INNISFREE Taiwan</t>
  </si>
  <si>
    <t>富含超導綠茶保濕科技™和神經酰胺的輕盈配方，有助於強化肌膚保濕屏障，使肌膚恢復健康水潤的精華液。</t>
  </si>
  <si>
    <t>【💖綺綺團購優惠】綠茶神經醯胺牛奶水三入囤貨組</t>
  </si>
  <si>
    <t>【💖綺綺團購優惠】綠茶神經醯胺牛奶水三入囤貨組 | INNISFREE Taiwan</t>
  </si>
  <si>
    <t>http://innisfree-taiwan.myshopify.com/cdn/shop/files/20251127_1698_ID0101_1.jpg?v=1770623251</t>
  </si>
  <si>
    <t>https://innisfree-taiwan.myshopify.com/cdn/shop/files/20251127_1698_ID0101_1.jpg?v=1770623251</t>
  </si>
  <si>
    <t>2026-02-09 18:17:05</t>
  </si>
  <si>
    <t>https://innisfree-taiwan.myshopify.com/products/collagen-green-tea-ceramide-bounce-cream-refill</t>
  </si>
  <si>
    <t>膠原胜肽緊緻澎澎霜 [補充包] 50ml_x000D_ | INNISFREE Taiwan</t>
  </si>
  <si>
    <t>質地清爽不黏膩的緊緻霜，可有效滲透並保濕肌膚，同時增強肌膚彈性、改善毛孔問題。低頭族，年輕族群有預防保養需求，但不喜歡厚重質地的顧客。</t>
  </si>
  <si>
    <t>膠原胜肽緊緻澎澎霜 [補充包] 50ml</t>
  </si>
  <si>
    <t>膠原胜肽緊緻澎澎霜 [補充包] 50ml | INNISFREE Taiwan</t>
  </si>
  <si>
    <t>http://innisfree-taiwan.myshopify.com/cdn/shop/files/pdp_mig_a27359f9_20260109_1285_ID0101_1_jpg.jpg?v=1768543076</t>
  </si>
  <si>
    <t>https://innisfree-taiwan.myshopify.com/cdn/shop/files/pdp_mig_a27359f9_20260109_1285_ID0101_1_jpg.jpg?v=1768543076</t>
  </si>
  <si>
    <t>2026-02-09 18:14:46</t>
  </si>
  <si>
    <t>https://innisfree-taiwan.myshopify.com/products/dan-set1</t>
  </si>
  <si>
    <t>[💙單單限定優惠]牛奶肌水嫩緊緻保養組_x000D_ | INNISFREE Taiwan</t>
  </si>
  <si>
    <t>綠茶神經醯胺牛奶水精華160ml+1%A醇PDRN水光安瓶25ml [先牛奶水後PDRN 進階保養] 推薦給肌膚暗沉粗糙、想緊緻毛孔及預防細紋的人，先用綠茶牛奶水精華深入保濕&amp;修復肌膚屏障、再用PDRN水光安瓶緊緻肌膚、減少細紋。</t>
  </si>
  <si>
    <t>[💙單單限定優惠]牛奶肌水嫩緊緻保養組</t>
  </si>
  <si>
    <t>[💙單單限定優惠]牛奶肌水嫩緊緻保養組 | INNISFREE Taiwan</t>
  </si>
  <si>
    <t>http://innisfree-taiwan.myshopify.com/cdn/shop/files/20251226_1714_ID0101_1.jpg?v=1770623251</t>
  </si>
  <si>
    <t>https://innisfree-taiwan.myshopify.com/cdn/shop/files/20251226_1714_ID0101_1.jpg?v=1770623251</t>
  </si>
  <si>
    <t>https://innisfree-taiwan.myshopify.com/products/dan-set2</t>
  </si>
  <si>
    <t>[💙單單限定優惠]雙A水煮蛋肌補水亮膚組_x000D_ | INNISFREE Taiwan</t>
  </si>
  <si>
    <t>1%A醇PDRN水光安瓶25ml+A醇淨膚超修護安瓶 30ml+維他命C淨亮精華果凍面膜 25ml+1%A醇PDRN水光安瓶果凍面膜 24ml [A醇2+1循環保養] 醫美小白也能無痛體驗不用針的水光奇蹟 每2日使用A醇安瓶溫和代謝老廢角質，改善痘痘粉刺困擾 第3日使用PDRN光安瓶加強煥膚，緊緻肌膚、減少細紋，同時改善毛孔粗大問題</t>
  </si>
  <si>
    <t>[💙單單限定優惠]雙A水煮蛋肌補水亮膚組</t>
  </si>
  <si>
    <t>[💙單單限定優惠]雙A水煮蛋肌補水亮膚組 | INNISFREE Taiwan</t>
  </si>
  <si>
    <t>http://innisfree-taiwan.myshopify.com/cdn/shop/files/20251226_1715_ID0101_1.jpg?v=1770623248</t>
  </si>
  <si>
    <t>https://innisfree-taiwan.myshopify.com/cdn/shop/files/20251226_1715_ID0101_1.jpg?v=1770623248</t>
  </si>
  <si>
    <t>https://innisfree-taiwan.myshopify.com/products/dan-set3</t>
  </si>
  <si>
    <t>[💙單單限定優惠]早C晚A緊緻亮膚組_x000D_ | INNISFREE Taiwan</t>
  </si>
  <si>
    <t>維他命C淨亮棉片170ml (60片)+1%A醇PDRN水光安瓶25ml+1%A醇PDRN水光安瓶果凍面膜 推薦給想緊緻毛孔及預防細紋的人，醫美小白也能無痛煥膚打造水光奇肌！ 早上使用維生素C淡化斑點、改善暗沉 夜間使用PDRN水光安瓶緊緻肌膚、減少細紋，同時改善毛孔粗大問題</t>
  </si>
  <si>
    <t>[💙單單限定優惠]早C晚A緊緻亮膚組</t>
  </si>
  <si>
    <t>[💙單單限定優惠]早C晚A緊緻亮膚組 | INNISFREE Taiwan</t>
  </si>
  <si>
    <t>http://innisfree-taiwan.myshopify.com/cdn/shop/files/20251226_1716_ID0101_1.jpg?v=1770623249</t>
  </si>
  <si>
    <t>https://innisfree-taiwan.myshopify.com/cdn/shop/files/20251226_1716_ID0101_1.jpg?v=1770623249</t>
  </si>
  <si>
    <t>https://innisfree-taiwan.myshopify.com/products/dan-set4</t>
  </si>
  <si>
    <t>[💙單單限定優惠]PDRN水光囤貨組_x000D_ | INNISFREE Taiwan</t>
  </si>
  <si>
    <t>1%A醇PDRN水光安瓶 40ml*2瓶+1%A醇PDRN水光安瓶果凍面膜*2 添加A醇及綠茶PDRN™的煥膚安瓶，有效調理代謝角質、緊緻毛孔、改善肌膚彈性，擁有光滑緊緻的肌膚。適合追求水潤透亮肌膚，重視肌膚緊緻與彈力的顧客。</t>
  </si>
  <si>
    <t>[💙單單限定優惠]PDRN水光囤貨組</t>
  </si>
  <si>
    <t>[💙單單限定優惠]PDRN水光囤貨組 | INNISFREE Taiwan</t>
  </si>
  <si>
    <t>http://innisfree-taiwan.myshopify.com/cdn/shop/files/20251226_1717_ID0101_1.jpg?v=1770623248</t>
  </si>
  <si>
    <t>https://innisfree-taiwan.myshopify.com/cdn/shop/files/20251226_1717_ID0101_1.jpg?v=1770623248</t>
  </si>
  <si>
    <t>https://innisfree-taiwan.myshopify.com/products/dev-test-bundle-product</t>
  </si>
  <si>
    <t>[DEV-TEST] Bundle product_x000D_ | INNISFREE Taiwan</t>
  </si>
  <si>
    <t>[DEV-TEST] Bundle product</t>
  </si>
  <si>
    <t>[DEV-TEST] Bundle product | INNISFREE Taiwan</t>
  </si>
  <si>
    <t>https://innisfree-taiwan.myshopify.com/products/dewy-glowy-lipstick</t>
  </si>
  <si>
    <t>晨露光透水感唇膏 3.5g_x000D_ | INNISFREE Taiwan</t>
  </si>
  <si>
    <t>添加高光萃取配方，自然服貼打造光透、水潤的雙唇</t>
  </si>
  <si>
    <t>晨露光透水感唇膏 3.5g</t>
  </si>
  <si>
    <t>晨露光透水感唇膏 3.5g | INNISFREE Taiwan</t>
  </si>
  <si>
    <t>http://innisfree-taiwan.myshopify.com/cdn/shop/files/pdp_mig_518219b2_20240319_1335_ID0101_1_jpg.jpg?v=1768543075</t>
  </si>
  <si>
    <t>https://innisfree-taiwan.myshopify.com/cdn/shop/files/pdp_mig_518219b2_20240319_1335_ID0101_1_jpg.jpg?v=1768543075</t>
  </si>
  <si>
    <t>2026-02-09 18:16:55</t>
  </si>
  <si>
    <t>https://innisfree-taiwan.myshopify.com/products/green-tea-amino-hydrating-cleansing-oil</t>
  </si>
  <si>
    <t>綠茶保濕胺基酸卸妝油 150ml_x000D_ | INNISFREE Taiwan</t>
  </si>
  <si>
    <t>富含綠茶萃取物與胺基酸複合物的清爽卸妝油，可以輕鬆卸除臉上的彩妝與髒汙，並使臉部肌膚柔嫩與潔淨。適合所有膚質。</t>
  </si>
  <si>
    <t>綠茶保濕胺基酸卸妝油 150ml</t>
  </si>
  <si>
    <t>綠茶保濕胺基酸卸妝油 150ml | INNISFREE Taiwan</t>
  </si>
  <si>
    <t>http://innisfree-taiwan.myshopify.com/cdn/shop/files/pdp_mig_6279b020_20240129_1293_ID0101_1_jpg.jpg?v=1768543075</t>
  </si>
  <si>
    <t>https://innisfree-taiwan.myshopify.com/cdn/shop/files/pdp_mig_6279b020_20240129_1293_ID0101_1_jpg.jpg?v=1768543075</t>
  </si>
  <si>
    <t>2026-02-09 18:14:55</t>
  </si>
  <si>
    <t>https://innisfree-taiwan.myshopify.com/products/green-tea-amino-hydrating-cleansing-water</t>
  </si>
  <si>
    <t>綠茶保濕胺基酸卸妝水 320ml_x000D_ | INNISFREE Taiwan</t>
  </si>
  <si>
    <t>含有雙重鮮榨綠茶萃取與胺基酸複合物的清爽卸妝水，可以輕鬆卸除臉上的彩妝與髒汙，並使臉部肌膚柔嫩與潔淨。適用所有膚質。</t>
  </si>
  <si>
    <t>綠茶保濕胺基酸卸妝水 320ml</t>
  </si>
  <si>
    <t>綠茶保濕胺基酸卸妝水 320ml | INNISFREE Taiwan</t>
  </si>
  <si>
    <t>http://innisfree-taiwan.myshopify.com/cdn/shop/files/pdp_mig_cbb8e6b3_20230731_839_ID0101_1_jpg.jpg?v=1768543105</t>
  </si>
  <si>
    <t>https://innisfree-taiwan.myshopify.com/cdn/shop/files/pdp_mig_cbb8e6b3_20230731_839_ID0101_1_jpg.jpg?v=1768543105</t>
  </si>
  <si>
    <t>https://innisfree-taiwan.myshopify.com/products/green-tea-pdrn-bounce-booster-eye-and-lip-serum</t>
  </si>
  <si>
    <t>A醇PDRN眼醇撫紋精華_x000D_ | INNISFREE Taiwan</t>
  </si>
  <si>
    <t>含有A醇、胜肽複合物和綠茶PDRN™，有效緊緻和撫平眼周和唇周出現的表情紋。</t>
  </si>
  <si>
    <t>A醇PDRN眼醇撫紋精華</t>
  </si>
  <si>
    <t>A醇PDRN眼醇撫紋精華 | INNISFREE Taiwan</t>
  </si>
  <si>
    <t>http://innisfree-taiwan.myshopify.com/cdn/shop/files/pdp_mig_5a64b93a_20260108_1718_ID0101_1_jpg.jpg?v=1768541487</t>
  </si>
  <si>
    <t>https://innisfree-taiwan.myshopify.com/cdn/shop/files/pdp_mig_5a64b93a_20260108_1718_ID0101_1_jpg.jpg?v=1768541487</t>
  </si>
  <si>
    <t>https://innisfree-taiwan.myshopify.com/products/green-tea-pdrn-skinbooster-ampoule-all-care-set</t>
  </si>
  <si>
    <t>1%A醇PDRN水光奇蹟組_x000D_ | INNISFREE Taiwan</t>
  </si>
  <si>
    <t>1%A醇PDRN水光安瓶 25ml*1+A醇PDRN水光奇蹟水 50ml*1+1%A醇PDRN水光安瓶果凍面膜*2</t>
  </si>
  <si>
    <t>1%A醇PDRN水光奇蹟組</t>
  </si>
  <si>
    <t>1%A醇PDRN水光奇蹟組 | INNISFREE Taiwan</t>
  </si>
  <si>
    <t>http://innisfree-taiwan.myshopify.com/cdn/shop/files/20251209_1704_ID0101_1.jpg?v=1770623247</t>
  </si>
  <si>
    <t>https://innisfree-taiwan.myshopify.com/cdn/shop/files/20251209_1704_ID0101_1.jpg?v=1770623247</t>
  </si>
  <si>
    <t>2026-02-09 18:16:11</t>
  </si>
  <si>
    <t>https://innisfree-taiwan.myshopify.com/products/gt-3-steps</t>
  </si>
  <si>
    <t>[2月限定]綠茶家族全方位保濕組_x000D_ | INNISFREE Taiwan</t>
  </si>
  <si>
    <t>綠茶神經醯胺牛奶水精華 160ml+綠茶籽玻尿酸保濕精華 80ml+綠茶籽玻尿酸保濕霜 50ml 推薦給缺水或敏弱困擾的肌膚，綠茶萃取+玻尿酸的協同作用能幫助肌膚365天長效保濕，先使用保濕精華深入肌底補水，再使用牛奶水鎖水修護保濕屏障，打造柔嫩健康美肌。</t>
  </si>
  <si>
    <t>[2月限定]綠茶家族全方位保濕組</t>
  </si>
  <si>
    <t>[2月限定]綠茶家族全方位保濕組 | INNISFREE Taiwan</t>
  </si>
  <si>
    <t>http://innisfree-taiwan.myshopify.com/cdn/shop/files/20260108_1720_ID0101_1.jpg?v=1770623249</t>
  </si>
  <si>
    <t>https://innisfree-taiwan.myshopify.com/cdn/shop/files/20260108_1720_ID0101_1.jpg?v=1770623249</t>
  </si>
  <si>
    <t>https://innisfree-taiwan.myshopify.com/products/gt-3-steps-01</t>
  </si>
  <si>
    <t>[1月限定]綠茶家族全方位保濕組_x000D_ | INNISFREE Taiwan</t>
  </si>
  <si>
    <t>推薦給缺水或敏弱困擾的肌膚，綠茶萃取+玻尿酸的協同作用能幫助肌膚365天長效保濕，先使用保濕精華深入肌底補水，再使用牛奶水鎖水修護保濕屏障，打造柔嫩健康美肌。</t>
  </si>
  <si>
    <t>[1月限定]綠茶家族全方位保濕組</t>
  </si>
  <si>
    <t>[1月限定]綠茶家族全方位保濕組 | INNISFREE Taiwan</t>
  </si>
  <si>
    <t>http://innisfree-taiwan.myshopify.com/cdn/shop/files/20251210_1706_ID0101_1.jpg?v=1770623251</t>
  </si>
  <si>
    <t>https://innisfree-taiwan.myshopify.com/cdn/shop/files/20251210_1706_ID0101_1.jpg?v=1770623251</t>
  </si>
  <si>
    <t>https://innisfree-taiwan.myshopify.com/products/gt-travel-kit</t>
  </si>
  <si>
    <t>【陪NI去旅行🧳】綠茶保濕旅行組_x000D_ | INNISFREE Taiwan</t>
  </si>
  <si>
    <t>推薦給缺水或敏弱困擾的肌膚，綠茶萃取+玻尿酸的協同作用能幫助肌膚365天長效保濕，搭配保濕霜清爽鎖水，打造健康透亮的柔嫩美肌。</t>
  </si>
  <si>
    <t>【陪NI去旅行🧳】綠茶保濕旅行組</t>
  </si>
  <si>
    <t>【陪NI去旅行🧳】綠茶保濕旅行組 | INNISFREE Taiwan</t>
  </si>
  <si>
    <t>http://innisfree-taiwan.myshopify.com/cdn/shop/files/pdp_mig_f9089a75_20240926_1433_ID0101_1_jpg.jpg?v=1768543099</t>
  </si>
  <si>
    <t>https://innisfree-taiwan.myshopify.com/cdn/shop/files/pdp_mig_f9089a75_20240926_1433_ID0101_1_jpg.jpg?v=1768543099</t>
  </si>
  <si>
    <t>https://innisfree-taiwan.myshopify.com/products/gtbt-set</t>
  </si>
  <si>
    <t>[2月限定]明星雙茶保濕彈嫩組_x000D_ | INNISFREE Taiwan</t>
  </si>
  <si>
    <t>綠茶籽玻尿酸保濕精華 80ml+紅茶極效修護安瓶 30ml 推薦給缺水、失去彈力光澤的肌膚，含有濟州美肌綠茶的萃取與綠茶籽油帶給你7倍保濕；濟州紅茶高效修護，舒緩受損疲憊的肌膚，讓肌膚恢復緊緻，擁有自然光澤的好膚質。</t>
  </si>
  <si>
    <t>[2月限定]明星雙茶保濕彈嫩組</t>
  </si>
  <si>
    <t>[2月限定]明星雙茶保濕彈嫩組 | INNISFREE Taiwan</t>
  </si>
  <si>
    <t>http://innisfree-taiwan.myshopify.com/cdn/shop/files/20260109_1724_ID0101_1.jpg?v=1770623248</t>
  </si>
  <si>
    <t>https://innisfree-taiwan.myshopify.com/cdn/shop/files/20260109_1724_ID0101_1.jpg?v=1770623248</t>
  </si>
  <si>
    <t>https://innisfree-taiwan.myshopify.com/products/gtbt-set-01</t>
  </si>
  <si>
    <t>[1月限定]明星雙茶保濕彈嫩組_x000D_ | INNISFREE Taiwan</t>
  </si>
  <si>
    <t>[1月限定]明星雙茶保濕彈嫩組</t>
  </si>
  <si>
    <t>[1月限定]明星雙茶保濕彈嫩組 | INNISFREE Taiwan</t>
  </si>
  <si>
    <t>http://innisfree-taiwan.myshopify.com/cdn/shop/files/20251210_1709_ID0101_1.jpg?v=1770623248</t>
  </si>
  <si>
    <t>https://innisfree-taiwan.myshopify.com/cdn/shop/files/20251210_1709_ID0101_1.jpg?v=1770623248</t>
  </si>
  <si>
    <t>https://innisfree-taiwan.myshopify.com/products/gtvc-set</t>
  </si>
  <si>
    <t>[2月限定]綠茶維C爆水發光組_x000D_ | INNISFREE Taiwan</t>
  </si>
  <si>
    <t>綠茶籽玻尿酸保濕精華 80ml+維他命C淨亮精華 30ml 推薦給肌膚暗沉、膚色不均或乾燥缺水的人，綠茶萃取+玻尿酸能夠快速解決肌膚缺水問題、再用維他命C淨亮精華淡化斑點、改善暗沉、均勻膚色，讓肌膚更光滑透亮。</t>
  </si>
  <si>
    <t>[2月限定]綠茶維C爆水發光組</t>
  </si>
  <si>
    <t>[2月限定]綠茶維C爆水發光組 | INNISFREE Taiwan</t>
  </si>
  <si>
    <t>http://innisfree-taiwan.myshopify.com/cdn/shop/files/20260109_1723_ID0101_1.jpg?v=1770623248</t>
  </si>
  <si>
    <t>https://innisfree-taiwan.myshopify.com/cdn/shop/files/20260109_1723_ID0101_1.jpg?v=1770623248</t>
  </si>
  <si>
    <t>https://innisfree-taiwan.myshopify.com/products/hyaluron-moist-sunscreen-spf50-pa</t>
  </si>
  <si>
    <t>玻尿酸保濕水感防曬霜 SPF50+ PA++++ 50ml_x000D_ | INNISFREE Taiwan</t>
  </si>
  <si>
    <t>富含有8種玻尿酸配方的輕爽保濕防曬霜</t>
  </si>
  <si>
    <t>玻尿酸保濕水感防曬霜 SPF50+ PA++++ 50ml</t>
  </si>
  <si>
    <t>玻尿酸保濕水感防曬霜 SPF50+ PA++++ 50ml | INNISFREE Taiwan</t>
  </si>
  <si>
    <t>http://innisfree-taiwan.myshopify.com/cdn/shop/files/pdp_mig_9280d8bf_20231228_1290_ID0101_1_jpg.jpg?v=1768543084</t>
  </si>
  <si>
    <t>https://innisfree-taiwan.myshopify.com/cdn/shop/files/pdp_mig_9280d8bf_20231228_1290_ID0101_1_jpg.jpg?v=1768543084</t>
  </si>
  <si>
    <t>2026-02-09 18:16:04</t>
  </si>
  <si>
    <t>https://innisfree-taiwan.myshopify.com/products/if-5-layers-cotton-pads-for-masking-80p23</t>
  </si>
  <si>
    <t>妝自然美妝工具 - 五層多用途化妝棉&amp;#40;濕敷用&amp;#41;_x000D_ | INNISFREE Taiwan</t>
  </si>
  <si>
    <t>五層超薄設計，專為濕敷設計的化妝棉</t>
  </si>
  <si>
    <t>妝自然美妝工具 - 五層多用途化妝棉(濕敷用)</t>
  </si>
  <si>
    <t>妝自然美妝工具 - 五層多用途化妝棉&amp;#40;濕敷用&amp;#41; | INNISFREE Taiwan</t>
  </si>
  <si>
    <t>http://innisfree-taiwan.myshopify.com/cdn/shop/files/pdp_mig_64fff36b_20231129_1_ID0101_1_jpg.jpg?v=1768543115</t>
  </si>
  <si>
    <t>https://innisfree-taiwan.myshopify.com/cdn/shop/files/pdp_mig_64fff36b_20231129_1_ID0101_1_jpg.jpg?v=1768543115</t>
  </si>
  <si>
    <t>2026-02-09 18:16:15</t>
  </si>
  <si>
    <t>https://innisfree-taiwan.myshopify.com/products/if-active-mask-25ml23</t>
  </si>
  <si>
    <t>高效活性面膜 25ml_x000D_ | INNISFREE Taiwan</t>
  </si>
  <si>
    <t>通過認證且親膚的布膜材質，搭配高效活性成分能針對各式肌膚問題一一改善。</t>
  </si>
  <si>
    <t>高效活性面膜 25ml</t>
  </si>
  <si>
    <t>高效活性面膜 25ml | INNISFREE Taiwan</t>
  </si>
  <si>
    <t>http://innisfree-taiwan.myshopify.com/cdn/shop/files/pdp_mig_91d472b4_20230927_1198_ID0101_1_jpg.jpg?v=1768543089</t>
  </si>
  <si>
    <t>https://innisfree-taiwan.myshopify.com/cdn/shop/files/pdp_mig_91d472b4_20230927_1198_ID0101_1_jpg.jpg?v=1768543089</t>
  </si>
  <si>
    <t>https://innisfree-taiwan.myshopify.com/products/if-cherry-blossom-g-jelly-cream-50ml</t>
  </si>
  <si>
    <t>櫻花透亮水凝霜 50ml_x000D_ | INNISFREE Taiwan</t>
  </si>
  <si>
    <t>為乾燥暗沉的肌膚補水提亮的清爽水凝霜，擁有水嫩透亮的肌膚。 適合所有肌膚，想改善肌膚缺水暗沉，重視整體膚色的透亮感的顧客。</t>
  </si>
  <si>
    <t>櫻花透亮水凝霜 50ml</t>
  </si>
  <si>
    <t>櫻花透亮水凝霜 50ml | INNISFREE Taiwan</t>
  </si>
  <si>
    <t>http://innisfree-taiwan.myshopify.com/cdn/shop/files/pdp_mig_7b2ce58f_20260109_526_ID0101_1_jpg.jpg?v=1768543104</t>
  </si>
  <si>
    <t>https://innisfree-taiwan.myshopify.com/cdn/shop/files/pdp_mig_7b2ce58f_20260109_526_ID0101_1_jpg.jpg?v=1768543104</t>
  </si>
  <si>
    <t>https://innisfree-taiwan.myshopify.com/products/if-cherrybskinfit-creamspf50pa50ml-23</t>
  </si>
  <si>
    <t>櫻花防曬亮顏霜 SPF50+ PA++++ 50ml_x000D_ | INNISFREE Taiwan</t>
  </si>
  <si>
    <t>揮別乾燥，讓肌膚呈現自然好氣色，擁有防曬效果的素顏霜。</t>
  </si>
  <si>
    <t>櫻花防曬亮顏霜 SPF50+ PA++++ 50ml</t>
  </si>
  <si>
    <t>櫻花防曬亮顏霜 SPF50+ PA++++ 50ml | INNISFREE Taiwan</t>
  </si>
  <si>
    <t>http://innisfree-taiwan.myshopify.com/cdn/shop/files/pdp_mig_f6bd370a_20230928_938_ID0101_2_jpg.jpg?v=1768543105</t>
  </si>
  <si>
    <t>https://innisfree-taiwan.myshopify.com/cdn/shop/files/pdp_mig_f6bd370a_20230928_938_ID0101_2_jpg.jpg?v=1768543105</t>
  </si>
  <si>
    <t>2026-02-09 18:16:07</t>
  </si>
  <si>
    <t>https://innisfree-taiwan.myshopify.com/products/if-gt-seed-serum-set25</t>
  </si>
  <si>
    <t>綠茶保濕煥膚清潔組_x000D_ | INNISFREE Taiwan</t>
  </si>
  <si>
    <t>綠茶保濕煥膚清潔組(綠茶籽玻尿酸保濕精華80ml+A醇淨膚超修護安瓶10ml+超級火山泥毛孔潔淨面膜10ml+綠茶保濕胺基酸潔面乳30g) 綠茶萃取+玻尿酸的協同作用能夠快速解決肌膚缺水問題，加強保濕屏障幫助肌膚365天長效保濕，打造健康透亮的保濕精華。全膚質適用的國民精華。</t>
  </si>
  <si>
    <t>綠茶保濕煥膚清潔組</t>
  </si>
  <si>
    <t>綠茶保濕煥膚清潔組 | INNISFREE Taiwan</t>
  </si>
  <si>
    <t>http://innisfree-taiwan.myshopify.com/cdn/shop/files/pdp_mig_379f68e9_20250423_1552_ID0101_1_jpg.jpg?v=1768543080</t>
  </si>
  <si>
    <t>https://innisfree-taiwan.myshopify.com/cdn/shop/files/pdp_mig_379f68e9_20250423_1552_ID0101_1_jpg.jpg?v=1768543080</t>
  </si>
  <si>
    <t>https://innisfree-taiwan.myshopify.com/products/if-intensive-long-lasting-sunex-50ml23</t>
  </si>
  <si>
    <t>向日葵完美清爽防曬霜 SPF50+ PA++++ 60ml_x000D_ | INNISFREE Taiwan</t>
  </si>
  <si>
    <t>強效防水功效，適合戶外及水上活動並推薦給油肌和混合肌 #清爽不泛白 #舒緩保濕 #強效防水</t>
  </si>
  <si>
    <t>向日葵完美清爽防曬霜 SPF50+ PA++++ 60ml</t>
  </si>
  <si>
    <t>向日葵完美清爽防曬霜 SPF50+ PA++++ 60ml | INNISFREE Taiwan</t>
  </si>
  <si>
    <t>http://innisfree-taiwan.myshopify.com/cdn/shop/files/pdp_mig_e466345c_20231127_1055_ID0101_1_jpg.jpg?v=1768543094</t>
  </si>
  <si>
    <t>https://innisfree-taiwan.myshopify.com/cdn/shop/files/pdp_mig_e466345c_20231127_1055_ID0101_1_jpg.jpg?v=1768543094</t>
  </si>
  <si>
    <t>https://innisfree-taiwan.myshopify.com/products/if-retinol-cica-repair-pad-60p</t>
  </si>
  <si>
    <t>A醇淨膚毛孔修護棉片 170ml &amp;#40;60片&amp;#41;_x000D_ | INNISFREE Taiwan</t>
  </si>
  <si>
    <t>蘊含A醇、積雪草萃取及多種保濕成分，幫助肌膚代謝老廢角質、改善粉刺、緊緻毛孔。適合所有肌膚類型，想改善粉刺痘痘問題、毛孔粗大、肌膚暗沉粗糙困擾的顧客。</t>
  </si>
  <si>
    <t>A醇淨膚毛孔修護棉片 170ml (60片)</t>
  </si>
  <si>
    <t>A醇淨膚毛孔修護棉片 170ml &amp;#40;60片&amp;#41; | INNISFREE Taiwan</t>
  </si>
  <si>
    <t>http://innisfree-taiwan.myshopify.com/cdn/shop/files/pdp_mig_8387b652_20260112_1452_ID0101_1_jpg.jpg?v=1768543073</t>
  </si>
  <si>
    <t>https://innisfree-taiwan.myshopify.com/cdn/shop/files/pdp_mig_8387b652_20260112_1452_ID0101_1_jpg.jpg?v=1768543073</t>
  </si>
  <si>
    <t>2026-02-09 18:15:23</t>
  </si>
  <si>
    <t>https://innisfree-taiwan.myshopify.com/products/if-volcanic-pha-pore-toner-170ml23</t>
  </si>
  <si>
    <t>火山泥PHA毛孔緊緻露 170ml_x000D_ | INNISFREE Taiwan</t>
  </si>
  <si>
    <t>富含濟州火山皮脂淨化粉末™吸收多餘油脂和皮脂，PHA果酸加強代謝老廢角質，有效緊緻毛孔、調理出油的化妝水。適合在意毛孔粉刺困擾、為油光問題感到煩惱的顧客。</t>
  </si>
  <si>
    <t>火山泥PHA毛孔緊緻露 170ml</t>
  </si>
  <si>
    <t>火山泥PHA毛孔緊緻露 170ml | INNISFREE Taiwan</t>
  </si>
  <si>
    <t>http://innisfree-taiwan.myshopify.com/cdn/shop/files/pdp_mig_5e83c97d_20230928_1249_ID0101_1_jpg.jpg?v=1768543094</t>
  </si>
  <si>
    <t>https://innisfree-taiwan.myshopify.com/cdn/shop/files/pdp_mig_5e83c97d_20230928_1249_ID0101_1_jpg.jpg?v=1768543094</t>
  </si>
  <si>
    <t>2026-02-09 18:14:52</t>
  </si>
  <si>
    <t>https://innisfree-taiwan.myshopify.com/products/innisfree-airy-matte-lipstick</t>
  </si>
  <si>
    <t>怦然空氣感唇膏 3.5g_x000D_ | INNISFREE Taiwan</t>
  </si>
  <si>
    <t>超輕盈的霧面質地，天然純淨的成分不刺激降低敏感，直接融化在雙唇上如同天生唇色一般，令人怦然心動的空氣感唇膏。</t>
  </si>
  <si>
    <t>怦然空氣感唇膏 3.5g</t>
  </si>
  <si>
    <t>怦然空氣感唇膏 3.5g | INNISFREE Taiwan</t>
  </si>
  <si>
    <t>http://innisfree-taiwan.myshopify.com/cdn/shop/files/pdp_mig_73410d8a_20231006_1207_ID0101_1_jpg.jpg?v=1768543098</t>
  </si>
  <si>
    <t>https://innisfree-taiwan.myshopify.com/cdn/shop/files/pdp_mig_73410d8a_20231006_1207_ID0101_1_jpg.jpg?v=1768543098</t>
  </si>
  <si>
    <t>2026-02-09 18:17:01</t>
  </si>
  <si>
    <t>https://innisfree-taiwan.myshopify.com/products/innisfree-airy-matte-tint</t>
  </si>
  <si>
    <t>怦然空氣感薄霧唇萃 3.8g_x000D_ | INNISFREE Taiwan</t>
  </si>
  <si>
    <t>超輕盈的霧面質地，以天然純淨的成分不刺激降低敏感，直接融化在雙唇上如同天生唇色一般，令人怦然心動的空氣感唇萃。</t>
  </si>
  <si>
    <t>怦然空氣感薄霧唇萃 3.8g</t>
  </si>
  <si>
    <t>怦然空氣感薄霧唇萃 3.8g | INNISFREE Taiwan</t>
  </si>
  <si>
    <t>http://innisfree-taiwan.myshopify.com/cdn/shop/files/pdp_mig_132ca7a4_20231006_1259_ID0101_1_jpg.jpg?v=1768543088</t>
  </si>
  <si>
    <t>https://innisfree-taiwan.myshopify.com/cdn/shop/files/pdp_mig_132ca7a4_20231006_1259_ID0101_1_jpg.jpg?v=1768543088</t>
  </si>
  <si>
    <t>https://innisfree-taiwan.myshopify.com/products/innisfree-apple-seed-cleansing-cream</t>
  </si>
  <si>
    <t>蘋果籽卸妝乳霜 150ml_x000D_ | INNISFREE Taiwan</t>
  </si>
  <si>
    <t>含有蘋果籽油的卸妝乳，清爽不黏膩，溫和好推開，徹底清潔毛孔。 適合所有肌膚類型，喜歡清新水果香氣的顧客。</t>
  </si>
  <si>
    <t>蘋果籽卸妝乳霜 150ml</t>
  </si>
  <si>
    <t>蘋果籽卸妝乳霜 150ml | INNISFREE Taiwan</t>
  </si>
  <si>
    <t>http://innisfree-taiwan.myshopify.com/cdn/shop/files/pdp_mig_7255b387_20231006_240_ID0101_1_jpg.jpg?v=1768543115</t>
  </si>
  <si>
    <t>https://innisfree-taiwan.myshopify.com/cdn/shop/files/pdp_mig_7255b387_20231006_240_ID0101_1_jpg.jpg?v=1768543115</t>
  </si>
  <si>
    <t>https://innisfree-taiwan.myshopify.com/products/innisfree-apple-seed-cleansing-oil</t>
  </si>
  <si>
    <t>蘋果籽深層卸妝油 150ml_x000D_ | INNISFREE Taiwan</t>
  </si>
  <si>
    <t>含有蘋果籽油的深層卸妝油，徹底卸除臉部彩妝，使肌膚清爽潔淨。 適合所有肌膚類型，喜歡清新水果香氣的顧客。</t>
  </si>
  <si>
    <t>蘋果籽深層卸妝油 150ml</t>
  </si>
  <si>
    <t>蘋果籽深層卸妝油 150ml | INNISFREE Taiwan</t>
  </si>
  <si>
    <t>http://innisfree-taiwan.myshopify.com/cdn/shop/files/pdp_mig_aaeba70e_20231006_236_ID0101_1_jpg.jpg?v=1768543114</t>
  </si>
  <si>
    <t>https://innisfree-taiwan.myshopify.com/cdn/shop/files/pdp_mig_aaeba70e_20231006_236_ID0101_1_jpg.jpg?v=1768543114</t>
  </si>
  <si>
    <t>https://innisfree-taiwan.myshopify.com/products/innisfree-apple-seed-lip-eye-makeup-remover</t>
  </si>
  <si>
    <t>蘋果籽眼唇卸妝液 100ml_x000D_ | INNISFREE Taiwan</t>
  </si>
  <si>
    <t>含有蘋果籽油的眼唇卸妝液，可以溫和不刺激的卸除眼唇彩妝及髒污。 適合所有肌膚類型，喜歡清新水果香氣的顧客。</t>
  </si>
  <si>
    <t>蘋果籽眼唇卸妝液 100ml</t>
  </si>
  <si>
    <t>蘋果籽眼唇卸妝液 100ml | INNISFREE Taiwan</t>
  </si>
  <si>
    <t>http://innisfree-taiwan.myshopify.com/cdn/shop/files/pdp_mig_73ff96f8_20231006_239_ID0101_1_jpg.jpg?v=1768543113</t>
  </si>
  <si>
    <t>https://innisfree-taiwan.myshopify.com/cdn/shop/files/pdp_mig_73ff96f8_20231006_239_ID0101_1_jpg.jpg?v=1768543113</t>
  </si>
  <si>
    <t>https://innisfree-taiwan.myshopify.com/products/innisfree-auto-eyebrow-pencil23</t>
  </si>
  <si>
    <t>眉筆推薦｜妝自然眉筆 - innisfree_x000D_ | INNISFREE Taiwan</t>
  </si>
  <si>
    <t>innisfree 妝自然眉筆，讓你輕鬆畫出流暢眉型的扁平式眉筆。自然顯色，簡單就能勾勒出眉型，是畫眉毛初學者必備的 No.1 眉筆！</t>
  </si>
  <si>
    <t>妝自然眉筆 0.3g</t>
  </si>
  <si>
    <t>眉筆推薦｜妝自然眉筆 - innisfree | INNISFREE Taiwan</t>
  </si>
  <si>
    <t>http://innisfree-taiwan.myshopify.com/cdn/shop/files/pdp_mig_07ec3392_20230928_213_ID0101_1_jpg.jpg?v=1768543119</t>
  </si>
  <si>
    <t>https://innisfree-taiwan.myshopify.com/cdn/shop/files/pdp_mig_07ec3392_20230928_213_ID0101_1_jpg.jpg?v=1768543119</t>
  </si>
  <si>
    <t>2026-02-09 18:15:02</t>
  </si>
  <si>
    <t>https://innisfree-taiwan.myshopify.com/products/innisfree-bija-cica-balm-ex-23</t>
  </si>
  <si>
    <t>香榧積雪草修護霜 70ml_x000D_ | INNISFREE Taiwan</t>
  </si>
  <si>
    <t>香榧積雪草修護霜 70ml</t>
  </si>
  <si>
    <t>香榧積雪草修護霜 70ml | INNISFREE Taiwan</t>
  </si>
  <si>
    <t>http://innisfree-taiwan.myshopify.com/cdn/shop/files/pdp_mig_a77ee811_20260109_1272_ID0101_1_jpg.jpg?v=1768543081</t>
  </si>
  <si>
    <t>https://innisfree-taiwan.myshopify.com/cdn/shop/files/pdp_mig_a77ee811_20260109_1272_ID0101_1_jpg.jpg?v=1768543081</t>
  </si>
  <si>
    <t>https://innisfree-taiwan.myshopify.com/products/innisfree-black-tea-youth-enhancing-ampoule-30ml</t>
  </si>
  <si>
    <t>紅茶極效修護安瓶 30ml_x000D_ | INNISFREE Taiwan</t>
  </si>
  <si>
    <t>RESET肌膚重置修護科技™集中修護抗老，舒緩疲憊的肌膚，讓肌膚恢復緊緻，擁有自然光澤的精華。 適合經常熬夜或工作壓力大，肌膚缺乏活力和彈性的顧客。</t>
  </si>
  <si>
    <t>紅茶極效修護安瓶 30ml</t>
  </si>
  <si>
    <t>紅茶極效修護安瓶 30ml | INNISFREE Taiwan</t>
  </si>
  <si>
    <t>http://innisfree-taiwan.myshopify.com/cdn/shop/files/pdp_mig_b2998abf_20251001_400_ID0101_1_jpg.jpg?v=1768543111</t>
  </si>
  <si>
    <t>https://innisfree-taiwan.myshopify.com/cdn/shop/files/pdp_mig_b2998abf_20251001_400_ID0101_1_jpg.jpg?v=1768543111</t>
  </si>
  <si>
    <t>2026-02-09 18:16:02</t>
  </si>
  <si>
    <t>https://innisfree-taiwan.myshopify.com/products/innisfree-black-tea-youth-enhancing-ampoule-50ml</t>
  </si>
  <si>
    <t>紅茶極效修護安瓶 50ml_x000D_ | INNISFREE Taiwan</t>
  </si>
  <si>
    <t>紅茶極效修護安瓶 50ml</t>
  </si>
  <si>
    <t>紅茶極效修護安瓶 50ml | INNISFREE Taiwan</t>
  </si>
  <si>
    <t>http://innisfree-taiwan.myshopify.com/cdn/shop/files/pdp_mig_a7b26b62_20251001_586_ID0101_1_jpg.jpg?v=1768543113</t>
  </si>
  <si>
    <t>https://innisfree-taiwan.myshopify.com/cdn/shop/files/pdp_mig_a7b26b62_20251001_586_ID0101_1_jpg.jpg?v=1768543113</t>
  </si>
  <si>
    <t>2026-02-09 18:15:26</t>
  </si>
  <si>
    <t>https://innisfree-taiwan.myshopify.com/products/innisfree-black-tea-youth-enhancing-ampoule-mask</t>
  </si>
  <si>
    <t>紅茶極效修護安瓶面膜 28ml_x000D_ | INNISFREE Taiwan</t>
  </si>
  <si>
    <t>RESET肌膚重置修護科技™集中修護抗老，舒緩疲憊的肌膚，讓肌膚恢復緊緻，擁有自然光澤的好膚質。</t>
  </si>
  <si>
    <t>紅茶極效修護安瓶面膜 28ml</t>
  </si>
  <si>
    <t>紅茶極效修護安瓶面膜 28ml | INNISFREE Taiwan</t>
  </si>
  <si>
    <t>http://innisfree-taiwan.myshopify.com/cdn/shop/files/pdp_mig_6fd952d8_20230710_590_ID0101_1_jpg.jpg?v=1768543111</t>
  </si>
  <si>
    <t>https://innisfree-taiwan.myshopify.com/cdn/shop/files/pdp_mig_6fd952d8_20230710_590_ID0101_1_jpg.jpg?v=1768543111</t>
  </si>
  <si>
    <t>2026-02-09 18:15:07</t>
  </si>
  <si>
    <t>https://innisfree-taiwan.myshopify.com/products/innisfree-black-tea-youth-enhancing-cream</t>
  </si>
  <si>
    <t>紅茶極效修護霜 50ml_x000D_ | INNISFREE Taiwan</t>
  </si>
  <si>
    <t>含有重生修護配方於集中修護，舒緩受損疲憊的肌膚，讓肌膚恢復緊緻，擁有自然光澤的好膚質。 適合經常熬夜或工作壓力大，肌膚缺乏活力和彈性的顧客。</t>
  </si>
  <si>
    <t>紅茶極效修護霜 50ml</t>
  </si>
  <si>
    <t>紅茶極效修護霜 50ml | INNISFREE Taiwan</t>
  </si>
  <si>
    <t>http://innisfree-taiwan.myshopify.com/cdn/shop/files/pdp_mig_7343e440_20260109_402_ID0101_1_jpg.jpg?v=1768543112</t>
  </si>
  <si>
    <t>https://innisfree-taiwan.myshopify.com/cdn/shop/files/pdp_mig_7343e440_20260109_402_ID0101_1_jpg.jpg?v=1768543112</t>
  </si>
  <si>
    <t>https://innisfree-taiwan.myshopify.com/products/innisfree-black-tea-youth-enhancing-lotion</t>
  </si>
  <si>
    <t>紅茶極效修護乳 170ml_x000D_ | INNISFREE Taiwan</t>
  </si>
  <si>
    <t>蘊含萃取自濟州紅茶的RESET肌膚重置修護科技™，帶給肌膚保濕光澤、恢復緊緻彈力的高效修護乳。 適合經常熬夜或工作壓力大，肌膚缺乏活力和彈性的顧客。</t>
  </si>
  <si>
    <t>紅茶極效修護乳 170ml</t>
  </si>
  <si>
    <t>紅茶極效修護乳 170ml | INNISFREE Taiwan</t>
  </si>
  <si>
    <t>http://innisfree-taiwan.myshopify.com/cdn/shop/files/pdp_mig_e1901d1a_20240201_701_ID0101_1_jpg.jpg?v=1768543108</t>
  </si>
  <si>
    <t>https://innisfree-taiwan.myshopify.com/cdn/shop/files/pdp_mig_e1901d1a_20240201_701_ID0101_1_jpg.jpg?v=1768543108</t>
  </si>
  <si>
    <t>https://innisfree-taiwan.myshopify.com/products/innisfree-black-tea-youth-enhancing-skin</t>
  </si>
  <si>
    <t>紅茶極效修護水 170ml_x000D_ | INNISFREE Taiwan</t>
  </si>
  <si>
    <t>採用RESET肌膚重置修護科技™研發的化妝水，改善肌膚疲憊感，讓肌膚恢復緊緻，擁有彈嫩透亮的好膚質。 適合經常熬夜或工作壓力大，肌膚缺乏活力和彈性的顧客。</t>
  </si>
  <si>
    <t>紅茶極效修護水 170ml</t>
  </si>
  <si>
    <t>紅茶極效修護水 170ml | INNISFREE Taiwan</t>
  </si>
  <si>
    <t>http://innisfree-taiwan.myshopify.com/cdn/shop/files/pdp_mig_69b3ea64_20240201_700_ID0101_1_jpg.jpg?v=1768543108</t>
  </si>
  <si>
    <t>https://innisfree-taiwan.myshopify.com/cdn/shop/files/pdp_mig_69b3ea64_20240201_700_ID0101_1_jpg.jpg?v=1768543108</t>
  </si>
  <si>
    <t>https://innisfree-taiwan.myshopify.com/products/innisfree-canola-honey-lip-balm</t>
  </si>
  <si>
    <t>芥花糖蜜水感護唇膏 3.5g_x000D_ | INNISFREE Taiwan</t>
  </si>
  <si>
    <t>富含芥花糖蜜成分，呵護乾燥的唇部使其變得更健康、光滑，打造滋潤唇感。</t>
  </si>
  <si>
    <t>芥花糖蜜水感護唇膏 3.5g</t>
  </si>
  <si>
    <t>芥花糖蜜水感護唇膏 3.5g | INNISFREE Taiwan</t>
  </si>
  <si>
    <t>http://innisfree-taiwan.myshopify.com/cdn/shop/files/pdp_mig_46d9a38f_20231006_1260_ID0101_1_jpg.jpg?v=1768543082</t>
  </si>
  <si>
    <t>https://innisfree-taiwan.myshopify.com/cdn/shop/files/pdp_mig_46d9a38f_20231006_1260_ID0101_1_jpg.jpg?v=1768543082</t>
  </si>
  <si>
    <t>2026-02-09 18:15:04</t>
  </si>
  <si>
    <t>https://innisfree-taiwan.myshopify.com/products/innisfree-canola-honey-lip-balm-intensive-moisture</t>
  </si>
  <si>
    <t>芥花糖蜜超保溼護唇膏 3.5g_x000D_ | INNISFREE Taiwan</t>
  </si>
  <si>
    <t>含有清淨濟州油菜花蜜和油菜子油，雙重油脂配方，爲肌膚形成有效的保護網，溫和輕盈又給予豐富營養的護唇膏</t>
  </si>
  <si>
    <t>芥花糖蜜超保溼護唇膏 3.5g</t>
  </si>
  <si>
    <t>芥花糖蜜超保溼護唇膏 3.5g | INNISFREE Taiwan</t>
  </si>
  <si>
    <t>http://innisfree-taiwan.myshopify.com/cdn/shop/files/pdp_mig_ae2d279f_20231006_1261_ID0101_1_jpg.jpg?v=1768543081</t>
  </si>
  <si>
    <t>https://innisfree-taiwan.myshopify.com/cdn/shop/files/pdp_mig_ae2d279f_20231006_1261_ID0101_1_jpg.jpg?v=1768543081</t>
  </si>
  <si>
    <t>https://innisfree-taiwan.myshopify.com/products/innisfree-collagen-green-tea-ceramide-bounce-cream</t>
  </si>
  <si>
    <t>膠原蛋白霜｜膠原胜肽緊緻澎澎霜 - innisfree_x000D_ | INNISFREE Taiwan</t>
  </si>
  <si>
    <t>膠原蛋白霜推薦，質地清爽不黏膩的緊緻霜，600億顆膠原蛋白直達肌膚第15層，可有效保濕肌膚，同時增強肌膚彈性、改善毛孔問題的緊緻面霜。</t>
  </si>
  <si>
    <t>膠原胜肽緊緻澎澎霜 50ml</t>
  </si>
  <si>
    <t>膠原蛋白霜｜膠原胜肽緊緻澎澎霜 - innisfree | INNISFREE Taiwan</t>
  </si>
  <si>
    <t>http://innisfree-taiwan.myshopify.com/cdn/shop/files/pdp_mig_b52e0c95_20260109_1283_ID0101_1_jpg.jpg?v=1768543077</t>
  </si>
  <si>
    <t>https://innisfree-taiwan.myshopify.com/cdn/shop/files/pdp_mig_b52e0c95_20260109_1283_ID0101_1_jpg.jpg?v=1768543077</t>
  </si>
  <si>
    <t>https://innisfree-taiwan.myshopify.com/products/innisfree-cotton-pads23</t>
  </si>
  <si>
    <t>妝自然美妝工具 - 棉質化妝棉_x000D_ | INNISFREE Taiwan</t>
  </si>
  <si>
    <t>柔軟的棉質多用途化妝棉</t>
  </si>
  <si>
    <t>妝自然美妝工具 - 棉質化妝棉</t>
  </si>
  <si>
    <t>妝自然美妝工具 - 棉質化妝棉 | INNISFREE Taiwan</t>
  </si>
  <si>
    <t>http://innisfree-taiwan.myshopify.com/cdn/shop/files/pdp_mig_15aba0c9_20231129_300_ID0101_1_jpg.jpg?v=1768543104</t>
  </si>
  <si>
    <t>https://innisfree-taiwan.myshopify.com/cdn/shop/files/pdp_mig_15aba0c9_20231129_300_ID0101_1_jpg.jpg?v=1768543104</t>
  </si>
  <si>
    <t>2026-02-09 18:16:14</t>
  </si>
  <si>
    <t>https://innisfree-taiwan.myshopify.com/products/innisfree-creamy-bubble-maker</t>
  </si>
  <si>
    <t>妝自然美妝工具 - 綿密泡泡網_x000D_ | INNISFREE Taiwan</t>
  </si>
  <si>
    <t>以蓬鬆的網子輕鬆地將洗面產品打出如鮮奶油般柔軟的泡沫</t>
  </si>
  <si>
    <t>妝自然美妝工具 - 綿密泡泡網</t>
  </si>
  <si>
    <t>妝自然美妝工具 - 綿密泡泡網 | INNISFREE Taiwan</t>
  </si>
  <si>
    <t>http://innisfree-taiwan.myshopify.com/cdn/shop/files/pdp_mig_6c0345cc_20231129_146_ID0101_1_jpg.jpg?v=1768543110</t>
  </si>
  <si>
    <t>https://innisfree-taiwan.myshopify.com/cdn/shop/files/pdp_mig_6c0345cc_20231129_146_ID0101_1_jpg.jpg?v=1768543110</t>
  </si>
  <si>
    <t>2026-02-09 18:16:12</t>
  </si>
  <si>
    <t>https://innisfree-taiwan.myshopify.com/products/innisfree-dewy-tint-lip-balm</t>
  </si>
  <si>
    <t>晨露粉嫩潤唇膏 3.2g_x000D_ | INNISFREE Taiwan</t>
  </si>
  <si>
    <t>呈現水潤光澤的染色潤唇膏，打造水嘟嘟的豐潤雙唇。</t>
  </si>
  <si>
    <t>晨露粉嫩潤唇膏 3.2g</t>
  </si>
  <si>
    <t>晨露粉嫩潤唇膏 3.2g | INNISFREE Taiwan</t>
  </si>
  <si>
    <t>http://innisfree-taiwan.myshopify.com/cdn/shop/files/pdp_mig_0074262b_20231006_1205_ID0101_1_jpg.jpg?v=1768543101</t>
  </si>
  <si>
    <t>https://innisfree-taiwan.myshopify.com/cdn/shop/files/pdp_mig_0074262b_20231006_1205_ID0101_1_jpg.jpg?v=1768543101</t>
  </si>
  <si>
    <t>https://innisfree-taiwan.myshopify.com/products/innisfree-dewy-treatment-lip-balm</t>
  </si>
  <si>
    <t>晨露無色潤唇膏 3.2 g_x000D_ | INNISFREE Taiwan</t>
  </si>
  <si>
    <t>給予雙唇滿滿保濕與營養，打造水嘟嘟的豐潤雙唇。</t>
  </si>
  <si>
    <t>晨露無色潤唇膏 3.2 g</t>
  </si>
  <si>
    <t>晨露無色潤唇膏 3.2 g | INNISFREE Taiwan</t>
  </si>
  <si>
    <t>http://innisfree-taiwan.myshopify.com/cdn/shop/files/pdp_mig_033b4b6d_20231227_1206_ID0101_1_jpg.jpg?v=1768543096</t>
  </si>
  <si>
    <t>https://innisfree-taiwan.myshopify.com/cdn/shop/files/pdp_mig_033b4b6d_20231227_1206_ID0101_1_jpg.jpg?v=1768543096</t>
  </si>
  <si>
    <t>https://innisfree-taiwan.myshopify.com/products/innisfree-essential-shadow-palette</t>
  </si>
  <si>
    <t>九宮格眼影盤 8.7g_x000D_ | INNISFREE Taiwan</t>
  </si>
  <si>
    <t>共四款中性色調，輕鬆勾勒出雙眸輪廓，打造自然完美的日常眼妝。</t>
  </si>
  <si>
    <t>九宮格眼影盤 8.7g</t>
  </si>
  <si>
    <t>九宮格眼影盤 8.7g | INNISFREE Taiwan</t>
  </si>
  <si>
    <t>http://innisfree-taiwan.myshopify.com/cdn/shop/files/pdp_mig_d4a890b2_20230911_1215_ID0101_1_jpg.jpg?v=1768543119</t>
  </si>
  <si>
    <t>https://innisfree-taiwan.myshopify.com/cdn/shop/files/pdp_mig_d4a890b2_20230911_1215_ID0101_1_jpg.jpg?v=1768543119</t>
  </si>
  <si>
    <t>https://innisfree-taiwan.myshopify.com/products/innisfree-eyebrow-razors</t>
  </si>
  <si>
    <t>妝自然美妝工具 - 修眉刀_x000D_ | INNISFREE Taiwan</t>
  </si>
  <si>
    <t>溫和不刺激的修眉刀可打造簡單俐落的動人眉形</t>
  </si>
  <si>
    <t>妝自然美妝工具 - 修眉刀</t>
  </si>
  <si>
    <t>妝自然美妝工具 - 修眉刀 | INNISFREE Taiwan</t>
  </si>
  <si>
    <t>http://innisfree-taiwan.myshopify.com/cdn/shop/files/pdp_mig_ba673152_20231129_178_ID0101_1_jpg.jpg?v=1768543107</t>
  </si>
  <si>
    <t>https://innisfree-taiwan.myshopify.com/cdn/shop/files/pdp_mig_ba673152_20231129_178_ID0101_1_jpg.jpg?v=1768543107</t>
  </si>
  <si>
    <t>2026-02-09 18:16:16</t>
  </si>
  <si>
    <t>https://innisfree-taiwan.myshopify.com/products/innisfree-eyeshadow-brush-23</t>
  </si>
  <si>
    <t>妝自然美妝工具 - 眼影暈染刷_x000D_ | INNISFREE Taiwan</t>
  </si>
  <si>
    <t>專業暈染用的眼影刷</t>
  </si>
  <si>
    <t>妝自然美妝工具 - 眼影暈染刷</t>
  </si>
  <si>
    <t>妝自然美妝工具 - 眼影暈染刷 | INNISFREE Taiwan</t>
  </si>
  <si>
    <t>http://innisfree-taiwan.myshopify.com/cdn/shop/files/pdp_mig_f91a65d7_20231129_230_ID0101_1_jpg.jpg?v=1768543106</t>
  </si>
  <si>
    <t>https://innisfree-taiwan.myshopify.com/cdn/shop/files/pdp_mig_f91a65d7_20231129_230_ID0101_1_jpg.jpg?v=1768543106</t>
  </si>
  <si>
    <t>https://innisfree-taiwan.myshopify.com/products/innisfree-eyeshadow-brush-defining-23</t>
  </si>
  <si>
    <t>妝自然美妝工具 - 小眼影刷_x000D_ | INNISFREE Taiwan</t>
  </si>
  <si>
    <t>眼妝重點細部用的小型眼影刷</t>
  </si>
  <si>
    <t>妝自然美妝工具 - 小眼影刷</t>
  </si>
  <si>
    <t>妝自然美妝工具 - 小眼影刷 | INNISFREE Taiwan</t>
  </si>
  <si>
    <t>http://innisfree-taiwan.myshopify.com/cdn/shop/files/pdp_mig_9ac7dc59_20231129_229_ID0101_1_jpg.jpg?v=1768543106</t>
  </si>
  <si>
    <t>https://innisfree-taiwan.myshopify.com/cdn/shop/files/pdp_mig_9ac7dc59_20231129_229_ID0101_1_jpg.jpg?v=1768543106</t>
  </si>
  <si>
    <t>https://innisfree-taiwan.myshopify.com/products/innisfree-forest-for-men-essence</t>
  </si>
  <si>
    <t>綠樹林風男士精華 100ml_x000D_ | INNISFREE Taiwan</t>
  </si>
  <si>
    <t>綠樹林風男士精華 100ml</t>
  </si>
  <si>
    <t>含有濟州葛札瓦森林黑酵母保濕成分，為男性顧客的肌膚打造保護屏障，使疲勞肌膚重現活力的多效合一精華。</t>
  </si>
  <si>
    <t>綠樹林風男士精華 100ml | INNISFREE Taiwan</t>
  </si>
  <si>
    <t>http://innisfree-taiwan.myshopify.com/cdn/shop/files/pdp_mig_b7670372_20230928_1250_ID0101_1_jpg.jpg?v=1768543090</t>
  </si>
  <si>
    <t>https://innisfree-taiwan.myshopify.com/cdn/shop/files/pdp_mig_b7670372_20230928_1250_ID0101_1_jpg.jpg?v=1768543090</t>
  </si>
  <si>
    <t>2026-02-09 18:15:36</t>
  </si>
  <si>
    <t>https://innisfree-taiwan.myshopify.com/products/innisfree-green-barley-mild-peeling-gel</t>
  </si>
  <si>
    <t>青麥去角質凝膠面膜 120ml_x000D_ | INNISFREE Taiwan</t>
  </si>
  <si>
    <t>含有青麥發酵成份與纖維素，可輕柔除去角質的凝膠面膜</t>
  </si>
  <si>
    <t>青麥去角質凝膠面膜 120ml</t>
  </si>
  <si>
    <t>青麥去角質凝膠面膜 120ml | INNISFREE Taiwan</t>
  </si>
  <si>
    <t>http://innisfree-taiwan.myshopify.com/cdn/shop/files/pdp_mig_f3093b7b_20240924_1425_ID0101_1_jpg.jpg?v=1768543073</t>
  </si>
  <si>
    <t>https://innisfree-taiwan.myshopify.com/cdn/shop/files/pdp_mig_f3093b7b_20240924_1425_ID0101_1_jpg.jpg?v=1768543073</t>
  </si>
  <si>
    <t>https://innisfree-taiwan.myshopify.com/products/innisfree-green-tea-amino-hydrating-cleansing-foam</t>
  </si>
  <si>
    <t>綠茶保濕胺基酸潔面乳 150g_x000D_ | INNISFREE Taiwan</t>
  </si>
  <si>
    <t>含有濟州美肌綠茶萃取與胺基酸複合物的清爽潔面乳，可以輕鬆洗去臉上的髒污，並使臉部肌膚柔嫩與潔淨。適合所有膚質。</t>
  </si>
  <si>
    <t>綠茶保濕胺基酸潔面乳 150g</t>
  </si>
  <si>
    <t>綠茶保濕胺基酸潔面乳 150g | INNISFREE Taiwan</t>
  </si>
  <si>
    <t>http://innisfree-taiwan.myshopify.com/cdn/shop/files/pdp_mig_41f8902d_20230731_838_ID0101_1_jpg.jpg?v=1768543105</t>
  </si>
  <si>
    <t>https://innisfree-taiwan.myshopify.com/cdn/shop/files/pdp_mig_41f8902d_20230731_838_ID0101_1_jpg.jpg?v=1768543105</t>
  </si>
  <si>
    <t>2026-02-09 18:15:31</t>
  </si>
  <si>
    <t>https://innisfree-taiwan.myshopify.com/products/innisfree-green-tea-ceramide-cream</t>
  </si>
  <si>
    <t>綠茶神經醯胺保濕霜 50ml_x000D_ | INNISFREE Taiwan</t>
  </si>
  <si>
    <t>強化肌膚保濕屏障的保濕霜，富含超導綠茶保濕科技™和神經酰胺的輕盈配方，可立即保濕舒緩乾燥肌膚。</t>
  </si>
  <si>
    <t>綠茶神經醯胺保濕霜 50ml</t>
  </si>
  <si>
    <t>綠茶神經醯胺保濕霜 50ml | INNISFREE Taiwan</t>
  </si>
  <si>
    <t>http://innisfree-taiwan.myshopify.com/cdn/shop/files/pdp_mig_ea368c93_20260109_1636_ID0101_1_jpg.jpg?v=1768543071</t>
  </si>
  <si>
    <t>https://innisfree-taiwan.myshopify.com/cdn/shop/files/pdp_mig_ea368c93_20260109_1636_ID0101_1_jpg.jpg?v=1768543071</t>
  </si>
  <si>
    <t>https://innisfree-taiwan.myshopify.com/products/innisfree-green-tea-ceramide-milk</t>
  </si>
  <si>
    <t>綠茶神經醯胺牛奶水精華 160ml_x000D_ | INNISFREE Taiwan</t>
  </si>
  <si>
    <t>綠茶神經醯胺牛奶水精華 160ml</t>
  </si>
  <si>
    <t>綠茶神經醯胺牛奶水精華 160ml | INNISFREE Taiwan</t>
  </si>
  <si>
    <t>http://innisfree-taiwan.myshopify.com/cdn/shop/files/pdp_mig_62ad2a25_20251202_1635_ID0101_1_jpg.jpg?v=1768543070</t>
  </si>
  <si>
    <t>https://innisfree-taiwan.myshopify.com/cdn/shop/files/pdp_mig_62ad2a25_20251202_1635_ID0101_1_jpg.jpg?v=1768543070</t>
  </si>
  <si>
    <t>https://innisfree-taiwan.myshopify.com/products/innisfree-green-tea-ceramide-milk-photo</t>
  </si>
  <si>
    <t>[Mingyu照片限定組]綠茶神經醯胺牛奶水精華_x000D_ | INNISFREE Taiwan</t>
  </si>
  <si>
    <t>[Mingyu照片限定組]綠茶神經醯胺牛奶水精華</t>
  </si>
  <si>
    <t>[Mingyu照片限定組]綠茶神經醯胺牛奶水精華 | INNISFREE Taiwan</t>
  </si>
  <si>
    <t>http://innisfree-taiwan.myshopify.com/cdn/shop/files/20251224_1713_ID0101_1.jpg?v=1770623248</t>
  </si>
  <si>
    <t>https://innisfree-taiwan.myshopify.com/cdn/shop/files/20251224_1713_ID0101_1.jpg?v=1770623248</t>
  </si>
  <si>
    <t>https://innisfree-taiwan.myshopify.com/products/innisfree-green-tea-ceramide-milk-refill</t>
  </si>
  <si>
    <t>綠茶神經醯胺牛奶水精華160ml[補充包]_x000D_ | INNISFREE Taiwan</t>
  </si>
  <si>
    <t>綠茶神經醯胺牛奶水精華160ml[補充包]</t>
  </si>
  <si>
    <t>綠茶神經醯胺牛奶水精華160ml[補充包] | INNISFREE Taiwan</t>
  </si>
  <si>
    <t>http://innisfree-taiwan.myshopify.com/cdn/shop/files/pdp_mig_c6f398ac_20251117_1675_ID0101_1_jpg.jpg?v=1768543071</t>
  </si>
  <si>
    <t>https://innisfree-taiwan.myshopify.com/cdn/shop/files/pdp_mig_c6f398ac_20251117_1675_ID0101_1_jpg.jpg?v=1768543071</t>
  </si>
  <si>
    <t>https://innisfree-taiwan.myshopify.com/products/innisfree-green-tea-hyaluronic-glow-eye-faceball</t>
  </si>
  <si>
    <t>綠茶玻尿酸保濕滾珠眼部精華 10ml_x000D_ | INNISFREE Taiwan</t>
  </si>
  <si>
    <t>富含綠茶萃取物、玻尿酸，清涼滾珠按摩疲勞的眼部肌膚，有助於滋潤和提亮眼周的眼部精華。適合所有膚質。</t>
  </si>
  <si>
    <t>綠茶玻尿酸保濕滾珠眼部精華 10ml</t>
  </si>
  <si>
    <t>綠茶玻尿酸保濕滾珠眼部精華 10ml | INNISFREE Taiwan</t>
  </si>
  <si>
    <t>http://innisfree-taiwan.myshopify.com/cdn/shop/files/pdp_mig_c0d241eb_20260109_849_ID0101_1_jpg.jpg?v=1768543108</t>
  </si>
  <si>
    <t>https://innisfree-taiwan.myshopify.com/cdn/shop/files/pdp_mig_c0d241eb_20260109_849_ID0101_1_jpg.jpg?v=1768543108</t>
  </si>
  <si>
    <t>https://innisfree-taiwan.myshopify.com/products/innisfree-green-tea-hyaluronic-lotion</t>
  </si>
  <si>
    <t>綠茶玻尿酸保濕調理乳 170ml_x000D_ | INNISFREE Taiwan</t>
  </si>
  <si>
    <t>採用綠茶萃取及玻尿酸成分，軟化肌膚、補水保濕，打造肌膚健康透亮的保濕乳液。</t>
  </si>
  <si>
    <t>綠茶玻尿酸保濕調理乳 170ml</t>
  </si>
  <si>
    <t>綠茶玻尿酸保濕調理乳 170ml | INNISFREE Taiwan</t>
  </si>
  <si>
    <t>http://innisfree-taiwan.myshopify.com/cdn/shop/files/pdp_mig_f5f691fc_20230731_1178_ID0101_1_jpg.jpg?v=1768543102</t>
  </si>
  <si>
    <t>https://innisfree-taiwan.myshopify.com/cdn/shop/files/pdp_mig_f5f691fc_20230731_1178_ID0101_1_jpg.jpg?v=1768543102</t>
  </si>
  <si>
    <t>https://innisfree-taiwan.myshopify.com/products/innisfree-green-tea-hyaluronic-mist</t>
  </si>
  <si>
    <t>綠茶玻尿酸保濕噴霧 150ml_x000D_ | INNISFREE Taiwan</t>
  </si>
  <si>
    <t>噴霧型保濕水，搭配美肌綠茶及五種玻尿酸，能隨時使用，緩解肌膚乾燥情形</t>
  </si>
  <si>
    <t>綠茶玻尿酸保濕噴霧 150ml</t>
  </si>
  <si>
    <t>綠茶玻尿酸保濕噴霧 150ml | INNISFREE Taiwan</t>
  </si>
  <si>
    <t>http://innisfree-taiwan.myshopify.com/cdn/shop/files/pdp_mig_bf4dba49_20230828_962_ID0101_1_jpg.jpg?v=1768543103</t>
  </si>
  <si>
    <t>https://innisfree-taiwan.myshopify.com/cdn/shop/files/pdp_mig_bf4dba49_20230828_962_ID0101_1_jpg.jpg?v=1768543103</t>
  </si>
  <si>
    <t>https://innisfree-taiwan.myshopify.com/products/innisfree-green-tea-hyaluronic-moist-sun-serum-spf</t>
  </si>
  <si>
    <t>綠茶玻尿酸保濕防曬精華 SPF50+ PA++++ 50ml_x000D_ | INNISFREE Taiwan</t>
  </si>
  <si>
    <t>富含綠茶萃取並採用玻尿酸膠囊科技，有效抗UV防護肌膚，同時高效保濕肌膚的清爽防曬精華。適合所有膚質。</t>
  </si>
  <si>
    <t>綠茶玻尿酸保濕防曬精華 SPF50+ PA++++ 50ml</t>
  </si>
  <si>
    <t>綠茶玻尿酸保濕防曬精華 SPF50+ PA++++ 50ml | INNISFREE Taiwan</t>
  </si>
  <si>
    <t>http://innisfree-taiwan.myshopify.com/cdn/shop/files/pdp_mig_9de0db08_20240716_1392_ID0101_1_jpg.jpg?v=1768543073</t>
  </si>
  <si>
    <t>https://innisfree-taiwan.myshopify.com/cdn/shop/files/pdp_mig_9de0db08_20240716_1392_ID0101_1_jpg.jpg?v=1768543073</t>
  </si>
  <si>
    <t>2026-02-09 18:16:05</t>
  </si>
  <si>
    <t>https://innisfree-taiwan.myshopify.com/products/innisfree-green-tea-hyaluronic-skin</t>
  </si>
  <si>
    <t>綠茶玻尿酸保濕調理液 170ml_x000D_ | INNISFREE Taiwan</t>
  </si>
  <si>
    <t>含有濟州美肌綠茶的萃取與綠茶籽油，給予肌膚充分的保濕與加強肌膚保濕屏障的清爽化妝水。適合所有膚質。</t>
  </si>
  <si>
    <t>綠茶玻尿酸保濕調理液 170ml</t>
  </si>
  <si>
    <t>綠茶玻尿酸保濕調理液 170ml | INNISFREE Taiwan</t>
  </si>
  <si>
    <t>http://innisfree-taiwan.myshopify.com/cdn/shop/files/pdp_mig_e11382a8_20230731_1177_ID0101_1_jpg.jpg?v=1768543101</t>
  </si>
  <si>
    <t>https://innisfree-taiwan.myshopify.com/cdn/shop/files/pdp_mig_e11382a8_20230731_1177_ID0101_1_jpg.jpg?v=1768543101</t>
  </si>
  <si>
    <t>https://innisfree-taiwan.myshopify.com/products/innisfree-green-tea-hyaluronic-sun-serum-spf50-pa</t>
  </si>
  <si>
    <t>綠茶玻尿酸保濕防曬精華2件組 &amp;#40;小熊維尼限定版&amp;#41;_x000D_ | INNISFREE Taiwan</t>
  </si>
  <si>
    <t>綠茶玻尿酸保濕防曬精華2件組 (小熊維尼限定版)</t>
  </si>
  <si>
    <t>綠茶玻尿酸保濕防曬精華2件組 &amp;#40;小熊維尼限定版&amp;#41; | INNISFREE Taiwan</t>
  </si>
  <si>
    <t>http://innisfree-taiwan.myshopify.com/cdn/shop/files/pdp_mig_b7660a4c_20250826_1621_ID0101_1_jpg.jpg?v=1768543070</t>
  </si>
  <si>
    <t>https://innisfree-taiwan.myshopify.com/cdn/shop/files/pdp_mig_b7660a4c_20250826_1621_ID0101_1_jpg.jpg?v=1768543070</t>
  </si>
  <si>
    <t>2026-02-09 18:16:06</t>
  </si>
  <si>
    <t>https://innisfree-taiwan.myshopify.com/products/innisfree-green-tea-seed-hyaluronic-cream</t>
  </si>
  <si>
    <t>綠茶籽玻尿酸保濕霜 50ml_x000D_ | INNISFREE Taiwan</t>
  </si>
  <si>
    <t>採用綠茶萃取及玻尿酸成分，給予肌膚補水保濕，打造肌膚健康透亮的保濕面霜。適合所有膚質。</t>
  </si>
  <si>
    <t>綠茶籽玻尿酸保濕霜 50ml</t>
  </si>
  <si>
    <t>綠茶籽玻尿酸保濕霜 50ml | INNISFREE Taiwan</t>
  </si>
  <si>
    <t>http://innisfree-taiwan.myshopify.com/cdn/shop/files/pdp_mig_9c74e39a_20260109_847_ID0101_1_jpg.jpg?v=1768543110</t>
  </si>
  <si>
    <t>https://innisfree-taiwan.myshopify.com/cdn/shop/files/pdp_mig_9c74e39a_20260109_847_ID0101_1_jpg.jpg?v=1768543110</t>
  </si>
  <si>
    <t>https://innisfree-taiwan.myshopify.com/products/innisfree-green-tea-seed-hyaluronic-serum</t>
  </si>
  <si>
    <t>綠茶籽玻尿酸保濕精華 80ml_x000D_ | INNISFREE Taiwan</t>
  </si>
  <si>
    <t>綠茶萃取+玻尿酸的協同作用能夠快速解決肌膚缺水問題，加強保濕屏障幫助肌膚365天長效保濕，打造健康透亮的保濕精華。全膚質適用的國民精華。</t>
  </si>
  <si>
    <t>綠茶籽玻尿酸保濕精華 80ml</t>
  </si>
  <si>
    <t>綠茶籽玻尿酸保濕精華 80ml | INNISFREE Taiwan</t>
  </si>
  <si>
    <t>http://innisfree-taiwan.myshopify.com/cdn/shop/files/pdp_mig_8fe6051a_20250630_471_ID0101_1_jpg.jpg?v=1768543104</t>
  </si>
  <si>
    <t>https://innisfree-taiwan.myshopify.com/cdn/shop/files/pdp_mig_8fe6051a_20250630_471_ID0101_1_jpg.jpg?v=1768543104</t>
  </si>
  <si>
    <t>2026-02-09 18:16:03</t>
  </si>
  <si>
    <t>https://innisfree-taiwan.myshopify.com/products/innisfree-green-tea-seed-hyaluronic-serum-130ml</t>
  </si>
  <si>
    <t>綠茶籽玻尿酸保濕精華130ml [加大版]_x000D_ | INNISFREE Taiwan</t>
  </si>
  <si>
    <t>綠茶萃取+玻尿酸的協同作用能夠快速解決肌膚缺水問題，加強保濕屏障幫助肌膚365天長效保濕，打造健康透亮的保濕精華。</t>
  </si>
  <si>
    <t>綠茶籽玻尿酸保濕精華130ml [加大版]</t>
  </si>
  <si>
    <t>綠茶籽玻尿酸保濕精華130ml [加大版] | INNISFREE Taiwan</t>
  </si>
  <si>
    <t>http://innisfree-taiwan.myshopify.com/cdn/shop/files/pdp_mig_b26e9ca6_20240319_1314_ID0101_1_jpg.jpg?v=1768543080</t>
  </si>
  <si>
    <t>https://innisfree-taiwan.myshopify.com/cdn/shop/files/pdp_mig_b26e9ca6_20240319_1314_ID0101_1_jpg.jpg?v=1768543080</t>
  </si>
  <si>
    <t>https://innisfree-taiwan.myshopify.com/products/innisfree-hyaluron-moist-sunscreen-spf50-pa</t>
  </si>
  <si>
    <t>玻尿酸保濕水感防曬霜 SPF50+ PA++++ &amp;#40;小熊維尼限定版&amp;#41;_x000D_ | INNISFREE Taiwan</t>
  </si>
  <si>
    <t>富含有8種玻尿酸配方的輕爽保濕防曬霜。</t>
  </si>
  <si>
    <t>玻尿酸保濕水感防曬霜 SPF50+ PA++++ (小熊維尼限定版)</t>
  </si>
  <si>
    <t>玻尿酸保濕水感防曬霜 SPF50+ PA++++ &amp;#40;小熊維尼限定版&amp;#41; | INNISFREE Taiwan</t>
  </si>
  <si>
    <t>http://innisfree-taiwan.myshopify.com/cdn/shop/files/pdp_mig_66a5b891_20250826_1615_ID0101_1_jpg.jpg?v=1768543071</t>
  </si>
  <si>
    <t>https://innisfree-taiwan.myshopify.com/cdn/shop/files/pdp_mig_66a5b891_20250826_1615_ID0101_1_jpg.jpg?v=1768543071</t>
  </si>
  <si>
    <t>https://innisfree-taiwan.myshopify.com/products/innisfree-intensive-leisure-sun-stick-spf50-pa</t>
  </si>
  <si>
    <t>強效防水休閒防曬棒 SPF50+ PA++++ 18g_x000D_ | INNISFREE Taiwan</t>
  </si>
  <si>
    <t>防水抗汗! 適用於休閒運動等戶外活動，補擦方便的防曬棒。</t>
  </si>
  <si>
    <t>強效防水休閒防曬棒 SPF50+ PA++++ 18g</t>
  </si>
  <si>
    <t>強效防水休閒防曬棒 SPF50+ PA++++ 18g | INNISFREE Taiwan</t>
  </si>
  <si>
    <t>http://innisfree-taiwan.myshopify.com/cdn/shop/files/pdp_mig_e907467a_20240923_1423_ID0101_1_jpg.jpg?v=1768543073</t>
  </si>
  <si>
    <t>https://innisfree-taiwan.myshopify.com/cdn/shop/files/pdp_mig_e907467a_20240923_1423_ID0101_1_jpg.jpg?v=1768543073</t>
  </si>
  <si>
    <t>https://innisfree-taiwan.myshopify.com/products/innisfree-isle-number-body-hand-wash-green-tea</t>
  </si>
  <si>
    <t>ISLE NUMBER手部及身體沐浴乳 [綠茶精萃]_x000D_ | INNISFREE Taiwan</t>
  </si>
  <si>
    <t>「THE NEW ISLE」是 INNISFREE 的經典香氛，融合了多種靈感來自於自然與虛擬地點的香氣，帶領人們探索充滿未知自然的新島嶼，呈現多樣化的香氣。獨家配方含有綠茶萃取及植物油複合物™，擁有豐富泡泡的弱酸性沐浴乳，清爽綠色花香調舒緩身體。</t>
  </si>
  <si>
    <t>ISLE NUMBER手部及身體沐浴乳 300ml [綠茶精萃]</t>
  </si>
  <si>
    <t>ISLE NUMBER手部及身體沐浴乳 [綠茶精萃] | INNISFREE Taiwan</t>
  </si>
  <si>
    <t>http://innisfree-taiwan.myshopify.com/cdn/shop/files/pdp_mig_e9eacf42_20250116_1495_ID0101_1_jpg.jpg?v=1768543073</t>
  </si>
  <si>
    <t>https://innisfree-taiwan.myshopify.com/cdn/shop/files/pdp_mig_e9eacf42_20250116_1495_ID0101_1_jpg.jpg?v=1768543073</t>
  </si>
  <si>
    <t>https://innisfree-taiwan.myshopify.com/products/innisfree-isle-number-body-lotion</t>
  </si>
  <si>
    <t>ISLE NUMBER身體乳 300ml_x000D_ | INNISFREE Taiwan</t>
  </si>
  <si>
    <t>獨家配方含有綠茶萃取及植物油複合物™的弱酸性身體乳，充滿香氣兼具優異保溼效果，留香效果持久。</t>
  </si>
  <si>
    <t>ISLE NUMBER身體乳 300ml</t>
  </si>
  <si>
    <t>ISLE NUMBER身體乳 300ml | INNISFREE Taiwan</t>
  </si>
  <si>
    <t>http://innisfree-taiwan.myshopify.com/cdn/shop/files/pdp_mig_e0a1277d_20231127_1274_ID0101_1_jpg.jpg?v=1768543076</t>
  </si>
  <si>
    <t>https://innisfree-taiwan.myshopify.com/cdn/shop/files/pdp_mig_e0a1277d_20231127_1274_ID0101_1_jpg.jpg?v=1768543076</t>
  </si>
  <si>
    <t>https://innisfree-taiwan.myshopify.com/products/innisfree-isle-number-body-lotion-green-tea</t>
  </si>
  <si>
    <t>ISLE NUMBER身體乳 300ml [綠茶精萃]_x000D_ | INNISFREE Taiwan</t>
  </si>
  <si>
    <t>「THE NEW ISLE」是 INNISFREE 的經典香氛，融合了多種靈感來自於自然與虛擬地點的香氣，帶領人們探索充滿未知自然的新島嶼，呈現多樣化的香氣。獨家配方含有綠茶萃取及植物油複合物™，擁有豐富泡泡的弱酸性身體乳，清爽綠色花香調舒緩身體。</t>
  </si>
  <si>
    <t>ISLE NUMBER身體乳 300ml [綠茶精萃]</t>
  </si>
  <si>
    <t>ISLE NUMBER身體乳 300ml [綠茶精萃] | INNISFREE Taiwan</t>
  </si>
  <si>
    <t>http://innisfree-taiwan.myshopify.com/cdn/shop/files/pdp_mig_6a68b0f6_20250116_1496_ID0101_1_jpg.jpg?v=1768543074</t>
  </si>
  <si>
    <t>https://innisfree-taiwan.myshopify.com/cdn/shop/files/pdp_mig_6a68b0f6_20250116_1496_ID0101_1_jpg.jpg?v=1768543074</t>
  </si>
  <si>
    <t>https://innisfree-taiwan.myshopify.com/products/innisfree-isle-number-body-wash</t>
  </si>
  <si>
    <t>ISLE NUMBER手部及身體沐浴乳 300ml_x000D_ | INNISFREE Taiwan</t>
  </si>
  <si>
    <t>獨家配方含有綠茶萃取及植物油複合物™，擁有豐富泡泡的弱酸性沐浴乳。</t>
  </si>
  <si>
    <t>ISLE NUMBER手部及身體沐浴乳 300ml</t>
  </si>
  <si>
    <t>ISLE NUMBER手部及身體沐浴乳 300ml | INNISFREE Taiwan</t>
  </si>
  <si>
    <t>http://innisfree-taiwan.myshopify.com/cdn/shop/files/pdp_mig_f8afe039_20231127_1273_ID0101_1_jpg.jpg?v=1768543076</t>
  </si>
  <si>
    <t>https://innisfree-taiwan.myshopify.com/cdn/shop/files/pdp_mig_f8afe039_20231127_1273_ID0101_1_jpg.jpg?v=1768543076</t>
  </si>
  <si>
    <t>https://innisfree-taiwan.myshopify.com/products/innisfree-isle-number-hand-cream</t>
  </si>
  <si>
    <t>ISLE NUMBER護手霜 50ml_x000D_ | INNISFREE Taiwan</t>
  </si>
  <si>
    <t>獨家配方含有綠茶萃取及植物油複合物™的保濕護手霜。</t>
  </si>
  <si>
    <t>ISLE NUMBER護手霜 50ml</t>
  </si>
  <si>
    <t>ISLE NUMBER護手霜 50ml | INNISFREE Taiwan</t>
  </si>
  <si>
    <t>http://innisfree-taiwan.myshopify.com/cdn/shop/files/pdp_mig_dc7dba2f_20231127_1275_ID0101_1_jpg.jpg?v=1768543076</t>
  </si>
  <si>
    <t>https://innisfree-taiwan.myshopify.com/cdn/shop/files/pdp_mig_dc7dba2f_20231127_1275_ID0101_1_jpg.jpg?v=1768543076</t>
  </si>
  <si>
    <t>https://innisfree-taiwan.myshopify.com/products/innisfree-isle-number-hand-cream-green-tea</t>
  </si>
  <si>
    <t>ISLE NUMBER護手霜 50ml [綠茶精萃]_x000D_ | INNISFREE Taiwan</t>
  </si>
  <si>
    <t>「THE NEW ISLE」是 INNISFREE 的經典香氛，融合了多種靈感來自於自然與虛擬地點的香氣，帶領人們探索充滿未知自然的新島嶼，呈現多樣化的香氣。獨家配方含有綠茶萃取及植物油複合物™的保濕護手霜，清爽綠色花香調呵護雙手。</t>
  </si>
  <si>
    <t>ISLE NUMBER護手霜 50ml [綠茶精萃]</t>
  </si>
  <si>
    <t>ISLE NUMBER護手霜 50ml [綠茶精萃] | INNISFREE Taiwan</t>
  </si>
  <si>
    <t>http://innisfree-taiwan.myshopify.com/cdn/shop/files/pdp_mig_81247e18_20250116_1497_ID0101_1_jpg.jpg?v=1768543072</t>
  </si>
  <si>
    <t>https://innisfree-taiwan.myshopify.com/cdn/shop/files/pdp_mig_81247e18_20250116_1497_ID0101_1_jpg.jpg?v=1768543072</t>
  </si>
  <si>
    <t>https://innisfree-taiwan.myshopify.com/products/innisfree-jeju-orchid-enriched-cream</t>
  </si>
  <si>
    <t>寒蘭複合滋養霜 50ml_x000D_ | INNISFREE Taiwan</t>
  </si>
  <si>
    <t>採用寒蘭肌活萃取物2.0™配方，有效滋養肌膚、全方位修護五大肌膚問題的多效合一面霜</t>
  </si>
  <si>
    <t>寒蘭複合滋養霜 50ml</t>
  </si>
  <si>
    <t>寒蘭複合滋養霜 50ml | INNISFREE Taiwan</t>
  </si>
  <si>
    <t>http://innisfree-taiwan.myshopify.com/cdn/shop/files/pdp_mig_872ac216_20260109_52_ID0101_1_jpg.jpg?v=1768543120</t>
  </si>
  <si>
    <t>https://innisfree-taiwan.myshopify.com/cdn/shop/files/pdp_mig_872ac216_20260109_52_ID0101_1_jpg.jpg?v=1768543120</t>
  </si>
  <si>
    <t>2026-02-09 18:14:47</t>
  </si>
  <si>
    <t>https://innisfree-taiwan.myshopify.com/products/innisfree-jeju-orchid-enriched-essence</t>
  </si>
  <si>
    <t>寒蘭複合滋養精華 50ml_x000D_ | INNISFREE Taiwan</t>
  </si>
  <si>
    <t>採用寒蘭肌活萃取物2.0™配方，有效滋養肌膚、全方位修護五大肌膚問題的多效合一精華</t>
  </si>
  <si>
    <t>寒蘭複合滋養精華 50ml</t>
  </si>
  <si>
    <t>寒蘭複合滋養精華 50ml | INNISFREE Taiwan</t>
  </si>
  <si>
    <t>http://innisfree-taiwan.myshopify.com/cdn/shop/files/pdp_mig_2bd971ef_20231228_53_ID0101_1_jpg.jpg?v=1768543114</t>
  </si>
  <si>
    <t>https://innisfree-taiwan.myshopify.com/cdn/shop/files/pdp_mig_2bd971ef_20231228_53_ID0101_1_jpg.jpg?v=1768543114</t>
  </si>
  <si>
    <t>2026-02-09 18:14:51</t>
  </si>
  <si>
    <t>https://innisfree-taiwan.myshopify.com/products/innisfree-jeju-orchid-eye-cream</t>
  </si>
  <si>
    <t>寒蘭複合眼霜 30ml_x000D_ | INNISFREE Taiwan</t>
  </si>
  <si>
    <t>採用寒蘭肌活萃取物2.0™配方，有效滋養眼周肌膚、全方位修護眼周肌膚問題的多效合一眼霜</t>
  </si>
  <si>
    <t>寒蘭複合眼霜 30ml</t>
  </si>
  <si>
    <t>寒蘭複合眼霜 30ml | INNISFREE Taiwan</t>
  </si>
  <si>
    <t>http://innisfree-taiwan.myshopify.com/cdn/shop/files/pdp_mig_2b7686e7_20260109_54_ID0101_1_jpg.jpg?v=1768543114</t>
  </si>
  <si>
    <t>https://innisfree-taiwan.myshopify.com/cdn/shop/files/pdp_mig_2b7686e7_20260109_54_ID0101_1_jpg.jpg?v=1768543114</t>
  </si>
  <si>
    <t>2026-02-09 18:16:01</t>
  </si>
  <si>
    <t>https://innisfree-taiwan.myshopify.com/products/innisfree-jeju-orchid-lotion</t>
  </si>
  <si>
    <t>寒蘭複合滋養乳 170ml_x000D_ | INNISFREE Taiwan</t>
  </si>
  <si>
    <t>採用寒蘭肌活萃取物2.0™配方，有效滋養肌膚、全方位修護五大肌膚問題的多效合一滋養乳</t>
  </si>
  <si>
    <t>寒蘭複合滋養乳 170ml</t>
  </si>
  <si>
    <t>寒蘭複合滋養乳 170ml | INNISFREE Taiwan</t>
  </si>
  <si>
    <t>http://innisfree-taiwan.myshopify.com/cdn/shop/files/pdp_mig_eb283eba_20231228_56_ID0101_1_jpg.jpg?v=1768543113</t>
  </si>
  <si>
    <t>https://innisfree-taiwan.myshopify.com/cdn/shop/files/pdp_mig_eb283eba_20231228_56_ID0101_1_jpg.jpg?v=1768543113</t>
  </si>
  <si>
    <t>https://innisfree-taiwan.myshopify.com/products/innisfree-jeju-orchid-skin</t>
  </si>
  <si>
    <t>寒蘭複合滋養水 170ml_x000D_ | INNISFREE Taiwan</t>
  </si>
  <si>
    <t>蘊含濟州寒蘭強大生命能量，有效滋養肌膚、改善五大老化肌膚問題的多效合一滋養水</t>
  </si>
  <si>
    <t>寒蘭複合滋養水 170ml</t>
  </si>
  <si>
    <t>寒蘭複合滋養水 170ml | INNISFREE Taiwan</t>
  </si>
  <si>
    <t>http://innisfree-taiwan.myshopify.com/cdn/shop/files/pdp_mig_012915c8_20231228_57_ID0101_1_jpg.jpg?v=1768543114</t>
  </si>
  <si>
    <t>https://innisfree-taiwan.myshopify.com/cdn/shop/files/pdp_mig_012915c8_20231228_57_ID0101_1_jpg.jpg?v=1768543114</t>
  </si>
  <si>
    <t>https://innisfree-taiwan.myshopify.com/products/innisfree-light-fitting-concealer</t>
  </si>
  <si>
    <t>輕薄透服貼遮瑕膏 7g_x000D_ | INNISFREE Taiwan</t>
  </si>
  <si>
    <t>專門遮蓋黑眼圈的遮瑕膏，高分子服貼配方、針對不同瑕疵程度的遮瑕效果</t>
  </si>
  <si>
    <t>輕薄透服貼遮瑕膏 7g</t>
  </si>
  <si>
    <t>輕薄透服貼遮瑕膏 7g | INNISFREE Taiwan</t>
  </si>
  <si>
    <t>http://innisfree-taiwan.myshopify.com/cdn/shop/files/pdp_mig_734d225c_20240103_1296_ID0101_1_jpg.jpg?v=1768543074</t>
  </si>
  <si>
    <t>https://innisfree-taiwan.myshopify.com/cdn/shop/files/pdp_mig_734d225c_20240103_1296_ID0101_1_jpg.jpg?v=1768543074</t>
  </si>
  <si>
    <t>https://innisfree-taiwan.myshopify.com/products/innisfree-light-fitting-foundation-spf20-pa</t>
  </si>
  <si>
    <t>輕薄透服貼粉底液 SPF20 PA++ 30ml_x000D_ | INNISFREE Taiwan</t>
  </si>
  <si>
    <t>全新高分子服貼配方，完美貼合肌膚，打造輕薄光滑的底妝</t>
  </si>
  <si>
    <t>輕薄透服貼粉底液 SPF20 PA++ 30ml</t>
  </si>
  <si>
    <t>輕薄透服貼粉底液 SPF20 PA++ 30ml | INNISFREE Taiwan</t>
  </si>
  <si>
    <t>http://innisfree-taiwan.myshopify.com/cdn/shop/files/pdp_mig_0823a8e3_20230928_1258_ID0101_1_jpg.jpg?v=1768543087</t>
  </si>
  <si>
    <t>https://innisfree-taiwan.myshopify.com/cdn/shop/files/pdp_mig_0823a8e3_20230928_1258_ID0101_1_jpg.jpg?v=1768543087</t>
  </si>
  <si>
    <t>https://innisfree-taiwan.myshopify.com/products/innisfree-light-fitting-makeup-base</t>
  </si>
  <si>
    <t>輕薄透服貼飾底乳SPF23 PA++ 30ml_x000D_ | INNISFREE Taiwan</t>
  </si>
  <si>
    <t>防曬及保濕功能兼具的飾底乳，水潤輕薄質地可完美服貼肌膚，單獨使用即可打造天生偽素顏。</t>
  </si>
  <si>
    <t>輕薄透服貼飾底乳SPF23 PA++ 30ml</t>
  </si>
  <si>
    <t>輕薄透服貼飾底乳SPF23 PA++ 30ml | INNISFREE Taiwan</t>
  </si>
  <si>
    <t>http://innisfree-taiwan.myshopify.com/cdn/shop/files/pdp_mig_343571ea_20240318_1331_ID0101_1_jpg.jpg?v=1768543075</t>
  </si>
  <si>
    <t>https://innisfree-taiwan.myshopify.com/cdn/shop/files/pdp_mig_343571ea_20240318_1331_ID0101_1_jpg.jpg?v=1768543075</t>
  </si>
  <si>
    <t>2026-02-09 18:16:56</t>
  </si>
  <si>
    <t>https://innisfree-taiwan.myshopify.com/products/innisfree-mini-pact-puff</t>
  </si>
  <si>
    <t>妝自然美妝工具 - 迷你粉餅粉撲_x000D_ | INNISFREE Taiwan</t>
  </si>
  <si>
    <t>打造輕透自然妝容的迷你粉餅粉撲</t>
  </si>
  <si>
    <t>妝自然美妝工具 - 迷你粉餅粉撲</t>
  </si>
  <si>
    <t>妝自然美妝工具 - 迷你粉餅粉撲 | INNISFREE Taiwan</t>
  </si>
  <si>
    <t>http://innisfree-taiwan.myshopify.com/cdn/shop/files/pdp_mig_cdcecff8_20231129_75_ID0101_1_jpg.jpg?v=1768543113</t>
  </si>
  <si>
    <t>https://innisfree-taiwan.myshopify.com/cdn/shop/files/pdp_mig_cdcecff8_20231129_75_ID0101_1_jpg.jpg?v=1768543113</t>
  </si>
  <si>
    <t>2026-02-09 18:16:13</t>
  </si>
  <si>
    <t>https://innisfree-taiwan.myshopify.com/products/innisfree-mini-powder-puff-23</t>
  </si>
  <si>
    <t>妝自然美妝工具 - 迷你蜜粉粉撲_x000D_ | INNISFREE Taiwan</t>
  </si>
  <si>
    <t>打造細膩霧面妝容的迷你蜜粉粉撲。</t>
  </si>
  <si>
    <t>妝自然美妝工具 - 迷你蜜粉粉撲</t>
  </si>
  <si>
    <t>妝自然美妝工具 - 迷你蜜粉粉撲 | INNISFREE Taiwan</t>
  </si>
  <si>
    <t>http://innisfree-taiwan.myshopify.com/cdn/shop/files/pdp_mig_4760c671_20231129_964_ID0101_1_jpg.jpg?v=1768543095</t>
  </si>
  <si>
    <t>https://innisfree-taiwan.myshopify.com/cdn/shop/files/pdp_mig_4760c671_20231129_964_ID0101_1_jpg.jpg?v=1768543095</t>
  </si>
  <si>
    <t>https://innisfree-taiwan.myshopify.com/products/innisfree-my-hair-recipe-curl-up-essence</t>
  </si>
  <si>
    <t>我的秀髮 - 輕舞柔亮精華乳[捲髮專用] 100ml_x000D_ | INNISFREE Taiwan</t>
  </si>
  <si>
    <t>針對捲燙髮使用的精華乳，含有滋養的蛋白質成分，使捲髮維持漂亮的捲度與蓬鬆感。</t>
  </si>
  <si>
    <t>我的秀髮 - 輕舞柔亮精華乳[捲髮專用] 100ml</t>
  </si>
  <si>
    <t>我的秀髮 - 輕舞柔亮精華乳[捲髮專用] 100ml | INNISFREE Taiwan</t>
  </si>
  <si>
    <t>http://innisfree-taiwan.myshopify.com/cdn/shop/files/pdp_mig_b4515f54_20231006_312_ID0101_1_jpg.jpg?v=1768543104</t>
  </si>
  <si>
    <t>https://innisfree-taiwan.myshopify.com/cdn/shop/files/pdp_mig_b4515f54_20231006_312_ID0101_1_jpg.jpg?v=1768543104</t>
  </si>
  <si>
    <t>https://innisfree-taiwan.myshopify.com/products/innisfree-my-hair-recipe-essential-hair-oil-serum</t>
  </si>
  <si>
    <t>我的秀髮 - 奇蹟修護精華油[受損髮質] 100ml_x000D_ | INNISFREE Taiwan</t>
  </si>
  <si>
    <t>我的秀髮 - 奇蹟修護精華油[受損髮質] 100ml</t>
  </si>
  <si>
    <t>我的秀髮 - 奇蹟修護精華油[受損髮質] 100ml | INNISFREE Taiwan</t>
  </si>
  <si>
    <t>http://innisfree-taiwan.myshopify.com/cdn/shop/files/pdp_mig_75ff5392_20231006_84_ID0101_1_jpg.jpg?v=1768543113</t>
  </si>
  <si>
    <t>https://innisfree-taiwan.myshopify.com/cdn/shop/files/pdp_mig_75ff5392_20231006_84_ID0101_1_jpg.jpg?v=1768543113</t>
  </si>
  <si>
    <t>2026-02-09 18:15:43</t>
  </si>
  <si>
    <t>https://innisfree-taiwan.myshopify.com/products/innisfree-my-hair-recipe-strength-shampoo</t>
  </si>
  <si>
    <t>我的秀髮-強健修護洗髮精[強健髮根] 330ml_x000D_ | INNISFREE Taiwan</t>
  </si>
  <si>
    <t>針對細軟髮頭皮專用的無矽靈配方天然洗髮精，強韌髮根以創造豐盈的秀髮。 針對落髮困擾設計，補充毛囊營養能量，為逐漸疲憊的髮根恢復活力。</t>
  </si>
  <si>
    <t>我的秀髮-強健修護洗髮精[強健髮根] 330ml</t>
  </si>
  <si>
    <t>我的秀髮-強健修護洗髮精[強健髮根] 330ml | INNISFREE Taiwan</t>
  </si>
  <si>
    <t>http://innisfree-taiwan.myshopify.com/cdn/shop/files/pdp_mig_5aec4707_20231006_1140_ID0101_1_jpg.jpg?v=1768543099</t>
  </si>
  <si>
    <t>https://innisfree-taiwan.myshopify.com/cdn/shop/files/pdp_mig_5aec4707_20231006_1140_ID0101_1_jpg.jpg?v=1768543099</t>
  </si>
  <si>
    <t>2026-02-09 18:15:41</t>
  </si>
  <si>
    <t>https://innisfree-taiwan.myshopify.com/products/innisfree-my-hair-recipe-strength-tonic-essence</t>
  </si>
  <si>
    <t>我的秀髮 - 強健修護頭皮精華[強健髮根] 100ml_x000D_ | INNISFREE Taiwan</t>
  </si>
  <si>
    <t>針對細軟髮頭皮專用的無矽靈配方精華，給予頭皮最直接的護理。</t>
  </si>
  <si>
    <t>我的秀髮 - 強健修護頭皮精華[強健髮根] 100ml</t>
  </si>
  <si>
    <t>我的秀髮 - 強健修護頭皮精華[強健髮根] 100ml | INNISFREE Taiwan</t>
  </si>
  <si>
    <t>http://innisfree-taiwan.myshopify.com/cdn/shop/files/pdp_mig_9aaeac4c_20231006_160_ID0101_1_jpg.jpg?v=1768543117</t>
  </si>
  <si>
    <t>https://innisfree-taiwan.myshopify.com/cdn/shop/files/pdp_mig_9aaeac4c_20231006_160_ID0101_1_jpg.jpg?v=1768543117</t>
  </si>
  <si>
    <t>https://innisfree-taiwan.myshopify.com/products/innisfree-my-hair-recipe-strength-treatment</t>
  </si>
  <si>
    <t>我的秀髮-強健修護護髮乳[強健髮根]_x000D_ | INNISFREE Taiwan</t>
  </si>
  <si>
    <t>針對細軟髮頭皮專用的無矽靈配方天然護髮乳，強韌髮根並滋潤秀髮給予豐盈效果。</t>
  </si>
  <si>
    <t>我的秀髮-強健修護護髮乳[強健髮根]</t>
  </si>
  <si>
    <t>我的秀髮-強健修護護髮乳[強健髮根] | INNISFREE Taiwan</t>
  </si>
  <si>
    <t>http://innisfree-taiwan.myshopify.com/cdn/shop/files/pdp_mig_a55ea2cd_20231006_87_ID0101_1_jpg.jpg?v=1768543113</t>
  </si>
  <si>
    <t>https://innisfree-taiwan.myshopify.com/cdn/shop/files/pdp_mig_a55ea2cd_20231006_87_ID0101_1_jpg.jpg?v=1768543113</t>
  </si>
  <si>
    <t>2026-02-09 18:15:37</t>
  </si>
  <si>
    <t>https://innisfree-taiwan.myshopify.com/products/innisfree-my-perfumed-body-cleanser</t>
  </si>
  <si>
    <t>我的香氛沐浴乳 330ml_x000D_ | INNISFREE Taiwan</t>
  </si>
  <si>
    <t>享受來自濟州島自由放鬆的香氣，帶給身體一整天水潤保濕的身體保養系列，採用天然界面活性劑，泡沫細緻柔和，洗完不緊繃、香氣怡人帶來放鬆舒適的沐浴時光。</t>
  </si>
  <si>
    <t>我的香氛沐浴乳 330ml</t>
  </si>
  <si>
    <t>我的香氛沐浴乳 330ml | INNISFREE Taiwan</t>
  </si>
  <si>
    <t>http://innisfree-taiwan.myshopify.com/cdn/shop/files/pdp_mig_78e91b92_20230928_1255_ID0101_1_jpg.jpg?v=1768543094</t>
  </si>
  <si>
    <t>https://innisfree-taiwan.myshopify.com/cdn/shop/files/pdp_mig_78e91b92_20230928_1255_ID0101_1_jpg.jpg?v=1768543094</t>
  </si>
  <si>
    <t>https://innisfree-taiwan.myshopify.com/products/innisfree-my-perfumed-body-hair-mist</t>
  </si>
  <si>
    <t>我的身體髮香噴霧 100ml_x000D_ | INNISFREE Taiwan</t>
  </si>
  <si>
    <t>給予身心完全放鬆的身體髮香噴霧。</t>
  </si>
  <si>
    <t>我的身體髮香噴霧 100ml</t>
  </si>
  <si>
    <t>我的身體髮香噴霧 100ml | INNISFREE Taiwan</t>
  </si>
  <si>
    <t>http://innisfree-taiwan.myshopify.com/cdn/shop/files/pdp_mig_0b976b4b_20231006_1061_ID0101_1_jpg.jpg?v=1768543099</t>
  </si>
  <si>
    <t>https://innisfree-taiwan.myshopify.com/cdn/shop/files/pdp_mig_0b976b4b_20231006_1061_ID0101_1_jpg.jpg?v=1768543099</t>
  </si>
  <si>
    <t>https://innisfree-taiwan.myshopify.com/products/innisfree-my-perfumed-body-lotion23</t>
  </si>
  <si>
    <t>我的香氛身體乳 330ml_x000D_ | INNISFREE Taiwan</t>
  </si>
  <si>
    <t>舒緩療癒味道的身體乳，來自濟州自由與純淨香氛，有如擦上香水般的持久迷人 。</t>
  </si>
  <si>
    <t>我的香氛身體乳 330ml</t>
  </si>
  <si>
    <t>我的香氛身體乳 330ml | INNISFREE Taiwan</t>
  </si>
  <si>
    <t>http://innisfree-taiwan.myshopify.com/cdn/shop/files/pdp_mig_9e9ec3fd_20230928_1256_ID0101_1_jpg.jpg?v=1768543095</t>
  </si>
  <si>
    <t>https://innisfree-taiwan.myshopify.com/cdn/shop/files/pdp_mig_9e9ec3fd_20230928_1256_ID0101_1_jpg.jpg?v=1768543095</t>
  </si>
  <si>
    <t>https://innisfree-taiwan.myshopify.com/products/innisfree-my-perfumed-hand-cream</t>
  </si>
  <si>
    <t>我的香氛護手霜 30ml_x000D_ | INNISFREE Taiwan</t>
  </si>
  <si>
    <t>迷人香氣、輕巧好攜帶的保濕香氛護手霜。由日常生活中各種香味組成的護手霜，因此，您可以每天依照心情選擇喜歡的香味使用。</t>
  </si>
  <si>
    <t>我的香氛護手霜 30ml</t>
  </si>
  <si>
    <t>我的香氛護手霜 30ml | INNISFREE Taiwan</t>
  </si>
  <si>
    <t>http://innisfree-taiwan.myshopify.com/cdn/shop/files/pdp_mig_bafc4ed0_20251117_1257_ID0101_1_jpg.jpg?v=1768543091</t>
  </si>
  <si>
    <t>https://innisfree-taiwan.myshopify.com/cdn/shop/files/pdp_mig_bafc4ed0_20251117_1257_ID0101_1_jpg.jpg?v=1768543091</t>
  </si>
  <si>
    <t>https://innisfree-taiwan.myshopify.com/products/innisfree-no-sebum-ac-powder</t>
  </si>
  <si>
    <t>無油無慮真心保濕蜜粉 5g_x000D_ | INNISFREE Taiwan</t>
  </si>
  <si>
    <t>產品配方有控油保濕複合成份，使用一周後，能有效改善痘痘粉刺狀況，平衡皮脂分泌，改善皮膚油水失衡問題，另外也有保濕舒緩功效，使用舒適不乾燥</t>
  </si>
  <si>
    <t>無油無慮真心保濕蜜粉 5g</t>
  </si>
  <si>
    <t>無油無慮真心保濕蜜粉 5g | INNISFREE Taiwan</t>
  </si>
  <si>
    <t>http://innisfree-taiwan.myshopify.com/cdn/shop/files/pdp_mig_098a2776_20230726_606_ID0101_1_jpg.jpg?v=1768543109</t>
  </si>
  <si>
    <t>https://innisfree-taiwan.myshopify.com/cdn/shop/files/pdp_mig_098a2776_20230726_606_ID0101_1_jpg.jpg?v=1768543109</t>
  </si>
  <si>
    <t>2026-02-09 18:15:35</t>
  </si>
  <si>
    <t>https://innisfree-taiwan.myshopify.com/products/innisfree-no-sebum-blur-primer</t>
  </si>
  <si>
    <t>無油無慮美肌飾底乳 25ml_x000D_ | INNISFREE Taiwan</t>
  </si>
  <si>
    <t>修飾毛孔與細紋，打造光滑美肌的控油飾底乳。</t>
  </si>
  <si>
    <t>無油無慮美肌飾底乳 25ml</t>
  </si>
  <si>
    <t>無油無慮美肌飾底乳 25ml | INNISFREE Taiwan</t>
  </si>
  <si>
    <t>http://innisfree-taiwan.myshopify.com/cdn/shop/files/pdp_mig_2e9c3b16_20230724_1189_ID0101_1_jpg.jpg?v=1768543095</t>
  </si>
  <si>
    <t>https://innisfree-taiwan.myshopify.com/cdn/shop/files/pdp_mig_2e9c3b16_20230724_1189_ID0101_1_jpg.jpg?v=1768543095</t>
  </si>
  <si>
    <t>https://innisfree-taiwan.myshopify.com/products/innisfree-no-sebum-mineral-color-powder</t>
  </si>
  <si>
    <t>無油無慮繽紛蜜粉 5g_x000D_ | INNISFREE Taiwan</t>
  </si>
  <si>
    <t>針對暗沉無活力的肌膚輕鬆提亮與校色的控油蜜粉</t>
  </si>
  <si>
    <t>無油無慮繽紛蜜粉 5g</t>
  </si>
  <si>
    <t>無油無慮繽紛蜜粉 5g | INNISFREE Taiwan</t>
  </si>
  <si>
    <t>http://innisfree-taiwan.myshopify.com/cdn/shop/files/pdp_mig_03911736_20230807_99_ID0101_1_jpg.jpg?v=1768543112</t>
  </si>
  <si>
    <t>https://innisfree-taiwan.myshopify.com/cdn/shop/files/pdp_mig_03911736_20230807_99_ID0101_1_jpg.jpg?v=1768543112</t>
  </si>
  <si>
    <t>2026-02-09 18:15:34</t>
  </si>
  <si>
    <t>https://innisfree-taiwan.myshopify.com/products/innisfree-no-sebum-mineral-powder</t>
  </si>
  <si>
    <t>無油無慮礦物控油蜜粉 5g_x000D_ | INNISFREE Taiwan</t>
  </si>
  <si>
    <t>透過雙重皮脂調理科技，立即吸附多餘油脂、長時間調理皮脂分泌，打造乾爽舒適的霧面肌膚。</t>
  </si>
  <si>
    <t>無油無慮礦物控油蜜粉 5g</t>
  </si>
  <si>
    <t>無油無慮礦物控油蜜粉 5g | INNISFREE Taiwan</t>
  </si>
  <si>
    <t>http://innisfree-taiwan.myshopify.com/cdn/shop/files/pdp_mig_3b73644d_20230710_1187_ID0101_1_jpg.jpg?v=1768543088</t>
  </si>
  <si>
    <t>https://innisfree-taiwan.myshopify.com/cdn/shop/files/pdp_mig_3b73644d_20230710_1187_ID0101_1_jpg.jpg?v=1768543088</t>
  </si>
  <si>
    <t>https://innisfree-taiwan.myshopify.com/products/innisfree-no-sebum-powder-cushion-puff</t>
  </si>
  <si>
    <t>妝自然美妝工具 - 無油無慮零毛孔控油氣墊粉撲_x000D_ | INNISFREE Taiwan</t>
  </si>
  <si>
    <t>使用半氣孔的柔軟粉撲，有助於均勻上妝的氣墊粉撲。</t>
  </si>
  <si>
    <t>妝自然美妝工具 - 無油無慮零毛孔控油氣墊粉撲</t>
  </si>
  <si>
    <t>妝自然美妝工具 - 無油無慮零毛孔控油氣墊粉撲 | INNISFREE Taiwan</t>
  </si>
  <si>
    <t>http://innisfree-taiwan.myshopify.com/cdn/shop/files/pdp_mig_59e85495_20231129_1008_ID0101_1_jpg.jpg?v=1768543094</t>
  </si>
  <si>
    <t>https://innisfree-taiwan.myshopify.com/cdn/shop/files/pdp_mig_59e85495_20231129_1008_ID0101_1_jpg.jpg?v=1768543094</t>
  </si>
  <si>
    <t>https://innisfree-taiwan.myshopify.com/products/innisfree-olive-vitamin-e-real-cleansing-foam</t>
  </si>
  <si>
    <t>橄欖維他命E潔面乳 150g_x000D_ | INNISFREE Taiwan</t>
  </si>
  <si>
    <t>富含高滋潤度與維他命E的天然有機橄欖油，以綿密滋潤的泡沫帶走肌膚的殘妝與汙垢</t>
  </si>
  <si>
    <t>橄欖維他命E潔面乳 150g</t>
  </si>
  <si>
    <t>橄欖維他命E潔面乳 150g | INNISFREE Taiwan</t>
  </si>
  <si>
    <t>http://innisfree-taiwan.myshopify.com/cdn/shop/files/pdp_mig_02e5c97d_20240103_1294_ID0101_1_jpg.jpg?v=1768543075</t>
  </si>
  <si>
    <t>https://innisfree-taiwan.myshopify.com/cdn/shop/files/pdp_mig_02e5c97d_20240103_1294_ID0101_1_jpg.jpg?v=1768543075</t>
  </si>
  <si>
    <t>https://innisfree-taiwan.myshopify.com/products/innisfree-olive-vitamin-e-real-cleansing-tissue</t>
  </si>
  <si>
    <t>橄欖維他命E卸妝棉_x000D_ | INNISFREE Taiwan</t>
  </si>
  <si>
    <t>富含滋潤與維他命的天然有機橄欖，能輕鬆帶走殘妝與毛孔汙垢，並且滋潤肌膚</t>
  </si>
  <si>
    <t>橄欖維他命E卸妝棉</t>
  </si>
  <si>
    <t>橄欖維他命E卸妝棉 | INNISFREE Taiwan</t>
  </si>
  <si>
    <t>http://innisfree-taiwan.myshopify.com/cdn/shop/files/pdp_mig_3d3a3580_20240103_1295_ID0101_1_jpg.jpg?v=1768543075</t>
  </si>
  <si>
    <t>https://innisfree-taiwan.myshopify.com/cdn/shop/files/pdp_mig_3d3a3580_20240103_1295_ID0101_1_jpg.jpg?v=1768543075</t>
  </si>
  <si>
    <t>https://innisfree-taiwan.myshopify.com/products/innisfree-pore-blur-pact</t>
  </si>
  <si>
    <t>完美無瑕親膚粉餅 12.5g_x000D_ | INNISFREE Taiwan</t>
  </si>
  <si>
    <t>讓肌膚呈現光滑粉嫩肌膚！痘痘肌也能使用的毛孔遮瑕粉餅</t>
  </si>
  <si>
    <t>完美無瑕親膚粉餅 12.5g</t>
  </si>
  <si>
    <t>完美無瑕親膚粉餅 12.5g | INNISFREE Taiwan</t>
  </si>
  <si>
    <t>http://innisfree-taiwan.myshopify.com/cdn/shop/files/pdp_mig_7edd8411_20231228_105_ID0101_1_jpg.jpg?v=1768543112</t>
  </si>
  <si>
    <t>https://innisfree-taiwan.myshopify.com/cdn/shop/files/pdp_mig_7edd8411_20231228_105_ID0101_1_jpg.jpg?v=1768543112</t>
  </si>
  <si>
    <t>https://innisfree-taiwan.myshopify.com/products/innisfree-pore-blur-powder</t>
  </si>
  <si>
    <t>完美無瑕親膚蜜粉 11g_x000D_ | INNISFREE Taiwan</t>
  </si>
  <si>
    <t>讓肌膚呈現光滑粉嫩肌膚！痘痘肌也能使用的毛孔遮瑕蜜粉</t>
  </si>
  <si>
    <t>完美無瑕親膚蜜粉 11g</t>
  </si>
  <si>
    <t>完美無瑕親膚蜜粉 11g | INNISFREE Taiwan</t>
  </si>
  <si>
    <t>http://innisfree-taiwan.myshopify.com/cdn/shop/files/pdp_mig_54a626d0_20231228_106_ID0101_1_jpg.jpg?v=1768543111</t>
  </si>
  <si>
    <t>https://innisfree-taiwan.myshopify.com/cdn/shop/files/pdp_mig_54a626d0_20231228_106_ID0101_1_jpg.jpg?v=1768543111</t>
  </si>
  <si>
    <t>https://innisfree-taiwan.myshopify.com/products/innisfree-powder-puff</t>
  </si>
  <si>
    <t>妝自然美妝工具 - 蜜粉粉撲_x000D_ | INNISFREE Taiwan</t>
  </si>
  <si>
    <t>打造細膩霧面妝容的迷你蜜粉粉撲</t>
  </si>
  <si>
    <t>妝自然美妝工具 - 蜜粉粉撲</t>
  </si>
  <si>
    <t>妝自然美妝工具 - 蜜粉粉撲 | INNISFREE Taiwan</t>
  </si>
  <si>
    <t>http://innisfree-taiwan.myshopify.com/cdn/shop/files/pdp_mig_4f9c6e3c_20231228_76_ID0101_1_jpg.jpg?v=1768543113</t>
  </si>
  <si>
    <t>https://innisfree-taiwan.myshopify.com/cdn/shop/files/pdp_mig_4f9c6e3c_20231228_76_ID0101_1_jpg.jpg?v=1768543113</t>
  </si>
  <si>
    <t>https://innisfree-taiwan.myshopify.com/products/innisfree-powerproof-brush-liner</t>
  </si>
  <si>
    <t>超強效不暈染眼線液 0.6g_x000D_ | INNISFREE Taiwan</t>
  </si>
  <si>
    <t>強力防水防油的眼線液</t>
  </si>
  <si>
    <t>超強效不暈染眼線液 0.6g</t>
  </si>
  <si>
    <t>超強效不暈染眼線液 0.6g | INNISFREE Taiwan</t>
  </si>
  <si>
    <t>http://innisfree-taiwan.myshopify.com/cdn/shop/files/pdp_mig_1e22807f_20230928_1254_ID0101_1_jpg.jpg?v=1768543091</t>
  </si>
  <si>
    <t>https://innisfree-taiwan.myshopify.com/cdn/shop/files/pdp_mig_1e22807f_20230928_1254_ID0101_1_jpg.jpg?v=1768543091</t>
  </si>
  <si>
    <t>https://innisfree-taiwan.myshopify.com/products/innisfree-powerproof-pen-liner</t>
  </si>
  <si>
    <t>超強效不暈染眼線筆 0.6g_x000D_ | INNISFREE Taiwan</t>
  </si>
  <si>
    <t>強力防水防油的眼線筆</t>
  </si>
  <si>
    <t>超強效不暈染眼線筆 0.6g</t>
  </si>
  <si>
    <t>超強效不暈染眼線筆 0.6g | INNISFREE Taiwan</t>
  </si>
  <si>
    <t>http://innisfree-taiwan.myshopify.com/cdn/shop/files/pdp_mig_25ab91ae_20230928_1253_ID0101_1_jpg.jpg?v=1768543090</t>
  </si>
  <si>
    <t>https://innisfree-taiwan.myshopify.com/cdn/shop/files/pdp_mig_25ab91ae_20230928_1253_ID0101_1_jpg.jpg?v=1768543090</t>
  </si>
  <si>
    <t>2026-02-09 18:16:59</t>
  </si>
  <si>
    <t>https://innisfree-taiwan.myshopify.com/products/innisfree-premium-cotton-pads-for-toner</t>
  </si>
  <si>
    <t>妝自然美妝工具-優質化妝棉&amp;#40;化妝水用&amp;#41;_x000D_ | INNISFREE Taiwan</t>
  </si>
  <si>
    <t>柔軟親膚不起毛球的頂級100%純棉化妝棉</t>
  </si>
  <si>
    <t>妝自然美妝工具 - 優質化妝棉(化妝水用)</t>
  </si>
  <si>
    <t>妝自然美妝工具-優質化妝棉&amp;#40;化妝水用&amp;#41; | INNISFREE Taiwan</t>
  </si>
  <si>
    <t>http://innisfree-taiwan.myshopify.com/cdn/shop/files/pdp_mig_21c0959b_20231129_108_ID0101_1_jpg.jpg?v=1768543111</t>
  </si>
  <si>
    <t>https://innisfree-taiwan.myshopify.com/cdn/shop/files/pdp_mig_21c0959b_20231129_108_ID0101_1_jpg.jpg?v=1768543111</t>
  </si>
  <si>
    <t>https://innisfree-taiwan.myshopify.com/products/innisfree-premium-eyelash-curler-23</t>
  </si>
  <si>
    <t>妝自然美妝工具 - 捲翹睫毛夾_x000D_ | INNISFREE Taiwan</t>
  </si>
  <si>
    <t>以弧線設計打造美麗捲翹的豐盈睫毛</t>
  </si>
  <si>
    <t>妝自然美妝工具 - 捲翹睫毛夾</t>
  </si>
  <si>
    <t>妝自然美妝工具 - 捲翹睫毛夾 | INNISFREE Taiwan</t>
  </si>
  <si>
    <t>http://innisfree-taiwan.myshopify.com/cdn/shop/files/pdp_mig_9f5f1ae5_20231129_9_ID0101_1_jpg.jpg?v=1768543115</t>
  </si>
  <si>
    <t>https://innisfree-taiwan.myshopify.com/cdn/shop/files/pdp_mig_9f5f1ae5_20231129_9_ID0101_1_jpg.jpg?v=1768543115</t>
  </si>
  <si>
    <t>https://innisfree-taiwan.myshopify.com/products/innisfree-retinol-cica-ampoule-focusing-patch</t>
  </si>
  <si>
    <t>A醇淨膚超修護集中貼_x000D_ | INNISFREE Taiwan</t>
  </si>
  <si>
    <t>幸運草形狀的微針貼片設計，富含A醇及積雪草萃取，能及早改善粉刺、穩定膚況，有效舒緩局部問題肌膚。</t>
  </si>
  <si>
    <t>A醇淨膚超修護集中貼</t>
  </si>
  <si>
    <t>A醇淨膚超修護集中貼 | INNISFREE Taiwan</t>
  </si>
  <si>
    <t>http://innisfree-taiwan.myshopify.com/cdn/shop/files/pdp_mig_2b0e46d8_20230928_730_ID0101_1_jpg.jpg?v=1768543108</t>
  </si>
  <si>
    <t>https://innisfree-taiwan.myshopify.com/cdn/shop/files/pdp_mig_2b0e46d8_20230928_730_ID0101_1_jpg.jpg?v=1768543108</t>
  </si>
  <si>
    <t>https://innisfree-taiwan.myshopify.com/products/innisfree-retinol-cica-barrier-defense-cream</t>
  </si>
  <si>
    <t>A醇淨膚超修護霜 50ml_x000D_ | INNISFREE Taiwan</t>
  </si>
  <si>
    <t>蘊含A醇、積雪草萃取及多種保濕成分，強健肌膚屏障的高效修護面霜。適合所有肌膚類型，想改善粉刺痘痘問題、毛孔粗大、肌膚暗沉粗糙困擾的顧客。</t>
  </si>
  <si>
    <t>A醇淨膚超修護霜 50ml</t>
  </si>
  <si>
    <t>A醇淨膚超修護霜 50ml | INNISFREE Taiwan</t>
  </si>
  <si>
    <t>http://innisfree-taiwan.myshopify.com/cdn/shop/files/pdp_mig_4e282e7b_20260109_1292_ID0101_1_jpg.jpg?v=1768543089</t>
  </si>
  <si>
    <t>https://innisfree-taiwan.myshopify.com/cdn/shop/files/pdp_mig_4e282e7b_20260109_1292_ID0101_1_jpg.jpg?v=1768543089</t>
  </si>
  <si>
    <t>https://innisfree-taiwan.myshopify.com/products/innisfree-retinol-cica-repair-ampoule-50ml</t>
  </si>
  <si>
    <t>安瓶推薦｜A醇淨膚超修護安瓶 - innisfree_x000D_ | INNISFREE Taiwan</t>
  </si>
  <si>
    <t>innisfree A醇淨膚超修護安瓶，蘊含A醇、積雪草萃取及多種保濕成分，幫助肌膚代謝老廢角質，改善粉刺、緊緻毛孔，同時穩定膚況的高效修護安瓶。</t>
  </si>
  <si>
    <t>A醇淨膚超修護安瓶 50ml</t>
  </si>
  <si>
    <t>安瓶推薦｜A醇淨膚超修護安瓶 - innisfree | INNISFREE Taiwan</t>
  </si>
  <si>
    <t>http://innisfree-taiwan.myshopify.com/cdn/shop/files/pdp_mig_102861bc_20260109_933_ID0101_1_jpg.jpg?v=1768543097</t>
  </si>
  <si>
    <t>https://innisfree-taiwan.myshopify.com/cdn/shop/files/pdp_mig_102861bc_20260109_933_ID0101_1_jpg.jpg?v=1768543097</t>
  </si>
  <si>
    <t>https://innisfree-taiwan.myshopify.com/products/innisfree-skinny-microcara</t>
  </si>
  <si>
    <t>根根分明極細睫毛膏 3.5g_x000D_ | INNISFREE Taiwan</t>
  </si>
  <si>
    <t>從睫毛根處，打造極細纖長的睫毛</t>
  </si>
  <si>
    <t>根根分明極細睫毛膏 3.5g</t>
  </si>
  <si>
    <t>根根分明極細睫毛膏 3.5g | INNISFREE Taiwan</t>
  </si>
  <si>
    <t>http://innisfree-taiwan.myshopify.com/cdn/shop/files/pdp_mig_1fdd0986_20230928_1252_ID0101_1_jpg.jpg?v=1768543091</t>
  </si>
  <si>
    <t>https://innisfree-taiwan.myshopify.com/cdn/shop/files/pdp_mig_1fdd0986_20230928_1252_ID0101_1_jpg.jpg?v=1768543091</t>
  </si>
  <si>
    <t>https://innisfree-taiwan.myshopify.com/products/innisfree-skinny-microcara-zero23</t>
  </si>
  <si>
    <t>根根分明零暈染極細睫毛膏 3.5g_x000D_ | INNISFREE Taiwan</t>
  </si>
  <si>
    <t>極細的刷毛，帶給睫毛根根分明效果的防暈染睫毛膏</t>
  </si>
  <si>
    <t>根根分明零暈染極細睫毛膏 3.5g</t>
  </si>
  <si>
    <t>根根分明零暈染極細睫毛膏 3.5g | INNISFREE Taiwan</t>
  </si>
  <si>
    <t>http://innisfree-taiwan.myshopify.com/cdn/shop/files/pdp_mig_1ed6bb3f_20230928_1251_ID0101_1_jpg.jpg?v=1768543092</t>
  </si>
  <si>
    <t>https://innisfree-taiwan.myshopify.com/cdn/shop/files/pdp_mig_1ed6bb3f_20230928_1251_ID0101_1_jpg.jpg?v=1768543092</t>
  </si>
  <si>
    <t>https://innisfree-taiwan.myshopify.com/products/innisfree-special-care-mask-foot</t>
  </si>
  <si>
    <t>特殊護理足部修護膜 20ml_x000D_ | INNISFREE Taiwan</t>
  </si>
  <si>
    <t>重點呵護平常容易遺忘保養的足部，讓雙腳恢復年輕細緻肌膚的修護膜</t>
  </si>
  <si>
    <t>特殊護理足部修護膜 20ml</t>
  </si>
  <si>
    <t>特殊護理足部修護膜 20ml | INNISFREE Taiwan</t>
  </si>
  <si>
    <t>http://innisfree-taiwan.myshopify.com/cdn/shop/files/pdp_mig_3f9820c1_20230928_1217_ID0101_1_jpg.jpg?v=1768543087</t>
  </si>
  <si>
    <t>https://innisfree-taiwan.myshopify.com/cdn/shop/files/pdp_mig_3f9820c1_20230928_1217_ID0101_1_jpg.jpg?v=1768543087</t>
  </si>
  <si>
    <t>https://innisfree-taiwan.myshopify.com/products/innisfree-special-care-mask-hand</t>
  </si>
  <si>
    <t>特殊護理手部修護膜 20ml_x000D_ | INNISFREE Taiwan</t>
  </si>
  <si>
    <t>重點呵護平常容易遺忘保養的手部，讓雙手恢復年輕細緻肌膚的修護膜</t>
  </si>
  <si>
    <t>特殊護理手部修護膜 20ml</t>
  </si>
  <si>
    <t>特殊護理手部修護膜 20ml | INNISFREE Taiwan</t>
  </si>
  <si>
    <t>http://innisfree-taiwan.myshopify.com/cdn/shop/files/pdp_mig_5bf31904_20230911_1216_ID0101_1_jpg.jpg?v=1768543087</t>
  </si>
  <si>
    <t>https://innisfree-taiwan.myshopify.com/cdn/shop/files/pdp_mig_5bf31904_20230911_1216_ID0101_1_jpg.jpg?v=1768543087</t>
  </si>
  <si>
    <t>https://innisfree-taiwan.myshopify.com/products/innisfree-super-volcanic-pore-clay-mask</t>
  </si>
  <si>
    <t>超級火山泥毛孔潔淨面膜 100ml_x000D_ | INNISFREE Taiwan</t>
  </si>
  <si>
    <t>含有火山皮脂淨化粉末成分，擁有強力吸附油脂的效果，集中解決毛孔問題的潔淨面膜。適合在意毛孔粉刺困擾、為油光問題感到煩惱的顧客。</t>
  </si>
  <si>
    <t>超級火山泥毛孔潔淨面膜 100ml</t>
  </si>
  <si>
    <t>超級火山泥毛孔潔淨面膜 100ml | INNISFREE Taiwan</t>
  </si>
  <si>
    <t>http://innisfree-taiwan.myshopify.com/cdn/shop/files/pdp_mig_29e516df_20250801_125_ID0101_1_jpg.jpg?v=1768543112</t>
  </si>
  <si>
    <t>https://innisfree-taiwan.myshopify.com/cdn/shop/files/pdp_mig_29e516df_20250801_125_ID0101_1_jpg.jpg?v=1768543112</t>
  </si>
  <si>
    <t>https://innisfree-taiwan.myshopify.com/products/innisfree-tone-up-no-sebum-sunscreen-ex-spf50-pa</t>
  </si>
  <si>
    <t>向日葵亮顏控油防曬霜 SPF50+ PA++++ &amp;#40;小熊維尼限定版&amp;#41;_x000D_ | INNISFREE Taiwan</t>
  </si>
  <si>
    <t>物理性防曬+專利控油技術，能避免油脂分泌旺盛問題，同時達到長效持妝之功效。</t>
  </si>
  <si>
    <t>向日葵亮顏控油防曬霜 SPF50+ PA++++ (小熊維尼限定版)</t>
  </si>
  <si>
    <t>向日葵亮顏控油防曬霜 SPF50+ PA++++ &amp;#40;小熊維尼限定版&amp;#41; | INNISFREE Taiwan</t>
  </si>
  <si>
    <t>http://innisfree-taiwan.myshopify.com/cdn/shop/files/pdp_mig_70912e15_20250826_1619_ID0101_1_jpg.jpg?v=1768543070</t>
  </si>
  <si>
    <t>https://innisfree-taiwan.myshopify.com/cdn/shop/files/pdp_mig_70912e15_20250826_1619_ID0101_1_jpg.jpg?v=1768543070</t>
  </si>
  <si>
    <t>https://innisfree-taiwan.myshopify.com/products/innisfree-tone-up-watering-sunscreen-spf50-pa</t>
  </si>
  <si>
    <t>向日葵亮顏水感防曬霜 SPF50+ PA++++ 60ml_x000D_ | INNISFREE Taiwan</t>
  </si>
  <si>
    <t>物理+化學防曬霜，可作為飾底乳使用．打造水潤輕盈的妝容。</t>
  </si>
  <si>
    <t>向日葵亮顏水感防曬霜 SPF50+ PA++++ 60ml</t>
  </si>
  <si>
    <t>向日葵亮顏水感防曬霜 SPF50+ PA++++ 60ml | INNISFREE Taiwan</t>
  </si>
  <si>
    <t>http://innisfree-taiwan.myshopify.com/cdn/shop/files/pdp_mig_15a75083_20240924_1426_ID0101_1_jpg.jpg?v=1768543073</t>
  </si>
  <si>
    <t>https://innisfree-taiwan.myshopify.com/cdn/shop/files/pdp_mig_15a75083_20240924_1426_ID0101_1_jpg.jpg?v=1768543073</t>
  </si>
  <si>
    <t>https://innisfree-taiwan.myshopify.com/products/innisfree-uv-active-poreless-sunscreen-spf50-pa</t>
  </si>
  <si>
    <t>高效UV毛孔隱形防曬霜 SPF50+ PA++++ 50ml_x000D_ | INNISFREE Taiwan</t>
  </si>
  <si>
    <t>具有毛孔隱形效果的礦物防曬霜，打造光滑均勻的肌膚。</t>
  </si>
  <si>
    <t>高效UV毛孔隱形防曬霜 SPF50+ PA++++ 50ml</t>
  </si>
  <si>
    <t>高效UV毛孔隱形防曬霜 SPF50+ PA++++ 50ml | INNISFREE Taiwan</t>
  </si>
  <si>
    <t>http://innisfree-taiwan.myshopify.com/cdn/shop/files/pdp_mig_d8a3b5b7_20231228_1291_ID0101_1_jpg.jpg?v=1768543076</t>
  </si>
  <si>
    <t>https://innisfree-taiwan.myshopify.com/cdn/shop/files/pdp_mig_d8a3b5b7_20231228_1291_ID0101_1_jpg.jpg?v=1768543076</t>
  </si>
  <si>
    <t>https://innisfree-taiwan.myshopify.com/products/innisfree-vitamin-c-mbs-set</t>
  </si>
  <si>
    <t>維他命C淡斑全套組_x000D_ | INNISFREE Taiwan</t>
  </si>
  <si>
    <t>富含維生素C和濟州綠茶中的酵素酶，有助於淡化斑點、改善暗沉、均勻膚色，讓肌膚更光滑透亮。富含維生素C和濟州綠茶中的酵素酶，有助於淡化斑點、改善暗沉、均勻膚色，讓肌膚更光滑透亮。全膚質適用，適合在意膚色不均、斑點問題，想要尋找溫和低敏亮白成分產品的顧客。</t>
  </si>
  <si>
    <t>維他命C淡斑全套組</t>
  </si>
  <si>
    <t>維他命C淡斑全套組 | INNISFREE Taiwan</t>
  </si>
  <si>
    <t>http://innisfree-taiwan.myshopify.com/cdn/shop/files/pdp_mig_705d91e7_20251001_1647_ID0101_1_jpg.jpg?v=1768543071</t>
  </si>
  <si>
    <t>https://innisfree-taiwan.myshopify.com/cdn/shop/files/pdp_mig_705d91e7_20251001_1647_ID0101_1_jpg.jpg?v=1768543071</t>
  </si>
  <si>
    <t>https://innisfree-taiwan.myshopify.com/products/innisfree-vitamin-c-tone-up-sunscreen-spf50-pa</t>
  </si>
  <si>
    <t>維他命C亮白潤色防曬霜 SPF50+ PA++++_x000D_ | INNISFREE Taiwan</t>
  </si>
  <si>
    <t>富含維生素C、E和菸鹼醯胺的潤色防曬霜，有助於抵禦紫外線，並修飾膚色使肌膚看起來清透光亮。</t>
  </si>
  <si>
    <t>維他命C亮白潤色防曬霜 SPF50+ PA++++</t>
  </si>
  <si>
    <t>維他命C亮白潤色防曬霜 SPF50+ PA++++ | INNISFREE Taiwan</t>
  </si>
  <si>
    <t>http://innisfree-taiwan.myshopify.com/cdn/shop/files/pdp_mig_e2fa5d33_20250718_1602_ID0101_1_jpg.jpg?v=1768543071</t>
  </si>
  <si>
    <t>https://innisfree-taiwan.myshopify.com/cdn/shop/files/pdp_mig_e2fa5d33_20250718_1602_ID0101_1_jpg.jpg?v=1768543071</t>
  </si>
  <si>
    <t>https://innisfree-taiwan.myshopify.com/products/innisfree-volcanic-bha-pore-cleansing-foam-150g</t>
  </si>
  <si>
    <t>火山泥毛孔調理潔面乳&amp;#40;BHA&amp;#41; 150g_x000D_ | INNISFREE Taiwan</t>
  </si>
  <si>
    <t>蘊含強力火山皮脂淨化粉末與BHA水楊酸，帶走多餘皮脂、加強毛孔清潔護理的洗面乳。 適合在意毛孔粉刺困擾、為油光問題感到煩惱的顧客。</t>
  </si>
  <si>
    <t>火山泥毛孔調理潔面乳(BHA) 150g</t>
  </si>
  <si>
    <t>火山泥毛孔調理潔面乳&amp;#40;BHA&amp;#41; 150g | INNISFREE Taiwan</t>
  </si>
  <si>
    <t>http://innisfree-taiwan.myshopify.com/cdn/shop/files/pdp_mig_1b1333f9_20230731_1180_ID0101_1_jpg.jpg?v=1768543095</t>
  </si>
  <si>
    <t>https://innisfree-taiwan.myshopify.com/cdn/shop/files/pdp_mig_1b1333f9_20230731_1180_ID0101_1_jpg.jpg?v=1768543095</t>
  </si>
  <si>
    <t>2026-02-09 18:15:13</t>
  </si>
  <si>
    <t>https://innisfree-taiwan.myshopify.com/products/innisfree-volcanic-bha-pore-cleansing-foam-250g</t>
  </si>
  <si>
    <t>火山泥毛孔調理潔面乳&amp;#40;BHA&amp;#41; 250g_x000D_ | INNISFREE Taiwan</t>
  </si>
  <si>
    <t>火山泥毛孔調理潔面乳(BHA) 250g</t>
  </si>
  <si>
    <t>火山泥毛孔調理潔面乳&amp;#40;BHA&amp;#41; 250g | INNISFREE Taiwan</t>
  </si>
  <si>
    <t>http://innisfree-taiwan.myshopify.com/cdn/shop/files/pdp_mig_80678627_20230731_1181_ID0101_1_jpg.jpg?v=1768543095</t>
  </si>
  <si>
    <t>https://innisfree-taiwan.myshopify.com/cdn/shop/files/pdp_mig_80678627_20230731_1181_ID0101_1_jpg.jpg?v=1768543095</t>
  </si>
  <si>
    <t>https://innisfree-taiwan.myshopify.com/products/innisfree-volcanic-bha-pore-cleansing-oil</t>
  </si>
  <si>
    <t>火山泥毛孔潔淨卸妝油&amp;#40;BHA&amp;#41; 150ml_x000D_ | INNISFREE Taiwan</t>
  </si>
  <si>
    <t>蘊含濟州火山皮脂淨化粉末Plus™與BHA水楊酸，能夠溫和卸除彩妝、同時溶解皮脂髒污與老廢角質的深層卸妝油！ 適合在意毛孔粉刺困擾、為油光問題感到煩惱的顧客。</t>
  </si>
  <si>
    <t>火山泥毛孔潔淨卸妝油(BHA) 150ml</t>
  </si>
  <si>
    <t>火山泥毛孔潔淨卸妝油&amp;#40;BHA&amp;#41; 150ml | INNISFREE Taiwan</t>
  </si>
  <si>
    <t>http://innisfree-taiwan.myshopify.com/cdn/shop/files/pdp_mig_c4982952_20240422_1350_ID0101_1_jpg.jpg?v=1768543135</t>
  </si>
  <si>
    <t>https://innisfree-taiwan.myshopify.com/cdn/shop/files/pdp_mig_c4982952_20240422_1350_ID0101_1_jpg.jpg?v=1768543135</t>
  </si>
  <si>
    <t>https://innisfree-taiwan.myshopify.com/products/innisfree-volcanic-swirl-pore-mask</t>
  </si>
  <si>
    <t>火山泥雙效毛孔潔淨面膜 110g_x000D_ | INNISFREE Taiwan</t>
  </si>
  <si>
    <t>雙重功效的火山泥面膜，火山泥和玻尿酸乳霜雙配方，有助於清潔毛孔，同時為肌膚補水。</t>
  </si>
  <si>
    <t>火山泥雙效毛孔潔淨面膜 110g</t>
  </si>
  <si>
    <t>火山泥雙效毛孔潔淨面膜 110g | INNISFREE Taiwan</t>
  </si>
  <si>
    <t>http://innisfree-taiwan.myshopify.com/cdn/shop/files/pdp_mig_df5f9dc4_20250801_1520_ID0101_1_jpg.jpg?v=1768543073</t>
  </si>
  <si>
    <t>https://innisfree-taiwan.myshopify.com/cdn/shop/files/pdp_mig_df5f9dc4_20250801_1520_ID0101_1_jpg.jpg?v=1768543073</t>
  </si>
  <si>
    <t>https://innisfree-taiwan.myshopify.com/products/joyful-gtc-set</t>
  </si>
  <si>
    <t>綠茶籽玻尿酸保濕霜組&amp;#40;閃耀版&amp;#41;_x000D_ | INNISFREE Taiwan</t>
  </si>
  <si>
    <t>採用綠茶萃取及玻尿酸成分，給予肌膚補水保濕，打造肌膚健康透亮的保濕面霜</t>
  </si>
  <si>
    <t>[聖誕限定]綠茶籽玻尿酸保濕霜組 閃耀版</t>
  </si>
  <si>
    <t>綠茶籽玻尿酸保濕霜組&amp;#40;閃耀版&amp;#41; | INNISFREE Taiwan</t>
  </si>
  <si>
    <t>http://innisfree-taiwan.myshopify.com/cdn/shop/files/pdp_mig_3b242849_20251015_1649_ID0101_1_jpg.jpg?v=1768543071</t>
  </si>
  <si>
    <t>https://innisfree-taiwan.myshopify.com/cdn/shop/files/pdp_mig_3b242849_20251015_1649_ID0101_1_jpg.jpg?v=1768543071</t>
  </si>
  <si>
    <t>https://innisfree-taiwan.myshopify.com/products/joyful-gths-set</t>
  </si>
  <si>
    <t>綠茶籽玻尿酸保濕精華組&amp;#40;閃耀版&amp;#41;_x000D_ | INNISFREE Taiwan</t>
  </si>
  <si>
    <t>綠茶萃取+玻尿酸的協同作用能夠快速解決肌膚缺水問題，加強保濕屏障幫助肌膚365天長效保濕，打造健康透亮的保濕精華</t>
  </si>
  <si>
    <t>[聖誕限定]綠茶籽玻尿酸保濕精華組 閃耀版</t>
  </si>
  <si>
    <t>綠茶籽玻尿酸保濕精華組&amp;#40;閃耀版&amp;#41; | INNISFREE Taiwan</t>
  </si>
  <si>
    <t>http://innisfree-taiwan.myshopify.com/cdn/shop/files/pdp_mig_f6108a80_20251015_1648_ID0101_1_jpg.jpg?v=1768543070</t>
  </si>
  <si>
    <t>https://innisfree-taiwan.myshopify.com/cdn/shop/files/pdp_mig_f6108a80_20251015_1648_ID0101_1_jpg.jpg?v=1768543070</t>
  </si>
  <si>
    <t>https://innisfree-taiwan.myshopify.com/products/joyful-handcream-set</t>
  </si>
  <si>
    <t>我的香氛護手霜組&amp;#40;閃耀版&amp;#41;_x000D_ | INNISFREE Taiwan</t>
  </si>
  <si>
    <t>有多種香味可供選擇，能搭配每天的心情做使用</t>
  </si>
  <si>
    <t>[聖誕限定]我的香氛護手霜組 閃耀版</t>
  </si>
  <si>
    <t>我的香氛護手霜組&amp;#40;閃耀版&amp;#41; | INNISFREE Taiwan</t>
  </si>
  <si>
    <t>http://innisfree-taiwan.myshopify.com/cdn/shop/files/pdp_mig_a03b8d4a_20251015_1652_ID0101_1_jpg.jpg?v=1768543070</t>
  </si>
  <si>
    <t>https://innisfree-taiwan.myshopify.com/cdn/shop/files/pdp_mig_a03b8d4a_20251015_1652_ID0101_1_jpg.jpg?v=1768543070</t>
  </si>
  <si>
    <t>https://innisfree-taiwan.myshopify.com/products/joyful-pdrn-set</t>
  </si>
  <si>
    <t>1%A醇PDRN水光安瓶組&amp;#40;閃耀版&amp;#41;_x000D_ | INNISFREE Taiwan</t>
  </si>
  <si>
    <t>添加A醇及綠茶PDRN™的煥膚安瓶，有效調理代謝角質、緊緻毛孔、改善肌膚彈性，擁有光滑緊緻的肌膚。適合追求水潤透亮肌膚，重視肌膚緊緻與彈力的顧客。</t>
  </si>
  <si>
    <t>[聖誕限定]1%A醇PDRN水光安瓶組 閃耀版</t>
  </si>
  <si>
    <t>1%A醇PDRN水光安瓶組&amp;#40;閃耀版&amp;#41; | INNISFREE Taiwan</t>
  </si>
  <si>
    <t>http://innisfree-taiwan.myshopify.com/cdn/shop/files/pdp_mig_634bf254_20251015_1651_ID0101_1_jpg.jpg?v=1768543070</t>
  </si>
  <si>
    <t>https://innisfree-taiwan.myshopify.com/cdn/shop/files/pdp_mig_634bf254_20251015_1651_ID0101_1_jpg.jpg?v=1768543070</t>
  </si>
  <si>
    <t>https://innisfree-taiwan.myshopify.com/products/joyful-vc-set</t>
  </si>
  <si>
    <t>維他命C淨亮精華組&amp;#40;閃耀版&amp;#41;_x000D_ | INNISFREE Taiwan</t>
  </si>
  <si>
    <t>富含維生素C和濟州綠茶中的酵素酶，有助於淡化斑點、改善暗沉、均勻膚色，讓肌膚更光滑透亮</t>
  </si>
  <si>
    <t>[聖誕限定]維他命C淨亮精華組 閃耀版</t>
  </si>
  <si>
    <t>維他命C淨亮精華組&amp;#40;閃耀版&amp;#41; | INNISFREE Taiwan</t>
  </si>
  <si>
    <t>http://innisfree-taiwan.myshopify.com/cdn/shop/files/pdp_mig_173d849c_20251015_1650_ID0101_1_jpg.jpg?v=1768543072</t>
  </si>
  <si>
    <t>https://innisfree-taiwan.myshopify.com/cdn/shop/files/pdp_mig_173d849c_20251015_1650_ID0101_1_jpg.jpg?v=1768543072</t>
  </si>
  <si>
    <t>2026-02-09 18:15:51</t>
  </si>
  <si>
    <t>https://innisfree-taiwan.myshopify.com/products/milkpdrn</t>
  </si>
  <si>
    <t>[2月限定]綠茶PDRN牛奶肌組_x000D_ | INNISFREE Taiwan</t>
  </si>
  <si>
    <t>[2月限定]綠茶PDRN牛奶肌組</t>
  </si>
  <si>
    <t>[2月限定]綠茶PDRN牛奶肌組 | INNISFREE Taiwan</t>
  </si>
  <si>
    <t>http://innisfree-taiwan.myshopify.com/cdn/shop/files/20260108_1722_ID0101_1.jpg?v=1770623248</t>
  </si>
  <si>
    <t>https://innisfree-taiwan.myshopify.com/cdn/shop/files/20260108_1722_ID0101_1.jpg?v=1770623248</t>
  </si>
  <si>
    <t>https://innisfree-taiwan.myshopify.com/products/my-real-squeeze-mask-ex</t>
  </si>
  <si>
    <t>我的真萃能量面膜 22ml_x000D_ | INNISFREE Taiwan</t>
  </si>
  <si>
    <t>有水感、精華、乳霜質地三種類型，可根據肌膚狀態推薦適合的面膜系列。</t>
  </si>
  <si>
    <t>我的真萃能量面膜 22ml</t>
  </si>
  <si>
    <t>我的真萃能量面膜 22ml | INNISFREE Taiwan</t>
  </si>
  <si>
    <t>http://innisfree-taiwan.myshopify.com/cdn/shop/files/pdp_mig_e4c8403d_20251117_92_ID0101_1_jpg.jpg?v=1768543113</t>
  </si>
  <si>
    <t>https://innisfree-taiwan.myshopify.com/cdn/shop/files/pdp_mig_e4c8403d_20251117_92_ID0101_1_jpg.jpg?v=1768543113</t>
  </si>
  <si>
    <t>https://innisfree-taiwan.myshopify.com/products/no-sebum-mineral-pact</t>
  </si>
  <si>
    <t>無油無慮礦物控油蜜粉餅 8.5g_x000D_ | INNISFREE Taiwan</t>
  </si>
  <si>
    <t>無油無慮礦物控油蜜粉餅 8.5g</t>
  </si>
  <si>
    <t>無油無慮礦物控油蜜粉餅 8.5g | INNISFREE Taiwan</t>
  </si>
  <si>
    <t>http://innisfree-taiwan.myshopify.com/cdn/shop/files/pdp_mig_c718cb5a_20230726_226_ID0101_1_jpg.jpg?v=1768543116</t>
  </si>
  <si>
    <t>https://innisfree-taiwan.myshopify.com/cdn/shop/files/pdp_mig_c718cb5a_20230726_226_ID0101_1_jpg.jpg?v=1768543116</t>
  </si>
  <si>
    <t>https://innisfree-taiwan.myshopify.com/products/no-sebum-mineral-powder</t>
  </si>
  <si>
    <t>無油無慮礦物控油蜜粉 &amp;#40;小熊維尼限定版&amp;#41;_x000D_ | INNISFREE Taiwan</t>
  </si>
  <si>
    <t>無油無慮礦物控油蜜粉 (小熊維尼限定版)</t>
  </si>
  <si>
    <t>無油無慮礦物控油蜜粉 &amp;#40;小熊維尼限定版&amp;#41; | INNISFREE Taiwan</t>
  </si>
  <si>
    <t>http://innisfree-taiwan.myshopify.com/cdn/shop/files/pdp_mig_d8a50579_20250826_1617_ID0101_1_jpg.jpg?v=1768543085</t>
  </si>
  <si>
    <t>https://innisfree-taiwan.myshopify.com/cdn/shop/files/pdp_mig_d8a50579_20250826_1617_ID0101_1_jpg.jpg?v=1768543085</t>
  </si>
  <si>
    <t>https://innisfree-taiwan.myshopify.com/products/no-sebum-powder-cushion-refill</t>
  </si>
  <si>
    <t>無油無慮零毛孔控油氣墊 &amp;#40;粉蕊-4色&amp;#41; 14g_x000D_ | INNISFREE Taiwan</t>
  </si>
  <si>
    <t>控油效果持續48小時，完美遮瑕修飾毛孔的氣墊補充粉蕊</t>
  </si>
  <si>
    <t>無油無慮零毛孔控油氣墊 (粉蕊-4色) 14g</t>
  </si>
  <si>
    <t>無油無慮零毛孔控油氣墊 &amp;#40;粉蕊-4色&amp;#41; 14g | INNISFREE Taiwan</t>
  </si>
  <si>
    <t>http://innisfree-taiwan.myshopify.com/cdn/shop/files/pdp_mig_3bf53470_20230726_734_ID0101_1_jpg.jpg?v=1768543105</t>
  </si>
  <si>
    <t>https://innisfree-taiwan.myshopify.com/cdn/shop/files/pdp_mig_3bf53470_20230726_734_ID0101_1_jpg.jpg?v=1768543105</t>
  </si>
  <si>
    <t>https://innisfree-taiwan.myshopify.com/products/no-sebum-powder-cushion-spf-29-pa</t>
  </si>
  <si>
    <t>無油無慮零毛孔控油氣墊&amp;#40;4色&amp;#41;_x000D_ | INNISFREE Taiwan</t>
  </si>
  <si>
    <t>控油效果持續48小時，完美遮瑕修飾毛孔的氣墊粉餅</t>
  </si>
  <si>
    <t>無油無慮零毛孔控油氣墊(4色) 14g</t>
  </si>
  <si>
    <t>無油無慮零毛孔控油氣墊&amp;#40;4色&amp;#41; | INNISFREE Taiwan</t>
  </si>
  <si>
    <t>http://innisfree-taiwan.myshopify.com/cdn/shop/files/pdp_mig_aa01ca9b_20230726_733_ID0101_1_jpg.jpg?v=1768543104</t>
  </si>
  <si>
    <t>https://innisfree-taiwan.myshopify.com/cdn/shop/files/pdp_mig_aa01ca9b_20230726_733_ID0101_1_jpg.jpg?v=1768543104</t>
  </si>
  <si>
    <t>https://innisfree-taiwan.myshopify.com/products/pdrn-set</t>
  </si>
  <si>
    <t>PDRN煥膚組 - JOGUMAN特別版_x000D_ | INNISFREE Taiwan</t>
  </si>
  <si>
    <t>1%A醇PDRN水光安瓶25ml+早C晚A體驗組(維他命C淨亮精華7ml+A醇淨膚超修護安瓶5ml)</t>
  </si>
  <si>
    <t>PDRN煥膚組 - JOGUMAN特別版</t>
  </si>
  <si>
    <t>PDRN煥膚組 - JOGUMAN特別版 | INNISFREE Taiwan</t>
  </si>
  <si>
    <t>http://innisfree-taiwan.myshopify.com/cdn/shop/files/20260108_1719_ID0101_1.jpg?v=1770623250</t>
  </si>
  <si>
    <t>https://innisfree-taiwan.myshopify.com/cdn/shop/files/20260108_1719_ID0101_1.jpg?v=1770623250</t>
  </si>
  <si>
    <t>https://innisfree-taiwan.myshopify.com/products/pdrn-skinbooster-ampoule-gel-mask</t>
  </si>
  <si>
    <t>[新客優惠]新客入手面膜組_x000D_ | INNISFREE Taiwan</t>
  </si>
  <si>
    <t>1%A醇PDRN水光安瓶果凍面膜*2片 含有1%A醇PDRN水光安瓶主要成分的果凍面膜，能改善粗糙並平滑肌膚，深層補水保濕，打造彈嫩水光肌。</t>
  </si>
  <si>
    <t>[新客優惠]新客入手面膜組</t>
  </si>
  <si>
    <t>[新客優惠]新客入手面膜組 | INNISFREE Taiwan</t>
  </si>
  <si>
    <t>http://innisfree-taiwan.myshopify.com/cdn/shop/files/20251218_1712_ID0101_1.jpg?v=1770623250</t>
  </si>
  <si>
    <t>https://innisfree-taiwan.myshopify.com/cdn/shop/files/20251218_1712_ID0101_1.jpg?v=1770623250</t>
  </si>
  <si>
    <t>https://innisfree-taiwan.myshopify.com/products/pdrntonereye</t>
  </si>
  <si>
    <t>[2月限定]PDRN家族水光奇蹟撫紋組_x000D_ | INNISFREE Taiwan</t>
  </si>
  <si>
    <t>推薦給想緊緻毛孔及預防細紋的人，添加A醇及綠茶PDRN™的保養成分，有效代謝角質、緊緻毛孔、改善肌膚彈性，奇蹟水與水光安瓶搭配使用，輕鬆擁有光滑緊緻的發光肌。</t>
  </si>
  <si>
    <t>[2月限定]PDRN家族水光奇蹟撫紋組</t>
  </si>
  <si>
    <t>[2月限定]PDRN家族水光奇蹟撫紋組 | INNISFREE Taiwan</t>
  </si>
  <si>
    <t>http://innisfree-taiwan.myshopify.com/cdn/shop/files/20260108_1721_ID0101_1.jpg?v=1770623248</t>
  </si>
  <si>
    <t>https://innisfree-taiwan.myshopify.com/cdn/shop/files/20260108_1721_ID0101_1.jpg?v=1770623248</t>
  </si>
  <si>
    <t>https://innisfree-taiwan.myshopify.com/products/perfect-9-intensive-cream</t>
  </si>
  <si>
    <t>九重完美青春再生活膚霜 60ml_x000D_ | INNISFREE Taiwan</t>
  </si>
  <si>
    <t>採用濟州島靈芝等9種珍貴抗老靈草成分，針對缺乏彈力、肌膚乾燥、皺紋、緊繃、加強肌膚代謝、肌膚暗沉瑕疵、毛孔問題進行護理，富含營養與保溼力的夜間型抗老化修護面霜。適合乾性肌膚、熟齡肌膚，喜歡豐富營養感與滋潤質地，高機能多重功效產品的顧客。</t>
  </si>
  <si>
    <t>九重完美青春再生活膚霜 60ml</t>
  </si>
  <si>
    <t>九重完美青春再生活膚霜 60ml | INNISFREE Taiwan</t>
  </si>
  <si>
    <t>http://innisfree-taiwan.myshopify.com/cdn/shop/files/pdp_mig_0ddbad5c_20260109_164_ID0101_1_jpg.jpg?v=1768543120</t>
  </si>
  <si>
    <t>https://innisfree-taiwan.myshopify.com/cdn/shop/files/pdp_mig_0ddbad5c_20260109_164_ID0101_1_jpg.jpg?v=1768543120</t>
  </si>
  <si>
    <t>https://innisfree-taiwan.myshopify.com/products/perfect-9-intensive-eye-cream</t>
  </si>
  <si>
    <t>九重完美青春再生眼霜 30ml_x000D_ | INNISFREE Taiwan</t>
  </si>
  <si>
    <t>採用濟州島靈芝等9種珍貴抗老靈草成分，針對缺乏彈力、肌膚乾燥、皺紋、緊繃、加強肌膚代謝、肌膚暗沉瑕疵、毛孔問題進行護理，有效改善眼角肌膚的夜間抗老化眼霜。適合乾性肌膚、熟齡肌膚，喜歡豐富營養感與滋潤質地，高機能多重功效產品的顧客。</t>
  </si>
  <si>
    <t>九重完美青春再生眼霜 30ml</t>
  </si>
  <si>
    <t>九重完美青春再生眼霜 30ml | INNISFREE Taiwan</t>
  </si>
  <si>
    <t>http://innisfree-taiwan.myshopify.com/cdn/shop/files/pdp_mig_27f7f690_20260109_165_ID0101_1_jpg.jpg?v=1768543119</t>
  </si>
  <si>
    <t>https://innisfree-taiwan.myshopify.com/cdn/shop/files/pdp_mig_27f7f690_20260109_165_ID0101_1_jpg.jpg?v=1768543119</t>
  </si>
  <si>
    <t>https://innisfree-taiwan.myshopify.com/products/perfect-9-intensive-lotion</t>
  </si>
  <si>
    <t>九重完美青春再生活膚乳 160ml_x000D_ | INNISFREE Taiwan</t>
  </si>
  <si>
    <t>採用濟州島靈芝等9種珍貴抗老靈草成分，針對缺乏彈力、肌膚乾燥、皺紋、緊繃、加強肌膚代謝、肌膚暗沉瑕疵、毛孔問題進行護理，持續性給予肌膚滋潤的春春再生修護乳液。適合乾性肌膚、熟齡肌膚，喜歡豐富營養感與滋潤質地，高機能多重功效產品的顧客。</t>
  </si>
  <si>
    <t>九重完美青春再生活膚乳 160ml</t>
  </si>
  <si>
    <t>九重完美青春再生活膚乳 160ml | INNISFREE Taiwan</t>
  </si>
  <si>
    <t>http://innisfree-taiwan.myshopify.com/cdn/shop/files/pdp_mig_1dc3fd27_20230828_162_ID0101_1_jpg.jpg?v=1768543120</t>
  </si>
  <si>
    <t>https://innisfree-taiwan.myshopify.com/cdn/shop/files/pdp_mig_1dc3fd27_20230828_162_ID0101_1_jpg.jpg?v=1768543120</t>
  </si>
  <si>
    <t>https://innisfree-taiwan.myshopify.com/products/perfect-9-intensive-serum</t>
  </si>
  <si>
    <t>九重完美青春再生活膚精華 50ml_x000D_ | INNISFREE Taiwan</t>
  </si>
  <si>
    <t>採用濟州島靈芝等9種珍貴抗老靈草成分，針對缺乏彈力、肌膚乾燥、皺紋、緊繃、加強肌膚代謝、肌膚暗沉瑕疵、毛孔問題進行護理，打造絲綢般滑順肌膚的青春再生精華。適合乾性肌膚、熟齡肌膚，喜歡豐富營養感與滋潤質地，高機能多重功效產品的顧客。</t>
  </si>
  <si>
    <t>九重完美青春再生活膚精華 50ml</t>
  </si>
  <si>
    <t>九重完美青春再生活膚精華 50ml | INNISFREE Taiwan</t>
  </si>
  <si>
    <t>http://innisfree-taiwan.myshopify.com/cdn/shop/files/pdp_mig_a0e033b5_20230828_163_ID0101_1_jpg.jpg?v=1768543120</t>
  </si>
  <si>
    <t>https://innisfree-taiwan.myshopify.com/cdn/shop/files/pdp_mig_a0e033b5_20230828_163_ID0101_1_jpg.jpg?v=1768543120</t>
  </si>
  <si>
    <t>https://innisfree-taiwan.myshopify.com/products/perfect-9-intensive-toner</t>
  </si>
  <si>
    <t>九重完美青春再生活膚露 200ml_x000D_ | INNISFREE Taiwan</t>
  </si>
  <si>
    <t>採用濟州島靈芝等9種珍貴抗老靈草成分，針對九大肌膚問題進行護理，延緩肌膚老化的化妝水。 適合乾性肌膚、熟齡肌膚，喜歡豐富營養感與滋潤質地，高機能多重功效產品的顧客。</t>
  </si>
  <si>
    <t>九重完美青春再生活膚露 200ml</t>
  </si>
  <si>
    <t>九重完美青春再生活膚露 200ml | INNISFREE Taiwan</t>
  </si>
  <si>
    <t>http://innisfree-taiwan.myshopify.com/cdn/shop/files/pdp_mig_aae7af49_20230828_161_ID0101_1_jpg.jpg?v=1768543120</t>
  </si>
  <si>
    <t>https://innisfree-taiwan.myshopify.com/cdn/shop/files/pdp_mig_aae7af49_20230828_161_ID0101_1_jpg.jpg?v=1768543120</t>
  </si>
  <si>
    <t>https://innisfree-taiwan.myshopify.com/products/rcapdrn</t>
  </si>
  <si>
    <t>[12月限定] 雙A爆亮水煮蛋肌組_x000D_ | INNISFREE Taiwan</t>
  </si>
  <si>
    <t>[A醇2+1循環保養] 醫美小白也能無痛體驗不用針的水光奇蹟。每2日使用A醇安瓶溫和代謝老廢角質，改善痘痘粉刺困擾，第3日使用PDRN光安瓶加強煥膚，緊緻肌膚、減少細紋，同時改善毛孔粗大問題。</t>
  </si>
  <si>
    <t>不使用 雙A爆亮水煮蛋肌組</t>
  </si>
  <si>
    <t>[12月限定] 雙A爆亮水煮蛋肌組 | INNISFREE Taiwan</t>
  </si>
  <si>
    <t>http://innisfree-taiwan.myshopify.com/cdn/shop/files/20251119_1482_ID0101_1.jpg?v=1770623251</t>
  </si>
  <si>
    <t>https://innisfree-taiwan.myshopify.com/cdn/shop/files/20251119_1482_ID0101_1.jpg?v=1770623251</t>
  </si>
  <si>
    <t>https://innisfree-taiwan.myshopify.com/products/rcapdrn-01</t>
  </si>
  <si>
    <t>[1月限定]雙A爆亮水煮蛋肌組_x000D_ | INNISFREE Taiwan</t>
  </si>
  <si>
    <t>1%A醇PDRN水光安瓶 25ml+A醇淨膚超修護安瓶 30ml [A醇2+1循環保養] 醫美小白也能無痛體驗不用針的水光奇蹟 每2日使用A醇安瓶溫和代謝老廢角質，改善痘痘粉刺困擾 第3日使用PDRN光安瓶加強煥膚，緊緻肌膚、減少細紋，同時改善毛孔粗大問題</t>
  </si>
  <si>
    <t>[1月限定]雙A爆亮水煮蛋肌組</t>
  </si>
  <si>
    <t>[1月限定]雙A爆亮水煮蛋肌組 | INNISFREE Taiwan</t>
  </si>
  <si>
    <t>http://innisfree-taiwan.myshopify.com/cdn/shop/files/20251210_1707_ID0101_1.jpg?v=1770623252</t>
  </si>
  <si>
    <t>https://innisfree-taiwan.myshopify.com/cdn/shop/files/20251210_1707_ID0101_1.jpg?v=1770623252</t>
  </si>
  <si>
    <t>https://innisfree-taiwan.myshopify.com/products/retinol-cica-ampoule-set</t>
  </si>
  <si>
    <t>A醇淨膚三重修護組_x000D_ | INNISFREE Taiwan</t>
  </si>
  <si>
    <t>蘊含A醇、積雪草萃取及多種保濕成分，幫助肌膚代謝老廢角質，改善粉刺、緊緻毛孔，同時穩定膚況的高效修護安瓶。 適合所有肌膚類型，想改善粉刺痘痘問題、毛孔粗大、肌膚暗沉粗糙困擾的顧客。</t>
  </si>
  <si>
    <t>A醇淨膚三重修護組</t>
  </si>
  <si>
    <t>A醇淨膚三重修護組 | INNISFREE Taiwan</t>
  </si>
  <si>
    <t>http://innisfree-taiwan.myshopify.com/cdn/shop/files/pdp_mig_bf5eba0d_20250624_1590_ID0101_1_jpg.jpg?v=1768543073</t>
  </si>
  <si>
    <t>https://innisfree-taiwan.myshopify.com/cdn/shop/files/pdp_mig_bf5eba0d_20250624_1590_ID0101_1_jpg.jpg?v=1768543073</t>
  </si>
  <si>
    <t>https://innisfree-taiwan.myshopify.com/products/retinol-cica-repair-ampoule-30ml</t>
  </si>
  <si>
    <t>A醇淨膚超修護安瓶 30ml_x000D_ | INNISFREE Taiwan</t>
  </si>
  <si>
    <t>A醇淨膚超修護安瓶 30ml</t>
  </si>
  <si>
    <t>A醇淨膚超修護安瓶 30ml | INNISFREE Taiwan</t>
  </si>
  <si>
    <t>http://innisfree-taiwan.myshopify.com/cdn/shop/files/pdp_mig_8057db40_20250930_695_ID0101_1_jpg.jpg?v=1768543101</t>
  </si>
  <si>
    <t>https://innisfree-taiwan.myshopify.com/cdn/shop/files/pdp_mig_8057db40_20250930_695_ID0101_1_jpg.jpg?v=1768543101</t>
  </si>
  <si>
    <t>https://innisfree-taiwan.myshopify.com/products/retinol-cica-repair-ampoule-gel-mask</t>
  </si>
  <si>
    <t>A醇淨膚超修護安瓶果凍面膜 23ml_x000D_ | INNISFREE Taiwan</t>
  </si>
  <si>
    <t>含有A醇淨膚超修護安瓶主要成分的果凍面膜，有助於代謝老廢角質細緻膚觸，打造柔嫩平滑的肌膚。</t>
  </si>
  <si>
    <t>A醇淨膚超修護安瓶果凍面膜 23ml</t>
  </si>
  <si>
    <t>A醇淨膚超修護安瓶果凍面膜 23ml | INNISFREE Taiwan</t>
  </si>
  <si>
    <t>http://innisfree-taiwan.myshopify.com/cdn/shop/files/pdp_mig_ad4dac87_20250624_1587_ID0101_1_jpg.jpg?v=1768543070</t>
  </si>
  <si>
    <t>https://innisfree-taiwan.myshopify.com/cdn/shop/files/pdp_mig_ad4dac87_20250624_1587_ID0101_1_jpg.jpg?v=1768543070</t>
  </si>
  <si>
    <t>2026-02-09 18:15:24</t>
  </si>
  <si>
    <t>https://innisfree-taiwan.myshopify.com/products/retinol-green-tea-pdrn-ampoule-set</t>
  </si>
  <si>
    <t>1%A醇PDRN水光保濕組_x000D_ | INNISFREE Taiwan</t>
  </si>
  <si>
    <t>添加A醇及綠茶PDRN™的煥膚安瓶，有效調理代謝角質、緊緻毛孔、改善肌膚彈性，擁有光滑緊緻的肌膚。*綠茶PDRN™：經過發酵過程提取綠茶益生菌中的保養成分。</t>
  </si>
  <si>
    <t>1%A醇PDRN水光保濕組</t>
  </si>
  <si>
    <t>1%A醇PDRN水光保濕組 | INNISFREE Taiwan</t>
  </si>
  <si>
    <t>http://innisfree-taiwan.myshopify.com/cdn/shop/files/pdp_mig_1ce7b267_20250624_1589_ID0101_1_jpg.jpg?v=1769474219</t>
  </si>
  <si>
    <t>https://innisfree-taiwan.myshopify.com/cdn/shop/files/pdp_mig_1ce7b267_20250624_1589_ID0101_1_jpg.jpg?v=1769474219</t>
  </si>
  <si>
    <t>https://innisfree-taiwan.myshopify.com/products/retinol-green-tea-pdrn-skinbooster-ampoule</t>
  </si>
  <si>
    <t>1%A醇PDRN水光安瓶 25ml_x000D_ | INNISFREE Taiwan</t>
  </si>
  <si>
    <t>1%A醇PDRN水光安瓶 25ml</t>
  </si>
  <si>
    <t>1%A醇PDRN水光安瓶 25ml | INNISFREE Taiwan</t>
  </si>
  <si>
    <t>http://innisfree-taiwan.myshopify.com/cdn/shop/files/pdp_mig_85de1376_20260109_1437_ID0101_1_jpg.jpg?v=1768543074</t>
  </si>
  <si>
    <t>https://innisfree-taiwan.myshopify.com/cdn/shop/files/pdp_mig_85de1376_20260109_1437_ID0101_1_jpg.jpg?v=1768543074</t>
  </si>
  <si>
    <t>https://innisfree-taiwan.myshopify.com/products/retinol-green-tea-pdrn-skinbooster-ampoule40ml</t>
  </si>
  <si>
    <t>1%A醇PDRN水光安瓶 40ml_x000D_ | INNISFREE Taiwan</t>
  </si>
  <si>
    <t>1%A醇PDRN水光安瓶 40ml</t>
  </si>
  <si>
    <t>1%A醇PDRN水光安瓶 40ml | INNISFREE Taiwan</t>
  </si>
  <si>
    <t>http://innisfree-taiwan.myshopify.com/cdn/shop/files/pdp_mig_6a1dc38d_20260109_1601_ID0101_1_jpg.jpg?v=1768543070</t>
  </si>
  <si>
    <t>https://innisfree-taiwan.myshopify.com/cdn/shop/files/pdp_mig_6a1dc38d_20260109_1601_ID0101_1_jpg.jpg?v=1768543070</t>
  </si>
  <si>
    <t>2026-02-09 18:15:21</t>
  </si>
  <si>
    <t>https://innisfree-taiwan.myshopify.com/products/retinol-green-tea-pdrn-skinbooster-toner</t>
  </si>
  <si>
    <t>A醇PDRN水光奇蹟水 170ml_x000D_ | INNISFREE Taiwan</t>
  </si>
  <si>
    <t>添加A醇及綠茶PDRN™的化妝水，有效調理代謝角質、緊緻毛孔、改善肌膚彈性，擁有光滑緊緻的肌膚。推薦給想要水潤光滑膚質的顧客。</t>
  </si>
  <si>
    <t>A醇PDRN水光奇蹟水 170ml</t>
  </si>
  <si>
    <t>A醇PDRN水光奇蹟水 170ml | INNISFREE Taiwan</t>
  </si>
  <si>
    <t>http://innisfree-taiwan.myshopify.com/cdn/shop/files/pdp_mig_54191fb5_20250801_1526_ID0101_1_jpg.jpg?v=1768543073</t>
  </si>
  <si>
    <t>https://innisfree-taiwan.myshopify.com/cdn/shop/files/pdp_mig_54191fb5_20250801_1526_ID0101_1_jpg.jpg?v=1768543073</t>
  </si>
  <si>
    <t>https://innisfree-taiwan.myshopify.com/products/retinol-greentea-pdrn-skinbooster-ampoule-gel-mask</t>
  </si>
  <si>
    <t>1%A醇PDRN水光安瓶果凍面膜 25ml_x000D_ | INNISFREE Taiwan</t>
  </si>
  <si>
    <t>含有1%A醇PDRN水光安瓶主要成分的果凍面膜，能改善粗糙並平滑肌膚，深層補水保濕，打造彈嫩水光肌。</t>
  </si>
  <si>
    <t>1%A醇PDRN水光安瓶果凍面膜 25ml</t>
  </si>
  <si>
    <t>1%A醇PDRN水光安瓶果凍面膜 25ml | INNISFREE Taiwan</t>
  </si>
  <si>
    <t>http://innisfree-taiwan.myshopify.com/cdn/shop/files/pdp_mig_2b825e69_20250624_1588_ID0101_1_jpg.jpg?v=1768543071</t>
  </si>
  <si>
    <t>https://innisfree-taiwan.myshopify.com/cdn/shop/files/pdp_mig_2b825e69_20250624_1588_ID0101_1_jpg.jpg?v=1768543071</t>
  </si>
  <si>
    <t>https://innisfree-taiwan.myshopify.com/products/sculpting-powder-contour</t>
  </si>
  <si>
    <t>妝自然圓形修容 6.8g_x000D_ | INNISFREE Taiwan</t>
  </si>
  <si>
    <t>打造自然立體妝容的修容餅。</t>
  </si>
  <si>
    <t>妝自然圓形修容 6.8g</t>
  </si>
  <si>
    <t>妝自然圓形修容 6.8g | INNISFREE Taiwan</t>
  </si>
  <si>
    <t>http://innisfree-taiwan.myshopify.com/cdn/shop/files/pdp_mig_dee2b6bc_20240319_1333_ID0101_1_jpg.jpg?v=1768543075</t>
  </si>
  <si>
    <t>https://innisfree-taiwan.myshopify.com/cdn/shop/files/pdp_mig_dee2b6bc_20240319_1333_ID0101_1_jpg.jpg?v=1768543075</t>
  </si>
  <si>
    <t>2026-02-09 18:16:58</t>
  </si>
  <si>
    <t>https://innisfree-taiwan.myshopify.com/products/sheer-glowy-highlighter</t>
  </si>
  <si>
    <t>妝自然圓形打亮 5.5g_x000D_ | INNISFREE Taiwan</t>
  </si>
  <si>
    <t>打造自然光澤的打亮效果</t>
  </si>
  <si>
    <t>妝自然圓形打亮 5.5g</t>
  </si>
  <si>
    <t>妝自然圓形打亮 5.5g | INNISFREE Taiwan</t>
  </si>
  <si>
    <t>http://innisfree-taiwan.myshopify.com/cdn/shop/files/pdp_mig_a3f7bd0f_20240318_1332_ID0101_1_jpg.jpg?v=1768543075</t>
  </si>
  <si>
    <t>https://innisfree-taiwan.myshopify.com/cdn/shop/files/pdp_mig_a3f7bd0f_20240318_1332_ID0101_1_jpg.jpg?v=1768543075</t>
  </si>
  <si>
    <t>https://innisfree-taiwan.myshopify.com/products/silky-powder-blush</t>
  </si>
  <si>
    <t>妝自然圓形腮紅 6.2g_x000D_ | INNISFREE Taiwan</t>
  </si>
  <si>
    <t>絲柔質地的腮紅，打造自然好氣色</t>
  </si>
  <si>
    <t>妝自然圓形腮紅 6.2g</t>
  </si>
  <si>
    <t>妝自然圓形腮紅 6.2g | INNISFREE Taiwan</t>
  </si>
  <si>
    <t>http://innisfree-taiwan.myshopify.com/cdn/shop/files/pdp_mig_73392914_20240319_1334_ID0101_1_jpg.jpg?v=1768543074</t>
  </si>
  <si>
    <t>https://innisfree-taiwan.myshopify.com/cdn/shop/files/pdp_mig_73392914_20240319_1334_ID0101_1_jpg.jpg?v=1768543074</t>
  </si>
  <si>
    <t>https://innisfree-taiwan.myshopify.com/products/sold-out-sample</t>
  </si>
  <si>
    <t>[dev test] sold out sample_x000D_ | INNISFREE Taiwan</t>
  </si>
  <si>
    <t>[dev test] sold out sample</t>
  </si>
  <si>
    <t>[dev test] sold out sample | INNISFREE Taiwan</t>
  </si>
  <si>
    <t>https://innisfree-taiwan.myshopify.com/products/super-volcanic-pore-clay-mask</t>
  </si>
  <si>
    <t>超級火山泥毛孔潔淨面膜 &amp;#40;小熊維尼限定版&amp;#41;_x000D_ | INNISFREE Taiwan</t>
  </si>
  <si>
    <t>含有火山皮脂淨化粉末成分，擁有強力吸附油脂的效果，集中解決毛孔問題的潔淨面膜。</t>
  </si>
  <si>
    <t>超級火山泥毛孔潔淨面膜 (小熊維尼限定版)</t>
  </si>
  <si>
    <t>超級火山泥毛孔潔淨面膜 &amp;#40;小熊維尼限定版&amp;#41; | INNISFREE Taiwan</t>
  </si>
  <si>
    <t>http://innisfree-taiwan.myshopify.com/cdn/shop/files/pdp_mig_80f2c382_20250826_1616_ID0101_1_jpg.jpg?v=1768543086</t>
  </si>
  <si>
    <t>https://innisfree-taiwan.myshopify.com/cdn/shop/files/pdp_mig_80f2c382_20250826_1616_ID0101_1_jpg.jpg?v=1768543086</t>
  </si>
  <si>
    <t>https://innisfree-taiwan.myshopify.com/products/test-mainproduct001</t>
  </si>
  <si>
    <t>[TEST] 1%A醇PDRN水光保濕組_x000D_ | INNISFREE Taiwan</t>
  </si>
  <si>
    <t>[TEST] 1%A醇PDRN水光保濕組</t>
  </si>
  <si>
    <t>[TEST] 1%A醇PDRN水光保濕組 | INNISFREE Taiwan</t>
  </si>
  <si>
    <t>https://innisfree-taiwan.myshopify.com/products/test-sample-product-3</t>
  </si>
  <si>
    <t>Test Sample product 3_x000D_ | INNISFREE Taiwan</t>
  </si>
  <si>
    <t>pdp transcy test   配送</t>
  </si>
  <si>
    <t>Test Sample product 3</t>
  </si>
  <si>
    <t>Test Sample product 3 | INNISFREE Taiwan</t>
  </si>
  <si>
    <t>http://innisfree-taiwan.myshopify.com/cdn/shop/files/pdp_mig_product-66_ID0101_2.png?v=1764230689</t>
  </si>
  <si>
    <t>https://innisfree-taiwan.myshopify.com/cdn/shop/files/pdp_mig_product-66_ID0101_2.png?v=1764230689</t>
  </si>
  <si>
    <t>https://innisfree-taiwan.myshopify.com/products/tone-up-no-sebum-sunscreen23</t>
  </si>
  <si>
    <t>向日葵亮顏控油防曬霜 SPF50+ PA++++ 60ml_x000D_ | INNISFREE Taiwan</t>
  </si>
  <si>
    <t>向日葵亮顏控油防曬霜 SPF50+ PA++++ 60ml</t>
  </si>
  <si>
    <t>向日葵亮顏控油防曬霜 SPF50+ PA++++ 60ml | INNISFREE Taiwan</t>
  </si>
  <si>
    <t>http://innisfree-taiwan.myshopify.com/cdn/shop/files/pdp_mig_f0af4d12_20231129_1056_ID0101_1_jpg.jpg?v=1768543093</t>
  </si>
  <si>
    <t>https://innisfree-taiwan.myshopify.com/cdn/shop/files/pdp_mig_f0af4d12_20231129_1056_ID0101_1_jpg.jpg?v=1768543093</t>
  </si>
  <si>
    <t>https://innisfree-taiwan.myshopify.com/products/vcpdrn</t>
  </si>
  <si>
    <t>[2月限定]早C晚A水光抗老組&amp;#40;進階版&amp;#41;_x000D_ | INNISFREE Taiwan</t>
  </si>
  <si>
    <t>維他命C淨亮精華 30ml+1%A醇PDRN水光安瓶 25ml [早C晚A 進階保養] 推薦給想緊緻毛孔及預防細紋的人，醫美小白也能無痛煥膚打造水光奇肌！ 早上使用維生素C淡化斑點、改善暗沉 夜間使用PDRN水光安瓶緊緻肌膚、減少細紋，同時改善毛孔粗大問題</t>
  </si>
  <si>
    <t>[2月限定]早C晚A水光抗老組(進階版)</t>
  </si>
  <si>
    <t>[2月限定]早C晚A水光抗老組&amp;#40;進階版&amp;#41; | INNISFREE Taiwan</t>
  </si>
  <si>
    <t>http://innisfree-taiwan.myshopify.com/cdn/shop/files/20260112_1727_ID0101_1.jpg?v=1770623247</t>
  </si>
  <si>
    <t>https://innisfree-taiwan.myshopify.com/cdn/shop/files/20260112_1727_ID0101_1.jpg?v=1770623247</t>
  </si>
  <si>
    <t>https://innisfree-taiwan.myshopify.com/products/vcpdrn-01</t>
  </si>
  <si>
    <t>[1月限定]早C晚A水光抗老組&amp;#40;進階版&amp;#41;_x000D_ | INNISFREE Taiwan</t>
  </si>
  <si>
    <t>[1月限定]早C晚A水光抗老組(進階版)</t>
  </si>
  <si>
    <t>[1月限定]早C晚A水光抗老組&amp;#40;進階版&amp;#41; | INNISFREE Taiwan</t>
  </si>
  <si>
    <t>http://innisfree-taiwan.myshopify.com/cdn/shop/files/20251211_1711_ID0101_1.jpg?v=1770623248</t>
  </si>
  <si>
    <t>https://innisfree-taiwan.myshopify.com/cdn/shop/files/20251211_1711_ID0101_1.jpg?v=1770623248</t>
  </si>
  <si>
    <t>https://innisfree-taiwan.myshopify.com/products/vcrca</t>
  </si>
  <si>
    <t>[2月限定]早C晚A戰痘穩膚組&amp;#40;入門版&amp;#41;_x000D_ | INNISFREE Taiwan</t>
  </si>
  <si>
    <t>維他命C淨亮精華 30ml+A醇淨膚超修護安瓶 30ml [早C晚A 入門保養] 推薦給肌膚暗沉及痘痘粉刺困擾的人，敏感肌也能無痛煥膚打造光透美肌！ 早上使用維生素C淡化斑點、改善暗沉 夜間使用A醇幫助肌膚溫和代謝老廢角質，改善痘痘粉刺困擾</t>
  </si>
  <si>
    <t>[2月限定]早C晚A戰痘穩膚組(入門版)</t>
  </si>
  <si>
    <t>[2月限定]早C晚A戰痘穩膚組&amp;#40;入門版&amp;#41; | INNISFREE Taiwan</t>
  </si>
  <si>
    <t>http://innisfree-taiwan.myshopify.com/cdn/shop/files/20260112_1726_ID0101_1.jpg?v=1770623248</t>
  </si>
  <si>
    <t>https://innisfree-taiwan.myshopify.com/cdn/shop/files/20260112_1726_ID0101_1.jpg?v=1770623248</t>
  </si>
  <si>
    <t>https://innisfree-taiwan.myshopify.com/products/vcrca-01</t>
  </si>
  <si>
    <t>[1月限定]早C晚A戰痘穩膚組&amp;#40;入門版&amp;#41;_x000D_ | INNISFREE Taiwan</t>
  </si>
  <si>
    <t>[1月限定]早C晚A戰痘穩膚組(入門版)</t>
  </si>
  <si>
    <t>[1月限定]早C晚A戰痘穩膚組&amp;#40;入門版&amp;#41; | INNISFREE Taiwan</t>
  </si>
  <si>
    <t>http://innisfree-taiwan.myshopify.com/cdn/shop/files/20251210_1710_ID0101_1.jpg?v=1770623249</t>
  </si>
  <si>
    <t>https://innisfree-taiwan.myshopify.com/cdn/shop/files/20251210_1710_ID0101_1.jpg?v=1770623249</t>
  </si>
  <si>
    <t>https://innisfree-taiwan.myshopify.com/products/vcvcp</t>
  </si>
  <si>
    <t>[1月限定]維C棉片兩用煥亮組_x000D_ | INNISFREE Taiwan</t>
  </si>
  <si>
    <t>維他命C淨亮棉片60片+維他命C淨亮精華 50ml 推薦給肌膚暗沉、膚色不均或有斑點困擾的人，使用維他命C淨亮精華淡化斑點、改善暗沉、均勻膚色，搭配維他命C棉片擦拭&amp;濕敷，讓肌膚更光滑透亮。</t>
  </si>
  <si>
    <t>[1月限定]維C棉片兩用煥亮組</t>
  </si>
  <si>
    <t>[1月限定]維C棉片兩用煥亮組 | INNISFREE Taiwan</t>
  </si>
  <si>
    <t>http://innisfree-taiwan.myshopify.com/cdn/shop/files/20251210_1708_ID0101_1.jpg?v=1770623250</t>
  </si>
  <si>
    <t>https://innisfree-taiwan.myshopify.com/cdn/shop/files/20251210_1708_ID0101_1.jpg?v=1770623250</t>
  </si>
  <si>
    <t>https://innisfree-taiwan.myshopify.com/products/vitamin-c-green-tea-brightening-serum-gel-mask</t>
  </si>
  <si>
    <t>維他命C淨亮精華果凍面膜 25ml_x000D_ | INNISFREE Taiwan</t>
  </si>
  <si>
    <t>富含維他命C、穀胱甘肽與維他命B3三大亮白成分，有助於改善暗沉，促進肌膚淨透亮澤。在三款精華凝膠面膜中，輕盈清爽的質地，適合春夏等炎熱季節使用。</t>
  </si>
  <si>
    <t>維他命C淨亮精華果凍面膜 25ml</t>
  </si>
  <si>
    <t>維他命C淨亮精華果凍面膜 25ml | INNISFREE Taiwan</t>
  </si>
  <si>
    <t>http://innisfree-taiwan.myshopify.com/cdn/shop/files/pdp_mig_4c0f0ef8_20250620_1586_ID0101_1_jpg.jpg?v=1768543072</t>
  </si>
  <si>
    <t>https://innisfree-taiwan.myshopify.com/cdn/shop/files/pdp_mig_4c0f0ef8_20250620_1586_ID0101_1_jpg.jpg?v=1768543072</t>
  </si>
  <si>
    <t>https://innisfree-taiwan.myshopify.com/products/vitamin-c-green-tea-enzyme-brightening</t>
  </si>
  <si>
    <t>維他命C淨亮精華 50ml_x000D_ | INNISFREE Taiwan</t>
  </si>
  <si>
    <t>富含維生素C和濟州綠茶中的酵素酶，有助於淡化斑點、改善暗沉、均勻膚色，讓肌膚更光滑透亮。 全膚質適用，適合在意膚色不均、斑點問題，想要尋找溫和低敏亮白成分產品的顧客。</t>
  </si>
  <si>
    <t>維他命C淨亮精華 50ml</t>
  </si>
  <si>
    <t>維他命C淨亮精華 50ml | INNISFREE Taiwan</t>
  </si>
  <si>
    <t>http://innisfree-taiwan.myshopify.com/cdn/shop/files/pdp_mig_fbbe1d09_20250930_1353_ID0101_1_png.png?v=1768543074</t>
  </si>
  <si>
    <t>https://innisfree-taiwan.myshopify.com/cdn/shop/files/pdp_mig_fbbe1d09_20250930_1353_ID0101_1_png.png?v=1768543074</t>
  </si>
  <si>
    <t>https://innisfree-taiwan.myshopify.com/products/vitamin-c-green-tea-enzyme-brightening-cream</t>
  </si>
  <si>
    <t>維他命C淨亮淡斑凝霜 50ml_x000D_ | INNISFREE Taiwan</t>
  </si>
  <si>
    <t>維他命C和綠茶酵素的亮白凝霜，可針對淡化斑點、改善膚色不均，打造淨透亮的肌膚。適合想改善斑點、提亮膚色，希望霜類產品保濕但不油膩且好吸收的顧客。</t>
  </si>
  <si>
    <t>維他命C淨亮淡斑凝霜 50ml</t>
  </si>
  <si>
    <t>維他命C淨亮淡斑凝霜 50ml | INNISFREE Taiwan</t>
  </si>
  <si>
    <t>http://innisfree-taiwan.myshopify.com/cdn/shop/files/pdp_mig_44a05e10_20260109_1517_ID0101_1_jpg.jpg?v=1768543073</t>
  </si>
  <si>
    <t>https://innisfree-taiwan.myshopify.com/cdn/shop/files/pdp_mig_44a05e10_20260109_1517_ID0101_1_jpg.jpg?v=1768543073</t>
  </si>
  <si>
    <t>https://innisfree-taiwan.myshopify.com/products/vitamin-c-green-tea-enzyme-brightening-pad</t>
  </si>
  <si>
    <t>維他命C淨亮棉片170ml &amp;#40;60片&amp;#41;_x000D_ | INNISFREE Taiwan</t>
  </si>
  <si>
    <t>富含維生素C淨亮精華的棉片，有助於淡化斑點、改善暗沉、均勻膚色，讓肌膚更光滑透亮。 全膚質適用，適合在意膚色不均、斑點問題，想要尋找溫和低敏亮白成分產品的顧客。</t>
  </si>
  <si>
    <t>維他命C淨亮棉片170ml (60片)</t>
  </si>
  <si>
    <t>維他命C淨亮棉片170ml &amp;#40;60片&amp;#41; | INNISFREE Taiwan</t>
  </si>
  <si>
    <t>http://innisfree-taiwan.myshopify.com/cdn/shop/files/pdp_mig_bd408ff4_20240422_1351_ID0101_1_jpg.jpg?v=1768543073</t>
  </si>
  <si>
    <t>https://innisfree-taiwan.myshopify.com/cdn/shop/files/pdp_mig_bd408ff4_20240422_1351_ID0101_1_jpg.jpg?v=1768543073</t>
  </si>
  <si>
    <t>https://innisfree-taiwan.myshopify.com/products/vitamin-c-green-tea-enzyme-brightening-serum</t>
  </si>
  <si>
    <t>維他命C淨亮精華 30ml_x000D_ | INNISFREE Taiwan</t>
  </si>
  <si>
    <t>維他命C淨亮精華 30ml</t>
  </si>
  <si>
    <t>維他命C淨亮精華 30ml | INNISFREE Taiwan</t>
  </si>
  <si>
    <t>http://innisfree-taiwan.myshopify.com/cdn/shop/files/pdp_mig_1fa1baef_20250930_1099_ID0101_1_jpg.jpg?v=1768543091</t>
  </si>
  <si>
    <t>https://innisfree-taiwan.myshopify.com/cdn/shop/files/pdp_mig_1fa1baef_20250930_1099_ID0101_1_jpg.jpg?v=1768543091</t>
  </si>
  <si>
    <t>Errors</t>
  </si>
  <si>
    <t>Rich Result Features</t>
  </si>
  <si>
    <t>Warnings</t>
  </si>
  <si>
    <t>Rich Result Errors</t>
  </si>
  <si>
    <t>Rich Result Warnings</t>
  </si>
  <si>
    <t>Feature-1</t>
  </si>
  <si>
    <t>Feature-2</t>
  </si>
  <si>
    <t>Feature-3</t>
  </si>
  <si>
    <t>Feature-4</t>
  </si>
  <si>
    <t>Total Types</t>
  </si>
  <si>
    <t>Unique Types</t>
  </si>
  <si>
    <t>Google Organization</t>
  </si>
  <si>
    <t>Organization</t>
  </si>
  <si>
    <t>SearchAction</t>
  </si>
  <si>
    <t>WebSite</t>
  </si>
  <si>
    <t>Google Article</t>
  </si>
  <si>
    <t>Article</t>
  </si>
  <si>
    <t>Person</t>
  </si>
  <si>
    <t>WebPage</t>
  </si>
  <si>
    <t>Google Product Merchant Listings</t>
  </si>
  <si>
    <t>Google Product Snippet</t>
  </si>
  <si>
    <t>Brand</t>
  </si>
  <si>
    <t>Offer</t>
  </si>
  <si>
    <t>Product</t>
  </si>
  <si>
    <t>Google Product Variant</t>
  </si>
  <si>
    <t>ProductGroup</t>
  </si>
  <si>
    <t>Type</t>
  </si>
  <si>
    <t>From</t>
  </si>
  <si>
    <t>To</t>
  </si>
  <si>
    <t>Anchor Text</t>
  </si>
  <si>
    <t>Alt Text</t>
  </si>
  <si>
    <t>Follow</t>
  </si>
  <si>
    <t>Target</t>
  </si>
  <si>
    <t>Rel</t>
  </si>
  <si>
    <t>Path Type</t>
  </si>
  <si>
    <t>Link Path</t>
  </si>
  <si>
    <t>Link Position</t>
  </si>
  <si>
    <t>Link Origin</t>
  </si>
  <si>
    <t>Size</t>
  </si>
  <si>
    <t>Transferred</t>
  </si>
  <si>
    <t>Hyperlink</t>
  </si>
  <si>
    <t>_blank</t>
  </si>
  <si>
    <t>Path-Relative</t>
  </si>
  <si>
    <t>//body/main/section/article/div[2]/div/p[25]/span/a</t>
  </si>
  <si>
    <t>Content</t>
  </si>
  <si>
    <t>HTML</t>
  </si>
  <si>
    <t>//body/main/section/article/div[2]/div/p[26]/span/a</t>
  </si>
  <si>
    <t>//body/main/section/article/div[2]/div/p[27]/span/a</t>
  </si>
  <si>
    <t>//body/main/section/article/div[2]/div/p[28]/span[2]/a</t>
  </si>
  <si>
    <t>//body/main/section/article/div[2]/div/p[@class='MsoNormal'][31]/span[2]/a</t>
  </si>
  <si>
    <t>//body/main/section/article/div[2]/div/p[49]/span/a</t>
  </si>
  <si>
    <t>//body/main/section/article/div[2]/div/p[@class='MsoNormal'][24]/a</t>
  </si>
  <si>
    <t>肌膚問題攻略</t>
  </si>
  <si>
    <t>//body/main/section/article/div[2]/div/p[86]/a[1]</t>
  </si>
  <si>
    <t>//body/main/section/article/div[2]/div/p[60]/span/a</t>
  </si>
  <si>
    <t>//body/main/section/article/div[2]/div/p[@class='MsoNormal'][70]/a[2]</t>
  </si>
  <si>
    <t>INNISFREE精選文章</t>
  </si>
  <si>
    <t>//body/main/section/article/div[2]/div/p[@class='MsoNormal'][70]/a[3]</t>
  </si>
  <si>
    <t>//body/main/section/article/div[2]/div/p[72]/a[2]</t>
  </si>
  <si>
    <t>//body/main/section/article/div[2]/div/p[72]/a[3]</t>
  </si>
  <si>
    <t>//body/main/section/article/div[2]/div/p[24]/a</t>
  </si>
  <si>
    <t>//body/main/section/article/div[2]/div/p[@class='MsoNormal'][44]/span[2]/a</t>
  </si>
  <si>
    <t>//body/main/section/article/div[2]/div/p[@class='MsoNormal'][44]/a</t>
  </si>
  <si>
    <t>//body/main/section/article/div[2]/div/p[13]/b[13]/a</t>
  </si>
  <si>
    <t>//body/main/section/article/div[2]/div/p[81]/span/span/b/a</t>
  </si>
  <si>
    <t>//body/main/section/article/div[2]/div/p[@class='MsoNormal'][29]/span[2]/a</t>
  </si>
  <si>
    <t>毛孔粗大保養品推薦｜想要打造完美膚質？4大關鍵重點不可少！</t>
  </si>
  <si>
    <t>//body/main/section/article/div[2]/div/p[33]/a[2]</t>
  </si>
  <si>
    <t>//body/main/section/article/div[2]/div/p[@class='MsoNormal'][34]/span/span/a</t>
  </si>
  <si>
    <t>//body/main/section/article/div[2]/div/p[69]/a</t>
  </si>
  <si>
    <t>//body/main/section/article/div[2]/div/p[45]/span[2]/a</t>
  </si>
  <si>
    <t>//body/main/section/article/div[2]/div/p[@class='MsoNormal'][40]/a</t>
  </si>
  <si>
    <t>//body/main/section/article/div[2]/div/p[55]/span/span/a</t>
  </si>
  <si>
    <t>//body/main/section/article/div[2]/div/p[36]/span[1]/a</t>
  </si>
  <si>
    <t>//body/main/section/article/div[2]/div/p[@class='MsoNormal'][19]/span/span[2]/a</t>
  </si>
  <si>
    <t>//body/main/section/article/div[2]/div/p[@class='MsoNormal'][20]/span/a</t>
  </si>
  <si>
    <t>//body/main/section/article/div[2]/div/p[@class='MsoNormal'][21]/span/a</t>
  </si>
  <si>
    <t>//body/main/section/article/div[2]/div/p[6]/b[2]/a</t>
  </si>
  <si>
    <t>//body/main/section/article/div[2]/div/p[35]/a[2]</t>
  </si>
  <si>
    <t>//body/main/section/article/div[2]/div/p[36]/span[2]/a</t>
  </si>
  <si>
    <t>敏感肌保養正確3步驟，加碼不藏私敏感肌保養品推薦！</t>
  </si>
  <si>
    <t>//body/main/section/article/div[2]/div/p[13]/b[6]/a</t>
  </si>
  <si>
    <t>//body/main/section/article/div[2]/div/p[89]/span/span/a</t>
  </si>
  <si>
    <t>Root-Relative</t>
  </si>
  <si>
    <t>//body/main/div[@id='shopify-section-template--25897633906976__product-grid']/div/div[@id='main-collection-filters']/div[@class='facets-container']/menu-drawer[1]/details/div/div/div[2]/div[10]/details/summary/a</t>
  </si>
  <si>
    <t>//body/main/div[@id='shopify-section-template--25897633906976__product-grid']/div/div[2]/aside/div[10]/details/summary/a</t>
  </si>
  <si>
    <t>Aside</t>
  </si>
  <si>
    <t>//body/main/section/article/div[2]/div/p[@class='MsoNormal'][33]/span/a</t>
  </si>
  <si>
    <t>//body/main/section/article/div[2]/div/p[63]/a</t>
  </si>
  <si>
    <t>//body/main/section/article/div[2]/div/p[@class='MsoNormal'][43]/span/a</t>
  </si>
  <si>
    <t>//body/main/section/article/div[2]/div/p[@class='MsoNormal'][33]/a</t>
  </si>
  <si>
    <t>//body/main/section/article/div[2]/div/div/div[@class='section03']/a</t>
  </si>
  <si>
    <t>//body/main/section/article/div[2]/div/div/div[@class='section05']/div[1]/a[@class='link08']</t>
  </si>
  <si>
    <t>//body/main/section/article/div[2]/div/div/div[@class='section05']/div[1]/a[@class='link09']</t>
  </si>
  <si>
    <t>//body/main/section/article/div[2]/div/div/div[@class='section05']/div[2]/a[@class='link10']</t>
  </si>
  <si>
    <t>//body/main/section/article/div[2]/div/div/div[@class='section05']/div[2]/a[@class='link11']</t>
  </si>
  <si>
    <t>//body/main/section/article/div[2]/div/div/div[4]/a[@class='link06']</t>
  </si>
  <si>
    <t>//body/main/section/article/div[2]/div/p[64]/span[2]/a</t>
  </si>
  <si>
    <t>//body/main/section/article/div[2]/div/p[65]/a</t>
  </si>
  <si>
    <t>//body/main/section/article/div[2]/div/p[66]/a</t>
  </si>
  <si>
    <t>//body/main/section/article/div[2]/div/p[67]/a</t>
  </si>
  <si>
    <t>//body/main/section/article/div[2]/div/p[68]/a</t>
  </si>
  <si>
    <t>//body/main/section/article/div[2]/div/p[70]/a</t>
  </si>
  <si>
    <t>取消訂單/退貨</t>
  </si>
  <si>
    <t>//body/main/section[@id='shopify-section-template--25897632596256__shopping_guide_exchange_rnHyeF']/div/div/section/div[@class='shopping-guide__caption']/div/a</t>
  </si>
  <si>
    <t>我的會員帳戶</t>
  </si>
  <si>
    <t>//body/main/div[@id='shopify-section-template--25897633153312__main']/div/div/div[8]/div[@class='sitemap__content-wrapper'][2]/ul/li[@class='sitemap__2depth'][1]/a</t>
  </si>
  <si>
    <t>//body/main/nav/ol/li[2]/a</t>
  </si>
  <si>
    <t>Navigation</t>
  </si>
  <si>
    <t>//body/main/section/div/aside/nav/ui-dropdown/ul/li[1]/a</t>
  </si>
  <si>
    <t>//body/main/section/div/aside/nav/div/ul/li[1]/a</t>
  </si>
  <si>
    <t>管理收件地址</t>
  </si>
  <si>
    <t>//body/main/div[@id='shopify-section-template--25897633153312__main']/div/div/div[8]/div[@class='sitemap__content-wrapper'][2]/ul/li[@class='sitemap__2depth'][4]/a</t>
  </si>
  <si>
    <t>//body/main/section/div/aside/nav/ui-dropdown/ul/li[4]/a</t>
  </si>
  <si>
    <t>//body/main/section/div/aside/nav/div/ul/li[4]/a</t>
  </si>
  <si>
    <t>_를 -로 교체</t>
    <phoneticPr fontId="2" type="noConversion"/>
  </si>
  <si>
    <t>영어로 변경</t>
    <phoneticPr fontId="2" type="noConversion"/>
  </si>
  <si>
    <t>예외 적용 (blocked by robots.txt)</t>
    <phoneticPr fontId="2" type="noConversion"/>
  </si>
  <si>
    <t>missing</t>
    <phoneticPr fontId="2" type="noConversion"/>
  </si>
  <si>
    <t>페이지 확인 필요(empty 의심)</t>
    <phoneticPr fontId="2" type="noConversion"/>
  </si>
  <si>
    <r>
      <rPr>
        <sz val="8"/>
        <color theme="1"/>
        <rFont val="맑은 고딕"/>
        <family val="2"/>
        <charset val="129"/>
        <scheme val="minor"/>
      </rPr>
      <t>臉</t>
    </r>
    <r>
      <rPr>
        <sz val="8"/>
        <color theme="1"/>
        <rFont val="맑은 고딕"/>
        <family val="3"/>
        <charset val="129"/>
        <scheme val="minor"/>
      </rPr>
      <t>部保濕3步驟大公開！</t>
    </r>
    <r>
      <rPr>
        <sz val="8"/>
        <color theme="1"/>
        <rFont val="맑은 고딕"/>
        <family val="2"/>
        <charset val="129"/>
        <scheme val="minor"/>
      </rPr>
      <t>教你</t>
    </r>
    <r>
      <rPr>
        <sz val="8"/>
        <color theme="1"/>
        <rFont val="맑은 고딕"/>
        <family val="3"/>
        <charset val="129"/>
        <scheme val="minor"/>
      </rPr>
      <t>正確保養，擺脫乾燥肌！</t>
    </r>
  </si>
  <si>
    <r>
      <rPr>
        <sz val="8"/>
        <color theme="1"/>
        <rFont val="맑은 고딕"/>
        <family val="2"/>
        <charset val="129"/>
        <scheme val="minor"/>
      </rPr>
      <t>臉</t>
    </r>
    <r>
      <rPr>
        <sz val="8"/>
        <color theme="1"/>
        <rFont val="맑은 고딕"/>
        <family val="3"/>
        <charset val="129"/>
        <scheme val="minor"/>
      </rPr>
      <t>部保濕推薦3步驟！</t>
    </r>
    <r>
      <rPr>
        <sz val="8"/>
        <color theme="1"/>
        <rFont val="맑은 고딕"/>
        <family val="2"/>
        <charset val="129"/>
        <scheme val="minor"/>
      </rPr>
      <t>教你</t>
    </r>
    <r>
      <rPr>
        <sz val="8"/>
        <color theme="1"/>
        <rFont val="맑은 고딕"/>
        <family val="3"/>
        <charset val="129"/>
        <scheme val="minor"/>
      </rPr>
      <t>正確保養，遠離乾燥卡粉困擾</t>
    </r>
  </si>
  <si>
    <r>
      <t>2024人氣面霜推薦！網友好評大推</t>
    </r>
    <r>
      <rPr>
        <sz val="8"/>
        <color theme="1"/>
        <rFont val="맑은 고딕"/>
        <family val="2"/>
        <charset val="129"/>
        <scheme val="minor"/>
      </rPr>
      <t>產</t>
    </r>
    <r>
      <rPr>
        <sz val="8"/>
        <color theme="1"/>
        <rFont val="맑은 고딕"/>
        <family val="3"/>
        <charset val="129"/>
        <scheme val="minor"/>
      </rPr>
      <t>品＆乳霜推薦使用方法總整理</t>
    </r>
  </si>
  <si>
    <r>
      <t>毛孔粗大保養品</t>
    </r>
    <r>
      <rPr>
        <sz val="8"/>
        <color theme="1"/>
        <rFont val="맑은 고딕"/>
        <family val="2"/>
        <charset val="129"/>
        <scheme val="minor"/>
      </rPr>
      <t>怎麼</t>
    </r>
    <r>
      <rPr>
        <sz val="8"/>
        <color theme="1"/>
        <rFont val="맑은 고딕"/>
        <family val="3"/>
        <charset val="129"/>
        <scheme val="minor"/>
      </rPr>
      <t>挑？打造完美膚質4大關鍵不可少！</t>
    </r>
  </si>
  <si>
    <r>
      <t>蜜粉用途有</t>
    </r>
    <r>
      <rPr>
        <sz val="8"/>
        <color theme="1"/>
        <rFont val="맑은 고딕"/>
        <family val="2"/>
        <charset val="129"/>
        <scheme val="minor"/>
      </rPr>
      <t>哪</t>
    </r>
    <r>
      <rPr>
        <sz val="8"/>
        <color theme="1"/>
        <rFont val="맑은 고딕"/>
        <family val="3"/>
        <charset val="129"/>
        <scheme val="minor"/>
      </rPr>
      <t>些？跟粉</t>
    </r>
    <r>
      <rPr>
        <sz val="8"/>
        <color theme="1"/>
        <rFont val="맑은 고딕"/>
        <family val="2"/>
        <charset val="129"/>
        <scheme val="minor"/>
      </rPr>
      <t>餅</t>
    </r>
    <r>
      <rPr>
        <sz val="8"/>
        <color theme="1"/>
        <rFont val="맑은 고딕"/>
        <family val="3"/>
        <charset val="129"/>
        <scheme val="minor"/>
      </rPr>
      <t>差在</t>
    </r>
    <r>
      <rPr>
        <sz val="8"/>
        <color theme="1"/>
        <rFont val="맑은 고딕"/>
        <family val="2"/>
        <charset val="129"/>
        <scheme val="minor"/>
      </rPr>
      <t>哪</t>
    </r>
    <r>
      <rPr>
        <sz val="8"/>
        <color theme="1"/>
        <rFont val="맑은 고딕"/>
        <family val="3"/>
        <charset val="129"/>
        <scheme val="minor"/>
      </rPr>
      <t>？正確用法與推薦3款蜜粉大公開</t>
    </r>
  </si>
  <si>
    <r>
      <t>早C</t>
    </r>
    <r>
      <rPr>
        <sz val="8"/>
        <color theme="1"/>
        <rFont val="맑은 고딕"/>
        <family val="2"/>
        <charset val="129"/>
        <scheme val="minor"/>
      </rPr>
      <t>晚</t>
    </r>
    <r>
      <rPr>
        <sz val="8"/>
        <color theme="1"/>
        <rFont val="맑은 고딕"/>
        <family val="3"/>
        <charset val="129"/>
        <scheme val="minor"/>
      </rPr>
      <t>A是什</t>
    </r>
    <r>
      <rPr>
        <sz val="8"/>
        <color theme="1"/>
        <rFont val="맑은 고딕"/>
        <family val="2"/>
        <charset val="129"/>
        <scheme val="minor"/>
      </rPr>
      <t>麼</t>
    </r>
    <r>
      <rPr>
        <sz val="8"/>
        <color theme="1"/>
        <rFont val="맑은 고딕"/>
        <family val="3"/>
        <charset val="129"/>
        <scheme val="minor"/>
      </rPr>
      <t>意思？早C</t>
    </r>
    <r>
      <rPr>
        <sz val="8"/>
        <color theme="1"/>
        <rFont val="맑은 고딕"/>
        <family val="2"/>
        <charset val="129"/>
        <scheme val="minor"/>
      </rPr>
      <t>晚</t>
    </r>
    <r>
      <rPr>
        <sz val="8"/>
        <color theme="1"/>
        <rFont val="맑은 고딕"/>
        <family val="3"/>
        <charset val="129"/>
        <scheme val="minor"/>
      </rPr>
      <t>A順序與</t>
    </r>
    <r>
      <rPr>
        <sz val="8"/>
        <color theme="1"/>
        <rFont val="맑은 고딕"/>
        <family val="2"/>
        <charset val="129"/>
        <scheme val="minor"/>
      </rPr>
      <t>產</t>
    </r>
    <r>
      <rPr>
        <sz val="8"/>
        <color theme="1"/>
        <rFont val="맑은 고딕"/>
        <family val="3"/>
        <charset val="129"/>
        <scheme val="minor"/>
      </rPr>
      <t>品推薦＋挑選要點全祕笈</t>
    </r>
  </si>
  <si>
    <r>
      <t>皮膚乾燥原因有</t>
    </r>
    <r>
      <rPr>
        <sz val="8"/>
        <color theme="1"/>
        <rFont val="맑은 고딕"/>
        <family val="2"/>
        <charset val="129"/>
        <scheme val="minor"/>
      </rPr>
      <t>哪</t>
    </r>
    <r>
      <rPr>
        <sz val="8"/>
        <color theme="1"/>
        <rFont val="맑은 고딕"/>
        <family val="3"/>
        <charset val="129"/>
        <scheme val="minor"/>
      </rPr>
      <t>些？如何改善？乾肌人必看保養方法與保養品推薦</t>
    </r>
  </si>
  <si>
    <r>
      <rPr>
        <sz val="8"/>
        <color theme="1"/>
        <rFont val="맑은 고딕"/>
        <family val="2"/>
        <charset val="129"/>
        <scheme val="minor"/>
      </rPr>
      <t>你</t>
    </r>
    <r>
      <rPr>
        <sz val="8"/>
        <color theme="1"/>
        <rFont val="맑은 고딕"/>
        <family val="3"/>
        <charset val="129"/>
        <scheme val="minor"/>
      </rPr>
      <t>是乾性肌膚</t>
    </r>
    <r>
      <rPr>
        <sz val="8"/>
        <color theme="1"/>
        <rFont val="맑은 고딕"/>
        <family val="2"/>
        <charset val="129"/>
        <scheme val="minor"/>
      </rPr>
      <t>嗎</t>
    </r>
    <r>
      <rPr>
        <sz val="8"/>
        <color theme="1"/>
        <rFont val="맑은 고딕"/>
        <family val="3"/>
        <charset val="129"/>
        <scheme val="minor"/>
      </rPr>
      <t>？乾性肌膚特徵＋4大保養關鍵大公開！</t>
    </r>
  </si>
  <si>
    <r>
      <t>敏感肌保養</t>
    </r>
    <r>
      <rPr>
        <sz val="8"/>
        <color theme="1"/>
        <rFont val="맑은 고딕"/>
        <family val="2"/>
        <charset val="129"/>
        <scheme val="minor"/>
      </rPr>
      <t>怎麼</t>
    </r>
    <r>
      <rPr>
        <sz val="8"/>
        <color theme="1"/>
        <rFont val="맑은 고딕"/>
        <family val="3"/>
        <charset val="129"/>
        <scheme val="minor"/>
      </rPr>
      <t>做？</t>
    </r>
    <r>
      <rPr>
        <sz val="8"/>
        <color theme="1"/>
        <rFont val="맑은 고딕"/>
        <family val="2"/>
        <charset val="129"/>
        <scheme val="minor"/>
      </rPr>
      <t>教你</t>
    </r>
    <r>
      <rPr>
        <sz val="8"/>
        <color theme="1"/>
        <rFont val="맑은 고딕"/>
        <family val="3"/>
        <charset val="129"/>
        <scheme val="minor"/>
      </rPr>
      <t>正確保養3步驟</t>
    </r>
  </si>
  <si>
    <r>
      <t>黑眼圈</t>
    </r>
    <r>
      <rPr>
        <sz val="8"/>
        <color theme="1"/>
        <rFont val="맑은 고딕"/>
        <family val="2"/>
        <charset val="129"/>
        <scheme val="minor"/>
      </rPr>
      <t>怎麼</t>
    </r>
    <r>
      <rPr>
        <sz val="8"/>
        <color theme="1"/>
        <rFont val="맑은 고딕"/>
        <family val="3"/>
        <charset val="129"/>
        <scheme val="minor"/>
      </rPr>
      <t>消除？</t>
    </r>
    <r>
      <rPr>
        <sz val="8"/>
        <color theme="1"/>
        <rFont val="맑은 고딕"/>
        <family val="2"/>
        <charset val="129"/>
        <scheme val="minor"/>
      </rPr>
      <t>教你</t>
    </r>
    <r>
      <rPr>
        <sz val="8"/>
        <color theme="1"/>
        <rFont val="맑은 고딕"/>
        <family val="3"/>
        <charset val="129"/>
        <scheme val="minor"/>
      </rPr>
      <t>改善4大類型黑眼圈和了解形成原因</t>
    </r>
  </si>
  <si>
    <r>
      <t>面膜多久敷一次？每次敷多久？敷完面膜要洗</t>
    </r>
    <r>
      <rPr>
        <sz val="8"/>
        <color theme="1"/>
        <rFont val="맑은 고딕"/>
        <family val="2"/>
        <charset val="129"/>
        <scheme val="minor"/>
      </rPr>
      <t>臉嗎</t>
    </r>
    <r>
      <rPr>
        <sz val="8"/>
        <color theme="1"/>
        <rFont val="맑은 고딕"/>
        <family val="3"/>
        <charset val="129"/>
        <scheme val="minor"/>
      </rPr>
      <t>？常見QA快速看</t>
    </r>
  </si>
  <si>
    <r>
      <t>去粉刺最有效的方法4步驟！</t>
    </r>
    <r>
      <rPr>
        <sz val="8"/>
        <color theme="1"/>
        <rFont val="맑은 고딕"/>
        <family val="2"/>
        <charset val="129"/>
        <scheme val="minor"/>
      </rPr>
      <t>清</t>
    </r>
    <r>
      <rPr>
        <sz val="8"/>
        <color theme="1"/>
        <rFont val="맑은 고딕"/>
        <family val="3"/>
        <charset val="129"/>
        <scheme val="minor"/>
      </rPr>
      <t>除粉刺派出面膜和粉刺夾，無痛移除黑白頭</t>
    </r>
  </si>
  <si>
    <r>
      <rPr>
        <sz val="8"/>
        <color theme="1"/>
        <rFont val="맑은 고딕"/>
        <family val="2"/>
        <charset val="129"/>
        <scheme val="minor"/>
      </rPr>
      <t>臉</t>
    </r>
    <r>
      <rPr>
        <sz val="8"/>
        <color theme="1"/>
        <rFont val="맑은 고딕"/>
        <family val="3"/>
        <charset val="129"/>
        <scheme val="minor"/>
      </rPr>
      <t>部保養順序解析：掌握正確保養順序，達到超有感保養！</t>
    </r>
  </si>
  <si>
    <t>Items</t>
    <phoneticPr fontId="2" type="noConversion"/>
  </si>
  <si>
    <t>BreadcrumbList, ListItem</t>
    <phoneticPr fontId="2" type="noConversion"/>
  </si>
  <si>
    <t>Schema 보강 필요 (Home)</t>
    <phoneticPr fontId="2" type="noConversion"/>
  </si>
  <si>
    <t>BreadcrumbList</t>
    <phoneticPr fontId="2" type="noConversion"/>
  </si>
  <si>
    <t>N/A</t>
  </si>
  <si>
    <t>N/A</t>
    <phoneticPr fontId="2" type="noConversion"/>
  </si>
  <si>
    <t>Not</t>
  </si>
  <si>
    <t>duplicate</t>
    <phoneticPr fontId="2" type="noConversion"/>
  </si>
  <si>
    <t>parser error 발생 중으로 html 코드 확인 필요(P:Y열 참고)</t>
    <phoneticPr fontId="2" type="noConversion"/>
  </si>
  <si>
    <t>Page (No PLP / PDP)</t>
    <phoneticPr fontId="2" type="noConversion"/>
  </si>
  <si>
    <t>이니스프리 TW QA Result</t>
    <phoneticPr fontId="2" type="noConversion"/>
  </si>
  <si>
    <t>2026.02.12</t>
    <phoneticPr fontId="2" type="noConversion"/>
  </si>
  <si>
    <t>2026.02.24</t>
    <phoneticPr fontId="2" type="noConversion"/>
  </si>
  <si>
    <t>1.1</t>
  </si>
  <si>
    <t>https://innisfree-taiwan.myshopify.com/collections/leave-a-review-and-get-a-free-face-mask</t>
  </si>
  <si>
    <t>[填心得 領面膜！ ] 前150名填寫可於2月中至門市免費兌換面膜3片</t>
  </si>
  <si>
    <t>https://innisfree-taiwan.myshopify.com/blogs/notice/notice_02</t>
  </si>
  <si>
    <t>notice_02_x000D_ | INNISFREE Taiwan</t>
  </si>
  <si>
    <t>1 2 3 4 5 6</t>
  </si>
  <si>
    <t>notice_02</t>
  </si>
  <si>
    <t>notice_02 | INNISFREE Taiwan</t>
  </si>
  <si>
    <t>https://innisfree-taiwan.myshopify.com/blogs/notice/notice_01</t>
  </si>
  <si>
    <t>notice_01_x000D_ | INNISFREE Taiwan</t>
  </si>
  <si>
    <t>123456</t>
  </si>
  <si>
    <t>notice_01</t>
  </si>
  <si>
    <t>notice_01 | INNISFREE Taiwan</t>
  </si>
  <si>
    <t>https://innisfree-taiwan.myshopify.com/blogs/notice/notice_06</t>
  </si>
  <si>
    <t>notice_06_x000D_ | INNISFREE Taiwan</t>
  </si>
  <si>
    <t>aaaa 12121213555   a12sd12asd12sadsad</t>
  </si>
  <si>
    <t>notice_06</t>
  </si>
  <si>
    <t>notice_06 | INNISFREE Taiwan</t>
  </si>
  <si>
    <t>https://innisfree-taiwan.myshopify.com/password</t>
  </si>
  <si>
    <t>https://innisfree-taiwan.myshopify.com</t>
  </si>
  <si>
    <t>https://innisfree-taiwan.myshopify.com/blogs/notice/notice_05</t>
  </si>
  <si>
    <t>notice_05_x000D_ | INNISFREE Taiwan</t>
  </si>
  <si>
    <t>Link Test</t>
  </si>
  <si>
    <t>notice_05</t>
  </si>
  <si>
    <t>notice_05 | INNISFREE Taiwan</t>
  </si>
  <si>
    <t>https://innisfree-taiwan.myshopify.com/blogs/notice/notice_04</t>
  </si>
  <si>
    <t>notice_04_x000D_ | INNISFREE Taiwan</t>
  </si>
  <si>
    <t>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</t>
  </si>
  <si>
    <t>notice_04</t>
  </si>
  <si>
    <t>notice_04 | INNISFREE Taiwan</t>
  </si>
  <si>
    <t>https://innisfree-taiwan.myshopify.com/blogs/notice/notice_03</t>
  </si>
  <si>
    <t>notice_03_x000D_ | INNISFREE Taiwan</t>
  </si>
  <si>
    <t>12  55 6 6 6 7 8 84 1 1 23123 13  21 231 21 21212 1 2121221212</t>
  </si>
  <si>
    <t>notice_03</t>
  </si>
  <si>
    <t>notice_03 | INNISFREE Taiwan</t>
  </si>
  <si>
    <t>https://innisfree-taiwan.myshopify.com/collections/value-gift-set-for-gifting-or-personal-use</t>
  </si>
  <si>
    <t>[超值精選禮盒💚 送禮自用超划算😍 ] 溫和高效的保養禮盒✨</t>
  </si>
  <si>
    <t>https://innisfree-taiwan.myshopify.com/blogs/notice/notice_09</t>
  </si>
  <si>
    <t>notice_09_x000D_ | INNISFREE Taiwan</t>
  </si>
  <si>
    <t>aaaadwq 111111111 asdasd   xxxxza</t>
  </si>
  <si>
    <t>notice_09</t>
  </si>
  <si>
    <t>xxxxza</t>
  </si>
  <si>
    <t>notice_09 | INNISFREE Taiwan</t>
  </si>
  <si>
    <t>https://innisfree-taiwan.myshopify.com/blogs/notice/notice_08</t>
  </si>
  <si>
    <t>notice_08_x000D_ | INNISFREE Taiwan</t>
  </si>
  <si>
    <t>asd  asdasd asdasd1123123123213asaa</t>
  </si>
  <si>
    <t>notice_08</t>
  </si>
  <si>
    <t>notice_08 | INNISFREE Taiwan</t>
  </si>
  <si>
    <t>https://innisfree-taiwan.myshopify.com/blogs/notice/notice_07</t>
  </si>
  <si>
    <t>notice_07_x000D_ | INNISFREE Taiwan</t>
  </si>
  <si>
    <t>notice_07</t>
  </si>
  <si>
    <t>notice_07 | INNISFREE Taiwan</t>
  </si>
  <si>
    <t>https://innisfree-taiwan.myshopify.com/blogs/notice?page=2</t>
  </si>
  <si>
    <t>公告_x000D_ – Page 2 | INNISFREE Taiwan</t>
  </si>
  <si>
    <t>https://innisfree-taiwan.myshopify.com/blogs/notice?page=1</t>
  </si>
  <si>
    <t>https://innisfree-taiwan.myshopify.com/blogs/notice/notice_11</t>
  </si>
  <si>
    <t>notice_11_x000D_ | INNISFREE Taiwan</t>
  </si>
  <si>
    <t>gggg</t>
  </si>
  <si>
    <t>notice_11</t>
  </si>
  <si>
    <t>notice_11 | INNISFREE Taiwan</t>
  </si>
  <si>
    <t>https://innisfree-taiwan.myshopify.com/blogs/notice/notice_10</t>
  </si>
  <si>
    <t>notice_10_x000D_ | INNISFREE Taiwan</t>
  </si>
  <si>
    <t>aaasdasdasdd   assssass</t>
  </si>
  <si>
    <t>notice_10</t>
  </si>
  <si>
    <t>notice_10 | INNISFREE Taiwan</t>
  </si>
  <si>
    <t>200</t>
  </si>
  <si>
    <t>2026-02-12 16:15:24</t>
  </si>
  <si>
    <t>2026-02-12 16:15:25</t>
  </si>
  <si>
    <t>2026-02-12 16:15:26</t>
  </si>
  <si>
    <t>2026-02-12 16:15:27</t>
  </si>
  <si>
    <t>2026-02-12 16:15:28</t>
  </si>
  <si>
    <t>2026-02-12 16:15:29</t>
  </si>
  <si>
    <t>2026-02-12 16:15:30</t>
  </si>
  <si>
    <t>2026-02-12 16:15:31</t>
  </si>
  <si>
    <t>2026-02-12 16:15:32</t>
  </si>
  <si>
    <t>https://innisfree-taiwan.myshopify.com/admin</t>
  </si>
  <si>
    <t>https://innisfree-taiwan.myshopify.com/admin/auth/login?redirect=%2Fadmin</t>
  </si>
  <si>
    <t>2026-02-12 16:15:33</t>
  </si>
  <si>
    <t>https://admin.shopify.com/store/innisfree-taiwan</t>
  </si>
  <si>
    <t>2026-02-12 16:15:36</t>
  </si>
  <si>
    <t>wrong</t>
    <phoneticPr fontId="2" type="noConversion"/>
  </si>
  <si>
    <t>Article</t>
    <phoneticPr fontId="2" type="noConversion"/>
  </si>
  <si>
    <t>Schema 보강 필요 (Blog)</t>
    <phoneticPr fontId="2" type="noConversion"/>
  </si>
  <si>
    <t>Title &amp; Description 변경 권장</t>
    <phoneticPr fontId="2" type="noConversion"/>
  </si>
  <si>
    <t>예외 적용 (태그 불필요 페이지)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</si>
</sst>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i/>
      <sz val="10"/>
      <color theme="9" tint="0.39997558519241921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color rgb="FF9C570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9"/>
      <color rgb="FF9C0006"/>
      <name val="맑은 고딕"/>
      <family val="2"/>
      <charset val="129"/>
      <scheme val="minor"/>
    </font>
    <font>
      <sz val="8"/>
      <color rgb="FF9C57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0" borderId="0"/>
    <xf numFmtId="41" fontId="3" fillId="0" borderId="0">
      <alignment vertical="center"/>
    </xf>
    <xf numFmtId="9" fontId="6" fillId="0" borderId="0"/>
    <xf numFmtId="0" fontId="19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5" fillId="0" borderId="0" xfId="2" applyFont="1" applyAlignment="1">
      <alignment horizontal="left" vertical="center"/>
    </xf>
    <xf numFmtId="0" fontId="7" fillId="0" borderId="0" xfId="3" applyFont="1"/>
    <xf numFmtId="41" fontId="8" fillId="2" borderId="1" xfId="4" applyFont="1" applyFill="1" applyBorder="1" applyAlignment="1">
      <alignment horizontal="center" vertical="center"/>
    </xf>
    <xf numFmtId="41" fontId="8" fillId="2" borderId="3" xfId="4" applyFont="1" applyFill="1" applyBorder="1" applyAlignment="1">
      <alignment horizontal="center" vertical="center"/>
    </xf>
    <xf numFmtId="14" fontId="9" fillId="3" borderId="4" xfId="4" applyNumberFormat="1" applyFont="1" applyFill="1" applyBorder="1" applyAlignment="1">
      <alignment horizontal="center" vertical="center" wrapText="1"/>
    </xf>
    <xf numFmtId="41" fontId="8" fillId="4" borderId="5" xfId="4" applyFont="1" applyFill="1" applyBorder="1" applyAlignment="1">
      <alignment horizontal="center" vertical="center"/>
    </xf>
    <xf numFmtId="10" fontId="9" fillId="5" borderId="6" xfId="3" applyNumberFormat="1" applyFont="1" applyFill="1" applyBorder="1" applyAlignment="1">
      <alignment horizontal="center" vertical="center"/>
    </xf>
    <xf numFmtId="41" fontId="10" fillId="6" borderId="7" xfId="4" applyFont="1" applyFill="1" applyBorder="1" applyAlignment="1">
      <alignment horizontal="center" vertical="center"/>
    </xf>
    <xf numFmtId="41" fontId="11" fillId="2" borderId="9" xfId="4" applyFont="1" applyFill="1" applyBorder="1" applyAlignment="1">
      <alignment horizontal="center" vertical="center"/>
    </xf>
    <xf numFmtId="41" fontId="11" fillId="0" borderId="11" xfId="4" applyFont="1" applyBorder="1" applyAlignment="1">
      <alignment horizontal="left" vertical="center"/>
    </xf>
    <xf numFmtId="0" fontId="13" fillId="0" borderId="12" xfId="3" applyFont="1" applyBorder="1" applyAlignment="1">
      <alignment vertical="center"/>
    </xf>
    <xf numFmtId="10" fontId="13" fillId="0" borderId="13" xfId="5" applyNumberFormat="1" applyFont="1" applyBorder="1" applyAlignment="1">
      <alignment vertical="center"/>
    </xf>
    <xf numFmtId="41" fontId="14" fillId="5" borderId="7" xfId="4" applyFont="1" applyFill="1" applyBorder="1" applyAlignment="1">
      <alignment horizontal="right" vertical="center"/>
    </xf>
    <xf numFmtId="0" fontId="13" fillId="5" borderId="14" xfId="3" applyFont="1" applyFill="1" applyBorder="1" applyAlignment="1">
      <alignment vertical="center"/>
    </xf>
    <xf numFmtId="10" fontId="13" fillId="5" borderId="15" xfId="5" applyNumberFormat="1" applyFont="1" applyFill="1" applyBorder="1" applyAlignment="1">
      <alignment vertical="center"/>
    </xf>
    <xf numFmtId="41" fontId="15" fillId="8" borderId="7" xfId="4" applyFont="1" applyFill="1" applyBorder="1" applyAlignment="1">
      <alignment horizontal="right" vertical="center"/>
    </xf>
    <xf numFmtId="0" fontId="16" fillId="8" borderId="14" xfId="3" applyFont="1" applyFill="1" applyBorder="1" applyAlignment="1">
      <alignment vertical="center"/>
    </xf>
    <xf numFmtId="10" fontId="16" fillId="8" borderId="15" xfId="5" applyNumberFormat="1" applyFont="1" applyFill="1" applyBorder="1" applyAlignment="1">
      <alignment vertical="center"/>
    </xf>
    <xf numFmtId="41" fontId="11" fillId="0" borderId="7" xfId="4" applyFont="1" applyBorder="1" applyAlignment="1">
      <alignment horizontal="left" vertical="center"/>
    </xf>
    <xf numFmtId="0" fontId="13" fillId="0" borderId="14" xfId="3" applyFont="1" applyBorder="1" applyAlignment="1">
      <alignment vertical="center"/>
    </xf>
    <xf numFmtId="10" fontId="13" fillId="0" borderId="15" xfId="5" applyNumberFormat="1" applyFont="1" applyBorder="1" applyAlignment="1">
      <alignment vertical="center"/>
    </xf>
    <xf numFmtId="0" fontId="13" fillId="0" borderId="14" xfId="3" applyFont="1" applyBorder="1" applyAlignment="1">
      <alignment horizontal="center" vertical="center"/>
    </xf>
    <xf numFmtId="10" fontId="13" fillId="2" borderId="15" xfId="5" applyNumberFormat="1" applyFont="1" applyFill="1" applyBorder="1" applyAlignment="1">
      <alignment vertical="center"/>
    </xf>
    <xf numFmtId="0" fontId="17" fillId="6" borderId="16" xfId="0" applyFont="1" applyFill="1" applyBorder="1">
      <alignment vertical="center"/>
    </xf>
    <xf numFmtId="0" fontId="17" fillId="9" borderId="16" xfId="0" applyFont="1" applyFill="1" applyBorder="1" applyAlignment="1">
      <alignment horizontal="center" vertical="center"/>
    </xf>
    <xf numFmtId="0" fontId="18" fillId="0" borderId="16" xfId="1" applyFont="1" applyBorder="1">
      <alignment vertical="center"/>
    </xf>
    <xf numFmtId="0" fontId="4" fillId="0" borderId="0" xfId="0" applyFont="1">
      <alignment vertical="center"/>
    </xf>
    <xf numFmtId="0" fontId="18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0" xfId="1" applyFont="1">
      <alignment vertical="center"/>
    </xf>
    <xf numFmtId="0" fontId="18" fillId="0" borderId="16" xfId="0" quotePrefix="1" applyFont="1" applyBorder="1" applyAlignment="1">
      <alignment horizontal="center" vertical="center"/>
    </xf>
    <xf numFmtId="0" fontId="21" fillId="10" borderId="16" xfId="6" applyFont="1" applyBorder="1">
      <alignment vertical="center"/>
    </xf>
    <xf numFmtId="0" fontId="20" fillId="0" borderId="0" xfId="0" applyFont="1">
      <alignment vertical="center"/>
    </xf>
    <xf numFmtId="0" fontId="16" fillId="0" borderId="0" xfId="0" applyFont="1">
      <alignment vertical="center"/>
    </xf>
    <xf numFmtId="0" fontId="22" fillId="0" borderId="16" xfId="0" applyFont="1" applyBorder="1">
      <alignment vertical="center"/>
    </xf>
    <xf numFmtId="0" fontId="23" fillId="0" borderId="16" xfId="0" applyFont="1" applyBorder="1">
      <alignment vertical="center"/>
    </xf>
    <xf numFmtId="0" fontId="17" fillId="6" borderId="19" xfId="0" applyFont="1" applyFill="1" applyBorder="1">
      <alignment vertical="center"/>
    </xf>
    <xf numFmtId="14" fontId="9" fillId="3" borderId="2" xfId="4" applyNumberFormat="1" applyFont="1" applyFill="1" applyBorder="1" applyAlignment="1">
      <alignment horizontal="center" vertical="center" wrapText="1"/>
    </xf>
    <xf numFmtId="0" fontId="0" fillId="12" borderId="0" xfId="0" applyFill="1">
      <alignment vertical="center"/>
    </xf>
    <xf numFmtId="0" fontId="26" fillId="11" borderId="16" xfId="7" applyFont="1" applyBorder="1">
      <alignment vertical="center"/>
    </xf>
    <xf numFmtId="41" fontId="10" fillId="6" borderId="17" xfId="4" applyFont="1" applyFill="1" applyBorder="1" applyAlignment="1">
      <alignment horizontal="center" vertical="center"/>
    </xf>
    <xf numFmtId="0" fontId="0" fillId="0" borderId="8" xfId="0" applyBorder="1" applyAlignment="1"/>
    <xf numFmtId="41" fontId="10" fillId="7" borderId="17" xfId="4" applyFont="1" applyFill="1" applyBorder="1" applyAlignment="1">
      <alignment horizontal="center" vertical="center"/>
    </xf>
    <xf numFmtId="0" fontId="12" fillId="2" borderId="18" xfId="3" applyFont="1" applyFill="1" applyBorder="1" applyAlignment="1">
      <alignment horizontal="center" vertical="center"/>
    </xf>
    <xf numFmtId="0" fontId="0" fillId="0" borderId="10" xfId="0" applyBorder="1" applyAlignment="1"/>
    <xf numFmtId="0" fontId="27" fillId="10" borderId="16" xfId="6" applyFont="1" applyBorder="1" applyAlignment="1">
      <alignment horizontal="center" vertical="center"/>
    </xf>
    <xf numFmtId="0" fontId="21" fillId="10" borderId="16" xfId="6" quotePrefix="1" applyFont="1" applyBorder="1" applyAlignment="1">
      <alignment horizontal="center" vertical="center"/>
    </xf>
  </cellXfs>
  <cellStyles count="8">
    <cellStyle name="나쁨" xfId="7" builtinId="27"/>
    <cellStyle name="백분율 3" xfId="5" xr:uid="{00000000-0005-0000-0000-000005000000}"/>
    <cellStyle name="보통" xfId="6" builtinId="28"/>
    <cellStyle name="쉼표 [0] 2 2" xfId="4" xr:uid="{00000000-0005-0000-0000-000004000000}"/>
    <cellStyle name="표준" xfId="0" builtinId="0"/>
    <cellStyle name="표준 2" xfId="1" xr:uid="{00000000-0005-0000-0000-000001000000}"/>
    <cellStyle name="표준 3 2" xfId="2" xr:uid="{00000000-0005-0000-0000-000002000000}"/>
    <cellStyle name="표준 4" xfId="3" xr:uid="{00000000-0005-0000-0000-000003000000}"/>
  </cellStyles>
  <dxfs count="337"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1:N37"/>
  <sheetViews>
    <sheetView zoomScale="85" zoomScaleNormal="85" workbookViewId="0">
      <selection activeCell="E8" sqref="E8"/>
    </sheetView>
  </sheetViews>
  <sheetFormatPr defaultRowHeight="16.5" x14ac:dyDescent="0.3"/>
  <cols>
    <col min="1" max="1" width="2.625" style="1" customWidth="1"/>
    <col min="2" max="2" width="28" style="1" customWidth="1"/>
    <col min="3" max="12" width="9.625" style="1" customWidth="1"/>
    <col min="13" max="13" width="10.625" style="1" customWidth="1"/>
    <col min="14" max="14" width="9" style="1" customWidth="1"/>
    <col min="15" max="16384" width="9" style="1"/>
  </cols>
  <sheetData>
    <row r="1" spans="2:14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0.25" customHeight="1" x14ac:dyDescent="0.3">
      <c r="B2" s="3" t="s">
        <v>2407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</row>
    <row r="3" spans="2:14" ht="17.25" customHeight="1" thickBo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 spans="2:14" x14ac:dyDescent="0.3">
      <c r="B4" s="5" t="s">
        <v>0</v>
      </c>
      <c r="C4" s="43" t="s">
        <v>2409</v>
      </c>
      <c r="D4" s="4"/>
      <c r="E4" s="4"/>
      <c r="F4" s="4"/>
      <c r="G4" s="4"/>
      <c r="H4" s="4"/>
      <c r="I4" s="4"/>
      <c r="J4" s="4"/>
      <c r="K4" s="4"/>
      <c r="L4" s="4"/>
      <c r="M4" s="4"/>
      <c r="N4" s="2"/>
    </row>
    <row r="5" spans="2:14" x14ac:dyDescent="0.3">
      <c r="B5" s="6" t="s">
        <v>1</v>
      </c>
      <c r="C5" s="7" t="s">
        <v>2408</v>
      </c>
      <c r="D5" s="4"/>
      <c r="E5" s="4"/>
      <c r="F5" s="4"/>
      <c r="G5" s="4"/>
      <c r="H5" s="4"/>
      <c r="I5" s="4"/>
      <c r="J5" s="4"/>
      <c r="K5" s="4"/>
      <c r="L5" s="4"/>
      <c r="M5" s="4"/>
      <c r="N5" s="2"/>
    </row>
    <row r="6" spans="2:14" ht="17.25" customHeight="1" thickBot="1" x14ac:dyDescent="0.35">
      <c r="B6" s="8" t="s">
        <v>2</v>
      </c>
      <c r="C6" s="9">
        <f>AVERAGE(D12,D15,D18,D21,D24,D27,D30,D33)</f>
        <v>0.85104422604422603</v>
      </c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x14ac:dyDescent="0.3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"/>
      <c r="N7" s="2"/>
    </row>
    <row r="8" spans="2:14" ht="17.25" customHeight="1" thickBot="1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"/>
    </row>
    <row r="9" spans="2:14" x14ac:dyDescent="0.3">
      <c r="B9" s="10" t="s">
        <v>3</v>
      </c>
      <c r="C9" s="48" t="s">
        <v>4</v>
      </c>
      <c r="D9" s="47"/>
      <c r="E9" s="46" t="s">
        <v>5</v>
      </c>
      <c r="F9" s="47"/>
      <c r="G9" s="46" t="s">
        <v>6</v>
      </c>
      <c r="H9" s="47"/>
      <c r="I9" s="46" t="s">
        <v>7</v>
      </c>
      <c r="J9" s="47"/>
      <c r="K9" s="46" t="s">
        <v>2406</v>
      </c>
      <c r="L9" s="47"/>
      <c r="M9" s="2"/>
    </row>
    <row r="10" spans="2:14" ht="23.25" customHeight="1" thickBot="1" x14ac:dyDescent="0.35">
      <c r="B10" s="11" t="s">
        <v>9</v>
      </c>
      <c r="C10" s="49">
        <f>SUM(E10:L10)</f>
        <v>407</v>
      </c>
      <c r="D10" s="50"/>
      <c r="E10" s="49">
        <f>COUNTIF('QA 결과'!$D:$D,Summary!E9)</f>
        <v>181</v>
      </c>
      <c r="F10" s="50"/>
      <c r="G10" s="49">
        <f>COUNTIF('QA 결과'!$D:$D,Summary!G9)</f>
        <v>125</v>
      </c>
      <c r="H10" s="50"/>
      <c r="I10" s="49">
        <f>COUNTIF('QA 결과'!$D:$D,Summary!I9)</f>
        <v>59</v>
      </c>
      <c r="J10" s="50"/>
      <c r="K10" s="49">
        <f>COUNTIF('QA 결과'!$D:$D,Summary!K9)</f>
        <v>42</v>
      </c>
      <c r="L10" s="50"/>
      <c r="M10" s="2"/>
    </row>
    <row r="11" spans="2:14" ht="23.25" customHeight="1" thickTop="1" x14ac:dyDescent="0.3">
      <c r="B11" s="12" t="s">
        <v>10</v>
      </c>
      <c r="C11" s="13"/>
      <c r="D11" s="14"/>
      <c r="E11" s="13"/>
      <c r="F11" s="14"/>
      <c r="G11" s="13"/>
      <c r="H11" s="14"/>
      <c r="I11" s="13"/>
      <c r="J11" s="14"/>
      <c r="K11" s="13"/>
      <c r="L11" s="14"/>
      <c r="M11" s="2"/>
    </row>
    <row r="12" spans="2:14" ht="23.25" customHeight="1" x14ac:dyDescent="0.3">
      <c r="B12" s="15" t="s">
        <v>11</v>
      </c>
      <c r="C12" s="16">
        <f>SUM(E12+G12+I12+K12)</f>
        <v>390</v>
      </c>
      <c r="D12" s="17">
        <f>C12/C$10</f>
        <v>0.95823095823095827</v>
      </c>
      <c r="E12" s="16">
        <f>COUNTIFS('QA 결과'!$D:$D,Summary!E$9,'QA 결과'!$C:$C,"Pass")</f>
        <v>166</v>
      </c>
      <c r="F12" s="17">
        <f>E12/E$10</f>
        <v>0.91712707182320441</v>
      </c>
      <c r="G12" s="16">
        <f>COUNTIFS('QA 결과'!$D:$D,Summary!G$9,'QA 결과'!$C:$C,"Pass")</f>
        <v>124</v>
      </c>
      <c r="H12" s="17">
        <f>G12/G$10</f>
        <v>0.99199999999999999</v>
      </c>
      <c r="I12" s="16">
        <f>COUNTIFS('QA 결과'!$D:$D,Summary!I$9,'QA 결과'!$C:$C,"Pass")</f>
        <v>58</v>
      </c>
      <c r="J12" s="17">
        <f>I12/I$10</f>
        <v>0.98305084745762716</v>
      </c>
      <c r="K12" s="16">
        <f>COUNTIFS('QA 결과'!$D:$D,Summary!K$9,'QA 결과'!$C:$C,"Pass")</f>
        <v>42</v>
      </c>
      <c r="L12" s="17">
        <f>K12/K10</f>
        <v>1</v>
      </c>
      <c r="M12" s="2"/>
    </row>
    <row r="13" spans="2:14" ht="23.25" customHeight="1" x14ac:dyDescent="0.3">
      <c r="B13" s="18" t="s">
        <v>12</v>
      </c>
      <c r="C13" s="19">
        <f>SUM(E13+G13+I13+K13)</f>
        <v>17</v>
      </c>
      <c r="D13" s="20">
        <f>C13/C$10</f>
        <v>4.1769041769041768E-2</v>
      </c>
      <c r="E13" s="19">
        <f>COUNTIFS('QA 결과'!$D:$D,Summary!E$9,'QA 결과'!$C:$C,"&lt;&gt;Pass")</f>
        <v>15</v>
      </c>
      <c r="F13" s="20">
        <f>E13/E$10</f>
        <v>8.2872928176795577E-2</v>
      </c>
      <c r="G13" s="19">
        <f>COUNTIFS('QA 결과'!$D:$D,Summary!G$9,'QA 결과'!$C:$C,"&lt;&gt;Pass")</f>
        <v>1</v>
      </c>
      <c r="H13" s="20">
        <f>G13/G$10</f>
        <v>8.0000000000000002E-3</v>
      </c>
      <c r="I13" s="19">
        <f>COUNTIFS('QA 결과'!$D:$D,Summary!I$9,'QA 결과'!$C:$C,"&lt;&gt;Pass")</f>
        <v>1</v>
      </c>
      <c r="J13" s="20">
        <f>I13/I$10</f>
        <v>1.6949152542372881E-2</v>
      </c>
      <c r="K13" s="19">
        <f>COUNTIFS('QA 결과'!$D:$D,Summary!K$9,'QA 결과'!$C:$C,"&lt;&gt;Pass")</f>
        <v>0</v>
      </c>
      <c r="L13" s="20">
        <f>K13/K10</f>
        <v>0</v>
      </c>
      <c r="M13" s="2"/>
    </row>
    <row r="14" spans="2:14" x14ac:dyDescent="0.3">
      <c r="B14" s="12" t="s">
        <v>13</v>
      </c>
      <c r="C14" s="13"/>
      <c r="D14" s="14"/>
      <c r="E14" s="13"/>
      <c r="F14" s="14"/>
      <c r="G14" s="13"/>
      <c r="H14" s="14"/>
      <c r="I14" s="13"/>
      <c r="J14" s="14"/>
      <c r="K14" s="13"/>
      <c r="L14" s="14"/>
      <c r="M14" s="2"/>
    </row>
    <row r="15" spans="2:14" x14ac:dyDescent="0.3">
      <c r="B15" s="15" t="s">
        <v>11</v>
      </c>
      <c r="C15" s="16">
        <f>SUM(E15+G15+I15+K15)</f>
        <v>407</v>
      </c>
      <c r="D15" s="17">
        <f>C15/C$10</f>
        <v>1</v>
      </c>
      <c r="E15" s="16">
        <f>COUNTIFS('QA 결과'!$D:$D,Summary!E$9,'QA 결과'!$F:$F,"Pass")</f>
        <v>181</v>
      </c>
      <c r="F15" s="17">
        <f>E15/E$10</f>
        <v>1</v>
      </c>
      <c r="G15" s="16">
        <f>COUNTIFS('QA 결과'!$D:$D,Summary!G$9,'QA 결과'!$F:$F,"Pass")</f>
        <v>125</v>
      </c>
      <c r="H15" s="17">
        <f>G15/G$10</f>
        <v>1</v>
      </c>
      <c r="I15" s="16">
        <f>COUNTIFS('QA 결과'!$D:$D,Summary!I$9,'QA 결과'!$F:$F,"Pass")</f>
        <v>59</v>
      </c>
      <c r="J15" s="17">
        <f>I15/I$10</f>
        <v>1</v>
      </c>
      <c r="K15" s="16">
        <f>COUNTIFS('QA 결과'!$D:$D,Summary!K$9,'QA 결과'!$F:$F,"Pass")</f>
        <v>42</v>
      </c>
      <c r="L15" s="17">
        <f>K15/K10</f>
        <v>1</v>
      </c>
      <c r="M15" s="2"/>
    </row>
    <row r="16" spans="2:14" x14ac:dyDescent="0.3">
      <c r="B16" s="18" t="s">
        <v>14</v>
      </c>
      <c r="C16" s="19">
        <f>SUM(E16+G16+I16+K16)</f>
        <v>0</v>
      </c>
      <c r="D16" s="20">
        <f>C16/C$10</f>
        <v>0</v>
      </c>
      <c r="E16" s="19">
        <f>COUNTIFS('QA 결과'!$D:$D,Summary!E$9,'QA 결과'!$F:$F,"&lt;&gt;Pass")</f>
        <v>0</v>
      </c>
      <c r="F16" s="20">
        <f>E16/E$10</f>
        <v>0</v>
      </c>
      <c r="G16" s="19">
        <f>COUNTIFS('QA 결과'!$D:$D,Summary!G$9,'QA 결과'!$F:$F,"&lt;&gt;Pass")</f>
        <v>0</v>
      </c>
      <c r="H16" s="20">
        <f>G16/G$10</f>
        <v>0</v>
      </c>
      <c r="I16" s="19">
        <f>COUNTIFS('QA 결과'!$D:$D,Summary!I$9,'QA 결과'!$F:$F,"&lt;&gt;Pass")</f>
        <v>0</v>
      </c>
      <c r="J16" s="20">
        <f>I16/I$10</f>
        <v>0</v>
      </c>
      <c r="K16" s="19">
        <f>COUNTIFS('QA 결과'!$D:$D,Summary!K$9,'QA 결과'!$F:$F,"&lt;&gt;Pass")</f>
        <v>0</v>
      </c>
      <c r="L16" s="20">
        <f>K16/K10</f>
        <v>0</v>
      </c>
      <c r="M16" s="2"/>
    </row>
    <row r="17" spans="2:13" x14ac:dyDescent="0.3">
      <c r="B17" s="21" t="s">
        <v>15</v>
      </c>
      <c r="C17" s="22"/>
      <c r="D17" s="23"/>
      <c r="E17" s="22"/>
      <c r="F17" s="23"/>
      <c r="G17" s="22"/>
      <c r="H17" s="23"/>
      <c r="I17" s="22"/>
      <c r="J17" s="23"/>
      <c r="K17" s="22"/>
      <c r="L17" s="23"/>
      <c r="M17" s="2"/>
    </row>
    <row r="18" spans="2:13" x14ac:dyDescent="0.3">
      <c r="B18" s="15" t="s">
        <v>11</v>
      </c>
      <c r="C18" s="16">
        <f>SUM(E18+G18+I18+K18)</f>
        <v>399</v>
      </c>
      <c r="D18" s="17">
        <f>C18/C$10</f>
        <v>0.98034398034398029</v>
      </c>
      <c r="E18" s="16">
        <f>COUNTIFS('QA 결과'!$D:$D,Summary!E$9,'QA 결과'!$H:$H,"Pass")</f>
        <v>178</v>
      </c>
      <c r="F18" s="17">
        <f>E18/E$10</f>
        <v>0.98342541436464093</v>
      </c>
      <c r="G18" s="16">
        <f>COUNTIFS('QA 결과'!$D:$D,Summary!G$9,'QA 결과'!$H:$H,"Pass")</f>
        <v>125</v>
      </c>
      <c r="H18" s="17">
        <f>G18/G$10</f>
        <v>1</v>
      </c>
      <c r="I18" s="16">
        <f>COUNTIFS('QA 결과'!$D:$D,Summary!I$9,'QA 결과'!$H:$H,"Pass")</f>
        <v>59</v>
      </c>
      <c r="J18" s="17">
        <f>I18/I$10</f>
        <v>1</v>
      </c>
      <c r="K18" s="16">
        <f>COUNTIFS('QA 결과'!$D:$D,Summary!K$9,'QA 결과'!$H:$H,"Pass")</f>
        <v>37</v>
      </c>
      <c r="L18" s="17">
        <f>K18/K$10</f>
        <v>0.88095238095238093</v>
      </c>
      <c r="M18" s="2"/>
    </row>
    <row r="19" spans="2:13" x14ac:dyDescent="0.3">
      <c r="B19" s="18" t="s">
        <v>16</v>
      </c>
      <c r="C19" s="19">
        <f>SUM(E19+G19+I19+K19)</f>
        <v>8</v>
      </c>
      <c r="D19" s="20">
        <f>C19/C$10</f>
        <v>1.9656019656019656E-2</v>
      </c>
      <c r="E19" s="19">
        <f>COUNTIFS('QA 결과'!$D:$D,Summary!E$9,'QA 결과'!$H:$H,"&lt;&gt;Pass")</f>
        <v>3</v>
      </c>
      <c r="F19" s="20">
        <f>E19/E$10</f>
        <v>1.6574585635359115E-2</v>
      </c>
      <c r="G19" s="19">
        <f>COUNTIFS('QA 결과'!$D:$D,Summary!G$9,'QA 결과'!$H:$H,"&lt;&gt;Pass")</f>
        <v>0</v>
      </c>
      <c r="H19" s="20">
        <f>G19/G$10</f>
        <v>0</v>
      </c>
      <c r="I19" s="19">
        <f>COUNTIFS('QA 결과'!$D:$D,Summary!I$9,'QA 결과'!$H:$H,"&lt;&gt;Pass")</f>
        <v>0</v>
      </c>
      <c r="J19" s="20">
        <f>I19/I$10</f>
        <v>0</v>
      </c>
      <c r="K19" s="19">
        <f>COUNTIFS('QA 결과'!$D:$D,Summary!K$9,'QA 결과'!$H:$H,"&lt;&gt;Pass")</f>
        <v>5</v>
      </c>
      <c r="L19" s="20">
        <f>K19/K$10</f>
        <v>0.11904761904761904</v>
      </c>
      <c r="M19" s="2"/>
    </row>
    <row r="20" spans="2:13" x14ac:dyDescent="0.3">
      <c r="B20" s="21" t="s">
        <v>17</v>
      </c>
      <c r="C20" s="22"/>
      <c r="D20" s="23"/>
      <c r="E20" s="22"/>
      <c r="F20" s="23"/>
      <c r="G20" s="22"/>
      <c r="H20" s="23"/>
      <c r="I20" s="22"/>
      <c r="J20" s="23"/>
      <c r="K20" s="22"/>
      <c r="L20" s="23"/>
      <c r="M20" s="2"/>
    </row>
    <row r="21" spans="2:13" x14ac:dyDescent="0.3">
      <c r="B21" s="15" t="s">
        <v>11</v>
      </c>
      <c r="C21" s="16">
        <f>SUM(E21+G21+I21+K21)</f>
        <v>277</v>
      </c>
      <c r="D21" s="17">
        <f>C21/C$10</f>
        <v>0.68058968058968061</v>
      </c>
      <c r="E21" s="16">
        <f>COUNTIFS('QA 결과'!$D:$D,Summary!E$9,'QA 결과'!$J:$J,"Pass")</f>
        <v>146</v>
      </c>
      <c r="F21" s="17">
        <f>E21/E$10</f>
        <v>0.8066298342541437</v>
      </c>
      <c r="G21" s="16">
        <f>COUNTIFS('QA 결과'!$D:$D,Summary!G$9,'QA 결과'!$J:$J,"Pass")</f>
        <v>76</v>
      </c>
      <c r="H21" s="17">
        <f>G21/G$10</f>
        <v>0.60799999999999998</v>
      </c>
      <c r="I21" s="16">
        <f>COUNTIFS('QA 결과'!$D:$D,Summary!I$9,'QA 결과'!$J:$J,"Pass")</f>
        <v>34</v>
      </c>
      <c r="J21" s="17">
        <f>I21/I$10</f>
        <v>0.57627118644067798</v>
      </c>
      <c r="K21" s="16">
        <f>COUNTIFS('QA 결과'!$D:$D,Summary!K$9,'QA 결과'!$J:$J,"Pass")</f>
        <v>21</v>
      </c>
      <c r="L21" s="17">
        <f>K21/K$10</f>
        <v>0.5</v>
      </c>
      <c r="M21" s="2"/>
    </row>
    <row r="22" spans="2:13" x14ac:dyDescent="0.3">
      <c r="B22" s="18" t="s">
        <v>18</v>
      </c>
      <c r="C22" s="19">
        <f>SUM(E22+G22+I22+K22)</f>
        <v>130</v>
      </c>
      <c r="D22" s="20">
        <f>C22/C$10</f>
        <v>0.31941031941031939</v>
      </c>
      <c r="E22" s="19">
        <f>COUNTIFS('QA 결과'!$D:$D,Summary!E$9,'QA 결과'!$J:$J,"&lt;&gt;Pass")</f>
        <v>35</v>
      </c>
      <c r="F22" s="20">
        <f>E22/E$10</f>
        <v>0.19337016574585636</v>
      </c>
      <c r="G22" s="19">
        <f>COUNTIFS('QA 결과'!$D:$D,Summary!G$9,'QA 결과'!$J:$J,"&lt;&gt;Pass")</f>
        <v>49</v>
      </c>
      <c r="H22" s="20">
        <f>G22/G$10</f>
        <v>0.39200000000000002</v>
      </c>
      <c r="I22" s="19">
        <f>COUNTIFS('QA 결과'!$D:$D,Summary!I$9,'QA 결과'!$J:$J,"&lt;&gt;Pass")</f>
        <v>25</v>
      </c>
      <c r="J22" s="20">
        <f>I22/I$10</f>
        <v>0.42372881355932202</v>
      </c>
      <c r="K22" s="19">
        <f>COUNTIFS('QA 결과'!$D:$D,Summary!K$9,'QA 결과'!$J:$J,"&lt;&gt;Pass")</f>
        <v>21</v>
      </c>
      <c r="L22" s="20">
        <f>K22/K$10</f>
        <v>0.5</v>
      </c>
      <c r="M22" s="2"/>
    </row>
    <row r="23" spans="2:13" x14ac:dyDescent="0.3">
      <c r="B23" s="21" t="s">
        <v>19</v>
      </c>
      <c r="C23" s="22"/>
      <c r="D23" s="23"/>
      <c r="E23" s="22"/>
      <c r="F23" s="23"/>
      <c r="G23" s="22"/>
      <c r="H23" s="23"/>
      <c r="I23" s="22"/>
      <c r="J23" s="23"/>
      <c r="K23" s="22"/>
      <c r="L23" s="23"/>
      <c r="M23" s="2"/>
    </row>
    <row r="24" spans="2:13" x14ac:dyDescent="0.3">
      <c r="B24" s="15" t="s">
        <v>11</v>
      </c>
      <c r="C24" s="16">
        <f>SUM(E24+G24+I24+K24)</f>
        <v>382</v>
      </c>
      <c r="D24" s="17">
        <f>C24/C$10</f>
        <v>0.93857493857493857</v>
      </c>
      <c r="E24" s="16">
        <f>COUNTIFS('QA 결과'!$D:$D,Summary!E$9,'QA 결과'!$M:$M,"Pass")</f>
        <v>178</v>
      </c>
      <c r="F24" s="17">
        <f>E24/E$10</f>
        <v>0.98342541436464093</v>
      </c>
      <c r="G24" s="16">
        <f>COUNTIFS('QA 결과'!$D:$D,Summary!G$9,'QA 결과'!$M:$M,"Pass")</f>
        <v>125</v>
      </c>
      <c r="H24" s="17">
        <f>G24/G$10</f>
        <v>1</v>
      </c>
      <c r="I24" s="16">
        <f>COUNTIFS('QA 결과'!$D:$D,Summary!I$9,'QA 결과'!$M:$M,"Pass")</f>
        <v>52</v>
      </c>
      <c r="J24" s="17">
        <f>I24/I$10</f>
        <v>0.88135593220338981</v>
      </c>
      <c r="K24" s="16">
        <f>COUNTIFS('QA 결과'!$D:$D,Summary!K$9,'QA 결과'!$M:$M,"Pass")</f>
        <v>27</v>
      </c>
      <c r="L24" s="17">
        <f>K24/K$10</f>
        <v>0.6428571428571429</v>
      </c>
      <c r="M24" s="2"/>
    </row>
    <row r="25" spans="2:13" x14ac:dyDescent="0.3">
      <c r="B25" s="18" t="s">
        <v>20</v>
      </c>
      <c r="C25" s="19">
        <f>SUM(E25+G25+I25+K25)</f>
        <v>25</v>
      </c>
      <c r="D25" s="20">
        <f>C25/C$10</f>
        <v>6.1425061425061427E-2</v>
      </c>
      <c r="E25" s="19">
        <f>COUNTIFS('QA 결과'!$D:$D,Summary!E$9,'QA 결과'!$M:$M,"&lt;&gt;Pass")</f>
        <v>3</v>
      </c>
      <c r="F25" s="20">
        <f>E25/E$10</f>
        <v>1.6574585635359115E-2</v>
      </c>
      <c r="G25" s="19">
        <f>COUNTIFS('QA 결과'!$D:$D,Summary!G$9,'QA 결과'!$M:$M,"&lt;&gt;Pass")</f>
        <v>0</v>
      </c>
      <c r="H25" s="20">
        <f>G25/G$10</f>
        <v>0</v>
      </c>
      <c r="I25" s="19">
        <f>COUNTIFS('QA 결과'!$D:$D,Summary!I$9,'QA 결과'!$M:$M,"&lt;&gt;Pass")</f>
        <v>7</v>
      </c>
      <c r="J25" s="20">
        <f>I25/I$10</f>
        <v>0.11864406779661017</v>
      </c>
      <c r="K25" s="19">
        <f>COUNTIFS('QA 결과'!$D:$D,Summary!K$9,'QA 결과'!$M:$M,"&lt;&gt;Pass")</f>
        <v>15</v>
      </c>
      <c r="L25" s="20">
        <f>K25/K$10</f>
        <v>0.35714285714285715</v>
      </c>
      <c r="M25" s="2"/>
    </row>
    <row r="26" spans="2:13" x14ac:dyDescent="0.3">
      <c r="B26" s="21" t="s">
        <v>21</v>
      </c>
      <c r="C26" s="22"/>
      <c r="D26" s="23"/>
      <c r="E26" s="22"/>
      <c r="F26" s="23"/>
      <c r="G26" s="22"/>
      <c r="H26" s="23"/>
      <c r="I26" s="22"/>
      <c r="J26" s="23"/>
      <c r="K26" s="22"/>
      <c r="L26" s="23"/>
      <c r="M26" s="2"/>
    </row>
    <row r="27" spans="2:13" x14ac:dyDescent="0.3">
      <c r="B27" s="15" t="s">
        <v>11</v>
      </c>
      <c r="C27" s="16">
        <f>SUM(E27+G27+I27+K27)</f>
        <v>386</v>
      </c>
      <c r="D27" s="17">
        <f>C27/C$10</f>
        <v>0.94840294840294836</v>
      </c>
      <c r="E27" s="16">
        <f>COUNTIFS('QA 결과'!$D:$D,Summary!E$9,'QA 결과'!$O:$O,"Pass")</f>
        <v>176</v>
      </c>
      <c r="F27" s="17">
        <f>E27/E$10</f>
        <v>0.97237569060773477</v>
      </c>
      <c r="G27" s="16">
        <f>COUNTIFS('QA 결과'!$D:$D,Summary!G$9,'QA 결과'!$O:$O,"Pass")</f>
        <v>123</v>
      </c>
      <c r="H27" s="17">
        <f>G27/G$10</f>
        <v>0.98399999999999999</v>
      </c>
      <c r="I27" s="16">
        <f>COUNTIFS('QA 결과'!$D:$D,Summary!I$9,'QA 결과'!$O:$O,"Pass")</f>
        <v>48</v>
      </c>
      <c r="J27" s="17">
        <f>I27/I$10</f>
        <v>0.81355932203389836</v>
      </c>
      <c r="K27" s="16">
        <f>COUNTIFS('QA 결과'!$D:$D,Summary!K$9,'QA 결과'!$O:$O,"Pass")</f>
        <v>39</v>
      </c>
      <c r="L27" s="17">
        <f>K27/K$10</f>
        <v>0.9285714285714286</v>
      </c>
      <c r="M27" s="2"/>
    </row>
    <row r="28" spans="2:13" x14ac:dyDescent="0.3">
      <c r="B28" s="18" t="s">
        <v>22</v>
      </c>
      <c r="C28" s="19">
        <f>SUM(E28+G28+I28+K28)</f>
        <v>21</v>
      </c>
      <c r="D28" s="20">
        <f>C28/C$10</f>
        <v>5.1597051597051594E-2</v>
      </c>
      <c r="E28" s="19">
        <f>COUNTIFS('QA 결과'!$D:$D,Summary!E$9,'QA 결과'!$O:$O,"&lt;&gt;Pass")</f>
        <v>5</v>
      </c>
      <c r="F28" s="20">
        <f>E28/E$10</f>
        <v>2.7624309392265192E-2</v>
      </c>
      <c r="G28" s="19">
        <f>COUNTIFS('QA 결과'!$D:$D,Summary!G$9,'QA 결과'!$O:$O,"&lt;&gt;Pass")</f>
        <v>2</v>
      </c>
      <c r="H28" s="20">
        <f>G28/G$10</f>
        <v>1.6E-2</v>
      </c>
      <c r="I28" s="19">
        <f>COUNTIFS('QA 결과'!$D:$D,Summary!I$9,'QA 결과'!$O:$O,"&lt;&gt;Pass")</f>
        <v>11</v>
      </c>
      <c r="J28" s="20">
        <f>I28/I$10</f>
        <v>0.1864406779661017</v>
      </c>
      <c r="K28" s="19">
        <f>COUNTIFS('QA 결과'!$D:$D,Summary!K$9,'QA 결과'!$O:$O,"&lt;&gt;Pass")</f>
        <v>3</v>
      </c>
      <c r="L28" s="20">
        <f>K28/K$10</f>
        <v>7.1428571428571425E-2</v>
      </c>
      <c r="M28" s="2"/>
    </row>
    <row r="29" spans="2:13" x14ac:dyDescent="0.3">
      <c r="B29" s="21" t="s">
        <v>23</v>
      </c>
      <c r="C29" s="22"/>
      <c r="D29" s="23"/>
      <c r="E29" s="22"/>
      <c r="F29" s="23"/>
      <c r="G29" s="22"/>
      <c r="H29" s="23"/>
      <c r="I29" s="22"/>
      <c r="J29" s="23"/>
      <c r="K29" s="22"/>
      <c r="L29" s="23"/>
      <c r="M29" s="2"/>
    </row>
    <row r="30" spans="2:13" x14ac:dyDescent="0.3">
      <c r="B30" s="15" t="s">
        <v>11</v>
      </c>
      <c r="C30" s="16">
        <f>SUM(E30+G30+I30+K30)</f>
        <v>364</v>
      </c>
      <c r="D30" s="17">
        <f>C30/C$10</f>
        <v>0.89434889434889431</v>
      </c>
      <c r="E30" s="16">
        <f>COUNTIFS('QA 결과'!$D:$D,Summary!E$9,'QA 결과'!$Z:$Z,"Pass")</f>
        <v>148</v>
      </c>
      <c r="F30" s="17">
        <f>E30/E$10</f>
        <v>0.81767955801104975</v>
      </c>
      <c r="G30" s="16">
        <f>COUNTIFS('QA 결과'!$D:$D,Summary!G$9,'QA 결과'!$Z:$Z,"Pass")</f>
        <v>118</v>
      </c>
      <c r="H30" s="17">
        <f>G30/G$10</f>
        <v>0.94399999999999995</v>
      </c>
      <c r="I30" s="16">
        <f>COUNTIFS('QA 결과'!$D:$D,Summary!I$9,'QA 결과'!$Z:$Z,"Pass")</f>
        <v>57</v>
      </c>
      <c r="J30" s="17">
        <f>I30/I$10</f>
        <v>0.96610169491525422</v>
      </c>
      <c r="K30" s="16">
        <f>COUNTIFS('QA 결과'!$D:$D,Summary!K$9,'QA 결과'!$Z:$Z,"Pass")</f>
        <v>41</v>
      </c>
      <c r="L30" s="17">
        <f>K30/K$10</f>
        <v>0.97619047619047616</v>
      </c>
      <c r="M30" s="2"/>
    </row>
    <row r="31" spans="2:13" x14ac:dyDescent="0.3">
      <c r="B31" s="18" t="s">
        <v>24</v>
      </c>
      <c r="C31" s="19">
        <f>SUM(E31+G31+I31+K31)</f>
        <v>43</v>
      </c>
      <c r="D31" s="20">
        <f>C31/C$10</f>
        <v>0.10565110565110565</v>
      </c>
      <c r="E31" s="19">
        <f>COUNTIFS('QA 결과'!$D:$D,Summary!E$9,'QA 결과'!$Z:$Z,"&lt;&gt;Pass")</f>
        <v>33</v>
      </c>
      <c r="F31" s="20">
        <f>E31/E$10</f>
        <v>0.18232044198895028</v>
      </c>
      <c r="G31" s="19">
        <f>COUNTIFS('QA 결과'!$D:$D,Summary!G$9,'QA 결과'!$Z:$Z,"&lt;&gt;Pass")</f>
        <v>7</v>
      </c>
      <c r="H31" s="20">
        <f>G31/G$10</f>
        <v>5.6000000000000001E-2</v>
      </c>
      <c r="I31" s="19">
        <f>COUNTIFS('QA 결과'!$D:$D,Summary!I$9,'QA 결과'!$Z:$Z,"&lt;&gt;Pass")</f>
        <v>2</v>
      </c>
      <c r="J31" s="20">
        <f>I31/I$10</f>
        <v>3.3898305084745763E-2</v>
      </c>
      <c r="K31" s="19">
        <f>COUNTIFS('QA 결과'!$D:$D,Summary!K$9,'QA 결과'!$Z:$Z,"&lt;&gt;Pass")</f>
        <v>1</v>
      </c>
      <c r="L31" s="20">
        <f>K31/K$10</f>
        <v>2.3809523809523808E-2</v>
      </c>
      <c r="M31" s="2"/>
    </row>
    <row r="32" spans="2:13" x14ac:dyDescent="0.3">
      <c r="B32" s="21" t="s">
        <v>25</v>
      </c>
      <c r="C32" s="22"/>
      <c r="D32" s="23"/>
      <c r="E32" s="22"/>
      <c r="F32" s="23"/>
      <c r="G32" s="24"/>
      <c r="H32" s="25"/>
      <c r="I32" s="24"/>
      <c r="J32" s="25"/>
      <c r="K32" s="22"/>
      <c r="L32" s="23"/>
      <c r="M32" s="2"/>
    </row>
    <row r="33" spans="2:14" x14ac:dyDescent="0.3">
      <c r="B33" s="15" t="s">
        <v>11</v>
      </c>
      <c r="C33" s="16">
        <f>SUM(E33+G33+I33+K33)</f>
        <v>166</v>
      </c>
      <c r="D33" s="17">
        <f>C33/C$10</f>
        <v>0.40786240786240785</v>
      </c>
      <c r="E33" s="16">
        <f>COUNTIFS('QA 결과'!$D:$D,Summary!E$9,'QA 결과'!$AF:$AF,"Pass")</f>
        <v>0</v>
      </c>
      <c r="F33" s="17">
        <f>E33/E$10</f>
        <v>0</v>
      </c>
      <c r="G33" s="16">
        <f>COUNTIFS('QA 결과'!$D:$D,Summary!G$9,'QA 결과'!$AF:$AF,"Pass")</f>
        <v>120</v>
      </c>
      <c r="H33" s="17">
        <f>G33/G$10</f>
        <v>0.96</v>
      </c>
      <c r="I33" s="16">
        <f>COUNTIFS('QA 결과'!$D:$D,Summary!I$9,'QA 결과'!$AF:$AF,"Pass")</f>
        <v>34</v>
      </c>
      <c r="J33" s="17">
        <f>I33/I$10</f>
        <v>0.57627118644067798</v>
      </c>
      <c r="K33" s="16">
        <f>COUNTIFS('QA 결과'!$D:$D,Summary!K$9,'QA 결과'!$AF:$AF,"Pass")</f>
        <v>12</v>
      </c>
      <c r="L33" s="17">
        <f>K33/K$10</f>
        <v>0.2857142857142857</v>
      </c>
      <c r="M33" s="2"/>
    </row>
    <row r="34" spans="2:14" x14ac:dyDescent="0.3">
      <c r="B34" s="18" t="s">
        <v>20</v>
      </c>
      <c r="C34" s="19">
        <f>SUM(E34+G34+I34+K34)</f>
        <v>241</v>
      </c>
      <c r="D34" s="20">
        <f>C34/C$10</f>
        <v>0.59213759213759209</v>
      </c>
      <c r="E34" s="19">
        <f>COUNTIFS('QA 결과'!$D:$D,Summary!E$9,'QA 결과'!$AF:$AF,"&lt;&gt;Pass")</f>
        <v>181</v>
      </c>
      <c r="F34" s="20">
        <f>E34/E$10</f>
        <v>1</v>
      </c>
      <c r="G34" s="19">
        <f>COUNTIFS('QA 결과'!$D:$D,Summary!G$9,'QA 결과'!$AF:$AF,"&lt;&gt;Pass")</f>
        <v>5</v>
      </c>
      <c r="H34" s="20">
        <f>G34/G$10</f>
        <v>0.04</v>
      </c>
      <c r="I34" s="19">
        <f>COUNTIFS('QA 결과'!$D:$D,Summary!I$9,'QA 결과'!$AF:$AF,"&lt;&gt;Pass")</f>
        <v>25</v>
      </c>
      <c r="J34" s="20">
        <f>I34/I$10</f>
        <v>0.42372881355932202</v>
      </c>
      <c r="K34" s="19">
        <f>COUNTIFS('QA 결과'!$D:$D,Summary!K$9,'QA 결과'!$AF:$AF,"&lt;&gt;Pass")</f>
        <v>30</v>
      </c>
      <c r="L34" s="20">
        <f>K34/K$10</f>
        <v>0.7142857142857143</v>
      </c>
      <c r="M34" s="2"/>
    </row>
    <row r="35" spans="2:14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</sheetData>
  <mergeCells count="10">
    <mergeCell ref="C10:D10"/>
    <mergeCell ref="E10:F10"/>
    <mergeCell ref="I10:J10"/>
    <mergeCell ref="G10:H10"/>
    <mergeCell ref="K10:L10"/>
    <mergeCell ref="K9:L9"/>
    <mergeCell ref="C9:D9"/>
    <mergeCell ref="G9:H9"/>
    <mergeCell ref="E9:F9"/>
    <mergeCell ref="I9:J9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25"/>
  <sheetViews>
    <sheetView topLeftCell="A390" zoomScale="85" zoomScaleNormal="85" workbookViewId="0">
      <selection activeCell="A424" sqref="A424"/>
    </sheetView>
  </sheetViews>
  <sheetFormatPr defaultRowHeight="16.5" x14ac:dyDescent="0.3"/>
  <cols>
    <col min="1" max="1" width="60" style="1" bestFit="1" customWidth="1"/>
    <col min="2" max="2" width="16.75" style="1" customWidth="1"/>
    <col min="3" max="4" width="9" style="1" customWidth="1"/>
    <col min="5" max="5" width="15.5" style="1" customWidth="1"/>
    <col min="6" max="6" width="28.125" style="1" customWidth="1"/>
    <col min="7" max="7" width="16" style="1" bestFit="1" customWidth="1"/>
    <col min="8" max="10" width="9" style="1" customWidth="1"/>
    <col min="11" max="11" width="9" style="32" customWidth="1"/>
    <col min="12" max="24" width="9" style="1" customWidth="1"/>
    <col min="25" max="25" width="16.875" style="1" customWidth="1"/>
    <col min="26" max="30" width="9" style="1" customWidth="1"/>
    <col min="31" max="31" width="16.875" style="1" customWidth="1"/>
    <col min="32" max="32" width="9" style="1" customWidth="1"/>
    <col min="33" max="16384" width="9" style="1"/>
  </cols>
  <sheetData>
    <row r="1" spans="1:32" x14ac:dyDescent="0.3">
      <c r="A1" s="26" t="s">
        <v>10</v>
      </c>
      <c r="B1" s="27" t="s">
        <v>26</v>
      </c>
      <c r="C1" s="26" t="s">
        <v>27</v>
      </c>
      <c r="D1" s="26" t="s">
        <v>13</v>
      </c>
      <c r="E1" s="27" t="s">
        <v>28</v>
      </c>
      <c r="F1" s="26" t="s">
        <v>29</v>
      </c>
      <c r="G1" s="27" t="s">
        <v>30</v>
      </c>
      <c r="H1" s="26" t="s">
        <v>31</v>
      </c>
      <c r="I1" s="27" t="s">
        <v>32</v>
      </c>
      <c r="J1" s="26" t="s">
        <v>33</v>
      </c>
      <c r="K1" s="26" t="s">
        <v>34</v>
      </c>
      <c r="L1" s="27" t="s">
        <v>35</v>
      </c>
      <c r="M1" s="26" t="s">
        <v>36</v>
      </c>
      <c r="N1" s="27" t="s">
        <v>37</v>
      </c>
      <c r="O1" s="26" t="s">
        <v>38</v>
      </c>
      <c r="P1" s="26" t="s">
        <v>39</v>
      </c>
      <c r="Q1" s="26" t="s">
        <v>40</v>
      </c>
      <c r="R1" s="26" t="s">
        <v>41</v>
      </c>
      <c r="S1" s="26" t="s">
        <v>42</v>
      </c>
      <c r="T1" s="26" t="s">
        <v>43</v>
      </c>
      <c r="U1" s="26" t="s">
        <v>44</v>
      </c>
      <c r="V1" s="26" t="s">
        <v>45</v>
      </c>
      <c r="W1" s="26" t="s">
        <v>46</v>
      </c>
      <c r="X1" s="26" t="s">
        <v>47</v>
      </c>
      <c r="Y1" s="27" t="s">
        <v>48</v>
      </c>
      <c r="Z1" s="26" t="s">
        <v>49</v>
      </c>
      <c r="AA1" s="26" t="s">
        <v>50</v>
      </c>
      <c r="AB1" s="26" t="s">
        <v>51</v>
      </c>
      <c r="AC1" s="26" t="s">
        <v>52</v>
      </c>
      <c r="AD1" s="26" t="s">
        <v>53</v>
      </c>
      <c r="AE1" s="27" t="s">
        <v>54</v>
      </c>
      <c r="AF1" t="s">
        <v>55</v>
      </c>
    </row>
    <row r="2" spans="1:32" x14ac:dyDescent="0.3">
      <c r="A2" s="28" t="str">
        <f t="array" ref="A2">INDEX('raw-sheet'!$A$2:$ZZ$1000, ROW(A1), MATCH(A$1, 'raw-sheet'!$A$1:$ZZ$1, 0))</f>
        <v>https://innisfree-taiwan.myshopify.com/</v>
      </c>
      <c r="B2" s="30" t="s">
        <v>11</v>
      </c>
      <c r="C2" s="28" t="str">
        <f t="array" ref="C2">INDEX('raw-sheet'!$A$2:$ZZ$1000, ROW(C1), MATCH(C$1, 'raw-sheet'!$A$1:$ZZ$1, 0))</f>
        <v>Page (No PLP / PDP)</v>
      </c>
      <c r="D2" s="28">
        <f t="array" ref="D2">INDEX('raw-sheet'!$A$2:$ZZ$1000, ROW(D1), MATCH(D$1, 'raw-sheet'!$A$1:$ZZ$1, 0))</f>
        <v>200</v>
      </c>
      <c r="E2" s="30" t="str">
        <f t="shared" ref="E2:E65" si="0">IF(D2=200,"Pass","Not")</f>
        <v>Pass</v>
      </c>
      <c r="F2" s="28" t="str">
        <f t="array" ref="F2">INDEX('raw-sheet'!$A$2:$ZZ$1000, ROW(F1), MATCH(F$1, 'raw-sheet'!$A$1:$ZZ$1, 0))</f>
        <v>innisfree 台灣官方網站 &amp; 線上購物 官網下單滿千免運_x000D_ | INNISFREE Taiwan</v>
      </c>
      <c r="G2" s="30" t="s">
        <v>11</v>
      </c>
      <c r="H2" s="28" t="str">
        <f t="array" ref="H2">INDEX('raw-sheet'!$A$2:$ZZ$1000, ROW(H1), MATCH(H$1,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I2" s="30" t="s">
        <v>11</v>
      </c>
      <c r="J2" s="28" t="str">
        <f t="array" ref="J2">INDEX('raw-sheet'!$A$2:$ZZ$1000, ROW(J1), MATCH(J$1, 'raw-sheet'!$A$1:$ZZ$1, 0))</f>
        <v>INNISFREE Taiwan</v>
      </c>
      <c r="K2" s="28" t="str">
        <f t="array" ref="K2">INDEX('raw-sheet'!$A$2:$ZZ$1000, ROW(K1), MATCH(K$1, 'raw-sheet'!$A$1:$ZZ$1, 0))</f>
        <v>1</v>
      </c>
      <c r="L2" s="30" t="s">
        <v>11</v>
      </c>
      <c r="M2" s="28" t="str">
        <f t="array" ref="M2">INDEX('raw-sheet'!$A$2:$ZZ$1000, ROW(M1), MATCH(M$1, 'raw-sheet'!$A$1:$ZZ$1, 0))</f>
        <v>https://innisfree-taiwan.myshopify.com/</v>
      </c>
      <c r="N2" s="30" t="str">
        <f t="shared" ref="N2:N65" si="1">IF(A2=M2,"Pass","Not")</f>
        <v>Pass</v>
      </c>
      <c r="O2" s="28" t="str">
        <f t="array" ref="O2">INDEX('raw-sheet'!$A$2:$ZZ$1000, ROW(O1), MATCH(O$1, 'raw-sheet'!$A$1:$ZZ$1, 0))</f>
        <v>innisfree 台灣官方網站 &amp; 線上購物 官網下單滿千免運 | INNISFREE Taiwan</v>
      </c>
      <c r="P2" s="28" t="str">
        <f t="array" ref="P2">INDEX('raw-sheet'!$A$2:$ZZ$1000, ROW(P1),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" s="28" t="str">
        <f t="array" ref="Q2">INDEX('raw-sheet'!$A$2:$ZZ$1000, ROW(Q1), MATCH(Q$1, 'raw-sheet'!$A$1:$ZZ$1, 0))</f>
        <v>website</v>
      </c>
      <c r="R2" s="28" t="str">
        <f t="array" ref="R2">INDEX('raw-sheet'!$A$2:$ZZ$1000, ROW(R1), MATCH(R$1, 'raw-sheet'!$A$1:$ZZ$1, 0))</f>
        <v>INNISFREE Taiwan</v>
      </c>
      <c r="S2" s="28" t="str">
        <f t="array" ref="S2">INDEX('raw-sheet'!$A$2:$ZZ$1000, ROW(S1), MATCH(S$1, 'raw-sheet'!$A$1:$ZZ$1, 0))</f>
        <v>http://innisfree-taiwan.myshopify.com/cdn/shop/files/logo.png?v=1767594135</v>
      </c>
      <c r="T2" s="28" t="str">
        <f t="array" ref="T2">INDEX('raw-sheet'!$A$2:$ZZ$1000, ROW(T1), MATCH(T$1, 'raw-sheet'!$A$1:$ZZ$1, 0))</f>
        <v>https://innisfree-taiwan.myshopify.com/cdn/shop/files/logo.png?v=1767594135</v>
      </c>
      <c r="U2" s="28" t="str">
        <f t="array" ref="U2">INDEX('raw-sheet'!$A$2:$ZZ$1000, ROW(U1), MATCH(U$1, 'raw-sheet'!$A$1:$ZZ$1, 0))</f>
        <v>https://innisfree-taiwan.myshopify.com/</v>
      </c>
      <c r="V2" s="28" t="str">
        <f t="array" ref="V2">INDEX('raw-sheet'!$A$2:$ZZ$1000, ROW(V1), MATCH(V$1, 'raw-sheet'!$A$1:$ZZ$1, 0))</f>
        <v>innisfree 台灣官方網站 &amp; 線上購物 官網下單滿千免運 | INNISFREE Taiwan</v>
      </c>
      <c r="W2" s="28" t="str">
        <f t="array" ref="W2">INDEX('raw-sheet'!$A$2:$ZZ$1000, ROW(W1),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" s="28" t="str">
        <f t="array" ref="X2">INDEX('raw-sheet'!$A$2:$ZZ$1000, ROW(X1), MATCH(X$1, 'raw-sheet'!$A$1:$ZZ$1, 0))</f>
        <v>summary_large_image</v>
      </c>
      <c r="Y2" s="31" t="s">
        <v>56</v>
      </c>
      <c r="Z2" s="28" t="str">
        <f>VLOOKUP($A2,'raw-schema'!$A:$R,14,0)</f>
        <v>Organization</v>
      </c>
      <c r="AA2" s="28" t="str">
        <f>VLOOKUP($A2,'raw-schema'!$A:$R,15,0)</f>
        <v>SearchAction</v>
      </c>
      <c r="AB2" s="28" t="str">
        <f>VLOOKUP($A2,'raw-schema'!$A:$R,16,0)</f>
        <v>WebSite</v>
      </c>
      <c r="AC2" s="28">
        <f>VLOOKUP($A2,'raw-schema'!$A:$R,17,0)</f>
        <v>0</v>
      </c>
      <c r="AD2" s="28">
        <f>VLOOKUP($A2,'raw-schema'!$A:$R,18,0)</f>
        <v>0</v>
      </c>
      <c r="AE2" s="31" t="s">
        <v>57</v>
      </c>
    </row>
    <row r="3" spans="1:32" x14ac:dyDescent="0.3">
      <c r="A3" s="28" t="str">
        <f t="array" ref="A3">INDEX('raw-sheet'!$A$2:$ZZ$1000, ROW(A2), MATCH(A$1, 'raw-sheet'!$A$1:$ZZ$1, 0))</f>
        <v>https://innisfree-taiwan.myshopify.com/a/service</v>
      </c>
      <c r="B3" s="30"/>
      <c r="C3" s="28">
        <f t="array" ref="C3">INDEX('raw-sheet'!$A$2:$ZZ$1000, ROW(C2), MATCH(C$1, 'raw-sheet'!$A$1:$ZZ$1, 0))</f>
        <v>0</v>
      </c>
      <c r="D3" s="28">
        <f t="array" ref="D3">INDEX('raw-sheet'!$A$2:$ZZ$1000, ROW(D2), MATCH(D$1, 'raw-sheet'!$A$1:$ZZ$1, 0))</f>
        <v>404</v>
      </c>
      <c r="E3" s="30" t="str">
        <f t="shared" si="0"/>
        <v>Not</v>
      </c>
      <c r="F3" s="28">
        <f t="array" ref="F3">INDEX('raw-sheet'!$A$2:$ZZ$1000, ROW(F2), MATCH(F$1, 'raw-sheet'!$A$1:$ZZ$1, 0))</f>
        <v>0</v>
      </c>
      <c r="G3" s="30"/>
      <c r="H3" s="28">
        <f t="array" ref="H3">INDEX('raw-sheet'!$A$2:$ZZ$1000, ROW(H2), MATCH(H$1, 'raw-sheet'!$A$1:$ZZ$1, 0))</f>
        <v>0</v>
      </c>
      <c r="I3" s="30"/>
      <c r="J3" s="28">
        <f t="array" ref="J3">INDEX('raw-sheet'!$A$2:$ZZ$1000, ROW(J2), MATCH(J$1, 'raw-sheet'!$A$1:$ZZ$1, 0))</f>
        <v>0</v>
      </c>
      <c r="K3" s="28">
        <f t="array" ref="K3">INDEX('raw-sheet'!$A$2:$ZZ$1000, ROW(K2), MATCH(K$1, 'raw-sheet'!$A$1:$ZZ$1, 0))</f>
        <v>0</v>
      </c>
      <c r="L3" s="30"/>
      <c r="M3" s="28">
        <f t="array" ref="M3">INDEX('raw-sheet'!$A$2:$ZZ$1000, ROW(M2), MATCH(M$1, 'raw-sheet'!$A$1:$ZZ$1, 0))</f>
        <v>0</v>
      </c>
      <c r="N3" s="30" t="str">
        <f t="shared" si="1"/>
        <v>Not</v>
      </c>
      <c r="O3" s="28">
        <f t="array" ref="O3">INDEX('raw-sheet'!$A$2:$ZZ$1000, ROW(O2), MATCH(O$1, 'raw-sheet'!$A$1:$ZZ$1, 0))</f>
        <v>0</v>
      </c>
      <c r="P3" s="28">
        <f t="array" ref="P3">INDEX('raw-sheet'!$A$2:$ZZ$1000, ROW(P2), MATCH(P$1, 'raw-sheet'!$A$1:$ZZ$1, 0))</f>
        <v>0</v>
      </c>
      <c r="Q3" s="28">
        <f t="array" ref="Q3">INDEX('raw-sheet'!$A$2:$ZZ$1000, ROW(Q2), MATCH(Q$1, 'raw-sheet'!$A$1:$ZZ$1, 0))</f>
        <v>0</v>
      </c>
      <c r="R3" s="28">
        <f t="array" ref="R3">INDEX('raw-sheet'!$A$2:$ZZ$1000, ROW(R2), MATCH(R$1, 'raw-sheet'!$A$1:$ZZ$1, 0))</f>
        <v>0</v>
      </c>
      <c r="S3" s="28">
        <f t="array" ref="S3">INDEX('raw-sheet'!$A$2:$ZZ$1000, ROW(S2), MATCH(S$1, 'raw-sheet'!$A$1:$ZZ$1, 0))</f>
        <v>0</v>
      </c>
      <c r="T3" s="28">
        <f t="array" ref="T3">INDEX('raw-sheet'!$A$2:$ZZ$1000, ROW(T2), MATCH(T$1, 'raw-sheet'!$A$1:$ZZ$1, 0))</f>
        <v>0</v>
      </c>
      <c r="U3" s="28">
        <f t="array" ref="U3">INDEX('raw-sheet'!$A$2:$ZZ$1000, ROW(U2), MATCH(U$1, 'raw-sheet'!$A$1:$ZZ$1, 0))</f>
        <v>0</v>
      </c>
      <c r="V3" s="28">
        <f t="array" ref="V3">INDEX('raw-sheet'!$A$2:$ZZ$1000, ROW(V2), MATCH(V$1, 'raw-sheet'!$A$1:$ZZ$1, 0))</f>
        <v>0</v>
      </c>
      <c r="W3" s="28">
        <f t="array" ref="W3">INDEX('raw-sheet'!$A$2:$ZZ$1000, ROW(W2), MATCH(W$1, 'raw-sheet'!$A$1:$ZZ$1, 0))</f>
        <v>0</v>
      </c>
      <c r="X3" s="28">
        <f t="array" ref="X3">INDEX('raw-sheet'!$A$2:$ZZ$1000, ROW(X2), MATCH(X$1, 'raw-sheet'!$A$1:$ZZ$1, 0))</f>
        <v>0</v>
      </c>
      <c r="Y3" s="30"/>
      <c r="Z3" s="28" t="e">
        <f>VLOOKUP($A3,'raw-schema'!$A:$R,14,0)</f>
        <v>#N/A</v>
      </c>
      <c r="AA3" s="28" t="e">
        <f>VLOOKUP($A3,'raw-schema'!$A:$R,15,0)</f>
        <v>#N/A</v>
      </c>
      <c r="AB3" s="28" t="e">
        <f>VLOOKUP($A3,'raw-schema'!$A:$R,16,0)</f>
        <v>#N/A</v>
      </c>
      <c r="AC3" s="28" t="e">
        <f>VLOOKUP($A3,'raw-schema'!$A:$R,17,0)</f>
        <v>#N/A</v>
      </c>
      <c r="AD3" s="28" t="e">
        <f>VLOOKUP($A3,'raw-schema'!$A:$R,18,0)</f>
        <v>#N/A</v>
      </c>
      <c r="AE3" s="30"/>
      <c r="AF3" t="s">
        <v>58</v>
      </c>
    </row>
    <row r="4" spans="1:32" x14ac:dyDescent="0.3">
      <c r="A4" s="28" t="str">
        <f t="array" ref="A4">INDEX('raw-sheet'!$A$2:$ZZ$1000, ROW(A3), MATCH(A$1, 'raw-sheet'!$A$1:$ZZ$1, 0))</f>
        <v>https://innisfree-taiwan.myshopify.com/account</v>
      </c>
      <c r="B4" s="30"/>
      <c r="C4" s="28">
        <f t="array" ref="C4">INDEX('raw-sheet'!$A$2:$ZZ$1000, ROW(C3), MATCH(C$1, 'raw-sheet'!$A$1:$ZZ$1, 0))</f>
        <v>0</v>
      </c>
      <c r="D4" s="28">
        <f t="array" ref="D4">INDEX('raw-sheet'!$A$2:$ZZ$1000, ROW(D3), MATCH(D$1, 'raw-sheet'!$A$1:$ZZ$1, 0))</f>
        <v>302</v>
      </c>
      <c r="E4" s="30" t="str">
        <f t="shared" si="0"/>
        <v>Not</v>
      </c>
      <c r="F4" s="28">
        <f t="array" ref="F4">INDEX('raw-sheet'!$A$2:$ZZ$1000, ROW(F3), MATCH(F$1, 'raw-sheet'!$A$1:$ZZ$1, 0))</f>
        <v>0</v>
      </c>
      <c r="G4" s="30"/>
      <c r="H4" s="28">
        <f t="array" ref="H4">INDEX('raw-sheet'!$A$2:$ZZ$1000, ROW(H3), MATCH(H$1, 'raw-sheet'!$A$1:$ZZ$1, 0))</f>
        <v>0</v>
      </c>
      <c r="I4" s="30"/>
      <c r="J4" s="28">
        <f t="array" ref="J4">INDEX('raw-sheet'!$A$2:$ZZ$1000, ROW(J3), MATCH(J$1, 'raw-sheet'!$A$1:$ZZ$1, 0))</f>
        <v>0</v>
      </c>
      <c r="K4" s="28">
        <f t="array" ref="K4">INDEX('raw-sheet'!$A$2:$ZZ$1000, ROW(K3), MATCH(K$1, 'raw-sheet'!$A$1:$ZZ$1, 0))</f>
        <v>0</v>
      </c>
      <c r="L4" s="30"/>
      <c r="M4" s="28">
        <f t="array" ref="M4">INDEX('raw-sheet'!$A$2:$ZZ$1000, ROW(M3), MATCH(M$1, 'raw-sheet'!$A$1:$ZZ$1, 0))</f>
        <v>0</v>
      </c>
      <c r="N4" s="30" t="str">
        <f t="shared" si="1"/>
        <v>Not</v>
      </c>
      <c r="O4" s="28">
        <f t="array" ref="O4">INDEX('raw-sheet'!$A$2:$ZZ$1000, ROW(O3), MATCH(O$1, 'raw-sheet'!$A$1:$ZZ$1, 0))</f>
        <v>0</v>
      </c>
      <c r="P4" s="28">
        <f t="array" ref="P4">INDEX('raw-sheet'!$A$2:$ZZ$1000, ROW(P3), MATCH(P$1, 'raw-sheet'!$A$1:$ZZ$1, 0))</f>
        <v>0</v>
      </c>
      <c r="Q4" s="28">
        <f t="array" ref="Q4">INDEX('raw-sheet'!$A$2:$ZZ$1000, ROW(Q3), MATCH(Q$1, 'raw-sheet'!$A$1:$ZZ$1, 0))</f>
        <v>0</v>
      </c>
      <c r="R4" s="28">
        <f t="array" ref="R4">INDEX('raw-sheet'!$A$2:$ZZ$1000, ROW(R3), MATCH(R$1, 'raw-sheet'!$A$1:$ZZ$1, 0))</f>
        <v>0</v>
      </c>
      <c r="S4" s="28">
        <f t="array" ref="S4">INDEX('raw-sheet'!$A$2:$ZZ$1000, ROW(S3), MATCH(S$1, 'raw-sheet'!$A$1:$ZZ$1, 0))</f>
        <v>0</v>
      </c>
      <c r="T4" s="28">
        <f t="array" ref="T4">INDEX('raw-sheet'!$A$2:$ZZ$1000, ROW(T3), MATCH(T$1, 'raw-sheet'!$A$1:$ZZ$1, 0))</f>
        <v>0</v>
      </c>
      <c r="U4" s="28">
        <f t="array" ref="U4">INDEX('raw-sheet'!$A$2:$ZZ$1000, ROW(U3), MATCH(U$1, 'raw-sheet'!$A$1:$ZZ$1, 0))</f>
        <v>0</v>
      </c>
      <c r="V4" s="28">
        <f t="array" ref="V4">INDEX('raw-sheet'!$A$2:$ZZ$1000, ROW(V3), MATCH(V$1, 'raw-sheet'!$A$1:$ZZ$1, 0))</f>
        <v>0</v>
      </c>
      <c r="W4" s="28">
        <f t="array" ref="W4">INDEX('raw-sheet'!$A$2:$ZZ$1000, ROW(W3), MATCH(W$1, 'raw-sheet'!$A$1:$ZZ$1, 0))</f>
        <v>0</v>
      </c>
      <c r="X4" s="28">
        <f t="array" ref="X4">INDEX('raw-sheet'!$A$2:$ZZ$1000, ROW(X3), MATCH(X$1, 'raw-sheet'!$A$1:$ZZ$1, 0))</f>
        <v>0</v>
      </c>
      <c r="Y4" s="30"/>
      <c r="Z4" s="28" t="e">
        <f>VLOOKUP($A4,'raw-schema'!$A:$R,14,0)</f>
        <v>#N/A</v>
      </c>
      <c r="AA4" s="28" t="e">
        <f>VLOOKUP($A4,'raw-schema'!$A:$R,15,0)</f>
        <v>#N/A</v>
      </c>
      <c r="AB4" s="28" t="e">
        <f>VLOOKUP($A4,'raw-schema'!$A:$R,16,0)</f>
        <v>#N/A</v>
      </c>
      <c r="AC4" s="28" t="e">
        <f>VLOOKUP($A4,'raw-schema'!$A:$R,17,0)</f>
        <v>#N/A</v>
      </c>
      <c r="AD4" s="28" t="e">
        <f>VLOOKUP($A4,'raw-schema'!$A:$R,18,0)</f>
        <v>#N/A</v>
      </c>
      <c r="AE4" s="30"/>
      <c r="AF4" t="s">
        <v>59</v>
      </c>
    </row>
    <row r="5" spans="1:32" x14ac:dyDescent="0.3">
      <c r="A5" s="28" t="str">
        <f t="array" ref="A5">INDEX('raw-sheet'!$A$2:$ZZ$1000, ROW(A4), MATCH(A$1, 'raw-sheet'!$A$1:$ZZ$1, 0))</f>
        <v>https://innisfree-taiwan.myshopify.com/account/addresses</v>
      </c>
      <c r="B5" s="30"/>
      <c r="C5" s="28">
        <f t="array" ref="C5">INDEX('raw-sheet'!$A$2:$ZZ$1000, ROW(C4), MATCH(C$1, 'raw-sheet'!$A$1:$ZZ$1, 0))</f>
        <v>0</v>
      </c>
      <c r="D5" s="28">
        <f t="array" ref="D5">INDEX('raw-sheet'!$A$2:$ZZ$1000, ROW(D4), MATCH(D$1, 'raw-sheet'!$A$1:$ZZ$1, 0))</f>
        <v>302</v>
      </c>
      <c r="E5" s="30" t="str">
        <f t="shared" si="0"/>
        <v>Not</v>
      </c>
      <c r="F5" s="28">
        <f t="array" ref="F5">INDEX('raw-sheet'!$A$2:$ZZ$1000, ROW(F4), MATCH(F$1, 'raw-sheet'!$A$1:$ZZ$1, 0))</f>
        <v>0</v>
      </c>
      <c r="G5" s="30"/>
      <c r="H5" s="28">
        <f t="array" ref="H5">INDEX('raw-sheet'!$A$2:$ZZ$1000, ROW(H4), MATCH(H$1, 'raw-sheet'!$A$1:$ZZ$1, 0))</f>
        <v>0</v>
      </c>
      <c r="I5" s="30"/>
      <c r="J5" s="28">
        <f t="array" ref="J5">INDEX('raw-sheet'!$A$2:$ZZ$1000, ROW(J4), MATCH(J$1, 'raw-sheet'!$A$1:$ZZ$1, 0))</f>
        <v>0</v>
      </c>
      <c r="K5" s="28">
        <f t="array" ref="K5">INDEX('raw-sheet'!$A$2:$ZZ$1000, ROW(K4), MATCH(K$1, 'raw-sheet'!$A$1:$ZZ$1, 0))</f>
        <v>0</v>
      </c>
      <c r="L5" s="30"/>
      <c r="M5" s="28">
        <f t="array" ref="M5">INDEX('raw-sheet'!$A$2:$ZZ$1000, ROW(M4), MATCH(M$1, 'raw-sheet'!$A$1:$ZZ$1, 0))</f>
        <v>0</v>
      </c>
      <c r="N5" s="30" t="str">
        <f t="shared" si="1"/>
        <v>Not</v>
      </c>
      <c r="O5" s="28">
        <f t="array" ref="O5">INDEX('raw-sheet'!$A$2:$ZZ$1000, ROW(O4), MATCH(O$1, 'raw-sheet'!$A$1:$ZZ$1, 0))</f>
        <v>0</v>
      </c>
      <c r="P5" s="28">
        <f t="array" ref="P5">INDEX('raw-sheet'!$A$2:$ZZ$1000, ROW(P4), MATCH(P$1, 'raw-sheet'!$A$1:$ZZ$1, 0))</f>
        <v>0</v>
      </c>
      <c r="Q5" s="28">
        <f t="array" ref="Q5">INDEX('raw-sheet'!$A$2:$ZZ$1000, ROW(Q4), MATCH(Q$1, 'raw-sheet'!$A$1:$ZZ$1, 0))</f>
        <v>0</v>
      </c>
      <c r="R5" s="28">
        <f t="array" ref="R5">INDEX('raw-sheet'!$A$2:$ZZ$1000, ROW(R4), MATCH(R$1, 'raw-sheet'!$A$1:$ZZ$1, 0))</f>
        <v>0</v>
      </c>
      <c r="S5" s="28">
        <f t="array" ref="S5">INDEX('raw-sheet'!$A$2:$ZZ$1000, ROW(S4), MATCH(S$1, 'raw-sheet'!$A$1:$ZZ$1, 0))</f>
        <v>0</v>
      </c>
      <c r="T5" s="28">
        <f t="array" ref="T5">INDEX('raw-sheet'!$A$2:$ZZ$1000, ROW(T4), MATCH(T$1, 'raw-sheet'!$A$1:$ZZ$1, 0))</f>
        <v>0</v>
      </c>
      <c r="U5" s="28">
        <f t="array" ref="U5">INDEX('raw-sheet'!$A$2:$ZZ$1000, ROW(U4), MATCH(U$1, 'raw-sheet'!$A$1:$ZZ$1, 0))</f>
        <v>0</v>
      </c>
      <c r="V5" s="28">
        <f t="array" ref="V5">INDEX('raw-sheet'!$A$2:$ZZ$1000, ROW(V4), MATCH(V$1, 'raw-sheet'!$A$1:$ZZ$1, 0))</f>
        <v>0</v>
      </c>
      <c r="W5" s="28">
        <f t="array" ref="W5">INDEX('raw-sheet'!$A$2:$ZZ$1000, ROW(W4), MATCH(W$1, 'raw-sheet'!$A$1:$ZZ$1, 0))</f>
        <v>0</v>
      </c>
      <c r="X5" s="28">
        <f t="array" ref="X5">INDEX('raw-sheet'!$A$2:$ZZ$1000, ROW(X4), MATCH(X$1, 'raw-sheet'!$A$1:$ZZ$1, 0))</f>
        <v>0</v>
      </c>
      <c r="Y5" s="31"/>
      <c r="Z5" s="28" t="e">
        <f>VLOOKUP($A5,'raw-schema'!$A:$R,14,0)</f>
        <v>#N/A</v>
      </c>
      <c r="AA5" s="28" t="e">
        <f>VLOOKUP($A5,'raw-schema'!$A:$R,15,0)</f>
        <v>#N/A</v>
      </c>
      <c r="AB5" s="28" t="e">
        <f>VLOOKUP($A5,'raw-schema'!$A:$R,16,0)</f>
        <v>#N/A</v>
      </c>
      <c r="AC5" s="28" t="e">
        <f>VLOOKUP($A5,'raw-schema'!$A:$R,17,0)</f>
        <v>#N/A</v>
      </c>
      <c r="AD5" s="28" t="e">
        <f>VLOOKUP($A5,'raw-schema'!$A:$R,18,0)</f>
        <v>#N/A</v>
      </c>
      <c r="AE5" s="31"/>
      <c r="AF5" t="s">
        <v>59</v>
      </c>
    </row>
    <row r="6" spans="1:32" x14ac:dyDescent="0.3">
      <c r="A6" s="28" t="str">
        <f t="array" ref="A6">INDEX('raw-sheet'!$A$2:$ZZ$1000, ROW(A5), MATCH(A$1, 'raw-sheet'!$A$1:$ZZ$1, 0))</f>
        <v>https://innisfree-taiwan.myshopify.com/account/login</v>
      </c>
      <c r="B6" s="30" t="s">
        <v>11</v>
      </c>
      <c r="C6" s="28">
        <f t="array" ref="C6">INDEX('raw-sheet'!$A$2:$ZZ$1000, ROW(C5), MATCH(C$1, 'raw-sheet'!$A$1:$ZZ$1, 0))</f>
        <v>0</v>
      </c>
      <c r="D6" s="28">
        <f t="array" ref="D6">INDEX('raw-sheet'!$A$2:$ZZ$1000, ROW(D5), MATCH(D$1, 'raw-sheet'!$A$1:$ZZ$1, 0))</f>
        <v>200</v>
      </c>
      <c r="E6" s="30" t="str">
        <f t="shared" si="0"/>
        <v>Pass</v>
      </c>
      <c r="F6" s="28" t="str">
        <f t="array" ref="F6">INDEX('raw-sheet'!$A$2:$ZZ$1000, ROW(F5), MATCH(F$1, 'raw-sheet'!$A$1:$ZZ$1, 0))</f>
        <v>帳號_x000D_ | INNISFREE Taiwan</v>
      </c>
      <c r="G6" s="30" t="s">
        <v>11</v>
      </c>
      <c r="H6" s="28">
        <f t="array" ref="H6">INDEX('raw-sheet'!$A$2:$ZZ$1000, ROW(H5), MATCH(H$1, 'raw-sheet'!$A$1:$ZZ$1, 0))</f>
        <v>0</v>
      </c>
      <c r="I6" s="30" t="s">
        <v>11</v>
      </c>
      <c r="J6" s="28" t="str">
        <f t="array" ref="J6">INDEX('raw-sheet'!$A$2:$ZZ$1000, ROW(J5), MATCH(J$1, 'raw-sheet'!$A$1:$ZZ$1, 0))</f>
        <v>重設密碼</v>
      </c>
      <c r="K6" s="28" t="str">
        <f t="array" ref="K6">INDEX('raw-sheet'!$A$2:$ZZ$1000, ROW(K5), MATCH(K$1, 'raw-sheet'!$A$1:$ZZ$1, 0))</f>
        <v>2</v>
      </c>
      <c r="L6" s="30" t="s">
        <v>11</v>
      </c>
      <c r="M6" s="28" t="str">
        <f t="array" ref="M6">INDEX('raw-sheet'!$A$2:$ZZ$1000, ROW(M5), MATCH(M$1, 'raw-sheet'!$A$1:$ZZ$1, 0))</f>
        <v>https://innisfree-taiwan.myshopify.com/account/login</v>
      </c>
      <c r="N6" s="30" t="str">
        <f t="shared" si="1"/>
        <v>Pass</v>
      </c>
      <c r="O6" s="28" t="str">
        <f t="array" ref="O6">INDEX('raw-sheet'!$A$2:$ZZ$1000, ROW(O5), MATCH(O$1, 'raw-sheet'!$A$1:$ZZ$1, 0))</f>
        <v>帳號 | INNISFREE Taiwan</v>
      </c>
      <c r="P6" s="28" t="str">
        <f t="array" ref="P6">INDEX('raw-sheet'!$A$2:$ZZ$1000, ROW(P5),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6" s="28" t="str">
        <f t="array" ref="Q6">INDEX('raw-sheet'!$A$2:$ZZ$1000, ROW(Q5), MATCH(Q$1, 'raw-sheet'!$A$1:$ZZ$1, 0))</f>
        <v>website</v>
      </c>
      <c r="R6" s="28" t="str">
        <f t="array" ref="R6">INDEX('raw-sheet'!$A$2:$ZZ$1000, ROW(R5), MATCH(R$1, 'raw-sheet'!$A$1:$ZZ$1, 0))</f>
        <v>INNISFREE Taiwan</v>
      </c>
      <c r="S6" s="28" t="str">
        <f t="array" ref="S6">INDEX('raw-sheet'!$A$2:$ZZ$1000, ROW(S5), MATCH(S$1, 'raw-sheet'!$A$1:$ZZ$1, 0))</f>
        <v>http://innisfree-taiwan.myshopify.com/cdn/shop/files/logo.png?v=1767594135</v>
      </c>
      <c r="T6" s="28" t="str">
        <f t="array" ref="T6">INDEX('raw-sheet'!$A$2:$ZZ$1000, ROW(T5), MATCH(T$1, 'raw-sheet'!$A$1:$ZZ$1, 0))</f>
        <v>https://innisfree-taiwan.myshopify.com/cdn/shop/files/logo.png?v=1767594135</v>
      </c>
      <c r="U6" s="28" t="str">
        <f t="array" ref="U6">INDEX('raw-sheet'!$A$2:$ZZ$1000, ROW(U5), MATCH(U$1, 'raw-sheet'!$A$1:$ZZ$1, 0))</f>
        <v>https://innisfree-taiwan.myshopify.com/account/login</v>
      </c>
      <c r="V6" s="28" t="str">
        <f t="array" ref="V6">INDEX('raw-sheet'!$A$2:$ZZ$1000, ROW(V5), MATCH(V$1, 'raw-sheet'!$A$1:$ZZ$1, 0))</f>
        <v>帳號 | INNISFREE Taiwan</v>
      </c>
      <c r="W6" s="28" t="str">
        <f t="array" ref="W6">INDEX('raw-sheet'!$A$2:$ZZ$1000, ROW(W5),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6" s="28" t="str">
        <f t="array" ref="X6">INDEX('raw-sheet'!$A$2:$ZZ$1000, ROW(X5), MATCH(X$1, 'raw-sheet'!$A$1:$ZZ$1, 0))</f>
        <v>summary_large_image</v>
      </c>
      <c r="Y6" s="31" t="s">
        <v>11</v>
      </c>
      <c r="Z6" s="28" t="str">
        <f>VLOOKUP($A6,'raw-schema'!$A:$R,14,0)</f>
        <v>Organization</v>
      </c>
      <c r="AA6" s="28">
        <f>VLOOKUP($A6,'raw-schema'!$A:$R,15,0)</f>
        <v>0</v>
      </c>
      <c r="AB6" s="28">
        <f>VLOOKUP($A6,'raw-schema'!$A:$R,16,0)</f>
        <v>0</v>
      </c>
      <c r="AC6" s="28">
        <f>VLOOKUP($A6,'raw-schema'!$A:$R,17,0)</f>
        <v>0</v>
      </c>
      <c r="AD6" s="28">
        <f>VLOOKUP($A6,'raw-schema'!$A:$R,18,0)</f>
        <v>0</v>
      </c>
      <c r="AE6" s="30" t="s">
        <v>11</v>
      </c>
      <c r="AF6" t="s">
        <v>59</v>
      </c>
    </row>
    <row r="7" spans="1:32" x14ac:dyDescent="0.3">
      <c r="A7" s="28" t="str">
        <f t="array" ref="A7">INDEX('raw-sheet'!$A$2:$ZZ$1000, ROW(A6), MATCH(A$1, 'raw-sheet'!$A$1:$ZZ$1, 0))</f>
        <v>https://innisfree-taiwan.myshopify.com/account/login?return_url=%2Faccount</v>
      </c>
      <c r="B7" s="30" t="s">
        <v>11</v>
      </c>
      <c r="C7" s="28">
        <f t="array" ref="C7">INDEX('raw-sheet'!$A$2:$ZZ$1000, ROW(C6), MATCH(C$1, 'raw-sheet'!$A$1:$ZZ$1, 0))</f>
        <v>0</v>
      </c>
      <c r="D7" s="28">
        <f t="array" ref="D7">INDEX('raw-sheet'!$A$2:$ZZ$1000, ROW(D6), MATCH(D$1, 'raw-sheet'!$A$1:$ZZ$1, 0))</f>
        <v>200</v>
      </c>
      <c r="E7" s="30" t="str">
        <f t="shared" si="0"/>
        <v>Pass</v>
      </c>
      <c r="F7" s="28" t="str">
        <f t="array" ref="F7">INDEX('raw-sheet'!$A$2:$ZZ$1000, ROW(F6), MATCH(F$1, 'raw-sheet'!$A$1:$ZZ$1, 0))</f>
        <v>帳號_x000D_ | INNISFREE Taiwan</v>
      </c>
      <c r="G7" s="30" t="s">
        <v>11</v>
      </c>
      <c r="H7" s="28">
        <f t="array" ref="H7">INDEX('raw-sheet'!$A$2:$ZZ$1000, ROW(H6), MATCH(H$1, 'raw-sheet'!$A$1:$ZZ$1, 0))</f>
        <v>0</v>
      </c>
      <c r="I7" s="30" t="s">
        <v>11</v>
      </c>
      <c r="J7" s="28" t="str">
        <f t="array" ref="J7">INDEX('raw-sheet'!$A$2:$ZZ$1000, ROW(J6), MATCH(J$1, 'raw-sheet'!$A$1:$ZZ$1, 0))</f>
        <v>重設密碼</v>
      </c>
      <c r="K7" s="28" t="str">
        <f t="array" ref="K7">INDEX('raw-sheet'!$A$2:$ZZ$1000, ROW(K6), MATCH(K$1, 'raw-sheet'!$A$1:$ZZ$1, 0))</f>
        <v>2</v>
      </c>
      <c r="L7" s="30" t="s">
        <v>11</v>
      </c>
      <c r="M7" s="28" t="str">
        <f t="array" ref="M7">INDEX('raw-sheet'!$A$2:$ZZ$1000, ROW(M6), MATCH(M$1, 'raw-sheet'!$A$1:$ZZ$1, 0))</f>
        <v>https://innisfree-taiwan.myshopify.com/account/login</v>
      </c>
      <c r="N7" s="30" t="str">
        <f t="shared" si="1"/>
        <v>Not</v>
      </c>
      <c r="O7" s="28" t="str">
        <f t="array" ref="O7">INDEX('raw-sheet'!$A$2:$ZZ$1000, ROW(O6), MATCH(O$1, 'raw-sheet'!$A$1:$ZZ$1, 0))</f>
        <v>帳號 | INNISFREE Taiwan</v>
      </c>
      <c r="P7" s="28" t="str">
        <f t="array" ref="P7">INDEX('raw-sheet'!$A$2:$ZZ$1000, ROW(P6),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" s="28" t="str">
        <f t="array" ref="Q7">INDEX('raw-sheet'!$A$2:$ZZ$1000, ROW(Q6), MATCH(Q$1, 'raw-sheet'!$A$1:$ZZ$1, 0))</f>
        <v>website</v>
      </c>
      <c r="R7" s="28" t="str">
        <f t="array" ref="R7">INDEX('raw-sheet'!$A$2:$ZZ$1000, ROW(R6), MATCH(R$1, 'raw-sheet'!$A$1:$ZZ$1, 0))</f>
        <v>INNISFREE Taiwan</v>
      </c>
      <c r="S7" s="28" t="str">
        <f t="array" ref="S7">INDEX('raw-sheet'!$A$2:$ZZ$1000, ROW(S6), MATCH(S$1, 'raw-sheet'!$A$1:$ZZ$1, 0))</f>
        <v>http://innisfree-taiwan.myshopify.com/cdn/shop/files/logo.png?v=1767594135</v>
      </c>
      <c r="T7" s="28" t="str">
        <f t="array" ref="T7">INDEX('raw-sheet'!$A$2:$ZZ$1000, ROW(T6), MATCH(T$1, 'raw-sheet'!$A$1:$ZZ$1, 0))</f>
        <v>https://innisfree-taiwan.myshopify.com/cdn/shop/files/logo.png?v=1767594135</v>
      </c>
      <c r="U7" s="28" t="str">
        <f t="array" ref="U7">INDEX('raw-sheet'!$A$2:$ZZ$1000, ROW(U6), MATCH(U$1, 'raw-sheet'!$A$1:$ZZ$1, 0))</f>
        <v>https://innisfree-taiwan.myshopify.com/account/login</v>
      </c>
      <c r="V7" s="28" t="str">
        <f t="array" ref="V7">INDEX('raw-sheet'!$A$2:$ZZ$1000, ROW(V6), MATCH(V$1, 'raw-sheet'!$A$1:$ZZ$1, 0))</f>
        <v>帳號 | INNISFREE Taiwan</v>
      </c>
      <c r="W7" s="28" t="str">
        <f t="array" ref="W7">INDEX('raw-sheet'!$A$2:$ZZ$1000, ROW(W6),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" s="28" t="str">
        <f t="array" ref="X7">INDEX('raw-sheet'!$A$2:$ZZ$1000, ROW(X6), MATCH(X$1, 'raw-sheet'!$A$1:$ZZ$1, 0))</f>
        <v>summary_large_image</v>
      </c>
      <c r="Y7" s="30" t="s">
        <v>11</v>
      </c>
      <c r="Z7" s="28" t="str">
        <f>VLOOKUP($A7,'raw-schema'!$A:$R,14,0)</f>
        <v>Organization</v>
      </c>
      <c r="AA7" s="28">
        <f>VLOOKUP($A7,'raw-schema'!$A:$R,15,0)</f>
        <v>0</v>
      </c>
      <c r="AB7" s="28">
        <f>VLOOKUP($A7,'raw-schema'!$A:$R,16,0)</f>
        <v>0</v>
      </c>
      <c r="AC7" s="28">
        <f>VLOOKUP($A7,'raw-schema'!$A:$R,17,0)</f>
        <v>0</v>
      </c>
      <c r="AD7" s="28">
        <f>VLOOKUP($A7,'raw-schema'!$A:$R,18,0)</f>
        <v>0</v>
      </c>
      <c r="AE7" s="30" t="s">
        <v>11</v>
      </c>
      <c r="AF7" t="s">
        <v>59</v>
      </c>
    </row>
    <row r="8" spans="1:32" x14ac:dyDescent="0.3">
      <c r="A8" s="28" t="str">
        <f t="array" ref="A8">INDEX('raw-sheet'!$A$2:$ZZ$1000, ROW(A7), MATCH(A$1, 'raw-sheet'!$A$1:$ZZ$1, 0))</f>
        <v>https://innisfree-taiwan.myshopify.com/account/login?return_url=%2Faccount%2Faddresses</v>
      </c>
      <c r="B8" s="30" t="s">
        <v>11</v>
      </c>
      <c r="C8" s="28">
        <f t="array" ref="C8">INDEX('raw-sheet'!$A$2:$ZZ$1000, ROW(C7), MATCH(C$1, 'raw-sheet'!$A$1:$ZZ$1, 0))</f>
        <v>0</v>
      </c>
      <c r="D8" s="28">
        <f t="array" ref="D8">INDEX('raw-sheet'!$A$2:$ZZ$1000, ROW(D7), MATCH(D$1, 'raw-sheet'!$A$1:$ZZ$1, 0))</f>
        <v>200</v>
      </c>
      <c r="E8" s="30" t="str">
        <f t="shared" si="0"/>
        <v>Pass</v>
      </c>
      <c r="F8" s="28" t="str">
        <f t="array" ref="F8">INDEX('raw-sheet'!$A$2:$ZZ$1000, ROW(F7), MATCH(F$1, 'raw-sheet'!$A$1:$ZZ$1, 0))</f>
        <v>帳號_x000D_ | INNISFREE Taiwan</v>
      </c>
      <c r="G8" s="30" t="s">
        <v>11</v>
      </c>
      <c r="H8" s="28">
        <f t="array" ref="H8">INDEX('raw-sheet'!$A$2:$ZZ$1000, ROW(H7), MATCH(H$1, 'raw-sheet'!$A$1:$ZZ$1, 0))</f>
        <v>0</v>
      </c>
      <c r="I8" s="30" t="s">
        <v>11</v>
      </c>
      <c r="J8" s="28" t="str">
        <f t="array" ref="J8">INDEX('raw-sheet'!$A$2:$ZZ$1000, ROW(J7), MATCH(J$1, 'raw-sheet'!$A$1:$ZZ$1, 0))</f>
        <v>重設密碼</v>
      </c>
      <c r="K8" s="28" t="str">
        <f t="array" ref="K8">INDEX('raw-sheet'!$A$2:$ZZ$1000, ROW(K7), MATCH(K$1, 'raw-sheet'!$A$1:$ZZ$1, 0))</f>
        <v>2</v>
      </c>
      <c r="L8" s="30" t="s">
        <v>11</v>
      </c>
      <c r="M8" s="28" t="str">
        <f t="array" ref="M8">INDEX('raw-sheet'!$A$2:$ZZ$1000, ROW(M7), MATCH(M$1, 'raw-sheet'!$A$1:$ZZ$1, 0))</f>
        <v>https://innisfree-taiwan.myshopify.com/account/login</v>
      </c>
      <c r="N8" s="30" t="str">
        <f t="shared" si="1"/>
        <v>Not</v>
      </c>
      <c r="O8" s="28" t="str">
        <f t="array" ref="O8">INDEX('raw-sheet'!$A$2:$ZZ$1000, ROW(O7), MATCH(O$1, 'raw-sheet'!$A$1:$ZZ$1, 0))</f>
        <v>帳號 | INNISFREE Taiwan</v>
      </c>
      <c r="P8" s="28" t="str">
        <f t="array" ref="P8">INDEX('raw-sheet'!$A$2:$ZZ$1000, ROW(P7),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" s="28" t="str">
        <f t="array" ref="Q8">INDEX('raw-sheet'!$A$2:$ZZ$1000, ROW(Q7), MATCH(Q$1, 'raw-sheet'!$A$1:$ZZ$1, 0))</f>
        <v>website</v>
      </c>
      <c r="R8" s="28" t="str">
        <f t="array" ref="R8">INDEX('raw-sheet'!$A$2:$ZZ$1000, ROW(R7), MATCH(R$1, 'raw-sheet'!$A$1:$ZZ$1, 0))</f>
        <v>INNISFREE Taiwan</v>
      </c>
      <c r="S8" s="28" t="str">
        <f t="array" ref="S8">INDEX('raw-sheet'!$A$2:$ZZ$1000, ROW(S7), MATCH(S$1, 'raw-sheet'!$A$1:$ZZ$1, 0))</f>
        <v>http://innisfree-taiwan.myshopify.com/cdn/shop/files/logo.png?v=1767594135</v>
      </c>
      <c r="T8" s="28" t="str">
        <f t="array" ref="T8">INDEX('raw-sheet'!$A$2:$ZZ$1000, ROW(T7), MATCH(T$1, 'raw-sheet'!$A$1:$ZZ$1, 0))</f>
        <v>https://innisfree-taiwan.myshopify.com/cdn/shop/files/logo.png?v=1767594135</v>
      </c>
      <c r="U8" s="28" t="str">
        <f t="array" ref="U8">INDEX('raw-sheet'!$A$2:$ZZ$1000, ROW(U7), MATCH(U$1, 'raw-sheet'!$A$1:$ZZ$1, 0))</f>
        <v>https://innisfree-taiwan.myshopify.com/account/login</v>
      </c>
      <c r="V8" s="28" t="str">
        <f t="array" ref="V8">INDEX('raw-sheet'!$A$2:$ZZ$1000, ROW(V7), MATCH(V$1, 'raw-sheet'!$A$1:$ZZ$1, 0))</f>
        <v>帳號 | INNISFREE Taiwan</v>
      </c>
      <c r="W8" s="28" t="str">
        <f t="array" ref="W8">INDEX('raw-sheet'!$A$2:$ZZ$1000, ROW(W7),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" s="28" t="str">
        <f t="array" ref="X8">INDEX('raw-sheet'!$A$2:$ZZ$1000, ROW(X7), MATCH(X$1, 'raw-sheet'!$A$1:$ZZ$1, 0))</f>
        <v>summary_large_image</v>
      </c>
      <c r="Y8" s="31" t="s">
        <v>11</v>
      </c>
      <c r="Z8" s="28" t="str">
        <f>VLOOKUP($A8,'raw-schema'!$A:$R,14,0)</f>
        <v>Organization</v>
      </c>
      <c r="AA8" s="28">
        <f>VLOOKUP($A8,'raw-schema'!$A:$R,15,0)</f>
        <v>0</v>
      </c>
      <c r="AB8" s="28">
        <f>VLOOKUP($A8,'raw-schema'!$A:$R,16,0)</f>
        <v>0</v>
      </c>
      <c r="AC8" s="28">
        <f>VLOOKUP($A8,'raw-schema'!$A:$R,17,0)</f>
        <v>0</v>
      </c>
      <c r="AD8" s="28">
        <f>VLOOKUP($A8,'raw-schema'!$A:$R,18,0)</f>
        <v>0</v>
      </c>
      <c r="AE8" s="30" t="s">
        <v>11</v>
      </c>
      <c r="AF8" t="s">
        <v>59</v>
      </c>
    </row>
    <row r="9" spans="1:32" x14ac:dyDescent="0.3">
      <c r="A9" s="28" t="str">
        <f t="array" ref="A9">INDEX('raw-sheet'!$A$2:$ZZ$1000, ROW(A8), MATCH(A$1, 'raw-sheet'!$A$1:$ZZ$1, 0))</f>
        <v>https://innisfree-taiwan.myshopify.com/account/register</v>
      </c>
      <c r="B9" s="30" t="s">
        <v>11</v>
      </c>
      <c r="C9" s="28">
        <f t="array" ref="C9">INDEX('raw-sheet'!$A$2:$ZZ$1000, ROW(C8), MATCH(C$1, 'raw-sheet'!$A$1:$ZZ$1, 0))</f>
        <v>0</v>
      </c>
      <c r="D9" s="28">
        <f t="array" ref="D9">INDEX('raw-sheet'!$A$2:$ZZ$1000, ROW(D8), MATCH(D$1, 'raw-sheet'!$A$1:$ZZ$1, 0))</f>
        <v>200</v>
      </c>
      <c r="E9" s="30" t="str">
        <f t="shared" si="0"/>
        <v>Pass</v>
      </c>
      <c r="F9" s="28" t="str">
        <f t="array" ref="F9">INDEX('raw-sheet'!$A$2:$ZZ$1000, ROW(F8), MATCH(F$1, 'raw-sheet'!$A$1:$ZZ$1, 0))</f>
        <v>建立帳號_x000D_ | INNISFREE Taiwan</v>
      </c>
      <c r="G9" s="30" t="s">
        <v>11</v>
      </c>
      <c r="H9" s="28">
        <f t="array" ref="H9">INDEX('raw-sheet'!$A$2:$ZZ$1000, ROW(H8), MATCH(H$1, 'raw-sheet'!$A$1:$ZZ$1, 0))</f>
        <v>0</v>
      </c>
      <c r="I9" s="30" t="s">
        <v>11</v>
      </c>
      <c r="J9" s="28" t="str">
        <f t="array" ref="J9">INDEX('raw-sheet'!$A$2:$ZZ$1000, ROW(J8), MATCH(J$1, 'raw-sheet'!$A$1:$ZZ$1, 0))</f>
        <v>註冊</v>
      </c>
      <c r="K9" s="28" t="str">
        <f t="array" ref="K9">INDEX('raw-sheet'!$A$2:$ZZ$1000, ROW(K8), MATCH(K$1, 'raw-sheet'!$A$1:$ZZ$1, 0))</f>
        <v>1</v>
      </c>
      <c r="L9" s="30" t="s">
        <v>11</v>
      </c>
      <c r="M9" s="28" t="str">
        <f t="array" ref="M9">INDEX('raw-sheet'!$A$2:$ZZ$1000, ROW(M8), MATCH(M$1, 'raw-sheet'!$A$1:$ZZ$1, 0))</f>
        <v>https://innisfree-taiwan.myshopify.com/account/register</v>
      </c>
      <c r="N9" s="30" t="str">
        <f t="shared" si="1"/>
        <v>Pass</v>
      </c>
      <c r="O9" s="28" t="str">
        <f t="array" ref="O9">INDEX('raw-sheet'!$A$2:$ZZ$1000, ROW(O8), MATCH(O$1, 'raw-sheet'!$A$1:$ZZ$1, 0))</f>
        <v>建立帳號 | INNISFREE Taiwan</v>
      </c>
      <c r="P9" s="28" t="str">
        <f t="array" ref="P9">INDEX('raw-sheet'!$A$2:$ZZ$1000, ROW(P8),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" s="28" t="str">
        <f t="array" ref="Q9">INDEX('raw-sheet'!$A$2:$ZZ$1000, ROW(Q8), MATCH(Q$1, 'raw-sheet'!$A$1:$ZZ$1, 0))</f>
        <v>website</v>
      </c>
      <c r="R9" s="28" t="str">
        <f t="array" ref="R9">INDEX('raw-sheet'!$A$2:$ZZ$1000, ROW(R8), MATCH(R$1, 'raw-sheet'!$A$1:$ZZ$1, 0))</f>
        <v>INNISFREE Taiwan</v>
      </c>
      <c r="S9" s="28" t="str">
        <f t="array" ref="S9">INDEX('raw-sheet'!$A$2:$ZZ$1000, ROW(S8), MATCH(S$1, 'raw-sheet'!$A$1:$ZZ$1, 0))</f>
        <v>http://innisfree-taiwan.myshopify.com/cdn/shop/files/logo.png?v=1767594135</v>
      </c>
      <c r="T9" s="28" t="str">
        <f t="array" ref="T9">INDEX('raw-sheet'!$A$2:$ZZ$1000, ROW(T8), MATCH(T$1, 'raw-sheet'!$A$1:$ZZ$1, 0))</f>
        <v>https://innisfree-taiwan.myshopify.com/cdn/shop/files/logo.png?v=1767594135</v>
      </c>
      <c r="U9" s="28" t="str">
        <f t="array" ref="U9">INDEX('raw-sheet'!$A$2:$ZZ$1000, ROW(U8), MATCH(U$1, 'raw-sheet'!$A$1:$ZZ$1, 0))</f>
        <v>https://innisfree-taiwan.myshopify.com/account/register</v>
      </c>
      <c r="V9" s="28" t="str">
        <f t="array" ref="V9">INDEX('raw-sheet'!$A$2:$ZZ$1000, ROW(V8), MATCH(V$1, 'raw-sheet'!$A$1:$ZZ$1, 0))</f>
        <v>建立帳號 | INNISFREE Taiwan</v>
      </c>
      <c r="W9" s="28" t="str">
        <f t="array" ref="W9">INDEX('raw-sheet'!$A$2:$ZZ$1000, ROW(W8),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" s="28" t="str">
        <f t="array" ref="X9">INDEX('raw-sheet'!$A$2:$ZZ$1000, ROW(X8), MATCH(X$1, 'raw-sheet'!$A$1:$ZZ$1, 0))</f>
        <v>summary_large_image</v>
      </c>
      <c r="Y9" s="30" t="s">
        <v>11</v>
      </c>
      <c r="Z9" s="28" t="str">
        <f>VLOOKUP($A9,'raw-schema'!$A:$R,14,0)</f>
        <v>Organization</v>
      </c>
      <c r="AA9" s="28">
        <f>VLOOKUP($A9,'raw-schema'!$A:$R,15,0)</f>
        <v>0</v>
      </c>
      <c r="AB9" s="28">
        <f>VLOOKUP($A9,'raw-schema'!$A:$R,16,0)</f>
        <v>0</v>
      </c>
      <c r="AC9" s="28">
        <f>VLOOKUP($A9,'raw-schema'!$A:$R,17,0)</f>
        <v>0</v>
      </c>
      <c r="AD9" s="28">
        <f>VLOOKUP($A9,'raw-schema'!$A:$R,18,0)</f>
        <v>0</v>
      </c>
      <c r="AE9" s="30" t="s">
        <v>11</v>
      </c>
      <c r="AF9" t="s">
        <v>59</v>
      </c>
    </row>
    <row r="10" spans="1:32" ht="22.5" x14ac:dyDescent="0.3">
      <c r="A10" s="28" t="str">
        <f t="array" ref="A10">INDEX('raw-sheet'!$A$2:$ZZ$1000, ROW(A9), MATCH(A$1, 'raw-sheet'!$A$1:$ZZ$1, 0))</f>
        <v>https://innisfree-taiwan.myshopify.com/blogs/event</v>
      </c>
      <c r="B10" s="30" t="s">
        <v>11</v>
      </c>
      <c r="C10" s="28" t="str">
        <f t="array" ref="C10">INDEX('raw-sheet'!$A$2:$ZZ$1000, ROW(C9), MATCH(C$1, 'raw-sheet'!$A$1:$ZZ$1, 0))</f>
        <v>Blog Page</v>
      </c>
      <c r="D10" s="28">
        <f t="array" ref="D10">INDEX('raw-sheet'!$A$2:$ZZ$1000, ROW(D9), MATCH(D$1, 'raw-sheet'!$A$1:$ZZ$1, 0))</f>
        <v>200</v>
      </c>
      <c r="E10" s="30" t="str">
        <f t="shared" si="0"/>
        <v>Pass</v>
      </c>
      <c r="F10" s="28" t="str">
        <f t="array" ref="F10">INDEX('raw-sheet'!$A$2:$ZZ$1000, ROW(F9), MATCH(F$1, 'raw-sheet'!$A$1:$ZZ$1, 0))</f>
        <v>活動_x000D_ | INNISFREE Taiwan</v>
      </c>
      <c r="G10" s="30" t="s">
        <v>60</v>
      </c>
      <c r="H10" s="28">
        <f t="array" ref="H10">INDEX('raw-sheet'!$A$2:$ZZ$1000, ROW(H9), MATCH(H$1, 'raw-sheet'!$A$1:$ZZ$1, 0))</f>
        <v>0</v>
      </c>
      <c r="I10" s="30" t="s">
        <v>61</v>
      </c>
      <c r="J10" s="28" t="str">
        <f t="array" ref="J10">INDEX('raw-sheet'!$A$2:$ZZ$1000, ROW(J9), MATCH(J$1, 'raw-sheet'!$A$1:$ZZ$1, 0))</f>
        <v>活動</v>
      </c>
      <c r="K10" s="28" t="str">
        <f t="array" ref="K10">INDEX('raw-sheet'!$A$2:$ZZ$1000, ROW(K9), MATCH(K$1, 'raw-sheet'!$A$1:$ZZ$1, 0))</f>
        <v>1</v>
      </c>
      <c r="L10" s="30" t="s">
        <v>60</v>
      </c>
      <c r="M10" s="28" t="str">
        <f t="array" ref="M10">INDEX('raw-sheet'!$A$2:$ZZ$1000, ROW(M9), MATCH(M$1, 'raw-sheet'!$A$1:$ZZ$1, 0))</f>
        <v>https://innisfree-taiwan.myshopify.com/blogs/event</v>
      </c>
      <c r="N10" s="30" t="str">
        <f t="shared" si="1"/>
        <v>Pass</v>
      </c>
      <c r="O10" s="28" t="str">
        <f t="array" ref="O10">INDEX('raw-sheet'!$A$2:$ZZ$1000, ROW(O9), MATCH(O$1, 'raw-sheet'!$A$1:$ZZ$1, 0))</f>
        <v>活動 | INNISFREE Taiwan</v>
      </c>
      <c r="P10" s="28" t="str">
        <f t="array" ref="P10">INDEX('raw-sheet'!$A$2:$ZZ$1000, ROW(P9),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" s="28" t="str">
        <f t="array" ref="Q10">INDEX('raw-sheet'!$A$2:$ZZ$1000, ROW(Q9), MATCH(Q$1, 'raw-sheet'!$A$1:$ZZ$1, 0))</f>
        <v>website</v>
      </c>
      <c r="R10" s="28" t="str">
        <f t="array" ref="R10">INDEX('raw-sheet'!$A$2:$ZZ$1000, ROW(R9), MATCH(R$1, 'raw-sheet'!$A$1:$ZZ$1, 0))</f>
        <v>INNISFREE Taiwan</v>
      </c>
      <c r="S10" s="28" t="str">
        <f t="array" ref="S10">INDEX('raw-sheet'!$A$2:$ZZ$1000, ROW(S9), MATCH(S$1, 'raw-sheet'!$A$1:$ZZ$1, 0))</f>
        <v>http://innisfree-taiwan.myshopify.com/cdn/shop/files/logo.png?v=1767594135</v>
      </c>
      <c r="T10" s="28" t="str">
        <f t="array" ref="T10">INDEX('raw-sheet'!$A$2:$ZZ$1000, ROW(T9), MATCH(T$1, 'raw-sheet'!$A$1:$ZZ$1, 0))</f>
        <v>https://innisfree-taiwan.myshopify.com/cdn/shop/files/logo.png?v=1767594135</v>
      </c>
      <c r="U10" s="28" t="str">
        <f t="array" ref="U10">INDEX('raw-sheet'!$A$2:$ZZ$1000, ROW(U9), MATCH(U$1, 'raw-sheet'!$A$1:$ZZ$1, 0))</f>
        <v>https://innisfree-taiwan.myshopify.com/blogs/event</v>
      </c>
      <c r="V10" s="28" t="str">
        <f t="array" ref="V10">INDEX('raw-sheet'!$A$2:$ZZ$1000, ROW(V9), MATCH(V$1, 'raw-sheet'!$A$1:$ZZ$1, 0))</f>
        <v>活動 | INNISFREE Taiwan</v>
      </c>
      <c r="W10" s="28" t="str">
        <f t="array" ref="W10">INDEX('raw-sheet'!$A$2:$ZZ$1000, ROW(W9),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" s="28" t="str">
        <f t="array" ref="X10">INDEX('raw-sheet'!$A$2:$ZZ$1000, ROW(X9), MATCH(X$1, 'raw-sheet'!$A$1:$ZZ$1, 0))</f>
        <v>summary_large_image</v>
      </c>
      <c r="Y10" s="31" t="s">
        <v>62</v>
      </c>
      <c r="Z10" s="28" t="str">
        <f>VLOOKUP($A10,'raw-schema'!$A:$R,14,0)</f>
        <v>Organization</v>
      </c>
      <c r="AA10" s="28">
        <f>VLOOKUP($A10,'raw-schema'!$A:$R,15,0)</f>
        <v>0</v>
      </c>
      <c r="AB10" s="28">
        <f>VLOOKUP($A10,'raw-schema'!$A:$R,16,0)</f>
        <v>0</v>
      </c>
      <c r="AC10" s="28">
        <f>VLOOKUP($A10,'raw-schema'!$A:$R,17,0)</f>
        <v>0</v>
      </c>
      <c r="AD10" s="28">
        <f>VLOOKUP($A10,'raw-schema'!$A:$R,18,0)</f>
        <v>0</v>
      </c>
      <c r="AE10" s="30" t="s">
        <v>63</v>
      </c>
    </row>
    <row r="11" spans="1:32" x14ac:dyDescent="0.3">
      <c r="A11" s="28" t="str">
        <f t="array" ref="A11">INDEX('raw-sheet'!$A$2:$ZZ$1000, ROW(A10), MATCH(A$1, 'raw-sheet'!$A$1:$ZZ$1, 0))</f>
        <v>https://innisfree-taiwan.myshopify.com/blogs/event/gift-set_event-list</v>
      </c>
      <c r="B11" s="30" t="s">
        <v>64</v>
      </c>
      <c r="C11" s="28" t="str">
        <f t="array" ref="C11">INDEX('raw-sheet'!$A$2:$ZZ$1000, ROW(C10), MATCH(C$1, 'raw-sheet'!$A$1:$ZZ$1, 0))</f>
        <v>Blog Page</v>
      </c>
      <c r="D11" s="28">
        <f t="array" ref="D11">INDEX('raw-sheet'!$A$2:$ZZ$1000, ROW(D10), MATCH(D$1, 'raw-sheet'!$A$1:$ZZ$1, 0))</f>
        <v>200</v>
      </c>
      <c r="E11" s="30" t="str">
        <f t="shared" si="0"/>
        <v>Pass</v>
      </c>
      <c r="F11" s="28" t="str">
        <f t="array" ref="F11">INDEX('raw-sheet'!$A$2:$ZZ$1000, ROW(F10), MATCH(F$1, 'raw-sheet'!$A$1:$ZZ$1, 0))</f>
        <v>Gift set_Event List_x000D_ | INNISFREE Taiwan</v>
      </c>
      <c r="G11" s="30" t="s">
        <v>11</v>
      </c>
      <c r="H11" s="28">
        <f t="array" ref="H11">INDEX('raw-sheet'!$A$2:$ZZ$1000, ROW(H10), MATCH(H$1, 'raw-sheet'!$A$1:$ZZ$1, 0))</f>
        <v>0</v>
      </c>
      <c r="I11" s="30" t="s">
        <v>61</v>
      </c>
      <c r="J11" s="28" t="str">
        <f t="array" ref="J11">INDEX('raw-sheet'!$A$2:$ZZ$1000, ROW(J10), MATCH(J$1, 'raw-sheet'!$A$1:$ZZ$1, 0))</f>
        <v>Gift set_Event List</v>
      </c>
      <c r="K11" s="28" t="str">
        <f t="array" ref="K11">INDEX('raw-sheet'!$A$2:$ZZ$1000, ROW(K10), MATCH(K$1, 'raw-sheet'!$A$1:$ZZ$1, 0))</f>
        <v>1</v>
      </c>
      <c r="L11" s="30" t="s">
        <v>11</v>
      </c>
      <c r="M11" s="28" t="str">
        <f t="array" ref="M11">INDEX('raw-sheet'!$A$2:$ZZ$1000, ROW(M10), MATCH(M$1, 'raw-sheet'!$A$1:$ZZ$1, 0))</f>
        <v>https://innisfree-taiwan.myshopify.com/blogs/event/gift-set_event-list</v>
      </c>
      <c r="N11" s="30" t="str">
        <f t="shared" si="1"/>
        <v>Pass</v>
      </c>
      <c r="O11" s="28" t="str">
        <f t="array" ref="O11">INDEX('raw-sheet'!$A$2:$ZZ$1000, ROW(O10), MATCH(O$1, 'raw-sheet'!$A$1:$ZZ$1, 0))</f>
        <v>Gift set_Event List | INNISFREE Taiwan</v>
      </c>
      <c r="P11" s="28" t="str">
        <f t="array" ref="P11">INDEX('raw-sheet'!$A$2:$ZZ$1000, ROW(P10),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" s="28" t="str">
        <f t="array" ref="Q11">INDEX('raw-sheet'!$A$2:$ZZ$1000, ROW(Q10), MATCH(Q$1, 'raw-sheet'!$A$1:$ZZ$1, 0))</f>
        <v>article</v>
      </c>
      <c r="R11" s="28" t="str">
        <f t="array" ref="R11">INDEX('raw-sheet'!$A$2:$ZZ$1000, ROW(R10), MATCH(R$1, 'raw-sheet'!$A$1:$ZZ$1, 0))</f>
        <v>INNISFREE Taiwan</v>
      </c>
      <c r="S11" s="28" t="str">
        <f t="array" ref="S11">INDEX('raw-sheet'!$A$2:$ZZ$1000, ROW(S10), MATCH(S$1, 'raw-sheet'!$A$1:$ZZ$1, 0))</f>
        <v>http://innisfree-taiwan.myshopify.com/cdn/shop/articles/Gift_set_Event_List_PC__963x600_1256ad40-bdd5-472a-99dd-26407920d6ec.jpg?v=1770101796</v>
      </c>
      <c r="T11" s="28" t="str">
        <f t="array" ref="T11">INDEX('raw-sheet'!$A$2:$ZZ$1000, ROW(T10), MATCH(T$1, 'raw-sheet'!$A$1:$ZZ$1, 0))</f>
        <v>https://innisfree-taiwan.myshopify.com/cdn/shop/articles/Gift_set_Event_List_PC__963x600_1256ad40-bdd5-472a-99dd-26407920d6ec.jpg?v=1770101796</v>
      </c>
      <c r="U11" s="28" t="str">
        <f t="array" ref="U11">INDEX('raw-sheet'!$A$2:$ZZ$1000, ROW(U10), MATCH(U$1, 'raw-sheet'!$A$1:$ZZ$1, 0))</f>
        <v>https://innisfree-taiwan.myshopify.com/blogs/event/gift-set_event-list</v>
      </c>
      <c r="V11" s="28" t="str">
        <f t="array" ref="V11">INDEX('raw-sheet'!$A$2:$ZZ$1000, ROW(V10), MATCH(V$1, 'raw-sheet'!$A$1:$ZZ$1, 0))</f>
        <v>Gift set_Event List | INNISFREE Taiwan</v>
      </c>
      <c r="W11" s="28" t="str">
        <f t="array" ref="W11">INDEX('raw-sheet'!$A$2:$ZZ$1000, ROW(W10),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" s="28" t="str">
        <f t="array" ref="X11">INDEX('raw-sheet'!$A$2:$ZZ$1000, ROW(X10), MATCH(X$1, 'raw-sheet'!$A$1:$ZZ$1, 0))</f>
        <v>summary_large_image</v>
      </c>
      <c r="Y11" s="30" t="s">
        <v>56</v>
      </c>
      <c r="Z11" s="28" t="str">
        <f>VLOOKUP($A11,'raw-schema'!$A:$R,14,0)</f>
        <v>Article</v>
      </c>
      <c r="AA11" s="28" t="str">
        <f>VLOOKUP($A11,'raw-schema'!$A:$R,15,0)</f>
        <v>Organization</v>
      </c>
      <c r="AB11" s="28" t="str">
        <f>VLOOKUP($A11,'raw-schema'!$A:$R,16,0)</f>
        <v>Person</v>
      </c>
      <c r="AC11" s="28" t="str">
        <f>VLOOKUP($A11,'raw-schema'!$A:$R,17,0)</f>
        <v>WebPage</v>
      </c>
      <c r="AD11" s="28">
        <f>VLOOKUP($A11,'raw-schema'!$A:$R,18,0)</f>
        <v>0</v>
      </c>
      <c r="AE11" s="31" t="s">
        <v>63</v>
      </c>
    </row>
    <row r="12" spans="1:32" x14ac:dyDescent="0.3">
      <c r="A12" s="28" t="str">
        <f t="array" ref="A12">INDEX('raw-sheet'!$A$2:$ZZ$1000, ROW(A11), MATCH(A$1, 'raw-sheet'!$A$1:$ZZ$1, 0))</f>
        <v>https://innisfree-taiwan.myshopify.com/blogs/event/leave-a-review-and-get-a-free-face-mask</v>
      </c>
      <c r="B12" s="30" t="s">
        <v>11</v>
      </c>
      <c r="C12" s="28" t="str">
        <f t="array" ref="C12">INDEX('raw-sheet'!$A$2:$ZZ$1000, ROW(C11), MATCH(C$1, 'raw-sheet'!$A$1:$ZZ$1, 0))</f>
        <v>Blog Page</v>
      </c>
      <c r="D12" s="28">
        <f t="array" ref="D12">INDEX('raw-sheet'!$A$2:$ZZ$1000, ROW(D11), MATCH(D$1, 'raw-sheet'!$A$1:$ZZ$1, 0))</f>
        <v>200</v>
      </c>
      <c r="E12" s="30" t="str">
        <f t="shared" si="0"/>
        <v>Pass</v>
      </c>
      <c r="F12" s="28" t="str">
        <f t="array" ref="F12">INDEX('raw-sheet'!$A$2:$ZZ$1000, ROW(F11), MATCH(F$1, 'raw-sheet'!$A$1:$ZZ$1, 0))</f>
        <v>填心得 領面膜！_x000D_ | INNISFREE Taiwan</v>
      </c>
      <c r="G12" s="30" t="s">
        <v>11</v>
      </c>
      <c r="H12" s="28">
        <f t="array" ref="H12">INDEX('raw-sheet'!$A$2:$ZZ$1000, ROW(H11), MATCH(H$1, 'raw-sheet'!$A$1:$ZZ$1, 0))</f>
        <v>0</v>
      </c>
      <c r="I12" s="30" t="s">
        <v>61</v>
      </c>
      <c r="J12" s="28" t="str">
        <f t="array" ref="J12">INDEX('raw-sheet'!$A$2:$ZZ$1000, ROW(J11), MATCH(J$1, 'raw-sheet'!$A$1:$ZZ$1, 0))</f>
        <v>填心得 領面膜！</v>
      </c>
      <c r="K12" s="28" t="str">
        <f t="array" ref="K12">INDEX('raw-sheet'!$A$2:$ZZ$1000, ROW(K11), MATCH(K$1, 'raw-sheet'!$A$1:$ZZ$1, 0))</f>
        <v>1</v>
      </c>
      <c r="L12" s="30" t="s">
        <v>11</v>
      </c>
      <c r="M12" s="28" t="str">
        <f t="array" ref="M12">INDEX('raw-sheet'!$A$2:$ZZ$1000, ROW(M11), MATCH(M$1, 'raw-sheet'!$A$1:$ZZ$1, 0))</f>
        <v>https://innisfree-taiwan.myshopify.com/blogs/event/leave-a-review-and-get-a-free-face-mask</v>
      </c>
      <c r="N12" s="30" t="str">
        <f t="shared" si="1"/>
        <v>Pass</v>
      </c>
      <c r="O12" s="28" t="str">
        <f t="array" ref="O12">INDEX('raw-sheet'!$A$2:$ZZ$1000, ROW(O11), MATCH(O$1, 'raw-sheet'!$A$1:$ZZ$1, 0))</f>
        <v>填心得 領面膜！ | INNISFREE Taiwan</v>
      </c>
      <c r="P12" s="28" t="str">
        <f t="array" ref="P12">INDEX('raw-sheet'!$A$2:$ZZ$1000, ROW(P11),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" s="28" t="str">
        <f t="array" ref="Q12">INDEX('raw-sheet'!$A$2:$ZZ$1000, ROW(Q11), MATCH(Q$1, 'raw-sheet'!$A$1:$ZZ$1, 0))</f>
        <v>article</v>
      </c>
      <c r="R12" s="28" t="str">
        <f t="array" ref="R12">INDEX('raw-sheet'!$A$2:$ZZ$1000, ROW(R11), MATCH(R$1, 'raw-sheet'!$A$1:$ZZ$1, 0))</f>
        <v>INNISFREE Taiwan</v>
      </c>
      <c r="S12" s="28" t="str">
        <f t="array" ref="S12">INDEX('raw-sheet'!$A$2:$ZZ$1000, ROW(S11), MATCH(S$1, 'raw-sheet'!$A$1:$ZZ$1, 0))</f>
        <v>http://innisfree-taiwan.myshopify.com/cdn/shop/articles/377_EV0102_attimg_origin_a54ebf7e-6a2b-4bb2-a2d0-aeee77f64cd7.jpg?v=1769748350</v>
      </c>
      <c r="T12" s="28" t="str">
        <f t="array" ref="T12">INDEX('raw-sheet'!$A$2:$ZZ$1000, ROW(T11), MATCH(T$1, 'raw-sheet'!$A$1:$ZZ$1, 0))</f>
        <v>https://innisfree-taiwan.myshopify.com/cdn/shop/articles/377_EV0102_attimg_origin_a54ebf7e-6a2b-4bb2-a2d0-aeee77f64cd7.jpg?v=1769748350</v>
      </c>
      <c r="U12" s="28" t="str">
        <f t="array" ref="U12">INDEX('raw-sheet'!$A$2:$ZZ$1000, ROW(U11), MATCH(U$1, 'raw-sheet'!$A$1:$ZZ$1, 0))</f>
        <v>https://innisfree-taiwan.myshopify.com/blogs/event/leave-a-review-and-get-a-free-face-mask</v>
      </c>
      <c r="V12" s="28" t="str">
        <f t="array" ref="V12">INDEX('raw-sheet'!$A$2:$ZZ$1000, ROW(V11), MATCH(V$1, 'raw-sheet'!$A$1:$ZZ$1, 0))</f>
        <v>填心得 領面膜！ | INNISFREE Taiwan</v>
      </c>
      <c r="W12" s="28" t="str">
        <f t="array" ref="W12">INDEX('raw-sheet'!$A$2:$ZZ$1000, ROW(W11),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" s="28" t="str">
        <f t="array" ref="X12">INDEX('raw-sheet'!$A$2:$ZZ$1000, ROW(X11), MATCH(X$1, 'raw-sheet'!$A$1:$ZZ$1, 0))</f>
        <v>summary_large_image</v>
      </c>
      <c r="Y12" s="30" t="s">
        <v>56</v>
      </c>
      <c r="Z12" s="28" t="str">
        <f>VLOOKUP($A12,'raw-schema'!$A:$R,14,0)</f>
        <v>Article</v>
      </c>
      <c r="AA12" s="28" t="str">
        <f>VLOOKUP($A12,'raw-schema'!$A:$R,15,0)</f>
        <v>Organization</v>
      </c>
      <c r="AB12" s="28" t="str">
        <f>VLOOKUP($A12,'raw-schema'!$A:$R,16,0)</f>
        <v>Person</v>
      </c>
      <c r="AC12" s="28" t="str">
        <f>VLOOKUP($A12,'raw-schema'!$A:$R,17,0)</f>
        <v>WebPage</v>
      </c>
      <c r="AD12" s="28">
        <f>VLOOKUP($A12,'raw-schema'!$A:$R,18,0)</f>
        <v>0</v>
      </c>
      <c r="AE12" s="31" t="s">
        <v>63</v>
      </c>
    </row>
    <row r="13" spans="1:32" x14ac:dyDescent="0.3">
      <c r="A13" s="28" t="str">
        <f t="array" ref="A13">INDEX('raw-sheet'!$A$2:$ZZ$1000, ROW(A12), MATCH(A$1, 'raw-sheet'!$A$1:$ZZ$1, 0))</f>
        <v>https://innisfree-taiwan.myshopify.com/blogs/event/monthly-vip-exclusive-offers</v>
      </c>
      <c r="B13" s="30" t="s">
        <v>11</v>
      </c>
      <c r="C13" s="28" t="str">
        <f t="array" ref="C13">INDEX('raw-sheet'!$A$2:$ZZ$1000, ROW(C12), MATCH(C$1, 'raw-sheet'!$A$1:$ZZ$1, 0))</f>
        <v>Blog Page</v>
      </c>
      <c r="D13" s="28">
        <f t="array" ref="D13">INDEX('raw-sheet'!$A$2:$ZZ$1000, ROW(D12), MATCH(D$1, 'raw-sheet'!$A$1:$ZZ$1, 0))</f>
        <v>200</v>
      </c>
      <c r="E13" s="30" t="str">
        <f t="shared" si="0"/>
        <v>Pass</v>
      </c>
      <c r="F13" s="28" t="str">
        <f t="array" ref="F13">INDEX('raw-sheet'!$A$2:$ZZ$1000, ROW(F12), MATCH(F$1, 'raw-sheet'!$A$1:$ZZ$1, 0))</f>
        <v>👑每月VIP專屬優惠👑_x000D_ | INNISFREE Taiwan</v>
      </c>
      <c r="G13" s="30" t="s">
        <v>11</v>
      </c>
      <c r="H13" s="28">
        <f t="array" ref="H13">INDEX('raw-sheet'!$A$2:$ZZ$1000, ROW(H12), MATCH(H$1, 'raw-sheet'!$A$1:$ZZ$1, 0))</f>
        <v>0</v>
      </c>
      <c r="I13" s="30" t="s">
        <v>61</v>
      </c>
      <c r="J13" s="28" t="str">
        <f t="array" ref="J13">INDEX('raw-sheet'!$A$2:$ZZ$1000, ROW(J12), MATCH(J$1, 'raw-sheet'!$A$1:$ZZ$1, 0))</f>
        <v>👑每月VIP專屬優惠👑</v>
      </c>
      <c r="K13" s="28" t="str">
        <f t="array" ref="K13">INDEX('raw-sheet'!$A$2:$ZZ$1000, ROW(K12), MATCH(K$1, 'raw-sheet'!$A$1:$ZZ$1, 0))</f>
        <v>1</v>
      </c>
      <c r="L13" s="30" t="s">
        <v>11</v>
      </c>
      <c r="M13" s="28" t="str">
        <f t="array" ref="M13">INDEX('raw-sheet'!$A$2:$ZZ$1000, ROW(M12), MATCH(M$1, 'raw-sheet'!$A$1:$ZZ$1, 0))</f>
        <v>https://innisfree-taiwan.myshopify.com/blogs/event/monthly-vip-exclusive-offers</v>
      </c>
      <c r="N13" s="30" t="str">
        <f t="shared" si="1"/>
        <v>Pass</v>
      </c>
      <c r="O13" s="28" t="str">
        <f t="array" ref="O13">INDEX('raw-sheet'!$A$2:$ZZ$1000, ROW(O12), MATCH(O$1, 'raw-sheet'!$A$1:$ZZ$1, 0))</f>
        <v>👑每月VIP專屬優惠👑 | INNISFREE Taiwan</v>
      </c>
      <c r="P13" s="28" t="str">
        <f t="array" ref="P13">INDEX('raw-sheet'!$A$2:$ZZ$1000, ROW(P12),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" s="28" t="str">
        <f t="array" ref="Q13">INDEX('raw-sheet'!$A$2:$ZZ$1000, ROW(Q12), MATCH(Q$1, 'raw-sheet'!$A$1:$ZZ$1, 0))</f>
        <v>article</v>
      </c>
      <c r="R13" s="28" t="str">
        <f t="array" ref="R13">INDEX('raw-sheet'!$A$2:$ZZ$1000, ROW(R12), MATCH(R$1, 'raw-sheet'!$A$1:$ZZ$1, 0))</f>
        <v>INNISFREE Taiwan</v>
      </c>
      <c r="S13" s="28" t="str">
        <f t="array" ref="S13">INDEX('raw-sheet'!$A$2:$ZZ$1000, ROW(S12), MATCH(S$1, 'raw-sheet'!$A$1:$ZZ$1, 0))</f>
        <v>http://innisfree-taiwan.myshopify.com/cdn/shop/articles/pdp_mig_323ab24c_374_EV0102_attimg_origin_jpg.jpg?v=1768455377</v>
      </c>
      <c r="T13" s="28" t="str">
        <f t="array" ref="T13">INDEX('raw-sheet'!$A$2:$ZZ$1000, ROW(T12), MATCH(T$1, 'raw-sheet'!$A$1:$ZZ$1, 0))</f>
        <v>https://innisfree-taiwan.myshopify.com/cdn/shop/articles/pdp_mig_323ab24c_374_EV0102_attimg_origin_jpg.jpg?v=1768455377</v>
      </c>
      <c r="U13" s="28" t="str">
        <f t="array" ref="U13">INDEX('raw-sheet'!$A$2:$ZZ$1000, ROW(U12), MATCH(U$1, 'raw-sheet'!$A$1:$ZZ$1, 0))</f>
        <v>https://innisfree-taiwan.myshopify.com/blogs/event/monthly-vip-exclusive-offers</v>
      </c>
      <c r="V13" s="28" t="str">
        <f t="array" ref="V13">INDEX('raw-sheet'!$A$2:$ZZ$1000, ROW(V12), MATCH(V$1, 'raw-sheet'!$A$1:$ZZ$1, 0))</f>
        <v>👑每月VIP專屬優惠👑 | INNISFREE Taiwan</v>
      </c>
      <c r="W13" s="28" t="str">
        <f t="array" ref="W13">INDEX('raw-sheet'!$A$2:$ZZ$1000, ROW(W12),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" s="28" t="str">
        <f t="array" ref="X13">INDEX('raw-sheet'!$A$2:$ZZ$1000, ROW(X12), MATCH(X$1, 'raw-sheet'!$A$1:$ZZ$1, 0))</f>
        <v>summary_large_image</v>
      </c>
      <c r="Y13" s="30" t="s">
        <v>56</v>
      </c>
      <c r="Z13" s="28" t="str">
        <f>VLOOKUP($A13,'raw-schema'!$A:$R,14,0)</f>
        <v>Article</v>
      </c>
      <c r="AA13" s="28" t="str">
        <f>VLOOKUP($A13,'raw-schema'!$A:$R,15,0)</f>
        <v>Organization</v>
      </c>
      <c r="AB13" s="28" t="str">
        <f>VLOOKUP($A13,'raw-schema'!$A:$R,16,0)</f>
        <v>Person</v>
      </c>
      <c r="AC13" s="28" t="str">
        <f>VLOOKUP($A13,'raw-schema'!$A:$R,17,0)</f>
        <v>WebPage</v>
      </c>
      <c r="AD13" s="28">
        <f>VLOOKUP($A13,'raw-schema'!$A:$R,18,0)</f>
        <v>0</v>
      </c>
      <c r="AE13" s="31" t="s">
        <v>63</v>
      </c>
    </row>
    <row r="14" spans="1:32" x14ac:dyDescent="0.3">
      <c r="A14" s="28" t="str">
        <f t="array" ref="A14">INDEX('raw-sheet'!$A$2:$ZZ$1000, ROW(A13), MATCH(A$1, 'raw-sheet'!$A$1:$ZZ$1, 0))</f>
        <v>https://innisfree-taiwan.myshopify.com/blogs/event/pdrn-anniversary-celebration</v>
      </c>
      <c r="B14" s="30" t="s">
        <v>11</v>
      </c>
      <c r="C14" s="28" t="str">
        <f t="array" ref="C14">INDEX('raw-sheet'!$A$2:$ZZ$1000, ROW(C13), MATCH(C$1, 'raw-sheet'!$A$1:$ZZ$1, 0))</f>
        <v>Blog Page</v>
      </c>
      <c r="D14" s="28">
        <f t="array" ref="D14">INDEX('raw-sheet'!$A$2:$ZZ$1000, ROW(D13), MATCH(D$1, 'raw-sheet'!$A$1:$ZZ$1, 0))</f>
        <v>200</v>
      </c>
      <c r="E14" s="30" t="str">
        <f t="shared" si="0"/>
        <v>Pass</v>
      </c>
      <c r="F14" s="28" t="str">
        <f t="array" ref="F14">INDEX('raw-sheet'!$A$2:$ZZ$1000, ROW(F13), MATCH(F$1, 'raw-sheet'!$A$1:$ZZ$1, 0))</f>
        <v>🥳PDRN上市周年慶🎊🎂_x000D_ | INNISFREE Taiwan</v>
      </c>
      <c r="G14" s="30" t="s">
        <v>11</v>
      </c>
      <c r="H14" s="28">
        <f t="array" ref="H14">INDEX('raw-sheet'!$A$2:$ZZ$1000, ROW(H13), MATCH(H$1, 'raw-sheet'!$A$1:$ZZ$1, 0))</f>
        <v>0</v>
      </c>
      <c r="I14" s="30" t="s">
        <v>61</v>
      </c>
      <c r="J14" s="28" t="str">
        <f t="array" ref="J14">INDEX('raw-sheet'!$A$2:$ZZ$1000, ROW(J13), MATCH(J$1, 'raw-sheet'!$A$1:$ZZ$1, 0))</f>
        <v>🥳PDRN上市周年慶🎊🎂</v>
      </c>
      <c r="K14" s="28" t="str">
        <f t="array" ref="K14">INDEX('raw-sheet'!$A$2:$ZZ$1000, ROW(K13), MATCH(K$1, 'raw-sheet'!$A$1:$ZZ$1, 0))</f>
        <v>1</v>
      </c>
      <c r="L14" s="30" t="s">
        <v>11</v>
      </c>
      <c r="M14" s="28" t="str">
        <f t="array" ref="M14">INDEX('raw-sheet'!$A$2:$ZZ$1000, ROW(M13), MATCH(M$1, 'raw-sheet'!$A$1:$ZZ$1, 0))</f>
        <v>https://innisfree-taiwan.myshopify.com/blogs/event/pdrn-anniversary-celebration</v>
      </c>
      <c r="N14" s="30" t="str">
        <f t="shared" si="1"/>
        <v>Pass</v>
      </c>
      <c r="O14" s="28" t="str">
        <f t="array" ref="O14">INDEX('raw-sheet'!$A$2:$ZZ$1000, ROW(O13), MATCH(O$1, 'raw-sheet'!$A$1:$ZZ$1, 0))</f>
        <v>🥳PDRN上市周年慶🎊🎂 | INNISFREE Taiwan</v>
      </c>
      <c r="P14" s="28" t="str">
        <f t="array" ref="P14">INDEX('raw-sheet'!$A$2:$ZZ$1000, ROW(P13),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" s="28" t="str">
        <f t="array" ref="Q14">INDEX('raw-sheet'!$A$2:$ZZ$1000, ROW(Q13), MATCH(Q$1, 'raw-sheet'!$A$1:$ZZ$1, 0))</f>
        <v>article</v>
      </c>
      <c r="R14" s="28" t="str">
        <f t="array" ref="R14">INDEX('raw-sheet'!$A$2:$ZZ$1000, ROW(R13), MATCH(R$1, 'raw-sheet'!$A$1:$ZZ$1, 0))</f>
        <v>INNISFREE Taiwan</v>
      </c>
      <c r="S14" s="28" t="str">
        <f t="array" ref="S14">INDEX('raw-sheet'!$A$2:$ZZ$1000, ROW(S13), MATCH(S$1, 'raw-sheet'!$A$1:$ZZ$1, 0))</f>
        <v>http://innisfree-taiwan.myshopify.com/cdn/shop/articles/376_EV0102_attimg_origin.jpg?v=1768455380</v>
      </c>
      <c r="T14" s="28" t="str">
        <f t="array" ref="T14">INDEX('raw-sheet'!$A$2:$ZZ$1000, ROW(T13), MATCH(T$1, 'raw-sheet'!$A$1:$ZZ$1, 0))</f>
        <v>https://innisfree-taiwan.myshopify.com/cdn/shop/articles/376_EV0102_attimg_origin.jpg?v=1768455380</v>
      </c>
      <c r="U14" s="28" t="str">
        <f t="array" ref="U14">INDEX('raw-sheet'!$A$2:$ZZ$1000, ROW(U13), MATCH(U$1, 'raw-sheet'!$A$1:$ZZ$1, 0))</f>
        <v>https://innisfree-taiwan.myshopify.com/blogs/event/pdrn-anniversary-celebration</v>
      </c>
      <c r="V14" s="28" t="str">
        <f t="array" ref="V14">INDEX('raw-sheet'!$A$2:$ZZ$1000, ROW(V13), MATCH(V$1, 'raw-sheet'!$A$1:$ZZ$1, 0))</f>
        <v>🥳PDRN上市周年慶🎊🎂 | INNISFREE Taiwan</v>
      </c>
      <c r="W14" s="28" t="str">
        <f t="array" ref="W14">INDEX('raw-sheet'!$A$2:$ZZ$1000, ROW(W13),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" s="28" t="str">
        <f t="array" ref="X14">INDEX('raw-sheet'!$A$2:$ZZ$1000, ROW(X13), MATCH(X$1, 'raw-sheet'!$A$1:$ZZ$1, 0))</f>
        <v>summary_large_image</v>
      </c>
      <c r="Y14" s="30" t="s">
        <v>56</v>
      </c>
      <c r="Z14" s="28" t="str">
        <f>VLOOKUP($A14,'raw-schema'!$A:$R,14,0)</f>
        <v>Article</v>
      </c>
      <c r="AA14" s="28" t="str">
        <f>VLOOKUP($A14,'raw-schema'!$A:$R,15,0)</f>
        <v>Organization</v>
      </c>
      <c r="AB14" s="28" t="str">
        <f>VLOOKUP($A14,'raw-schema'!$A:$R,16,0)</f>
        <v>Person</v>
      </c>
      <c r="AC14" s="28" t="str">
        <f>VLOOKUP($A14,'raw-schema'!$A:$R,17,0)</f>
        <v>WebPage</v>
      </c>
      <c r="AD14" s="28">
        <f>VLOOKUP($A14,'raw-schema'!$A:$R,18,0)</f>
        <v>0</v>
      </c>
      <c r="AE14" s="31" t="s">
        <v>63</v>
      </c>
    </row>
    <row r="15" spans="1:32" x14ac:dyDescent="0.3">
      <c r="A15" s="28" t="str">
        <f t="array" ref="A15">INDEX('raw-sheet'!$A$2:$ZZ$1000, ROW(A14), MATCH(A$1, 'raw-sheet'!$A$1:$ZZ$1, 0))</f>
        <v>https://innisfree-taiwan.myshopify.com/blogs/event/tagged/active</v>
      </c>
      <c r="B15" s="30" t="s">
        <v>11</v>
      </c>
      <c r="C15" s="28" t="str">
        <f t="array" ref="C15">INDEX('raw-sheet'!$A$2:$ZZ$1000, ROW(C14), MATCH(C$1, 'raw-sheet'!$A$1:$ZZ$1, 0))</f>
        <v>Blog Page</v>
      </c>
      <c r="D15" s="28">
        <f t="array" ref="D15">INDEX('raw-sheet'!$A$2:$ZZ$1000, ROW(D14), MATCH(D$1, 'raw-sheet'!$A$1:$ZZ$1, 0))</f>
        <v>200</v>
      </c>
      <c r="E15" s="30" t="str">
        <f t="shared" si="0"/>
        <v>Pass</v>
      </c>
      <c r="F15" s="28" t="str">
        <f t="array" ref="F15">INDEX('raw-sheet'!$A$2:$ZZ$1000, ROW(F14), MATCH(F$1, 'raw-sheet'!$A$1:$ZZ$1, 0))</f>
        <v>活動_x000D_ – tagged "active" | INNISFREE Taiwan</v>
      </c>
      <c r="G15" s="30" t="s">
        <v>11</v>
      </c>
      <c r="H15" s="28">
        <f t="array" ref="H15">INDEX('raw-sheet'!$A$2:$ZZ$1000, ROW(H14), MATCH(H$1, 'raw-sheet'!$A$1:$ZZ$1, 0))</f>
        <v>0</v>
      </c>
      <c r="I15" s="30" t="s">
        <v>61</v>
      </c>
      <c r="J15" s="28" t="str">
        <f t="array" ref="J15">INDEX('raw-sheet'!$A$2:$ZZ$1000, ROW(J14), MATCH(J$1, 'raw-sheet'!$A$1:$ZZ$1, 0))</f>
        <v>活動</v>
      </c>
      <c r="K15" s="28" t="str">
        <f t="array" ref="K15">INDEX('raw-sheet'!$A$2:$ZZ$1000, ROW(K14), MATCH(K$1, 'raw-sheet'!$A$1:$ZZ$1, 0))</f>
        <v>1</v>
      </c>
      <c r="L15" s="30" t="s">
        <v>60</v>
      </c>
      <c r="M15" s="28" t="str">
        <f t="array" ref="M15">INDEX('raw-sheet'!$A$2:$ZZ$1000, ROW(M14), MATCH(M$1, 'raw-sheet'!$A$1:$ZZ$1, 0))</f>
        <v>https://innisfree-taiwan.myshopify.com/blogs/event/tagged/active</v>
      </c>
      <c r="N15" s="30" t="str">
        <f t="shared" si="1"/>
        <v>Pass</v>
      </c>
      <c r="O15" s="28" t="str">
        <f t="array" ref="O15">INDEX('raw-sheet'!$A$2:$ZZ$1000, ROW(O14), MATCH(O$1, 'raw-sheet'!$A$1:$ZZ$1, 0))</f>
        <v>活動 | INNISFREE Taiwan</v>
      </c>
      <c r="P15" s="28" t="str">
        <f t="array" ref="P15">INDEX('raw-sheet'!$A$2:$ZZ$1000, ROW(P14),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" s="28" t="str">
        <f t="array" ref="Q15">INDEX('raw-sheet'!$A$2:$ZZ$1000, ROW(Q14), MATCH(Q$1, 'raw-sheet'!$A$1:$ZZ$1, 0))</f>
        <v>website</v>
      </c>
      <c r="R15" s="28" t="str">
        <f t="array" ref="R15">INDEX('raw-sheet'!$A$2:$ZZ$1000, ROW(R14), MATCH(R$1, 'raw-sheet'!$A$1:$ZZ$1, 0))</f>
        <v>INNISFREE Taiwan</v>
      </c>
      <c r="S15" s="28" t="str">
        <f t="array" ref="S15">INDEX('raw-sheet'!$A$2:$ZZ$1000, ROW(S14), MATCH(S$1, 'raw-sheet'!$A$1:$ZZ$1, 0))</f>
        <v>http://innisfree-taiwan.myshopify.com/cdn/shop/files/logo.png?v=1767594135</v>
      </c>
      <c r="T15" s="28" t="str">
        <f t="array" ref="T15">INDEX('raw-sheet'!$A$2:$ZZ$1000, ROW(T14), MATCH(T$1, 'raw-sheet'!$A$1:$ZZ$1, 0))</f>
        <v>https://innisfree-taiwan.myshopify.com/cdn/shop/files/logo.png?v=1767594135</v>
      </c>
      <c r="U15" s="28" t="str">
        <f t="array" ref="U15">INDEX('raw-sheet'!$A$2:$ZZ$1000, ROW(U14), MATCH(U$1, 'raw-sheet'!$A$1:$ZZ$1, 0))</f>
        <v>https://innisfree-taiwan.myshopify.com/blogs/event/tagged/active</v>
      </c>
      <c r="V15" s="28" t="str">
        <f t="array" ref="V15">INDEX('raw-sheet'!$A$2:$ZZ$1000, ROW(V14), MATCH(V$1, 'raw-sheet'!$A$1:$ZZ$1, 0))</f>
        <v>活動 | INNISFREE Taiwan</v>
      </c>
      <c r="W15" s="28" t="str">
        <f t="array" ref="W15">INDEX('raw-sheet'!$A$2:$ZZ$1000, ROW(W14),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" s="28" t="str">
        <f t="array" ref="X15">INDEX('raw-sheet'!$A$2:$ZZ$1000, ROW(X14), MATCH(X$1, 'raw-sheet'!$A$1:$ZZ$1, 0))</f>
        <v>summary_large_image</v>
      </c>
      <c r="Y15" s="30" t="s">
        <v>62</v>
      </c>
      <c r="Z15" s="28" t="str">
        <f>VLOOKUP($A15,'raw-schema'!$A:$R,14,0)</f>
        <v>Organization</v>
      </c>
      <c r="AA15" s="28">
        <f>VLOOKUP($A15,'raw-schema'!$A:$R,15,0)</f>
        <v>0</v>
      </c>
      <c r="AB15" s="28">
        <f>VLOOKUP($A15,'raw-schema'!$A:$R,16,0)</f>
        <v>0</v>
      </c>
      <c r="AC15" s="28">
        <f>VLOOKUP($A15,'raw-schema'!$A:$R,17,0)</f>
        <v>0</v>
      </c>
      <c r="AD15" s="28">
        <f>VLOOKUP($A15,'raw-schema'!$A:$R,18,0)</f>
        <v>0</v>
      </c>
      <c r="AE15" s="31" t="s">
        <v>63</v>
      </c>
    </row>
    <row r="16" spans="1:32" x14ac:dyDescent="0.3">
      <c r="A16" s="28" t="str">
        <f t="array" ref="A16">INDEX('raw-sheet'!$A$2:$ZZ$1000, ROW(A15), MATCH(A$1, 'raw-sheet'!$A$1:$ZZ$1, 0))</f>
        <v>https://innisfree-taiwan.myshopify.com/blogs/event/tagged/inactive</v>
      </c>
      <c r="B16" s="30" t="s">
        <v>11</v>
      </c>
      <c r="C16" s="28" t="str">
        <f t="array" ref="C16">INDEX('raw-sheet'!$A$2:$ZZ$1000, ROW(C15), MATCH(C$1, 'raw-sheet'!$A$1:$ZZ$1, 0))</f>
        <v>Blog Page</v>
      </c>
      <c r="D16" s="28">
        <f t="array" ref="D16">INDEX('raw-sheet'!$A$2:$ZZ$1000, ROW(D15), MATCH(D$1, 'raw-sheet'!$A$1:$ZZ$1, 0))</f>
        <v>200</v>
      </c>
      <c r="E16" s="30" t="str">
        <f t="shared" si="0"/>
        <v>Pass</v>
      </c>
      <c r="F16" s="28" t="str">
        <f t="array" ref="F16">INDEX('raw-sheet'!$A$2:$ZZ$1000, ROW(F15), MATCH(F$1, 'raw-sheet'!$A$1:$ZZ$1, 0))</f>
        <v>活動_x000D_ – tagged "inactive" | INNISFREE Taiwan</v>
      </c>
      <c r="G16" s="30" t="s">
        <v>60</v>
      </c>
      <c r="H16" s="28">
        <f t="array" ref="H16">INDEX('raw-sheet'!$A$2:$ZZ$1000, ROW(H15), MATCH(H$1, 'raw-sheet'!$A$1:$ZZ$1, 0))</f>
        <v>0</v>
      </c>
      <c r="I16" s="30" t="s">
        <v>61</v>
      </c>
      <c r="J16" s="28" t="str">
        <f t="array" ref="J16">INDEX('raw-sheet'!$A$2:$ZZ$1000, ROW(J15), MATCH(J$1, 'raw-sheet'!$A$1:$ZZ$1, 0))</f>
        <v>活動</v>
      </c>
      <c r="K16" s="28" t="str">
        <f t="array" ref="K16">INDEX('raw-sheet'!$A$2:$ZZ$1000, ROW(K15), MATCH(K$1, 'raw-sheet'!$A$1:$ZZ$1, 0))</f>
        <v>1</v>
      </c>
      <c r="L16" s="30" t="s">
        <v>60</v>
      </c>
      <c r="M16" s="28" t="str">
        <f t="array" ref="M16">INDEX('raw-sheet'!$A$2:$ZZ$1000, ROW(M15), MATCH(M$1, 'raw-sheet'!$A$1:$ZZ$1, 0))</f>
        <v>https://innisfree-taiwan.myshopify.com/blogs/event/tagged/inactive</v>
      </c>
      <c r="N16" s="30" t="str">
        <f t="shared" si="1"/>
        <v>Pass</v>
      </c>
      <c r="O16" s="28" t="str">
        <f t="array" ref="O16">INDEX('raw-sheet'!$A$2:$ZZ$1000, ROW(O15), MATCH(O$1, 'raw-sheet'!$A$1:$ZZ$1, 0))</f>
        <v>活動 | INNISFREE Taiwan</v>
      </c>
      <c r="P16" s="28" t="str">
        <f t="array" ref="P16">INDEX('raw-sheet'!$A$2:$ZZ$1000, ROW(P15),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" s="28" t="str">
        <f t="array" ref="Q16">INDEX('raw-sheet'!$A$2:$ZZ$1000, ROW(Q15), MATCH(Q$1, 'raw-sheet'!$A$1:$ZZ$1, 0))</f>
        <v>website</v>
      </c>
      <c r="R16" s="28" t="str">
        <f t="array" ref="R16">INDEX('raw-sheet'!$A$2:$ZZ$1000, ROW(R15), MATCH(R$1, 'raw-sheet'!$A$1:$ZZ$1, 0))</f>
        <v>INNISFREE Taiwan</v>
      </c>
      <c r="S16" s="28" t="str">
        <f t="array" ref="S16">INDEX('raw-sheet'!$A$2:$ZZ$1000, ROW(S15), MATCH(S$1, 'raw-sheet'!$A$1:$ZZ$1, 0))</f>
        <v>http://innisfree-taiwan.myshopify.com/cdn/shop/files/logo.png?v=1767594135</v>
      </c>
      <c r="T16" s="28" t="str">
        <f t="array" ref="T16">INDEX('raw-sheet'!$A$2:$ZZ$1000, ROW(T15), MATCH(T$1, 'raw-sheet'!$A$1:$ZZ$1, 0))</f>
        <v>https://innisfree-taiwan.myshopify.com/cdn/shop/files/logo.png?v=1767594135</v>
      </c>
      <c r="U16" s="28" t="str">
        <f t="array" ref="U16">INDEX('raw-sheet'!$A$2:$ZZ$1000, ROW(U15), MATCH(U$1, 'raw-sheet'!$A$1:$ZZ$1, 0))</f>
        <v>https://innisfree-taiwan.myshopify.com/blogs/event/tagged/inactive</v>
      </c>
      <c r="V16" s="28" t="str">
        <f t="array" ref="V16">INDEX('raw-sheet'!$A$2:$ZZ$1000, ROW(V15), MATCH(V$1, 'raw-sheet'!$A$1:$ZZ$1, 0))</f>
        <v>活動 | INNISFREE Taiwan</v>
      </c>
      <c r="W16" s="28" t="str">
        <f t="array" ref="W16">INDEX('raw-sheet'!$A$2:$ZZ$1000, ROW(W15),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" s="28" t="str">
        <f t="array" ref="X16">INDEX('raw-sheet'!$A$2:$ZZ$1000, ROW(X15), MATCH(X$1, 'raw-sheet'!$A$1:$ZZ$1, 0))</f>
        <v>summary_large_image</v>
      </c>
      <c r="Y16" s="30" t="s">
        <v>62</v>
      </c>
      <c r="Z16" s="28" t="str">
        <f>VLOOKUP($A16,'raw-schema'!$A:$R,14,0)</f>
        <v>Organization</v>
      </c>
      <c r="AA16" s="28">
        <f>VLOOKUP($A16,'raw-schema'!$A:$R,15,0)</f>
        <v>0</v>
      </c>
      <c r="AB16" s="28">
        <f>VLOOKUP($A16,'raw-schema'!$A:$R,16,0)</f>
        <v>0</v>
      </c>
      <c r="AC16" s="28">
        <f>VLOOKUP($A16,'raw-schema'!$A:$R,17,0)</f>
        <v>0</v>
      </c>
      <c r="AD16" s="28">
        <f>VLOOKUP($A16,'raw-schema'!$A:$R,18,0)</f>
        <v>0</v>
      </c>
      <c r="AE16" s="31" t="s">
        <v>63</v>
      </c>
    </row>
    <row r="17" spans="1:32" x14ac:dyDescent="0.3">
      <c r="A17" s="28" t="str">
        <f t="array" ref="A17">INDEX('raw-sheet'!$A$2:$ZZ$1000, ROW(A16), MATCH(A$1, 'raw-sheet'!$A$1:$ZZ$1, 0))</f>
        <v>https://innisfree-taiwan.myshopify.com/blogs/event/tagged/inactive?page=1</v>
      </c>
      <c r="B17" s="30" t="s">
        <v>11</v>
      </c>
      <c r="C17" s="28" t="str">
        <f t="array" ref="C17">INDEX('raw-sheet'!$A$2:$ZZ$1000, ROW(C16), MATCH(C$1, 'raw-sheet'!$A$1:$ZZ$1, 0))</f>
        <v>Blog Page</v>
      </c>
      <c r="D17" s="28">
        <f t="array" ref="D17">INDEX('raw-sheet'!$A$2:$ZZ$1000, ROW(D16), MATCH(D$1, 'raw-sheet'!$A$1:$ZZ$1, 0))</f>
        <v>200</v>
      </c>
      <c r="E17" s="30" t="str">
        <f t="shared" si="0"/>
        <v>Pass</v>
      </c>
      <c r="F17" s="28" t="str">
        <f t="array" ref="F17">INDEX('raw-sheet'!$A$2:$ZZ$1000, ROW(F16), MATCH(F$1, 'raw-sheet'!$A$1:$ZZ$1, 0))</f>
        <v>活動_x000D_ – tagged "inactive" | INNISFREE Taiwan</v>
      </c>
      <c r="G17" s="30" t="s">
        <v>11</v>
      </c>
      <c r="H17" s="28">
        <f t="array" ref="H17">INDEX('raw-sheet'!$A$2:$ZZ$1000, ROW(H16), MATCH(H$1, 'raw-sheet'!$A$1:$ZZ$1, 0))</f>
        <v>0</v>
      </c>
      <c r="I17" s="30" t="s">
        <v>61</v>
      </c>
      <c r="J17" s="28" t="str">
        <f t="array" ref="J17">INDEX('raw-sheet'!$A$2:$ZZ$1000, ROW(J16), MATCH(J$1, 'raw-sheet'!$A$1:$ZZ$1, 0))</f>
        <v>活動</v>
      </c>
      <c r="K17" s="28" t="str">
        <f t="array" ref="K17">INDEX('raw-sheet'!$A$2:$ZZ$1000, ROW(K16), MATCH(K$1, 'raw-sheet'!$A$1:$ZZ$1, 0))</f>
        <v>1</v>
      </c>
      <c r="L17" s="30" t="s">
        <v>60</v>
      </c>
      <c r="M17" s="28" t="str">
        <f t="array" ref="M17">INDEX('raw-sheet'!$A$2:$ZZ$1000, ROW(M16), MATCH(M$1, 'raw-sheet'!$A$1:$ZZ$1, 0))</f>
        <v>https://innisfree-taiwan.myshopify.com/blogs/event/tagged/inactive</v>
      </c>
      <c r="N17" s="30" t="str">
        <f t="shared" si="1"/>
        <v>Not</v>
      </c>
      <c r="O17" s="28" t="str">
        <f t="array" ref="O17">INDEX('raw-sheet'!$A$2:$ZZ$1000, ROW(O16), MATCH(O$1, 'raw-sheet'!$A$1:$ZZ$1, 0))</f>
        <v>活動 | INNISFREE Taiwan</v>
      </c>
      <c r="P17" s="28" t="str">
        <f t="array" ref="P17">INDEX('raw-sheet'!$A$2:$ZZ$1000, ROW(P16),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" s="28" t="str">
        <f t="array" ref="Q17">INDEX('raw-sheet'!$A$2:$ZZ$1000, ROW(Q16), MATCH(Q$1, 'raw-sheet'!$A$1:$ZZ$1, 0))</f>
        <v>website</v>
      </c>
      <c r="R17" s="28" t="str">
        <f t="array" ref="R17">INDEX('raw-sheet'!$A$2:$ZZ$1000, ROW(R16), MATCH(R$1, 'raw-sheet'!$A$1:$ZZ$1, 0))</f>
        <v>INNISFREE Taiwan</v>
      </c>
      <c r="S17" s="28" t="str">
        <f t="array" ref="S17">INDEX('raw-sheet'!$A$2:$ZZ$1000, ROW(S16), MATCH(S$1, 'raw-sheet'!$A$1:$ZZ$1, 0))</f>
        <v>http://innisfree-taiwan.myshopify.com/cdn/shop/files/logo.png?v=1767594135</v>
      </c>
      <c r="T17" s="28" t="str">
        <f t="array" ref="T17">INDEX('raw-sheet'!$A$2:$ZZ$1000, ROW(T16), MATCH(T$1, 'raw-sheet'!$A$1:$ZZ$1, 0))</f>
        <v>https://innisfree-taiwan.myshopify.com/cdn/shop/files/logo.png?v=1767594135</v>
      </c>
      <c r="U17" s="28" t="str">
        <f t="array" ref="U17">INDEX('raw-sheet'!$A$2:$ZZ$1000, ROW(U16), MATCH(U$1, 'raw-sheet'!$A$1:$ZZ$1, 0))</f>
        <v>https://innisfree-taiwan.myshopify.com/blogs/event/tagged/inactive</v>
      </c>
      <c r="V17" s="28" t="str">
        <f t="array" ref="V17">INDEX('raw-sheet'!$A$2:$ZZ$1000, ROW(V16), MATCH(V$1, 'raw-sheet'!$A$1:$ZZ$1, 0))</f>
        <v>活動 | INNISFREE Taiwan</v>
      </c>
      <c r="W17" s="28" t="str">
        <f t="array" ref="W17">INDEX('raw-sheet'!$A$2:$ZZ$1000, ROW(W16),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" s="28" t="str">
        <f t="array" ref="X17">INDEX('raw-sheet'!$A$2:$ZZ$1000, ROW(X16), MATCH(X$1, 'raw-sheet'!$A$1:$ZZ$1, 0))</f>
        <v>summary_large_image</v>
      </c>
      <c r="Y17" s="30" t="s">
        <v>62</v>
      </c>
      <c r="Z17" s="28" t="str">
        <f>VLOOKUP($A17,'raw-schema'!$A:$R,14,0)</f>
        <v>Organization</v>
      </c>
      <c r="AA17" s="28">
        <f>VLOOKUP($A17,'raw-schema'!$A:$R,15,0)</f>
        <v>0</v>
      </c>
      <c r="AB17" s="28">
        <f>VLOOKUP($A17,'raw-schema'!$A:$R,16,0)</f>
        <v>0</v>
      </c>
      <c r="AC17" s="28">
        <f>VLOOKUP($A17,'raw-schema'!$A:$R,17,0)</f>
        <v>0</v>
      </c>
      <c r="AD17" s="28">
        <f>VLOOKUP($A17,'raw-schema'!$A:$R,18,0)</f>
        <v>0</v>
      </c>
      <c r="AE17" s="31" t="s">
        <v>63</v>
      </c>
      <c r="AF17" t="s">
        <v>65</v>
      </c>
    </row>
    <row r="18" spans="1:32" x14ac:dyDescent="0.3">
      <c r="A18" s="28" t="str">
        <f t="array" ref="A18">INDEX('raw-sheet'!$A$2:$ZZ$1000, ROW(A17), MATCH(A$1, 'raw-sheet'!$A$1:$ZZ$1, 0))</f>
        <v>https://innisfree-taiwan.myshopify.com/blogs/event/tagged/inactive?page=2</v>
      </c>
      <c r="B18" s="30" t="s">
        <v>11</v>
      </c>
      <c r="C18" s="28" t="str">
        <f t="array" ref="C18">INDEX('raw-sheet'!$A$2:$ZZ$1000, ROW(C17), MATCH(C$1, 'raw-sheet'!$A$1:$ZZ$1, 0))</f>
        <v>Blog Page</v>
      </c>
      <c r="D18" s="28">
        <f t="array" ref="D18">INDEX('raw-sheet'!$A$2:$ZZ$1000, ROW(D17), MATCH(D$1, 'raw-sheet'!$A$1:$ZZ$1, 0))</f>
        <v>200</v>
      </c>
      <c r="E18" s="30" t="str">
        <f t="shared" si="0"/>
        <v>Pass</v>
      </c>
      <c r="F18" s="28" t="str">
        <f t="array" ref="F18">INDEX('raw-sheet'!$A$2:$ZZ$1000, ROW(F17), MATCH(F$1, 'raw-sheet'!$A$1:$ZZ$1, 0))</f>
        <v>活動_x000D_ – tagged "inactive" – Page 2 | INNISFREE Taiwan</v>
      </c>
      <c r="G18" s="30" t="s">
        <v>11</v>
      </c>
      <c r="H18" s="28">
        <f t="array" ref="H18">INDEX('raw-sheet'!$A$2:$ZZ$1000, ROW(H17), MATCH(H$1, 'raw-sheet'!$A$1:$ZZ$1, 0))</f>
        <v>0</v>
      </c>
      <c r="I18" s="30" t="s">
        <v>61</v>
      </c>
      <c r="J18" s="28" t="str">
        <f t="array" ref="J18">INDEX('raw-sheet'!$A$2:$ZZ$1000, ROW(J17), MATCH(J$1, 'raw-sheet'!$A$1:$ZZ$1, 0))</f>
        <v>活動</v>
      </c>
      <c r="K18" s="28" t="str">
        <f t="array" ref="K18">INDEX('raw-sheet'!$A$2:$ZZ$1000, ROW(K17), MATCH(K$1, 'raw-sheet'!$A$1:$ZZ$1, 0))</f>
        <v>1</v>
      </c>
      <c r="L18" s="30" t="s">
        <v>60</v>
      </c>
      <c r="M18" s="28" t="str">
        <f t="array" ref="M18">INDEX('raw-sheet'!$A$2:$ZZ$1000, ROW(M17), MATCH(M$1, 'raw-sheet'!$A$1:$ZZ$1, 0))</f>
        <v>https://innisfree-taiwan.myshopify.com/blogs/event/tagged/inactive?page=2</v>
      </c>
      <c r="N18" s="30" t="str">
        <f t="shared" si="1"/>
        <v>Pass</v>
      </c>
      <c r="O18" s="28" t="str">
        <f t="array" ref="O18">INDEX('raw-sheet'!$A$2:$ZZ$1000, ROW(O17), MATCH(O$1, 'raw-sheet'!$A$1:$ZZ$1, 0))</f>
        <v>活動 | INNISFREE Taiwan</v>
      </c>
      <c r="P18" s="28" t="str">
        <f t="array" ref="P18">INDEX('raw-sheet'!$A$2:$ZZ$1000, ROW(P17),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" s="28" t="str">
        <f t="array" ref="Q18">INDEX('raw-sheet'!$A$2:$ZZ$1000, ROW(Q17), MATCH(Q$1, 'raw-sheet'!$A$1:$ZZ$1, 0))</f>
        <v>website</v>
      </c>
      <c r="R18" s="28" t="str">
        <f t="array" ref="R18">INDEX('raw-sheet'!$A$2:$ZZ$1000, ROW(R17), MATCH(R$1, 'raw-sheet'!$A$1:$ZZ$1, 0))</f>
        <v>INNISFREE Taiwan</v>
      </c>
      <c r="S18" s="28" t="str">
        <f t="array" ref="S18">INDEX('raw-sheet'!$A$2:$ZZ$1000, ROW(S17), MATCH(S$1, 'raw-sheet'!$A$1:$ZZ$1, 0))</f>
        <v>http://innisfree-taiwan.myshopify.com/cdn/shop/files/logo.png?v=1767594135</v>
      </c>
      <c r="T18" s="28" t="str">
        <f t="array" ref="T18">INDEX('raw-sheet'!$A$2:$ZZ$1000, ROW(T17), MATCH(T$1, 'raw-sheet'!$A$1:$ZZ$1, 0))</f>
        <v>https://innisfree-taiwan.myshopify.com/cdn/shop/files/logo.png?v=1767594135</v>
      </c>
      <c r="U18" s="28" t="str">
        <f t="array" ref="U18">INDEX('raw-sheet'!$A$2:$ZZ$1000, ROW(U17), MATCH(U$1, 'raw-sheet'!$A$1:$ZZ$1, 0))</f>
        <v>https://innisfree-taiwan.myshopify.com/blogs/event/tagged/inactive?page=2</v>
      </c>
      <c r="V18" s="28" t="str">
        <f t="array" ref="V18">INDEX('raw-sheet'!$A$2:$ZZ$1000, ROW(V17), MATCH(V$1, 'raw-sheet'!$A$1:$ZZ$1, 0))</f>
        <v>活動 | INNISFREE Taiwan</v>
      </c>
      <c r="W18" s="28" t="str">
        <f t="array" ref="W18">INDEX('raw-sheet'!$A$2:$ZZ$1000, ROW(W17),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" s="28" t="str">
        <f t="array" ref="X18">INDEX('raw-sheet'!$A$2:$ZZ$1000, ROW(X17), MATCH(X$1, 'raw-sheet'!$A$1:$ZZ$1, 0))</f>
        <v>summary_large_image</v>
      </c>
      <c r="Y18" s="30" t="s">
        <v>62</v>
      </c>
      <c r="Z18" s="28" t="str">
        <f>VLOOKUP($A18,'raw-schema'!$A:$R,14,0)</f>
        <v>Organization</v>
      </c>
      <c r="AA18" s="28">
        <f>VLOOKUP($A18,'raw-schema'!$A:$R,15,0)</f>
        <v>0</v>
      </c>
      <c r="AB18" s="28">
        <f>VLOOKUP($A18,'raw-schema'!$A:$R,16,0)</f>
        <v>0</v>
      </c>
      <c r="AC18" s="28">
        <f>VLOOKUP($A18,'raw-schema'!$A:$R,17,0)</f>
        <v>0</v>
      </c>
      <c r="AD18" s="28">
        <f>VLOOKUP($A18,'raw-schema'!$A:$R,18,0)</f>
        <v>0</v>
      </c>
      <c r="AE18" s="31" t="s">
        <v>63</v>
      </c>
      <c r="AF18" t="s">
        <v>65</v>
      </c>
    </row>
    <row r="19" spans="1:32" x14ac:dyDescent="0.3">
      <c r="A19" s="28" t="str">
        <f t="array" ref="A19">INDEX('raw-sheet'!$A$2:$ZZ$1000, ROW(A18), MATCH(A$1, 'raw-sheet'!$A$1:$ZZ$1, 0))</f>
        <v>https://innisfree-taiwan.myshopify.com/blogs/event/tagged/inactive?page=3</v>
      </c>
      <c r="B19" s="30" t="s">
        <v>11</v>
      </c>
      <c r="C19" s="28" t="str">
        <f t="array" ref="C19">INDEX('raw-sheet'!$A$2:$ZZ$1000, ROW(C18), MATCH(C$1, 'raw-sheet'!$A$1:$ZZ$1, 0))</f>
        <v>Blog Page</v>
      </c>
      <c r="D19" s="28">
        <f t="array" ref="D19">INDEX('raw-sheet'!$A$2:$ZZ$1000, ROW(D18), MATCH(D$1, 'raw-sheet'!$A$1:$ZZ$1, 0))</f>
        <v>200</v>
      </c>
      <c r="E19" s="30" t="str">
        <f t="shared" si="0"/>
        <v>Pass</v>
      </c>
      <c r="F19" s="28" t="str">
        <f t="array" ref="F19">INDEX('raw-sheet'!$A$2:$ZZ$1000, ROW(F18), MATCH(F$1, 'raw-sheet'!$A$1:$ZZ$1, 0))</f>
        <v>活動_x000D_ – tagged "inactive" – Page 3 | INNISFREE Taiwan</v>
      </c>
      <c r="G19" s="30" t="s">
        <v>11</v>
      </c>
      <c r="H19" s="28">
        <f t="array" ref="H19">INDEX('raw-sheet'!$A$2:$ZZ$1000, ROW(H18), MATCH(H$1, 'raw-sheet'!$A$1:$ZZ$1, 0))</f>
        <v>0</v>
      </c>
      <c r="I19" s="30" t="s">
        <v>61</v>
      </c>
      <c r="J19" s="28" t="str">
        <f t="array" ref="J19">INDEX('raw-sheet'!$A$2:$ZZ$1000, ROW(J18), MATCH(J$1, 'raw-sheet'!$A$1:$ZZ$1, 0))</f>
        <v>活動</v>
      </c>
      <c r="K19" s="28" t="str">
        <f t="array" ref="K19">INDEX('raw-sheet'!$A$2:$ZZ$1000, ROW(K18), MATCH(K$1, 'raw-sheet'!$A$1:$ZZ$1, 0))</f>
        <v>1</v>
      </c>
      <c r="L19" s="30" t="s">
        <v>60</v>
      </c>
      <c r="M19" s="28" t="str">
        <f t="array" ref="M19">INDEX('raw-sheet'!$A$2:$ZZ$1000, ROW(M18), MATCH(M$1, 'raw-sheet'!$A$1:$ZZ$1, 0))</f>
        <v>https://innisfree-taiwan.myshopify.com/blogs/event/tagged/inactive?page=3</v>
      </c>
      <c r="N19" s="30" t="str">
        <f t="shared" si="1"/>
        <v>Pass</v>
      </c>
      <c r="O19" s="28" t="str">
        <f t="array" ref="O19">INDEX('raw-sheet'!$A$2:$ZZ$1000, ROW(O18), MATCH(O$1, 'raw-sheet'!$A$1:$ZZ$1, 0))</f>
        <v>活動 | INNISFREE Taiwan</v>
      </c>
      <c r="P19" s="28" t="str">
        <f t="array" ref="P19">INDEX('raw-sheet'!$A$2:$ZZ$1000, ROW(P18),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" s="28" t="str">
        <f t="array" ref="Q19">INDEX('raw-sheet'!$A$2:$ZZ$1000, ROW(Q18), MATCH(Q$1, 'raw-sheet'!$A$1:$ZZ$1, 0))</f>
        <v>website</v>
      </c>
      <c r="R19" s="28" t="str">
        <f t="array" ref="R19">INDEX('raw-sheet'!$A$2:$ZZ$1000, ROW(R18), MATCH(R$1, 'raw-sheet'!$A$1:$ZZ$1, 0))</f>
        <v>INNISFREE Taiwan</v>
      </c>
      <c r="S19" s="28" t="str">
        <f t="array" ref="S19">INDEX('raw-sheet'!$A$2:$ZZ$1000, ROW(S18), MATCH(S$1, 'raw-sheet'!$A$1:$ZZ$1, 0))</f>
        <v>http://innisfree-taiwan.myshopify.com/cdn/shop/files/logo.png?v=1767594135</v>
      </c>
      <c r="T19" s="28" t="str">
        <f t="array" ref="T19">INDEX('raw-sheet'!$A$2:$ZZ$1000, ROW(T18), MATCH(T$1, 'raw-sheet'!$A$1:$ZZ$1, 0))</f>
        <v>https://innisfree-taiwan.myshopify.com/cdn/shop/files/logo.png?v=1767594135</v>
      </c>
      <c r="U19" s="28" t="str">
        <f t="array" ref="U19">INDEX('raw-sheet'!$A$2:$ZZ$1000, ROW(U18), MATCH(U$1, 'raw-sheet'!$A$1:$ZZ$1, 0))</f>
        <v>https://innisfree-taiwan.myshopify.com/blogs/event/tagged/inactive?page=3</v>
      </c>
      <c r="V19" s="28" t="str">
        <f t="array" ref="V19">INDEX('raw-sheet'!$A$2:$ZZ$1000, ROW(V18), MATCH(V$1, 'raw-sheet'!$A$1:$ZZ$1, 0))</f>
        <v>活動 | INNISFREE Taiwan</v>
      </c>
      <c r="W19" s="28" t="str">
        <f t="array" ref="W19">INDEX('raw-sheet'!$A$2:$ZZ$1000, ROW(W18),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" s="28" t="str">
        <f t="array" ref="X19">INDEX('raw-sheet'!$A$2:$ZZ$1000, ROW(X18), MATCH(X$1, 'raw-sheet'!$A$1:$ZZ$1, 0))</f>
        <v>summary_large_image</v>
      </c>
      <c r="Y19" s="30" t="s">
        <v>62</v>
      </c>
      <c r="Z19" s="28" t="str">
        <f>VLOOKUP($A19,'raw-schema'!$A:$R,14,0)</f>
        <v>Organization</v>
      </c>
      <c r="AA19" s="28">
        <f>VLOOKUP($A19,'raw-schema'!$A:$R,15,0)</f>
        <v>0</v>
      </c>
      <c r="AB19" s="28">
        <f>VLOOKUP($A19,'raw-schema'!$A:$R,16,0)</f>
        <v>0</v>
      </c>
      <c r="AC19" s="28">
        <f>VLOOKUP($A19,'raw-schema'!$A:$R,17,0)</f>
        <v>0</v>
      </c>
      <c r="AD19" s="28">
        <f>VLOOKUP($A19,'raw-schema'!$A:$R,18,0)</f>
        <v>0</v>
      </c>
      <c r="AE19" s="31" t="s">
        <v>63</v>
      </c>
      <c r="AF19" t="s">
        <v>65</v>
      </c>
    </row>
    <row r="20" spans="1:32" x14ac:dyDescent="0.3">
      <c r="A20" s="28" t="str">
        <f t="array" ref="A20">INDEX('raw-sheet'!$A$2:$ZZ$1000, ROW(A19), MATCH(A$1, 'raw-sheet'!$A$1:$ZZ$1, 0))</f>
        <v>https://innisfree-taiwan.myshopify.com/blogs/event/tagged/inactive?page=4</v>
      </c>
      <c r="B20" s="30" t="s">
        <v>11</v>
      </c>
      <c r="C20" s="28" t="str">
        <f t="array" ref="C20">INDEX('raw-sheet'!$A$2:$ZZ$1000, ROW(C19), MATCH(C$1, 'raw-sheet'!$A$1:$ZZ$1, 0))</f>
        <v>Blog Page</v>
      </c>
      <c r="D20" s="28">
        <f t="array" ref="D20">INDEX('raw-sheet'!$A$2:$ZZ$1000, ROW(D19), MATCH(D$1, 'raw-sheet'!$A$1:$ZZ$1, 0))</f>
        <v>200</v>
      </c>
      <c r="E20" s="30" t="str">
        <f t="shared" si="0"/>
        <v>Pass</v>
      </c>
      <c r="F20" s="28" t="str">
        <f t="array" ref="F20">INDEX('raw-sheet'!$A$2:$ZZ$1000, ROW(F19), MATCH(F$1, 'raw-sheet'!$A$1:$ZZ$1, 0))</f>
        <v>活動_x000D_ – tagged "inactive" – Page 4 | INNISFREE Taiwan</v>
      </c>
      <c r="G20" s="30" t="s">
        <v>11</v>
      </c>
      <c r="H20" s="28">
        <f t="array" ref="H20">INDEX('raw-sheet'!$A$2:$ZZ$1000, ROW(H19), MATCH(H$1, 'raw-sheet'!$A$1:$ZZ$1, 0))</f>
        <v>0</v>
      </c>
      <c r="I20" s="30" t="s">
        <v>61</v>
      </c>
      <c r="J20" s="28" t="str">
        <f t="array" ref="J20">INDEX('raw-sheet'!$A$2:$ZZ$1000, ROW(J19), MATCH(J$1, 'raw-sheet'!$A$1:$ZZ$1, 0))</f>
        <v>活動</v>
      </c>
      <c r="K20" s="28" t="str">
        <f t="array" ref="K20">INDEX('raw-sheet'!$A$2:$ZZ$1000, ROW(K19), MATCH(K$1, 'raw-sheet'!$A$1:$ZZ$1, 0))</f>
        <v>1</v>
      </c>
      <c r="L20" s="30" t="s">
        <v>60</v>
      </c>
      <c r="M20" s="28" t="str">
        <f t="array" ref="M20">INDEX('raw-sheet'!$A$2:$ZZ$1000, ROW(M19), MATCH(M$1, 'raw-sheet'!$A$1:$ZZ$1, 0))</f>
        <v>https://innisfree-taiwan.myshopify.com/blogs/event/tagged/inactive?page=4</v>
      </c>
      <c r="N20" s="30" t="str">
        <f t="shared" si="1"/>
        <v>Pass</v>
      </c>
      <c r="O20" s="28" t="str">
        <f t="array" ref="O20">INDEX('raw-sheet'!$A$2:$ZZ$1000, ROW(O19), MATCH(O$1, 'raw-sheet'!$A$1:$ZZ$1, 0))</f>
        <v>活動 | INNISFREE Taiwan</v>
      </c>
      <c r="P20" s="28" t="str">
        <f t="array" ref="P20">INDEX('raw-sheet'!$A$2:$ZZ$1000, ROW(P19),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" s="28" t="str">
        <f t="array" ref="Q20">INDEX('raw-sheet'!$A$2:$ZZ$1000, ROW(Q19), MATCH(Q$1, 'raw-sheet'!$A$1:$ZZ$1, 0))</f>
        <v>website</v>
      </c>
      <c r="R20" s="28" t="str">
        <f t="array" ref="R20">INDEX('raw-sheet'!$A$2:$ZZ$1000, ROW(R19), MATCH(R$1, 'raw-sheet'!$A$1:$ZZ$1, 0))</f>
        <v>INNISFREE Taiwan</v>
      </c>
      <c r="S20" s="28" t="str">
        <f t="array" ref="S20">INDEX('raw-sheet'!$A$2:$ZZ$1000, ROW(S19), MATCH(S$1, 'raw-sheet'!$A$1:$ZZ$1, 0))</f>
        <v>http://innisfree-taiwan.myshopify.com/cdn/shop/files/logo.png?v=1767594135</v>
      </c>
      <c r="T20" s="28" t="str">
        <f t="array" ref="T20">INDEX('raw-sheet'!$A$2:$ZZ$1000, ROW(T19), MATCH(T$1, 'raw-sheet'!$A$1:$ZZ$1, 0))</f>
        <v>https://innisfree-taiwan.myshopify.com/cdn/shop/files/logo.png?v=1767594135</v>
      </c>
      <c r="U20" s="28" t="str">
        <f t="array" ref="U20">INDEX('raw-sheet'!$A$2:$ZZ$1000, ROW(U19), MATCH(U$1, 'raw-sheet'!$A$1:$ZZ$1, 0))</f>
        <v>https://innisfree-taiwan.myshopify.com/blogs/event/tagged/inactive?page=4</v>
      </c>
      <c r="V20" s="28" t="str">
        <f t="array" ref="V20">INDEX('raw-sheet'!$A$2:$ZZ$1000, ROW(V19), MATCH(V$1, 'raw-sheet'!$A$1:$ZZ$1, 0))</f>
        <v>活動 | INNISFREE Taiwan</v>
      </c>
      <c r="W20" s="28" t="str">
        <f t="array" ref="W20">INDEX('raw-sheet'!$A$2:$ZZ$1000, ROW(W19),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" s="28" t="str">
        <f t="array" ref="X20">INDEX('raw-sheet'!$A$2:$ZZ$1000, ROW(X19), MATCH(X$1, 'raw-sheet'!$A$1:$ZZ$1, 0))</f>
        <v>summary_large_image</v>
      </c>
      <c r="Y20" s="30" t="s">
        <v>62</v>
      </c>
      <c r="Z20" s="28" t="str">
        <f>VLOOKUP($A20,'raw-schema'!$A:$R,14,0)</f>
        <v>Organization</v>
      </c>
      <c r="AA20" s="28">
        <f>VLOOKUP($A20,'raw-schema'!$A:$R,15,0)</f>
        <v>0</v>
      </c>
      <c r="AB20" s="28">
        <f>VLOOKUP($A20,'raw-schema'!$A:$R,16,0)</f>
        <v>0</v>
      </c>
      <c r="AC20" s="28">
        <f>VLOOKUP($A20,'raw-schema'!$A:$R,17,0)</f>
        <v>0</v>
      </c>
      <c r="AD20" s="28">
        <f>VLOOKUP($A20,'raw-schema'!$A:$R,18,0)</f>
        <v>0</v>
      </c>
      <c r="AE20" s="31" t="s">
        <v>63</v>
      </c>
      <c r="AF20" t="s">
        <v>65</v>
      </c>
    </row>
    <row r="21" spans="1:32" x14ac:dyDescent="0.3">
      <c r="A21" s="28" t="str">
        <f t="array" ref="A21">INDEX('raw-sheet'!$A$2:$ZZ$1000, ROW(A20), MATCH(A$1, 'raw-sheet'!$A$1:$ZZ$1, 0))</f>
        <v>https://innisfree-taiwan.myshopify.com/blogs/event/value-gift-set-for-gifting-or-personal-use</v>
      </c>
      <c r="B21" s="30" t="s">
        <v>11</v>
      </c>
      <c r="C21" s="28" t="str">
        <f t="array" ref="C21">INDEX('raw-sheet'!$A$2:$ZZ$1000, ROW(C20), MATCH(C$1, 'raw-sheet'!$A$1:$ZZ$1, 0))</f>
        <v>Blog Page</v>
      </c>
      <c r="D21" s="28">
        <f t="array" ref="D21">INDEX('raw-sheet'!$A$2:$ZZ$1000, ROW(D20), MATCH(D$1, 'raw-sheet'!$A$1:$ZZ$1, 0))</f>
        <v>200</v>
      </c>
      <c r="E21" s="30" t="str">
        <f t="shared" si="0"/>
        <v>Pass</v>
      </c>
      <c r="F21" s="28" t="str">
        <f t="array" ref="F21">INDEX('raw-sheet'!$A$2:$ZZ$1000, ROW(F20), MATCH(F$1, 'raw-sheet'!$A$1:$ZZ$1, 0))</f>
        <v>超值精選禮盒💚 送禮自用超划算😍_x000D_ | INNISFREE Taiwan</v>
      </c>
      <c r="G21" s="30" t="s">
        <v>11</v>
      </c>
      <c r="H21" s="28">
        <f t="array" ref="H21">INDEX('raw-sheet'!$A$2:$ZZ$1000, ROW(H20), MATCH(H$1, 'raw-sheet'!$A$1:$ZZ$1, 0))</f>
        <v>0</v>
      </c>
      <c r="I21" s="30" t="s">
        <v>61</v>
      </c>
      <c r="J21" s="28" t="str">
        <f t="array" ref="J21">INDEX('raw-sheet'!$A$2:$ZZ$1000, ROW(J20), MATCH(J$1, 'raw-sheet'!$A$1:$ZZ$1, 0))</f>
        <v>超值精選禮盒💚 送禮自用超划算😍</v>
      </c>
      <c r="K21" s="28" t="str">
        <f t="array" ref="K21">INDEX('raw-sheet'!$A$2:$ZZ$1000, ROW(K20), MATCH(K$1, 'raw-sheet'!$A$1:$ZZ$1, 0))</f>
        <v>1</v>
      </c>
      <c r="L21" s="30" t="s">
        <v>11</v>
      </c>
      <c r="M21" s="28" t="str">
        <f t="array" ref="M21">INDEX('raw-sheet'!$A$2:$ZZ$1000, ROW(M20), MATCH(M$1, 'raw-sheet'!$A$1:$ZZ$1, 0))</f>
        <v>https://innisfree-taiwan.myshopify.com/blogs/event/value-gift-set-for-gifting-or-personal-use</v>
      </c>
      <c r="N21" s="30" t="str">
        <f t="shared" si="1"/>
        <v>Pass</v>
      </c>
      <c r="O21" s="28" t="str">
        <f t="array" ref="O21">INDEX('raw-sheet'!$A$2:$ZZ$1000, ROW(O20), MATCH(O$1, 'raw-sheet'!$A$1:$ZZ$1, 0))</f>
        <v>超值精選禮盒💚 送禮自用超划算😍 | INNISFREE Taiwan</v>
      </c>
      <c r="P21" s="28" t="str">
        <f t="array" ref="P21">INDEX('raw-sheet'!$A$2:$ZZ$1000, ROW(P20),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1" s="28" t="str">
        <f t="array" ref="Q21">INDEX('raw-sheet'!$A$2:$ZZ$1000, ROW(Q20), MATCH(Q$1, 'raw-sheet'!$A$1:$ZZ$1, 0))</f>
        <v>article</v>
      </c>
      <c r="R21" s="28" t="str">
        <f t="array" ref="R21">INDEX('raw-sheet'!$A$2:$ZZ$1000, ROW(R20), MATCH(R$1, 'raw-sheet'!$A$1:$ZZ$1, 0))</f>
        <v>INNISFREE Taiwan</v>
      </c>
      <c r="S21" s="28" t="str">
        <f t="array" ref="S21">INDEX('raw-sheet'!$A$2:$ZZ$1000, ROW(S20), MATCH(S$1, 'raw-sheet'!$A$1:$ZZ$1, 0))</f>
        <v>http://innisfree-taiwan.myshopify.com/cdn/shop/articles/368_EV0102_attimg_origin_1e29214d-606f-420e-98b1-070a68afb85d.jpg?v=1768782077</v>
      </c>
      <c r="T21" s="28" t="str">
        <f t="array" ref="T21">INDEX('raw-sheet'!$A$2:$ZZ$1000, ROW(T20), MATCH(T$1, 'raw-sheet'!$A$1:$ZZ$1, 0))</f>
        <v>https://innisfree-taiwan.myshopify.com/cdn/shop/articles/368_EV0102_attimg_origin_1e29214d-606f-420e-98b1-070a68afb85d.jpg?v=1768782077</v>
      </c>
      <c r="U21" s="28" t="str">
        <f t="array" ref="U21">INDEX('raw-sheet'!$A$2:$ZZ$1000, ROW(U20), MATCH(U$1, 'raw-sheet'!$A$1:$ZZ$1, 0))</f>
        <v>https://innisfree-taiwan.myshopify.com/blogs/event/value-gift-set-for-gifting-or-personal-use</v>
      </c>
      <c r="V21" s="28" t="str">
        <f t="array" ref="V21">INDEX('raw-sheet'!$A$2:$ZZ$1000, ROW(V20), MATCH(V$1, 'raw-sheet'!$A$1:$ZZ$1, 0))</f>
        <v>超值精選禮盒💚 送禮自用超划算😍 | INNISFREE Taiwan</v>
      </c>
      <c r="W21" s="28" t="str">
        <f t="array" ref="W21">INDEX('raw-sheet'!$A$2:$ZZ$1000, ROW(W20),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1" s="28" t="str">
        <f t="array" ref="X21">INDEX('raw-sheet'!$A$2:$ZZ$1000, ROW(X20), MATCH(X$1, 'raw-sheet'!$A$1:$ZZ$1, 0))</f>
        <v>summary_large_image</v>
      </c>
      <c r="Y21" s="30" t="s">
        <v>56</v>
      </c>
      <c r="Z21" s="28" t="str">
        <f>VLOOKUP($A21,'raw-schema'!$A:$R,14,0)</f>
        <v>Article</v>
      </c>
      <c r="AA21" s="28" t="str">
        <f>VLOOKUP($A21,'raw-schema'!$A:$R,15,0)</f>
        <v>Organization</v>
      </c>
      <c r="AB21" s="28" t="str">
        <f>VLOOKUP($A21,'raw-schema'!$A:$R,16,0)</f>
        <v>Person</v>
      </c>
      <c r="AC21" s="28" t="str">
        <f>VLOOKUP($A21,'raw-schema'!$A:$R,17,0)</f>
        <v>WebPage</v>
      </c>
      <c r="AD21" s="28">
        <f>VLOOKUP($A21,'raw-schema'!$A:$R,18,0)</f>
        <v>0</v>
      </c>
      <c r="AE21" s="31" t="s">
        <v>63</v>
      </c>
    </row>
    <row r="22" spans="1:32" x14ac:dyDescent="0.3">
      <c r="A22" s="28" t="str">
        <f t="array" ref="A22">INDEX('raw-sheet'!$A$2:$ZZ$1000, ROW(A21), MATCH(A$1, 'raw-sheet'!$A$1:$ZZ$1, 0))</f>
        <v>https://innisfree-taiwan.myshopify.com/blogs/event/welcome-new-inni-friends-to-the-island-of-freedom</v>
      </c>
      <c r="B22" s="30" t="s">
        <v>11</v>
      </c>
      <c r="C22" s="28" t="str">
        <f t="array" ref="C22">INDEX('raw-sheet'!$A$2:$ZZ$1000, ROW(C21), MATCH(C$1, 'raw-sheet'!$A$1:$ZZ$1, 0))</f>
        <v>Blog Page</v>
      </c>
      <c r="D22" s="28">
        <f t="array" ref="D22">INDEX('raw-sheet'!$A$2:$ZZ$1000, ROW(D21), MATCH(D$1, 'raw-sheet'!$A$1:$ZZ$1, 0))</f>
        <v>200</v>
      </c>
      <c r="E22" s="30" t="str">
        <f t="shared" si="0"/>
        <v>Pass</v>
      </c>
      <c r="F22" s="28" t="str">
        <f t="array" ref="F22">INDEX('raw-sheet'!$A$2:$ZZ$1000, ROW(F21), MATCH(F$1, 'raw-sheet'!$A$1:$ZZ$1, 0))</f>
        <v>歡迎INNI新朋友來到自由之島🙌_x000D_ | INNISFREE Taiwan</v>
      </c>
      <c r="G22" s="30" t="s">
        <v>11</v>
      </c>
      <c r="H22" s="28">
        <f t="array" ref="H22">INDEX('raw-sheet'!$A$2:$ZZ$1000, ROW(H21), MATCH(H$1, 'raw-sheet'!$A$1:$ZZ$1, 0))</f>
        <v>0</v>
      </c>
      <c r="I22" s="30" t="s">
        <v>61</v>
      </c>
      <c r="J22" s="28" t="str">
        <f t="array" ref="J22">INDEX('raw-sheet'!$A$2:$ZZ$1000, ROW(J21), MATCH(J$1, 'raw-sheet'!$A$1:$ZZ$1, 0))</f>
        <v>歡迎INNI新朋友來到自由之島🙌</v>
      </c>
      <c r="K22" s="28" t="str">
        <f t="array" ref="K22">INDEX('raw-sheet'!$A$2:$ZZ$1000, ROW(K21), MATCH(K$1, 'raw-sheet'!$A$1:$ZZ$1, 0))</f>
        <v>1</v>
      </c>
      <c r="L22" s="30" t="s">
        <v>11</v>
      </c>
      <c r="M22" s="28" t="str">
        <f t="array" ref="M22">INDEX('raw-sheet'!$A$2:$ZZ$1000, ROW(M21), MATCH(M$1, 'raw-sheet'!$A$1:$ZZ$1, 0))</f>
        <v>https://innisfree-taiwan.myshopify.com/blogs/event/welcome-new-inni-friends-to-the-island-of-freedom</v>
      </c>
      <c r="N22" s="30" t="str">
        <f t="shared" si="1"/>
        <v>Pass</v>
      </c>
      <c r="O22" s="28" t="str">
        <f t="array" ref="O22">INDEX('raw-sheet'!$A$2:$ZZ$1000, ROW(O21), MATCH(O$1, 'raw-sheet'!$A$1:$ZZ$1, 0))</f>
        <v>歡迎INNI新朋友來到自由之島🙌 | INNISFREE Taiwan</v>
      </c>
      <c r="P22" s="28" t="str">
        <f t="array" ref="P22">INDEX('raw-sheet'!$A$2:$ZZ$1000, ROW(P21),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2" s="28" t="str">
        <f t="array" ref="Q22">INDEX('raw-sheet'!$A$2:$ZZ$1000, ROW(Q21), MATCH(Q$1, 'raw-sheet'!$A$1:$ZZ$1, 0))</f>
        <v>article</v>
      </c>
      <c r="R22" s="28" t="str">
        <f t="array" ref="R22">INDEX('raw-sheet'!$A$2:$ZZ$1000, ROW(R21), MATCH(R$1, 'raw-sheet'!$A$1:$ZZ$1, 0))</f>
        <v>INNISFREE Taiwan</v>
      </c>
      <c r="S22" s="28" t="str">
        <f t="array" ref="S22">INDEX('raw-sheet'!$A$2:$ZZ$1000, ROW(S21), MATCH(S$1, 'raw-sheet'!$A$1:$ZZ$1, 0))</f>
        <v>http://innisfree-taiwan.myshopify.com/cdn/shop/articles/375_EV0102_attimg_origin.jpg?v=1768455375</v>
      </c>
      <c r="T22" s="28" t="str">
        <f t="array" ref="T22">INDEX('raw-sheet'!$A$2:$ZZ$1000, ROW(T21), MATCH(T$1, 'raw-sheet'!$A$1:$ZZ$1, 0))</f>
        <v>https://innisfree-taiwan.myshopify.com/cdn/shop/articles/375_EV0102_attimg_origin.jpg?v=1768455375</v>
      </c>
      <c r="U22" s="28" t="str">
        <f t="array" ref="U22">INDEX('raw-sheet'!$A$2:$ZZ$1000, ROW(U21), MATCH(U$1, 'raw-sheet'!$A$1:$ZZ$1, 0))</f>
        <v>https://innisfree-taiwan.myshopify.com/blogs/event/welcome-new-inni-friends-to-the-island-of-freedom</v>
      </c>
      <c r="V22" s="28" t="str">
        <f t="array" ref="V22">INDEX('raw-sheet'!$A$2:$ZZ$1000, ROW(V21), MATCH(V$1, 'raw-sheet'!$A$1:$ZZ$1, 0))</f>
        <v>歡迎INNI新朋友來到自由之島🙌 | INNISFREE Taiwan</v>
      </c>
      <c r="W22" s="28" t="str">
        <f t="array" ref="W22">INDEX('raw-sheet'!$A$2:$ZZ$1000, ROW(W21),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2" s="28" t="str">
        <f t="array" ref="X22">INDEX('raw-sheet'!$A$2:$ZZ$1000, ROW(X21), MATCH(X$1, 'raw-sheet'!$A$1:$ZZ$1, 0))</f>
        <v>summary_large_image</v>
      </c>
      <c r="Y22" s="30" t="s">
        <v>56</v>
      </c>
      <c r="Z22" s="28" t="str">
        <f>VLOOKUP($A22,'raw-schema'!$A:$R,14,0)</f>
        <v>Article</v>
      </c>
      <c r="AA22" s="28" t="str">
        <f>VLOOKUP($A22,'raw-schema'!$A:$R,15,0)</f>
        <v>Organization</v>
      </c>
      <c r="AB22" s="28" t="str">
        <f>VLOOKUP($A22,'raw-schema'!$A:$R,16,0)</f>
        <v>Person</v>
      </c>
      <c r="AC22" s="28" t="str">
        <f>VLOOKUP($A22,'raw-schema'!$A:$R,17,0)</f>
        <v>WebPage</v>
      </c>
      <c r="AD22" s="28">
        <f>VLOOKUP($A22,'raw-schema'!$A:$R,18,0)</f>
        <v>0</v>
      </c>
      <c r="AE22" s="31" t="s">
        <v>63</v>
      </c>
    </row>
    <row r="23" spans="1:32" x14ac:dyDescent="0.3">
      <c r="A23" s="28" t="str">
        <f t="array" ref="A23">INDEX('raw-sheet'!$A$2:$ZZ$1000, ROW(A22), MATCH(A$1, 'raw-sheet'!$A$1:$ZZ$1, 0))</f>
        <v>https://innisfree-taiwan.myshopify.com/blogs/event/{{%20routes.collections_url%20}}/promotion</v>
      </c>
      <c r="B23" s="30"/>
      <c r="C23" s="28" t="str">
        <f t="array" ref="C23">INDEX('raw-sheet'!$A$2:$ZZ$1000, ROW(C22), MATCH(C$1, 'raw-sheet'!$A$1:$ZZ$1, 0))</f>
        <v>Blog Page</v>
      </c>
      <c r="D23" s="28">
        <f t="array" ref="D23">INDEX('raw-sheet'!$A$2:$ZZ$1000, ROW(D22), MATCH(D$1, 'raw-sheet'!$A$1:$ZZ$1, 0))</f>
        <v>404</v>
      </c>
      <c r="E23" s="30" t="str">
        <f t="shared" si="0"/>
        <v>Not</v>
      </c>
      <c r="F23" s="28">
        <f t="array" ref="F23">INDEX('raw-sheet'!$A$2:$ZZ$1000, ROW(F22), MATCH(F$1, 'raw-sheet'!$A$1:$ZZ$1, 0))</f>
        <v>0</v>
      </c>
      <c r="G23" s="30"/>
      <c r="H23" s="28">
        <f t="array" ref="H23">INDEX('raw-sheet'!$A$2:$ZZ$1000, ROW(H22), MATCH(H$1, 'raw-sheet'!$A$1:$ZZ$1, 0))</f>
        <v>0</v>
      </c>
      <c r="I23" s="30"/>
      <c r="J23" s="28">
        <f t="array" ref="J23">INDEX('raw-sheet'!$A$2:$ZZ$1000, ROW(J22), MATCH(J$1, 'raw-sheet'!$A$1:$ZZ$1, 0))</f>
        <v>0</v>
      </c>
      <c r="K23" s="28">
        <f t="array" ref="K23">INDEX('raw-sheet'!$A$2:$ZZ$1000, ROW(K22), MATCH(K$1, 'raw-sheet'!$A$1:$ZZ$1, 0))</f>
        <v>0</v>
      </c>
      <c r="L23" s="30"/>
      <c r="M23" s="28">
        <f t="array" ref="M23">INDEX('raw-sheet'!$A$2:$ZZ$1000, ROW(M22), MATCH(M$1, 'raw-sheet'!$A$1:$ZZ$1, 0))</f>
        <v>0</v>
      </c>
      <c r="N23" s="30" t="str">
        <f t="shared" si="1"/>
        <v>Not</v>
      </c>
      <c r="O23" s="28">
        <f t="array" ref="O23">INDEX('raw-sheet'!$A$2:$ZZ$1000, ROW(O22), MATCH(O$1, 'raw-sheet'!$A$1:$ZZ$1, 0))</f>
        <v>0</v>
      </c>
      <c r="P23" s="28">
        <f t="array" ref="P23">INDEX('raw-sheet'!$A$2:$ZZ$1000, ROW(P22), MATCH(P$1, 'raw-sheet'!$A$1:$ZZ$1, 0))</f>
        <v>0</v>
      </c>
      <c r="Q23" s="28">
        <f t="array" ref="Q23">INDEX('raw-sheet'!$A$2:$ZZ$1000, ROW(Q22), MATCH(Q$1, 'raw-sheet'!$A$1:$ZZ$1, 0))</f>
        <v>0</v>
      </c>
      <c r="R23" s="28">
        <f t="array" ref="R23">INDEX('raw-sheet'!$A$2:$ZZ$1000, ROW(R22), MATCH(R$1, 'raw-sheet'!$A$1:$ZZ$1, 0))</f>
        <v>0</v>
      </c>
      <c r="S23" s="28">
        <f t="array" ref="S23">INDEX('raw-sheet'!$A$2:$ZZ$1000, ROW(S22), MATCH(S$1, 'raw-sheet'!$A$1:$ZZ$1, 0))</f>
        <v>0</v>
      </c>
      <c r="T23" s="28">
        <f t="array" ref="T23">INDEX('raw-sheet'!$A$2:$ZZ$1000, ROW(T22), MATCH(T$1, 'raw-sheet'!$A$1:$ZZ$1, 0))</f>
        <v>0</v>
      </c>
      <c r="U23" s="28">
        <f t="array" ref="U23">INDEX('raw-sheet'!$A$2:$ZZ$1000, ROW(U22), MATCH(U$1, 'raw-sheet'!$A$1:$ZZ$1, 0))</f>
        <v>0</v>
      </c>
      <c r="V23" s="28">
        <f t="array" ref="V23">INDEX('raw-sheet'!$A$2:$ZZ$1000, ROW(V22), MATCH(V$1, 'raw-sheet'!$A$1:$ZZ$1, 0))</f>
        <v>0</v>
      </c>
      <c r="W23" s="28">
        <f t="array" ref="W23">INDEX('raw-sheet'!$A$2:$ZZ$1000, ROW(W22), MATCH(W$1, 'raw-sheet'!$A$1:$ZZ$1, 0))</f>
        <v>0</v>
      </c>
      <c r="X23" s="28">
        <f t="array" ref="X23">INDEX('raw-sheet'!$A$2:$ZZ$1000, ROW(X22), MATCH(X$1, 'raw-sheet'!$A$1:$ZZ$1, 0))</f>
        <v>0</v>
      </c>
      <c r="Y23" s="30"/>
      <c r="Z23" s="28" t="e">
        <f>VLOOKUP($A23,'raw-schema'!$A:$R,14,0)</f>
        <v>#N/A</v>
      </c>
      <c r="AA23" s="28" t="e">
        <f>VLOOKUP($A23,'raw-schema'!$A:$R,15,0)</f>
        <v>#N/A</v>
      </c>
      <c r="AB23" s="28" t="e">
        <f>VLOOKUP($A23,'raw-schema'!$A:$R,16,0)</f>
        <v>#N/A</v>
      </c>
      <c r="AC23" s="28" t="e">
        <f>VLOOKUP($A23,'raw-schema'!$A:$R,17,0)</f>
        <v>#N/A</v>
      </c>
      <c r="AD23" s="28" t="e">
        <f>VLOOKUP($A23,'raw-schema'!$A:$R,18,0)</f>
        <v>#N/A</v>
      </c>
      <c r="AE23" s="31"/>
      <c r="AF23" t="s">
        <v>58</v>
      </c>
    </row>
    <row r="24" spans="1:32" x14ac:dyDescent="0.3">
      <c r="A24" s="28" t="str">
        <f t="array" ref="A24">INDEX('raw-sheet'!$A$2:$ZZ$1000, ROW(A23), MATCH(A$1, 'raw-sheet'!$A$1:$ZZ$1, 0))</f>
        <v>https://innisfree-taiwan.myshopify.com/blogs/event?page=1</v>
      </c>
      <c r="B24" s="30" t="s">
        <v>11</v>
      </c>
      <c r="C24" s="28" t="str">
        <f t="array" ref="C24">INDEX('raw-sheet'!$A$2:$ZZ$1000, ROW(C23), MATCH(C$1, 'raw-sheet'!$A$1:$ZZ$1, 0))</f>
        <v>Blog Page</v>
      </c>
      <c r="D24" s="28">
        <f t="array" ref="D24">INDEX('raw-sheet'!$A$2:$ZZ$1000, ROW(D23), MATCH(D$1, 'raw-sheet'!$A$1:$ZZ$1, 0))</f>
        <v>200</v>
      </c>
      <c r="E24" s="30" t="str">
        <f t="shared" si="0"/>
        <v>Pass</v>
      </c>
      <c r="F24" s="28" t="str">
        <f t="array" ref="F24">INDEX('raw-sheet'!$A$2:$ZZ$1000, ROW(F23), MATCH(F$1, 'raw-sheet'!$A$1:$ZZ$1, 0))</f>
        <v>活動_x000D_ | INNISFREE Taiwan</v>
      </c>
      <c r="G24" s="30" t="s">
        <v>11</v>
      </c>
      <c r="H24" s="28">
        <f t="array" ref="H24">INDEX('raw-sheet'!$A$2:$ZZ$1000, ROW(H23), MATCH(H$1, 'raw-sheet'!$A$1:$ZZ$1, 0))</f>
        <v>0</v>
      </c>
      <c r="I24" s="30" t="s">
        <v>61</v>
      </c>
      <c r="J24" s="28" t="str">
        <f t="array" ref="J24">INDEX('raw-sheet'!$A$2:$ZZ$1000, ROW(J23), MATCH(J$1, 'raw-sheet'!$A$1:$ZZ$1, 0))</f>
        <v>活動</v>
      </c>
      <c r="K24" s="28" t="str">
        <f t="array" ref="K24">INDEX('raw-sheet'!$A$2:$ZZ$1000, ROW(K23), MATCH(K$1, 'raw-sheet'!$A$1:$ZZ$1, 0))</f>
        <v>1</v>
      </c>
      <c r="L24" s="30" t="s">
        <v>60</v>
      </c>
      <c r="M24" s="28" t="str">
        <f t="array" ref="M24">INDEX('raw-sheet'!$A$2:$ZZ$1000, ROW(M23), MATCH(M$1, 'raw-sheet'!$A$1:$ZZ$1, 0))</f>
        <v>https://innisfree-taiwan.myshopify.com/blogs/event</v>
      </c>
      <c r="N24" s="30" t="str">
        <f t="shared" si="1"/>
        <v>Not</v>
      </c>
      <c r="O24" s="28" t="str">
        <f t="array" ref="O24">INDEX('raw-sheet'!$A$2:$ZZ$1000, ROW(O23), MATCH(O$1, 'raw-sheet'!$A$1:$ZZ$1, 0))</f>
        <v>活動 | INNISFREE Taiwan</v>
      </c>
      <c r="P24" s="28" t="str">
        <f t="array" ref="P24">INDEX('raw-sheet'!$A$2:$ZZ$1000, ROW(P23),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4" s="28" t="str">
        <f t="array" ref="Q24">INDEX('raw-sheet'!$A$2:$ZZ$1000, ROW(Q23), MATCH(Q$1, 'raw-sheet'!$A$1:$ZZ$1, 0))</f>
        <v>website</v>
      </c>
      <c r="R24" s="28" t="str">
        <f t="array" ref="R24">INDEX('raw-sheet'!$A$2:$ZZ$1000, ROW(R23), MATCH(R$1, 'raw-sheet'!$A$1:$ZZ$1, 0))</f>
        <v>INNISFREE Taiwan</v>
      </c>
      <c r="S24" s="28" t="str">
        <f t="array" ref="S24">INDEX('raw-sheet'!$A$2:$ZZ$1000, ROW(S23), MATCH(S$1, 'raw-sheet'!$A$1:$ZZ$1, 0))</f>
        <v>http://innisfree-taiwan.myshopify.com/cdn/shop/files/logo.png?v=1767594135</v>
      </c>
      <c r="T24" s="28" t="str">
        <f t="array" ref="T24">INDEX('raw-sheet'!$A$2:$ZZ$1000, ROW(T23), MATCH(T$1, 'raw-sheet'!$A$1:$ZZ$1, 0))</f>
        <v>https://innisfree-taiwan.myshopify.com/cdn/shop/files/logo.png?v=1767594135</v>
      </c>
      <c r="U24" s="28" t="str">
        <f t="array" ref="U24">INDEX('raw-sheet'!$A$2:$ZZ$1000, ROW(U23), MATCH(U$1, 'raw-sheet'!$A$1:$ZZ$1, 0))</f>
        <v>https://innisfree-taiwan.myshopify.com/blogs/event</v>
      </c>
      <c r="V24" s="28" t="str">
        <f t="array" ref="V24">INDEX('raw-sheet'!$A$2:$ZZ$1000, ROW(V23), MATCH(V$1, 'raw-sheet'!$A$1:$ZZ$1, 0))</f>
        <v>活動 | INNISFREE Taiwan</v>
      </c>
      <c r="W24" s="28" t="str">
        <f t="array" ref="W24">INDEX('raw-sheet'!$A$2:$ZZ$1000, ROW(W23),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4" s="28" t="str">
        <f t="array" ref="X24">INDEX('raw-sheet'!$A$2:$ZZ$1000, ROW(X23), MATCH(X$1, 'raw-sheet'!$A$1:$ZZ$1, 0))</f>
        <v>summary_large_image</v>
      </c>
      <c r="Y24" s="30" t="s">
        <v>62</v>
      </c>
      <c r="Z24" s="28" t="str">
        <f>VLOOKUP($A24,'raw-schema'!$A:$R,14,0)</f>
        <v>Organization</v>
      </c>
      <c r="AA24" s="28">
        <f>VLOOKUP($A24,'raw-schema'!$A:$R,15,0)</f>
        <v>0</v>
      </c>
      <c r="AB24" s="28">
        <f>VLOOKUP($A24,'raw-schema'!$A:$R,16,0)</f>
        <v>0</v>
      </c>
      <c r="AC24" s="28">
        <f>VLOOKUP($A24,'raw-schema'!$A:$R,17,0)</f>
        <v>0</v>
      </c>
      <c r="AD24" s="28">
        <f>VLOOKUP($A24,'raw-schema'!$A:$R,18,0)</f>
        <v>0</v>
      </c>
      <c r="AE24" s="31" t="s">
        <v>63</v>
      </c>
      <c r="AF24" t="s">
        <v>65</v>
      </c>
    </row>
    <row r="25" spans="1:32" x14ac:dyDescent="0.3">
      <c r="A25" s="28" t="str">
        <f t="array" ref="A25">INDEX('raw-sheet'!$A$2:$ZZ$1000, ROW(A24), MATCH(A$1, 'raw-sheet'!$A$1:$ZZ$1, 0))</f>
        <v>https://innisfree-taiwan.myshopify.com/blogs/event?page=2</v>
      </c>
      <c r="B25" s="30" t="s">
        <v>11</v>
      </c>
      <c r="C25" s="28" t="str">
        <f t="array" ref="C25">INDEX('raw-sheet'!$A$2:$ZZ$1000, ROW(C24), MATCH(C$1, 'raw-sheet'!$A$1:$ZZ$1, 0))</f>
        <v>Blog Page</v>
      </c>
      <c r="D25" s="28">
        <f t="array" ref="D25">INDEX('raw-sheet'!$A$2:$ZZ$1000, ROW(D24), MATCH(D$1, 'raw-sheet'!$A$1:$ZZ$1, 0))</f>
        <v>200</v>
      </c>
      <c r="E25" s="30" t="str">
        <f t="shared" si="0"/>
        <v>Pass</v>
      </c>
      <c r="F25" s="28" t="str">
        <f t="array" ref="F25">INDEX('raw-sheet'!$A$2:$ZZ$1000, ROW(F24), MATCH(F$1, 'raw-sheet'!$A$1:$ZZ$1, 0))</f>
        <v>活動_x000D_ – Page 2 | INNISFREE Taiwan</v>
      </c>
      <c r="G25" s="30" t="s">
        <v>11</v>
      </c>
      <c r="H25" s="28">
        <f t="array" ref="H25">INDEX('raw-sheet'!$A$2:$ZZ$1000, ROW(H24), MATCH(H$1, 'raw-sheet'!$A$1:$ZZ$1, 0))</f>
        <v>0</v>
      </c>
      <c r="I25" s="30" t="s">
        <v>61</v>
      </c>
      <c r="J25" s="28" t="str">
        <f t="array" ref="J25">INDEX('raw-sheet'!$A$2:$ZZ$1000, ROW(J24), MATCH(J$1, 'raw-sheet'!$A$1:$ZZ$1, 0))</f>
        <v>活動</v>
      </c>
      <c r="K25" s="28" t="str">
        <f t="array" ref="K25">INDEX('raw-sheet'!$A$2:$ZZ$1000, ROW(K24), MATCH(K$1, 'raw-sheet'!$A$1:$ZZ$1, 0))</f>
        <v>1</v>
      </c>
      <c r="L25" s="30" t="s">
        <v>60</v>
      </c>
      <c r="M25" s="28" t="str">
        <f t="array" ref="M25">INDEX('raw-sheet'!$A$2:$ZZ$1000, ROW(M24), MATCH(M$1, 'raw-sheet'!$A$1:$ZZ$1, 0))</f>
        <v>https://innisfree-taiwan.myshopify.com/blogs/event?page=2</v>
      </c>
      <c r="N25" s="30" t="str">
        <f t="shared" si="1"/>
        <v>Pass</v>
      </c>
      <c r="O25" s="28" t="str">
        <f t="array" ref="O25">INDEX('raw-sheet'!$A$2:$ZZ$1000, ROW(O24), MATCH(O$1, 'raw-sheet'!$A$1:$ZZ$1, 0))</f>
        <v>活動 | INNISFREE Taiwan</v>
      </c>
      <c r="P25" s="28" t="str">
        <f t="array" ref="P25">INDEX('raw-sheet'!$A$2:$ZZ$1000, ROW(P24),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5" s="28" t="str">
        <f t="array" ref="Q25">INDEX('raw-sheet'!$A$2:$ZZ$1000, ROW(Q24), MATCH(Q$1, 'raw-sheet'!$A$1:$ZZ$1, 0))</f>
        <v>website</v>
      </c>
      <c r="R25" s="28" t="str">
        <f t="array" ref="R25">INDEX('raw-sheet'!$A$2:$ZZ$1000, ROW(R24), MATCH(R$1, 'raw-sheet'!$A$1:$ZZ$1, 0))</f>
        <v>INNISFREE Taiwan</v>
      </c>
      <c r="S25" s="28" t="str">
        <f t="array" ref="S25">INDEX('raw-sheet'!$A$2:$ZZ$1000, ROW(S24), MATCH(S$1, 'raw-sheet'!$A$1:$ZZ$1, 0))</f>
        <v>http://innisfree-taiwan.myshopify.com/cdn/shop/files/logo.png?v=1767594135</v>
      </c>
      <c r="T25" s="28" t="str">
        <f t="array" ref="T25">INDEX('raw-sheet'!$A$2:$ZZ$1000, ROW(T24), MATCH(T$1, 'raw-sheet'!$A$1:$ZZ$1, 0))</f>
        <v>https://innisfree-taiwan.myshopify.com/cdn/shop/files/logo.png?v=1767594135</v>
      </c>
      <c r="U25" s="28" t="str">
        <f t="array" ref="U25">INDEX('raw-sheet'!$A$2:$ZZ$1000, ROW(U24), MATCH(U$1, 'raw-sheet'!$A$1:$ZZ$1, 0))</f>
        <v>https://innisfree-taiwan.myshopify.com/blogs/event?page=2</v>
      </c>
      <c r="V25" s="28" t="str">
        <f t="array" ref="V25">INDEX('raw-sheet'!$A$2:$ZZ$1000, ROW(V24), MATCH(V$1, 'raw-sheet'!$A$1:$ZZ$1, 0))</f>
        <v>活動 | INNISFREE Taiwan</v>
      </c>
      <c r="W25" s="28" t="str">
        <f t="array" ref="W25">INDEX('raw-sheet'!$A$2:$ZZ$1000, ROW(W24),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5" s="28" t="str">
        <f t="array" ref="X25">INDEX('raw-sheet'!$A$2:$ZZ$1000, ROW(X24), MATCH(X$1, 'raw-sheet'!$A$1:$ZZ$1, 0))</f>
        <v>summary_large_image</v>
      </c>
      <c r="Y25" s="30" t="s">
        <v>62</v>
      </c>
      <c r="Z25" s="28" t="str">
        <f>VLOOKUP($A25,'raw-schema'!$A:$R,14,0)</f>
        <v>Organization</v>
      </c>
      <c r="AA25" s="28">
        <f>VLOOKUP($A25,'raw-schema'!$A:$R,15,0)</f>
        <v>0</v>
      </c>
      <c r="AB25" s="28">
        <f>VLOOKUP($A25,'raw-schema'!$A:$R,16,0)</f>
        <v>0</v>
      </c>
      <c r="AC25" s="28">
        <f>VLOOKUP($A25,'raw-schema'!$A:$R,17,0)</f>
        <v>0</v>
      </c>
      <c r="AD25" s="28">
        <f>VLOOKUP($A25,'raw-schema'!$A:$R,18,0)</f>
        <v>0</v>
      </c>
      <c r="AE25" s="31" t="s">
        <v>63</v>
      </c>
      <c r="AF25" t="s">
        <v>65</v>
      </c>
    </row>
    <row r="26" spans="1:32" x14ac:dyDescent="0.3">
      <c r="A26" s="28" t="str">
        <f t="array" ref="A26">INDEX('raw-sheet'!$A$2:$ZZ$1000, ROW(A25), MATCH(A$1, 'raw-sheet'!$A$1:$ZZ$1, 0))</f>
        <v>https://innisfree-taiwan.myshopify.com/blogs/event?page=3</v>
      </c>
      <c r="B26" s="30" t="s">
        <v>11</v>
      </c>
      <c r="C26" s="28" t="str">
        <f t="array" ref="C26">INDEX('raw-sheet'!$A$2:$ZZ$1000, ROW(C25), MATCH(C$1, 'raw-sheet'!$A$1:$ZZ$1, 0))</f>
        <v>Blog Page</v>
      </c>
      <c r="D26" s="28">
        <f t="array" ref="D26">INDEX('raw-sheet'!$A$2:$ZZ$1000, ROW(D25), MATCH(D$1, 'raw-sheet'!$A$1:$ZZ$1, 0))</f>
        <v>200</v>
      </c>
      <c r="E26" s="30" t="str">
        <f t="shared" si="0"/>
        <v>Pass</v>
      </c>
      <c r="F26" s="28" t="str">
        <f t="array" ref="F26">INDEX('raw-sheet'!$A$2:$ZZ$1000, ROW(F25), MATCH(F$1, 'raw-sheet'!$A$1:$ZZ$1, 0))</f>
        <v>活動_x000D_ – Page 3 | INNISFREE Taiwan</v>
      </c>
      <c r="G26" s="30" t="s">
        <v>11</v>
      </c>
      <c r="H26" s="28">
        <f t="array" ref="H26">INDEX('raw-sheet'!$A$2:$ZZ$1000, ROW(H25), MATCH(H$1, 'raw-sheet'!$A$1:$ZZ$1, 0))</f>
        <v>0</v>
      </c>
      <c r="I26" s="30" t="s">
        <v>61</v>
      </c>
      <c r="J26" s="28" t="str">
        <f t="array" ref="J26">INDEX('raw-sheet'!$A$2:$ZZ$1000, ROW(J25), MATCH(J$1, 'raw-sheet'!$A$1:$ZZ$1, 0))</f>
        <v>活動</v>
      </c>
      <c r="K26" s="28" t="str">
        <f t="array" ref="K26">INDEX('raw-sheet'!$A$2:$ZZ$1000, ROW(K25), MATCH(K$1, 'raw-sheet'!$A$1:$ZZ$1, 0))</f>
        <v>1</v>
      </c>
      <c r="L26" s="30" t="s">
        <v>60</v>
      </c>
      <c r="M26" s="28" t="str">
        <f t="array" ref="M26">INDEX('raw-sheet'!$A$2:$ZZ$1000, ROW(M25), MATCH(M$1, 'raw-sheet'!$A$1:$ZZ$1, 0))</f>
        <v>https://innisfree-taiwan.myshopify.com/blogs/event?page=3</v>
      </c>
      <c r="N26" s="30" t="str">
        <f t="shared" si="1"/>
        <v>Pass</v>
      </c>
      <c r="O26" s="28" t="str">
        <f t="array" ref="O26">INDEX('raw-sheet'!$A$2:$ZZ$1000, ROW(O25), MATCH(O$1, 'raw-sheet'!$A$1:$ZZ$1, 0))</f>
        <v>活動 | INNISFREE Taiwan</v>
      </c>
      <c r="P26" s="28" t="str">
        <f t="array" ref="P26">INDEX('raw-sheet'!$A$2:$ZZ$1000, ROW(P25),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6" s="28" t="str">
        <f t="array" ref="Q26">INDEX('raw-sheet'!$A$2:$ZZ$1000, ROW(Q25), MATCH(Q$1, 'raw-sheet'!$A$1:$ZZ$1, 0))</f>
        <v>website</v>
      </c>
      <c r="R26" s="28" t="str">
        <f t="array" ref="R26">INDEX('raw-sheet'!$A$2:$ZZ$1000, ROW(R25), MATCH(R$1, 'raw-sheet'!$A$1:$ZZ$1, 0))</f>
        <v>INNISFREE Taiwan</v>
      </c>
      <c r="S26" s="28" t="str">
        <f t="array" ref="S26">INDEX('raw-sheet'!$A$2:$ZZ$1000, ROW(S25), MATCH(S$1, 'raw-sheet'!$A$1:$ZZ$1, 0))</f>
        <v>http://innisfree-taiwan.myshopify.com/cdn/shop/files/logo.png?v=1767594135</v>
      </c>
      <c r="T26" s="28" t="str">
        <f t="array" ref="T26">INDEX('raw-sheet'!$A$2:$ZZ$1000, ROW(T25), MATCH(T$1, 'raw-sheet'!$A$1:$ZZ$1, 0))</f>
        <v>https://innisfree-taiwan.myshopify.com/cdn/shop/files/logo.png?v=1767594135</v>
      </c>
      <c r="U26" s="28" t="str">
        <f t="array" ref="U26">INDEX('raw-sheet'!$A$2:$ZZ$1000, ROW(U25), MATCH(U$1, 'raw-sheet'!$A$1:$ZZ$1, 0))</f>
        <v>https://innisfree-taiwan.myshopify.com/blogs/event?page=3</v>
      </c>
      <c r="V26" s="28" t="str">
        <f t="array" ref="V26">INDEX('raw-sheet'!$A$2:$ZZ$1000, ROW(V25), MATCH(V$1, 'raw-sheet'!$A$1:$ZZ$1, 0))</f>
        <v>活動 | INNISFREE Taiwan</v>
      </c>
      <c r="W26" s="28" t="str">
        <f t="array" ref="W26">INDEX('raw-sheet'!$A$2:$ZZ$1000, ROW(W25),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6" s="28" t="str">
        <f t="array" ref="X26">INDEX('raw-sheet'!$A$2:$ZZ$1000, ROW(X25), MATCH(X$1, 'raw-sheet'!$A$1:$ZZ$1, 0))</f>
        <v>summary_large_image</v>
      </c>
      <c r="Y26" s="30" t="s">
        <v>62</v>
      </c>
      <c r="Z26" s="28" t="str">
        <f>VLOOKUP($A26,'raw-schema'!$A:$R,14,0)</f>
        <v>Organization</v>
      </c>
      <c r="AA26" s="28">
        <f>VLOOKUP($A26,'raw-schema'!$A:$R,15,0)</f>
        <v>0</v>
      </c>
      <c r="AB26" s="28">
        <f>VLOOKUP($A26,'raw-schema'!$A:$R,16,0)</f>
        <v>0</v>
      </c>
      <c r="AC26" s="28">
        <f>VLOOKUP($A26,'raw-schema'!$A:$R,17,0)</f>
        <v>0</v>
      </c>
      <c r="AD26" s="28">
        <f>VLOOKUP($A26,'raw-schema'!$A:$R,18,0)</f>
        <v>0</v>
      </c>
      <c r="AE26" s="31" t="s">
        <v>63</v>
      </c>
      <c r="AF26" t="s">
        <v>65</v>
      </c>
    </row>
    <row r="27" spans="1:32" x14ac:dyDescent="0.3">
      <c r="A27" s="28" t="str">
        <f t="array" ref="A27">INDEX('raw-sheet'!$A$2:$ZZ$1000, ROW(A26), MATCH(A$1, 'raw-sheet'!$A$1:$ZZ$1, 0))</f>
        <v>https://innisfree-taiwan.myshopify.com/blogs/event?page=4</v>
      </c>
      <c r="B27" s="30" t="s">
        <v>11</v>
      </c>
      <c r="C27" s="28" t="str">
        <f t="array" ref="C27">INDEX('raw-sheet'!$A$2:$ZZ$1000, ROW(C26), MATCH(C$1, 'raw-sheet'!$A$1:$ZZ$1, 0))</f>
        <v>Blog Page</v>
      </c>
      <c r="D27" s="28">
        <f t="array" ref="D27">INDEX('raw-sheet'!$A$2:$ZZ$1000, ROW(D26), MATCH(D$1, 'raw-sheet'!$A$1:$ZZ$1, 0))</f>
        <v>200</v>
      </c>
      <c r="E27" s="30" t="str">
        <f t="shared" si="0"/>
        <v>Pass</v>
      </c>
      <c r="F27" s="28" t="str">
        <f t="array" ref="F27">INDEX('raw-sheet'!$A$2:$ZZ$1000, ROW(F26), MATCH(F$1, 'raw-sheet'!$A$1:$ZZ$1, 0))</f>
        <v>活動_x000D_ – Page 4 | INNISFREE Taiwan</v>
      </c>
      <c r="G27" s="30" t="s">
        <v>11</v>
      </c>
      <c r="H27" s="28">
        <f t="array" ref="H27">INDEX('raw-sheet'!$A$2:$ZZ$1000, ROW(H26), MATCH(H$1, 'raw-sheet'!$A$1:$ZZ$1, 0))</f>
        <v>0</v>
      </c>
      <c r="I27" s="30" t="s">
        <v>61</v>
      </c>
      <c r="J27" s="28" t="str">
        <f t="array" ref="J27">INDEX('raw-sheet'!$A$2:$ZZ$1000, ROW(J26), MATCH(J$1, 'raw-sheet'!$A$1:$ZZ$1, 0))</f>
        <v>活動</v>
      </c>
      <c r="K27" s="28" t="str">
        <f t="array" ref="K27">INDEX('raw-sheet'!$A$2:$ZZ$1000, ROW(K26), MATCH(K$1, 'raw-sheet'!$A$1:$ZZ$1, 0))</f>
        <v>1</v>
      </c>
      <c r="L27" s="30" t="s">
        <v>60</v>
      </c>
      <c r="M27" s="28" t="str">
        <f t="array" ref="M27">INDEX('raw-sheet'!$A$2:$ZZ$1000, ROW(M26), MATCH(M$1, 'raw-sheet'!$A$1:$ZZ$1, 0))</f>
        <v>https://innisfree-taiwan.myshopify.com/blogs/event?page=4</v>
      </c>
      <c r="N27" s="30" t="str">
        <f t="shared" si="1"/>
        <v>Pass</v>
      </c>
      <c r="O27" s="28" t="str">
        <f t="array" ref="O27">INDEX('raw-sheet'!$A$2:$ZZ$1000, ROW(O26), MATCH(O$1, 'raw-sheet'!$A$1:$ZZ$1, 0))</f>
        <v>活動 | INNISFREE Taiwan</v>
      </c>
      <c r="P27" s="28" t="str">
        <f t="array" ref="P27">INDEX('raw-sheet'!$A$2:$ZZ$1000, ROW(P26),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7" s="28" t="str">
        <f t="array" ref="Q27">INDEX('raw-sheet'!$A$2:$ZZ$1000, ROW(Q26), MATCH(Q$1, 'raw-sheet'!$A$1:$ZZ$1, 0))</f>
        <v>website</v>
      </c>
      <c r="R27" s="28" t="str">
        <f t="array" ref="R27">INDEX('raw-sheet'!$A$2:$ZZ$1000, ROW(R26), MATCH(R$1, 'raw-sheet'!$A$1:$ZZ$1, 0))</f>
        <v>INNISFREE Taiwan</v>
      </c>
      <c r="S27" s="28" t="str">
        <f t="array" ref="S27">INDEX('raw-sheet'!$A$2:$ZZ$1000, ROW(S26), MATCH(S$1, 'raw-sheet'!$A$1:$ZZ$1, 0))</f>
        <v>http://innisfree-taiwan.myshopify.com/cdn/shop/files/logo.png?v=1767594135</v>
      </c>
      <c r="T27" s="28" t="str">
        <f t="array" ref="T27">INDEX('raw-sheet'!$A$2:$ZZ$1000, ROW(T26), MATCH(T$1, 'raw-sheet'!$A$1:$ZZ$1, 0))</f>
        <v>https://innisfree-taiwan.myshopify.com/cdn/shop/files/logo.png?v=1767594135</v>
      </c>
      <c r="U27" s="28" t="str">
        <f t="array" ref="U27">INDEX('raw-sheet'!$A$2:$ZZ$1000, ROW(U26), MATCH(U$1, 'raw-sheet'!$A$1:$ZZ$1, 0))</f>
        <v>https://innisfree-taiwan.myshopify.com/blogs/event?page=4</v>
      </c>
      <c r="V27" s="28" t="str">
        <f t="array" ref="V27">INDEX('raw-sheet'!$A$2:$ZZ$1000, ROW(V26), MATCH(V$1, 'raw-sheet'!$A$1:$ZZ$1, 0))</f>
        <v>活動 | INNISFREE Taiwan</v>
      </c>
      <c r="W27" s="28" t="str">
        <f t="array" ref="W27">INDEX('raw-sheet'!$A$2:$ZZ$1000, ROW(W26),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7" s="28" t="str">
        <f t="array" ref="X27">INDEX('raw-sheet'!$A$2:$ZZ$1000, ROW(X26), MATCH(X$1, 'raw-sheet'!$A$1:$ZZ$1, 0))</f>
        <v>summary_large_image</v>
      </c>
      <c r="Y27" s="30" t="s">
        <v>62</v>
      </c>
      <c r="Z27" s="28" t="str">
        <f>VLOOKUP($A27,'raw-schema'!$A:$R,14,0)</f>
        <v>Organization</v>
      </c>
      <c r="AA27" s="28">
        <f>VLOOKUP($A27,'raw-schema'!$A:$R,15,0)</f>
        <v>0</v>
      </c>
      <c r="AB27" s="28">
        <f>VLOOKUP($A27,'raw-schema'!$A:$R,16,0)</f>
        <v>0</v>
      </c>
      <c r="AC27" s="28">
        <f>VLOOKUP($A27,'raw-schema'!$A:$R,17,0)</f>
        <v>0</v>
      </c>
      <c r="AD27" s="28">
        <f>VLOOKUP($A27,'raw-schema'!$A:$R,18,0)</f>
        <v>0</v>
      </c>
      <c r="AE27" s="31" t="s">
        <v>63</v>
      </c>
      <c r="AF27" t="s">
        <v>65</v>
      </c>
    </row>
    <row r="28" spans="1:32" x14ac:dyDescent="0.3">
      <c r="A28" s="28" t="str">
        <f t="array" ref="A28">INDEX('raw-sheet'!$A$2:$ZZ$1000, ROW(A27), MATCH(A$1, 'raw-sheet'!$A$1:$ZZ$1, 0))</f>
        <v>https://innisfree-taiwan.myshopify.com/blogs/event?page=5</v>
      </c>
      <c r="B28" s="30" t="s">
        <v>11</v>
      </c>
      <c r="C28" s="28" t="str">
        <f t="array" ref="C28">INDEX('raw-sheet'!$A$2:$ZZ$1000, ROW(C27), MATCH(C$1, 'raw-sheet'!$A$1:$ZZ$1, 0))</f>
        <v>Blog Page</v>
      </c>
      <c r="D28" s="28">
        <f t="array" ref="D28">INDEX('raw-sheet'!$A$2:$ZZ$1000, ROW(D27), MATCH(D$1, 'raw-sheet'!$A$1:$ZZ$1, 0))</f>
        <v>200</v>
      </c>
      <c r="E28" s="30" t="str">
        <f t="shared" si="0"/>
        <v>Pass</v>
      </c>
      <c r="F28" s="28" t="str">
        <f t="array" ref="F28">INDEX('raw-sheet'!$A$2:$ZZ$1000, ROW(F27), MATCH(F$1, 'raw-sheet'!$A$1:$ZZ$1, 0))</f>
        <v>活動_x000D_ – Page 5 | INNISFREE Taiwan</v>
      </c>
      <c r="G28" s="30" t="s">
        <v>11</v>
      </c>
      <c r="H28" s="28">
        <f t="array" ref="H28">INDEX('raw-sheet'!$A$2:$ZZ$1000, ROW(H27), MATCH(H$1, 'raw-sheet'!$A$1:$ZZ$1, 0))</f>
        <v>0</v>
      </c>
      <c r="I28" s="30" t="s">
        <v>61</v>
      </c>
      <c r="J28" s="28" t="str">
        <f t="array" ref="J28">INDEX('raw-sheet'!$A$2:$ZZ$1000, ROW(J27), MATCH(J$1, 'raw-sheet'!$A$1:$ZZ$1, 0))</f>
        <v>活動</v>
      </c>
      <c r="K28" s="28" t="str">
        <f t="array" ref="K28">INDEX('raw-sheet'!$A$2:$ZZ$1000, ROW(K27), MATCH(K$1, 'raw-sheet'!$A$1:$ZZ$1, 0))</f>
        <v>1</v>
      </c>
      <c r="L28" s="30" t="s">
        <v>60</v>
      </c>
      <c r="M28" s="28" t="str">
        <f t="array" ref="M28">INDEX('raw-sheet'!$A$2:$ZZ$1000, ROW(M27), MATCH(M$1, 'raw-sheet'!$A$1:$ZZ$1, 0))</f>
        <v>https://innisfree-taiwan.myshopify.com/blogs/event?page=5</v>
      </c>
      <c r="N28" s="30" t="str">
        <f t="shared" si="1"/>
        <v>Pass</v>
      </c>
      <c r="O28" s="28" t="str">
        <f t="array" ref="O28">INDEX('raw-sheet'!$A$2:$ZZ$1000, ROW(O27), MATCH(O$1, 'raw-sheet'!$A$1:$ZZ$1, 0))</f>
        <v>活動 | INNISFREE Taiwan</v>
      </c>
      <c r="P28" s="28" t="str">
        <f t="array" ref="P28">INDEX('raw-sheet'!$A$2:$ZZ$1000, ROW(P27),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8" s="28" t="str">
        <f t="array" ref="Q28">INDEX('raw-sheet'!$A$2:$ZZ$1000, ROW(Q27), MATCH(Q$1, 'raw-sheet'!$A$1:$ZZ$1, 0))</f>
        <v>website</v>
      </c>
      <c r="R28" s="28" t="str">
        <f t="array" ref="R28">INDEX('raw-sheet'!$A$2:$ZZ$1000, ROW(R27), MATCH(R$1, 'raw-sheet'!$A$1:$ZZ$1, 0))</f>
        <v>INNISFREE Taiwan</v>
      </c>
      <c r="S28" s="28" t="str">
        <f t="array" ref="S28">INDEX('raw-sheet'!$A$2:$ZZ$1000, ROW(S27), MATCH(S$1, 'raw-sheet'!$A$1:$ZZ$1, 0))</f>
        <v>http://innisfree-taiwan.myshopify.com/cdn/shop/files/logo.png?v=1767594135</v>
      </c>
      <c r="T28" s="28" t="str">
        <f t="array" ref="T28">INDEX('raw-sheet'!$A$2:$ZZ$1000, ROW(T27), MATCH(T$1, 'raw-sheet'!$A$1:$ZZ$1, 0))</f>
        <v>https://innisfree-taiwan.myshopify.com/cdn/shop/files/logo.png?v=1767594135</v>
      </c>
      <c r="U28" s="28" t="str">
        <f t="array" ref="U28">INDEX('raw-sheet'!$A$2:$ZZ$1000, ROW(U27), MATCH(U$1, 'raw-sheet'!$A$1:$ZZ$1, 0))</f>
        <v>https://innisfree-taiwan.myshopify.com/blogs/event?page=5</v>
      </c>
      <c r="V28" s="28" t="str">
        <f t="array" ref="V28">INDEX('raw-sheet'!$A$2:$ZZ$1000, ROW(V27), MATCH(V$1, 'raw-sheet'!$A$1:$ZZ$1, 0))</f>
        <v>活動 | INNISFREE Taiwan</v>
      </c>
      <c r="W28" s="28" t="str">
        <f t="array" ref="W28">INDEX('raw-sheet'!$A$2:$ZZ$1000, ROW(W27),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8" s="28" t="str">
        <f t="array" ref="X28">INDEX('raw-sheet'!$A$2:$ZZ$1000, ROW(X27), MATCH(X$1, 'raw-sheet'!$A$1:$ZZ$1, 0))</f>
        <v>summary_large_image</v>
      </c>
      <c r="Y28" s="30" t="s">
        <v>62</v>
      </c>
      <c r="Z28" s="28" t="str">
        <f>VLOOKUP($A28,'raw-schema'!$A:$R,14,0)</f>
        <v>Organization</v>
      </c>
      <c r="AA28" s="28">
        <f>VLOOKUP($A28,'raw-schema'!$A:$R,15,0)</f>
        <v>0</v>
      </c>
      <c r="AB28" s="28">
        <f>VLOOKUP($A28,'raw-schema'!$A:$R,16,0)</f>
        <v>0</v>
      </c>
      <c r="AC28" s="28">
        <f>VLOOKUP($A28,'raw-schema'!$A:$R,17,0)</f>
        <v>0</v>
      </c>
      <c r="AD28" s="28">
        <f>VLOOKUP($A28,'raw-schema'!$A:$R,18,0)</f>
        <v>0</v>
      </c>
      <c r="AE28" s="31" t="s">
        <v>63</v>
      </c>
      <c r="AF28" t="s">
        <v>65</v>
      </c>
    </row>
    <row r="29" spans="1:32" x14ac:dyDescent="0.3">
      <c r="A29" s="28" t="str">
        <f t="array" ref="A29">INDEX('raw-sheet'!$A$2:$ZZ$1000, ROW(A28), MATCH(A$1, 'raw-sheet'!$A$1:$ZZ$1, 0))</f>
        <v>https://innisfree-taiwan.myshopify.com/blogs/magazine</v>
      </c>
      <c r="B29" s="30" t="s">
        <v>11</v>
      </c>
      <c r="C29" s="28" t="str">
        <f t="array" ref="C29">INDEX('raw-sheet'!$A$2:$ZZ$1000, ROW(C28), MATCH(C$1, 'raw-sheet'!$A$1:$ZZ$1, 0))</f>
        <v>Blog Page</v>
      </c>
      <c r="D29" s="28">
        <f t="array" ref="D29">INDEX('raw-sheet'!$A$2:$ZZ$1000, ROW(D28), MATCH(D$1, 'raw-sheet'!$A$1:$ZZ$1, 0))</f>
        <v>200</v>
      </c>
      <c r="E29" s="30" t="str">
        <f t="shared" si="0"/>
        <v>Pass</v>
      </c>
      <c r="F29" s="28" t="str">
        <f t="array" ref="F29">INDEX('raw-sheet'!$A$2:$ZZ$1000, ROW(F28), MATCH(F$1, 'raw-sheet'!$A$1:$ZZ$1, 0))</f>
        <v>精選文章_x000D_ | INNISFREE Taiwan</v>
      </c>
      <c r="G29" s="30" t="s">
        <v>60</v>
      </c>
      <c r="H29" s="28">
        <f t="array" ref="H29">INDEX('raw-sheet'!$A$2:$ZZ$1000, ROW(H28), MATCH(H$1, 'raw-sheet'!$A$1:$ZZ$1, 0))</f>
        <v>0</v>
      </c>
      <c r="I29" s="30" t="s">
        <v>61</v>
      </c>
      <c r="J29" s="28" t="str">
        <f t="array" ref="J29">INDEX('raw-sheet'!$A$2:$ZZ$1000, ROW(J28), MATCH(J$1, 'raw-sheet'!$A$1:$ZZ$1, 0))</f>
        <v>精選文章</v>
      </c>
      <c r="K29" s="28" t="str">
        <f t="array" ref="K29">INDEX('raw-sheet'!$A$2:$ZZ$1000, ROW(K28), MATCH(K$1, 'raw-sheet'!$A$1:$ZZ$1, 0))</f>
        <v>1</v>
      </c>
      <c r="L29" s="30" t="s">
        <v>60</v>
      </c>
      <c r="M29" s="28" t="str">
        <f t="array" ref="M29">INDEX('raw-sheet'!$A$2:$ZZ$1000, ROW(M28), MATCH(M$1, 'raw-sheet'!$A$1:$ZZ$1, 0))</f>
        <v>https://innisfree-taiwan.myshopify.com/blogs/magazine</v>
      </c>
      <c r="N29" s="30" t="str">
        <f t="shared" si="1"/>
        <v>Pass</v>
      </c>
      <c r="O29" s="28" t="str">
        <f t="array" ref="O29">INDEX('raw-sheet'!$A$2:$ZZ$1000, ROW(O28), MATCH(O$1, 'raw-sheet'!$A$1:$ZZ$1, 0))</f>
        <v>精選文章 | INNISFREE Taiwan</v>
      </c>
      <c r="P29" s="28" t="str">
        <f t="array" ref="P29">INDEX('raw-sheet'!$A$2:$ZZ$1000, ROW(P28),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9" s="28" t="str">
        <f t="array" ref="Q29">INDEX('raw-sheet'!$A$2:$ZZ$1000, ROW(Q28), MATCH(Q$1, 'raw-sheet'!$A$1:$ZZ$1, 0))</f>
        <v>website</v>
      </c>
      <c r="R29" s="28" t="str">
        <f t="array" ref="R29">INDEX('raw-sheet'!$A$2:$ZZ$1000, ROW(R28), MATCH(R$1, 'raw-sheet'!$A$1:$ZZ$1, 0))</f>
        <v>INNISFREE Taiwan</v>
      </c>
      <c r="S29" s="28" t="str">
        <f t="array" ref="S29">INDEX('raw-sheet'!$A$2:$ZZ$1000, ROW(S28), MATCH(S$1, 'raw-sheet'!$A$1:$ZZ$1, 0))</f>
        <v>http://innisfree-taiwan.myshopify.com/cdn/shop/files/logo.png?v=1767594135</v>
      </c>
      <c r="T29" s="28" t="str">
        <f t="array" ref="T29">INDEX('raw-sheet'!$A$2:$ZZ$1000, ROW(T28), MATCH(T$1, 'raw-sheet'!$A$1:$ZZ$1, 0))</f>
        <v>https://innisfree-taiwan.myshopify.com/cdn/shop/files/logo.png?v=1767594135</v>
      </c>
      <c r="U29" s="28" t="str">
        <f t="array" ref="U29">INDEX('raw-sheet'!$A$2:$ZZ$1000, ROW(U28), MATCH(U$1, 'raw-sheet'!$A$1:$ZZ$1, 0))</f>
        <v>https://innisfree-taiwan.myshopify.com/blogs/magazine</v>
      </c>
      <c r="V29" s="28" t="str">
        <f t="array" ref="V29">INDEX('raw-sheet'!$A$2:$ZZ$1000, ROW(V28), MATCH(V$1, 'raw-sheet'!$A$1:$ZZ$1, 0))</f>
        <v>精選文章 | INNISFREE Taiwan</v>
      </c>
      <c r="W29" s="28" t="str">
        <f t="array" ref="W29">INDEX('raw-sheet'!$A$2:$ZZ$1000, ROW(W28),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9" s="28" t="str">
        <f t="array" ref="X29">INDEX('raw-sheet'!$A$2:$ZZ$1000, ROW(X28), MATCH(X$1, 'raw-sheet'!$A$1:$ZZ$1, 0))</f>
        <v>summary_large_image</v>
      </c>
      <c r="Y29" s="30" t="s">
        <v>62</v>
      </c>
      <c r="Z29" s="28" t="str">
        <f>VLOOKUP($A29,'raw-schema'!$A:$R,14,0)</f>
        <v>Organization</v>
      </c>
      <c r="AA29" s="28">
        <f>VLOOKUP($A29,'raw-schema'!$A:$R,15,0)</f>
        <v>0</v>
      </c>
      <c r="AB29" s="28">
        <f>VLOOKUP($A29,'raw-schema'!$A:$R,16,0)</f>
        <v>0</v>
      </c>
      <c r="AC29" s="28">
        <f>VLOOKUP($A29,'raw-schema'!$A:$R,17,0)</f>
        <v>0</v>
      </c>
      <c r="AD29" s="28">
        <f>VLOOKUP($A29,'raw-schema'!$A:$R,18,0)</f>
        <v>0</v>
      </c>
      <c r="AE29" s="31" t="s">
        <v>63</v>
      </c>
    </row>
    <row r="30" spans="1:32" x14ac:dyDescent="0.3">
      <c r="A30" s="28" t="str">
        <f t="array" ref="A30">INDEX('raw-sheet'!$A$2:$ZZ$1000, ROW(A29), MATCH(A$1, 'raw-sheet'!$A$1:$ZZ$1, 0))</f>
        <v>https://innisfree-taiwan.myshopify.com/blogs/magazine/2024-popular-moisturizer-recommendations</v>
      </c>
      <c r="B30" s="30" t="s">
        <v>11</v>
      </c>
      <c r="C30" s="28" t="str">
        <f t="array" ref="C30">INDEX('raw-sheet'!$A$2:$ZZ$1000, ROW(C29), MATCH(C$1, 'raw-sheet'!$A$1:$ZZ$1, 0))</f>
        <v>Blog Page</v>
      </c>
      <c r="D30" s="28">
        <f t="array" ref="D30">INDEX('raw-sheet'!$A$2:$ZZ$1000, ROW(D29), MATCH(D$1, 'raw-sheet'!$A$1:$ZZ$1, 0))</f>
        <v>200</v>
      </c>
      <c r="E30" s="30" t="str">
        <f t="shared" si="0"/>
        <v>Pass</v>
      </c>
      <c r="F30" s="28" t="str">
        <f t="array" ref="F30">INDEX('raw-sheet'!$A$2:$ZZ$1000, ROW(F29), MATCH(F$1, 'raw-sheet'!$A$1:$ZZ$1, 0))</f>
        <v>2024人氣面霜推薦！網友好評大推產品＆乳霜推薦使用方法總整理_x000D_ | INNISFREE Taiwan</v>
      </c>
      <c r="G30" s="30" t="s">
        <v>11</v>
      </c>
      <c r="H30" s="28" t="str">
        <f t="array" ref="H30">INDEX('raw-sheet'!$A$2:$ZZ$1000, ROW(H29), MATCH(H$1, 'raw-sheet'!$A$1:$ZZ$1, 0))</f>
        <v>為何推薦使用面霜？ 如果說化妝水是開啟保養通道的第一步，那面霜就是幫忙將保養鎖在肌膚的最後一道程序。它不只根據產品配方有多種功效，且塗抹於皮膚表面後，會形成一層薄透的保護膜，這層保護膜可是有個重要功效，那就是…保護肌膚水分！ &amp;gt;如果說化妝水是開啟保養通道的第一步，那面霜就是幫忙將保養鎖在肌膚的最後一道程序。它不只根據產品配方有多種功效，且塗抹於皮膚表面後，會形成一層薄透的保護膜，這層保護膜可是有個重要功效，那就是…保護肌膚水分！ 面霜可以幫助「鎖住」先前塗抹的質地較水、較容易流失的水分和養分，也能阻隔外界環境中會對皮膚造成刺激影響的有害因素，可以說是保養程序中不可或缺的一個步驟。若缺少了面霜，敷再多面膜、塗再多保養品，水分可能</v>
      </c>
      <c r="I30" s="30" t="s">
        <v>11</v>
      </c>
      <c r="J30" s="28" t="str">
        <f t="array" ref="J30">INDEX('raw-sheet'!$A$2:$ZZ$1000, ROW(J29), MATCH(J$1, 'raw-sheet'!$A$1:$ZZ$1, 0))</f>
        <v>2024人氣面霜推薦！網友好評大推產品＆乳霜推薦使用方法總整理</v>
      </c>
      <c r="K30" s="28" t="str">
        <f t="array" ref="K30">INDEX('raw-sheet'!$A$2:$ZZ$1000, ROW(K29), MATCH(K$1, 'raw-sheet'!$A$1:$ZZ$1, 0))</f>
        <v>1</v>
      </c>
      <c r="L30" s="30" t="s">
        <v>11</v>
      </c>
      <c r="M30" s="28" t="str">
        <f t="array" ref="M30">INDEX('raw-sheet'!$A$2:$ZZ$1000, ROW(M29), MATCH(M$1, 'raw-sheet'!$A$1:$ZZ$1, 0))</f>
        <v>https://innisfree-taiwan.myshopify.com/blogs/magazine/2024-popular-moisturizer-recommendations</v>
      </c>
      <c r="N30" s="30" t="str">
        <f t="shared" si="1"/>
        <v>Pass</v>
      </c>
      <c r="O30" s="28" t="str">
        <f t="array" ref="O30">INDEX('raw-sheet'!$A$2:$ZZ$1000, ROW(O29), MATCH(O$1, 'raw-sheet'!$A$1:$ZZ$1, 0))</f>
        <v>2024人氣面霜推薦！網友好評大推產品＆乳霜推薦使用方法總整理 | INNISFREE Taiwan</v>
      </c>
      <c r="P30" s="28" t="str">
        <f t="array" ref="P30">INDEX('raw-sheet'!$A$2:$ZZ$1000, ROW(P29), MATCH(P$1, 'raw-sheet'!$A$1:$ZZ$1, 0))</f>
        <v>為何推薦使用面霜？ 如果說化妝水是開啟保養通道的第一步，那面霜就是幫忙將保養鎖在肌膚的最後一道程序。它不只根據產品配方有多種功效，且塗抹於皮膚表面後，會形成一層薄透的保護膜，這層保護膜可是有個重要功效，那就是…保護肌膚水分！ &amp;gt;如果說化妝水是開啟保養通道的第一步，那面霜就是幫忙將保養鎖在肌膚的最後一道程序。它不只根據產品配方有多種功效，且塗抹於皮膚表面後，會形成一層薄透的保護膜，這層保護膜可是有個重要功效，那就是…保護肌膚水分！ 面霜可以幫助「鎖住」先前塗抹的質地較水、較容易流失的水分和養分，也能阻隔外界環境中會對皮膚造成刺激影響的有害因素，可以說是保養程序中不可或缺的一個步驟。若缺少了面霜，敷再多面膜、塗再多保養品，水分可能</v>
      </c>
      <c r="Q30" s="28" t="str">
        <f t="array" ref="Q30">INDEX('raw-sheet'!$A$2:$ZZ$1000, ROW(Q29), MATCH(Q$1, 'raw-sheet'!$A$1:$ZZ$1, 0))</f>
        <v>article</v>
      </c>
      <c r="R30" s="28" t="str">
        <f t="array" ref="R30">INDEX('raw-sheet'!$A$2:$ZZ$1000, ROW(R29), MATCH(R$1, 'raw-sheet'!$A$1:$ZZ$1, 0))</f>
        <v>INNISFREE Taiwan</v>
      </c>
      <c r="S30" s="28" t="str">
        <f t="array" ref="S30">INDEX('raw-sheet'!$A$2:$ZZ$1000, ROW(S29), MATCH(S$1, 'raw-sheet'!$A$1:$ZZ$1, 0))</f>
        <v>http://innisfree-taiwan.myshopify.com/cdn/shop/articles/pdp_mig_ef0137eb_5_attimg1_origin_jpg_78d75c9a-f7d0-49ef-8d79-f75af6a16136.jpg?v=1769590079</v>
      </c>
      <c r="T30" s="28" t="str">
        <f t="array" ref="T30">INDEX('raw-sheet'!$A$2:$ZZ$1000, ROW(T29), MATCH(T$1, 'raw-sheet'!$A$1:$ZZ$1, 0))</f>
        <v>https://innisfree-taiwan.myshopify.com/cdn/shop/articles/pdp_mig_ef0137eb_5_attimg1_origin_jpg_78d75c9a-f7d0-49ef-8d79-f75af6a16136.jpg?v=1769590079</v>
      </c>
      <c r="U30" s="28" t="str">
        <f t="array" ref="U30">INDEX('raw-sheet'!$A$2:$ZZ$1000, ROW(U29), MATCH(U$1, 'raw-sheet'!$A$1:$ZZ$1, 0))</f>
        <v>https://innisfree-taiwan.myshopify.com/blogs/magazine/2024-popular-moisturizer-recommendations</v>
      </c>
      <c r="V30" s="28" t="str">
        <f t="array" ref="V30">INDEX('raw-sheet'!$A$2:$ZZ$1000, ROW(V29), MATCH(V$1, 'raw-sheet'!$A$1:$ZZ$1, 0))</f>
        <v>2024人氣面霜推薦！網友好評大推產品＆乳霜推薦使用方法總整理 | INNISFREE Taiwan</v>
      </c>
      <c r="W30" s="28" t="str">
        <f t="array" ref="W30">INDEX('raw-sheet'!$A$2:$ZZ$1000, ROW(W29), MATCH(W$1, 'raw-sheet'!$A$1:$ZZ$1, 0))</f>
        <v>為何推薦使用面霜？ 如果說化妝水是開啟保養通道的第一步，那面霜就是幫忙將保養鎖在肌膚的最後一道程序。它不只根據產品配方有多種功效，且塗抹於皮膚表面後，會形成一層薄透的保護膜，這層保護膜可是有個重要功效，那就是…保護肌膚水分！ &amp;gt;如果說化妝水是開啟保養通道的第一步，那面霜就是幫忙將保養鎖在肌膚的最後一道程序。它不只根據產品配方有多種功效，且塗抹於皮膚表面後，會形成一層薄透的保護膜，這層保護膜可是有個重要功效，那就是…保護肌膚水分！ 面霜可以幫助「鎖住」先前塗抹的質地較水、較容易流失的水分和養分，也能阻隔外界環境中會對皮膚造成刺激影響的有害因素，可以說是保養程序中不可或缺的一個步驟。若缺少了面霜，敷再多面膜、塗再多保養品，水分可能</v>
      </c>
      <c r="X30" s="28" t="str">
        <f t="array" ref="X30">INDEX('raw-sheet'!$A$2:$ZZ$1000, ROW(X29), MATCH(X$1, 'raw-sheet'!$A$1:$ZZ$1, 0))</f>
        <v>summary_large_image</v>
      </c>
      <c r="Y30" s="30" t="s">
        <v>11</v>
      </c>
      <c r="Z30" s="28" t="str">
        <f>VLOOKUP($A30,'raw-schema'!$A:$R,14,0)</f>
        <v>Article</v>
      </c>
      <c r="AA30" s="28" t="str">
        <f>VLOOKUP($A30,'raw-schema'!$A:$R,15,0)</f>
        <v>Organization</v>
      </c>
      <c r="AB30" s="28" t="str">
        <f>VLOOKUP($A30,'raw-schema'!$A:$R,16,0)</f>
        <v>Person</v>
      </c>
      <c r="AC30" s="28" t="str">
        <f>VLOOKUP($A30,'raw-schema'!$A:$R,17,0)</f>
        <v>WebPage</v>
      </c>
      <c r="AD30" s="28">
        <f>VLOOKUP($A30,'raw-schema'!$A:$R,18,0)</f>
        <v>0</v>
      </c>
      <c r="AE30" s="31" t="s">
        <v>63</v>
      </c>
    </row>
    <row r="31" spans="1:32" x14ac:dyDescent="0.3">
      <c r="A31" s="28" t="str">
        <f t="array" ref="A31">INDEX('raw-sheet'!$A$2:$ZZ$1000, ROW(A30), MATCH(A$1, 'raw-sheet'!$A$1:$ZZ$1, 0))</f>
        <v>https://innisfree-taiwan.myshopify.com/blogs/magazine/3-step-facial-moisturizing-routine</v>
      </c>
      <c r="B31" s="30" t="s">
        <v>11</v>
      </c>
      <c r="C31" s="28" t="str">
        <f t="array" ref="C31">INDEX('raw-sheet'!$A$2:$ZZ$1000, ROW(C30), MATCH(C$1, 'raw-sheet'!$A$1:$ZZ$1, 0))</f>
        <v>Blog Page</v>
      </c>
      <c r="D31" s="28">
        <f t="array" ref="D31">INDEX('raw-sheet'!$A$2:$ZZ$1000, ROW(D30), MATCH(D$1, 'raw-sheet'!$A$1:$ZZ$1, 0))</f>
        <v>200</v>
      </c>
      <c r="E31" s="30" t="str">
        <f t="shared" si="0"/>
        <v>Pass</v>
      </c>
      <c r="F31" s="28" t="str">
        <f t="array" ref="F31">INDEX('raw-sheet'!$A$2:$ZZ$1000, ROW(F30), MATCH(F$1, 'raw-sheet'!$A$1:$ZZ$1, 0))</f>
        <v>臉部保濕3步驟大公開！教你正確保養，擺脫乾燥肌！_x000D_ | INNISFREE Taiwan</v>
      </c>
      <c r="G31" s="30" t="s">
        <v>11</v>
      </c>
      <c r="H31" s="28" t="str">
        <f t="array" ref="H31">INDEX('raw-sheet'!$A$2:$ZZ$1000, ROW(H30), MATCH(H$1, 'raw-sheet'!$A$1:$ZZ$1, 0))</f>
        <v>臉部保濕多重要？3大你不會想嘗試的乾燥後果😱 你知道嗎？如果肌膚缺乏水分，不僅容易緊繃不舒服，且乾燥的肌膚也會讓你看起來「無光」。甚至長期缺乏保養還可能會出現： ✔ 細紋 ✔ 皺紋 ✔ 鬆弛 等症狀，等症狀，導致你看起來比實際年齡還要大！而且若角質層缺水，可能會使得天然保濕因子減少，出現角質層的組織排列混亂，肌膚防禦力下降，甚至代謝異常，出現出屑、脫皮症狀。所以你說，為了漂亮和肌膚的健康，保濕是不是真的很重要！ 臉部乾燥3原因：NG保濕方式要注意❌ 但為何臉部水分會流失，導致乾燥的情況出現？其實乾燥是在你不知不覺的日常中偷偷找上門的，其中又以下面3大因素為常見的皮膚乾燥原因，請大家提醒大家，一起小心避免！ 1. 年齡造成的水分流失</v>
      </c>
      <c r="I31" s="30" t="s">
        <v>11</v>
      </c>
      <c r="J31" s="28" t="str">
        <f t="array" ref="J31">INDEX('raw-sheet'!$A$2:$ZZ$1000, ROW(J30), MATCH(J$1, 'raw-sheet'!$A$1:$ZZ$1, 0))</f>
        <v>臉部保濕3步驟大公開！教你正確保養，擺脫乾燥肌！</v>
      </c>
      <c r="K31" s="28" t="str">
        <f t="array" ref="K31">INDEX('raw-sheet'!$A$2:$ZZ$1000, ROW(K30), MATCH(K$1, 'raw-sheet'!$A$1:$ZZ$1, 0))</f>
        <v>1</v>
      </c>
      <c r="L31" s="30" t="s">
        <v>11</v>
      </c>
      <c r="M31" s="28" t="str">
        <f t="array" ref="M31">INDEX('raw-sheet'!$A$2:$ZZ$1000, ROW(M30), MATCH(M$1, 'raw-sheet'!$A$1:$ZZ$1, 0))</f>
        <v>https://innisfree-taiwan.myshopify.com/blogs/magazine/3-step-facial-moisturizing-routine</v>
      </c>
      <c r="N31" s="30" t="str">
        <f t="shared" si="1"/>
        <v>Pass</v>
      </c>
      <c r="O31" s="28" t="str">
        <f t="array" ref="O31">INDEX('raw-sheet'!$A$2:$ZZ$1000, ROW(O30), MATCH(O$1, 'raw-sheet'!$A$1:$ZZ$1, 0))</f>
        <v>臉部保濕3步驟大公開！教你正確保養，擺脫乾燥肌！ | INNISFREE Taiwan</v>
      </c>
      <c r="P31" s="28" t="str">
        <f t="array" ref="P31">INDEX('raw-sheet'!$A$2:$ZZ$1000, ROW(P30), MATCH(P$1, 'raw-sheet'!$A$1:$ZZ$1, 0))</f>
        <v>臉部保濕多重要？3大你不會想嘗試的乾燥後果😱 你知道嗎？如果肌膚缺乏水分，不僅容易緊繃不舒服，且乾燥的肌膚也會讓你看起來「無光」。甚至長期缺乏保養還可能會出現： ✔ 細紋 ✔ 皺紋 ✔ 鬆弛 等症狀，等症狀，導致你看起來比實際年齡還要大！而且若角質層缺水，可能會使得天然保濕因子減少，出現角質層的組織排列混亂，肌膚防禦力下降，甚至代謝異常，出現出屑、脫皮症狀。所以你說，為了漂亮和肌膚的健康，保濕是不是真的很重要！ 臉部乾燥3原因：NG保濕方式要注意❌ 但為何臉部水分會流失，導致乾燥的情況出現？其實乾燥是在你不知不覺的日常中偷偷找上門的，其中又以下面3大因素為常見的皮膚乾燥原因，請大家提醒大家，一起小心避免！ 1. 年齡造成的水分流失</v>
      </c>
      <c r="Q31" s="28" t="str">
        <f t="array" ref="Q31">INDEX('raw-sheet'!$A$2:$ZZ$1000, ROW(Q30), MATCH(Q$1, 'raw-sheet'!$A$1:$ZZ$1, 0))</f>
        <v>article</v>
      </c>
      <c r="R31" s="28" t="str">
        <f t="array" ref="R31">INDEX('raw-sheet'!$A$2:$ZZ$1000, ROW(R30), MATCH(R$1, 'raw-sheet'!$A$1:$ZZ$1, 0))</f>
        <v>INNISFREE Taiwan</v>
      </c>
      <c r="S31" s="28" t="str">
        <f t="array" ref="S31">INDEX('raw-sheet'!$A$2:$ZZ$1000, ROW(S30), MATCH(S$1, 'raw-sheet'!$A$1:$ZZ$1, 0))</f>
        <v>http://innisfree-taiwan.myshopify.com/cdn/shop/articles/pdp_mig_6d4b9fb6_9_attimg1_origin_png.png?v=1769590104</v>
      </c>
      <c r="T31" s="28" t="str">
        <f t="array" ref="T31">INDEX('raw-sheet'!$A$2:$ZZ$1000, ROW(T30), MATCH(T$1, 'raw-sheet'!$A$1:$ZZ$1, 0))</f>
        <v>https://innisfree-taiwan.myshopify.com/cdn/shop/articles/pdp_mig_6d4b9fb6_9_attimg1_origin_png.png?v=1769590104</v>
      </c>
      <c r="U31" s="28" t="str">
        <f t="array" ref="U31">INDEX('raw-sheet'!$A$2:$ZZ$1000, ROW(U30), MATCH(U$1, 'raw-sheet'!$A$1:$ZZ$1, 0))</f>
        <v>https://innisfree-taiwan.myshopify.com/blogs/magazine/3-step-facial-moisturizing-routine</v>
      </c>
      <c r="V31" s="28" t="str">
        <f t="array" ref="V31">INDEX('raw-sheet'!$A$2:$ZZ$1000, ROW(V30), MATCH(V$1, 'raw-sheet'!$A$1:$ZZ$1, 0))</f>
        <v>臉部保濕3步驟大公開！教你正確保養，擺脫乾燥肌！ | INNISFREE Taiwan</v>
      </c>
      <c r="W31" s="28" t="str">
        <f t="array" ref="W31">INDEX('raw-sheet'!$A$2:$ZZ$1000, ROW(W30), MATCH(W$1, 'raw-sheet'!$A$1:$ZZ$1, 0))</f>
        <v>臉部保濕多重要？3大你不會想嘗試的乾燥後果😱 你知道嗎？如果肌膚缺乏水分，不僅容易緊繃不舒服，且乾燥的肌膚也會讓你看起來「無光」。甚至長期缺乏保養還可能會出現： ✔ 細紋 ✔ 皺紋 ✔ 鬆弛 等症狀，等症狀，導致你看起來比實際年齡還要大！而且若角質層缺水，可能會使得天然保濕因子減少，出現角質層的組織排列混亂，肌膚防禦力下降，甚至代謝異常，出現出屑、脫皮症狀。所以你說，為了漂亮和肌膚的健康，保濕是不是真的很重要！ 臉部乾燥3原因：NG保濕方式要注意❌ 但為何臉部水分會流失，導致乾燥的情況出現？其實乾燥是在你不知不覺的日常中偷偷找上門的，其中又以下面3大因素為常見的皮膚乾燥原因，請大家提醒大家，一起小心避免！ 1. 年齡造成的水分流失</v>
      </c>
      <c r="X31" s="28" t="str">
        <f t="array" ref="X31">INDEX('raw-sheet'!$A$2:$ZZ$1000, ROW(X30), MATCH(X$1, 'raw-sheet'!$A$1:$ZZ$1, 0))</f>
        <v>summary_large_image</v>
      </c>
      <c r="Y31" s="30" t="s">
        <v>11</v>
      </c>
      <c r="Z31" s="28" t="str">
        <f>VLOOKUP($A31,'raw-schema'!$A:$R,14,0)</f>
        <v>Article</v>
      </c>
      <c r="AA31" s="28" t="str">
        <f>VLOOKUP($A31,'raw-schema'!$A:$R,15,0)</f>
        <v>Organization</v>
      </c>
      <c r="AB31" s="28" t="str">
        <f>VLOOKUP($A31,'raw-schema'!$A:$R,16,0)</f>
        <v>Person</v>
      </c>
      <c r="AC31" s="28" t="str">
        <f>VLOOKUP($A31,'raw-schema'!$A:$R,17,0)</f>
        <v>WebPage</v>
      </c>
      <c r="AD31" s="28">
        <f>VLOOKUP($A31,'raw-schema'!$A:$R,18,0)</f>
        <v>0</v>
      </c>
      <c r="AE31" s="31" t="s">
        <v>63</v>
      </c>
    </row>
    <row r="32" spans="1:32" x14ac:dyDescent="0.3">
      <c r="A32" s="28" t="str">
        <f t="array" ref="A32">INDEX('raw-sheet'!$A$2:$ZZ$1000, ROW(A31), MATCH(A$1, 'raw-sheet'!$A$1:$ZZ$1, 0))</f>
        <v>https://innisfree-taiwan.myshopify.com/blogs/magazine/4-effective-steps-to-remove-blackheads</v>
      </c>
      <c r="B32" s="30" t="s">
        <v>11</v>
      </c>
      <c r="C32" s="28" t="str">
        <f t="array" ref="C32">INDEX('raw-sheet'!$A$2:$ZZ$1000, ROW(C31), MATCH(C$1, 'raw-sheet'!$A$1:$ZZ$1, 0))</f>
        <v>Blog Page</v>
      </c>
      <c r="D32" s="28">
        <f t="array" ref="D32">INDEX('raw-sheet'!$A$2:$ZZ$1000, ROW(D31), MATCH(D$1, 'raw-sheet'!$A$1:$ZZ$1, 0))</f>
        <v>200</v>
      </c>
      <c r="E32" s="30" t="str">
        <f t="shared" si="0"/>
        <v>Pass</v>
      </c>
      <c r="F32" s="28" t="str">
        <f t="array" ref="F32">INDEX('raw-sheet'!$A$2:$ZZ$1000, ROW(F31), MATCH(F$1, 'raw-sheet'!$A$1:$ZZ$1, 0))</f>
        <v>去粉刺最有效的方法4步驟！清除粉刺派出面膜和粉刺夾，無痛移除黑白頭_x000D_ | INNISFREE Taiwan</v>
      </c>
      <c r="G32" s="30" t="s">
        <v>11</v>
      </c>
      <c r="H32" s="28" t="str">
        <f t="array" ref="H32">INDEX('raw-sheet'!$A$2:$ZZ$1000, ROW(H31), MATCH(H$1, 'raw-sheet'!$A$1:$ZZ$1, 0))</f>
        <v>去粉刺最有效的方法是什麼？如何透過日常保養避免粉刺？各位姊妹們是不是每次照鏡子時，只要看到鼻子上黑黑白白的粉刺，就忍不住想要「手動清潔」呢？小編勸你先冷靜～因為粉刺處理不對，可能變成更可怕的紅腫痘痘、甚至留疤，千萬別因為一時的衝動讓肌膚留下瑕疵！今天就讓小編來當你的保養軍師，教你去粉刺最有效的方法，輕鬆擺脫討人厭的小黑點與小白頭！ 粉刺是什麼？粉刺生成4原因 在探究去粉刺方法之前，讓我們先來認識「粉刺」這個頑皮的肌膚問題。簡單來說，粉刺就是毛孔裡不斷堆積的垃圾，其形成的原因有很多，快來看看你是因為哪種情況而中招： 皮脂過多 若你擁有油性肌，那皮脂分泌過多很可能就是你毛孔堵塞的罪魁禍首！ 角質堆積 如果臉上覺得粗粗的，這是死皮細胞搞得</v>
      </c>
      <c r="I32" s="30" t="s">
        <v>11</v>
      </c>
      <c r="J32" s="28" t="str">
        <f t="array" ref="J32">INDEX('raw-sheet'!$A$2:$ZZ$1000, ROW(J31), MATCH(J$1, 'raw-sheet'!$A$1:$ZZ$1, 0))</f>
        <v>去粉刺最有效的方法4步驟！清除粉刺派出面膜和粉刺夾，無痛移除黑白頭</v>
      </c>
      <c r="K32" s="28" t="str">
        <f t="array" ref="K32">INDEX('raw-sheet'!$A$2:$ZZ$1000, ROW(K31), MATCH(K$1, 'raw-sheet'!$A$1:$ZZ$1, 0))</f>
        <v>1</v>
      </c>
      <c r="L32" s="30" t="s">
        <v>11</v>
      </c>
      <c r="M32" s="28" t="str">
        <f t="array" ref="M32">INDEX('raw-sheet'!$A$2:$ZZ$1000, ROW(M31), MATCH(M$1, 'raw-sheet'!$A$1:$ZZ$1, 0))</f>
        <v>https://innisfree-taiwan.myshopify.com/blogs/magazine/4-effective-steps-to-remove-blackheads</v>
      </c>
      <c r="N32" s="30" t="str">
        <f t="shared" si="1"/>
        <v>Pass</v>
      </c>
      <c r="O32" s="28" t="str">
        <f t="array" ref="O32">INDEX('raw-sheet'!$A$2:$ZZ$1000, ROW(O31), MATCH(O$1, 'raw-sheet'!$A$1:$ZZ$1, 0))</f>
        <v>去粉刺最有效的方法4步驟！清除粉刺派出面膜和粉刺夾，無痛移除黑白頭 | INNISFREE Taiwan</v>
      </c>
      <c r="P32" s="28" t="str">
        <f t="array" ref="P32">INDEX('raw-sheet'!$A$2:$ZZ$1000, ROW(P31), MATCH(P$1, 'raw-sheet'!$A$1:$ZZ$1, 0))</f>
        <v>去粉刺最有效的方法是什麼？如何透過日常保養避免粉刺？各位姊妹們是不是每次照鏡子時，只要看到鼻子上黑黑白白的粉刺，就忍不住想要「手動清潔」呢？小編勸你先冷靜～因為粉刺處理不對，可能變成更可怕的紅腫痘痘、甚至留疤，千萬別因為一時的衝動讓肌膚留下瑕疵！今天就讓小編來當你的保養軍師，教你去粉刺最有效的方法，輕鬆擺脫討人厭的小黑點與小白頭！ 粉刺是什麼？粉刺生成4原因 在探究去粉刺方法之前，讓我們先來認識「粉刺」這個頑皮的肌膚問題。簡單來說，粉刺就是毛孔裡不斷堆積的垃圾，其形成的原因有很多，快來看看你是因為哪種情況而中招： 皮脂過多 若你擁有油性肌，那皮脂分泌過多很可能就是你毛孔堵塞的罪魁禍首！ 角質堆積 如果臉上覺得粗粗的，這是死皮細胞搞得</v>
      </c>
      <c r="Q32" s="28" t="str">
        <f t="array" ref="Q32">INDEX('raw-sheet'!$A$2:$ZZ$1000, ROW(Q31), MATCH(Q$1, 'raw-sheet'!$A$1:$ZZ$1, 0))</f>
        <v>article</v>
      </c>
      <c r="R32" s="28" t="str">
        <f t="array" ref="R32">INDEX('raw-sheet'!$A$2:$ZZ$1000, ROW(R31), MATCH(R$1, 'raw-sheet'!$A$1:$ZZ$1, 0))</f>
        <v>INNISFREE Taiwan</v>
      </c>
      <c r="S32" s="28" t="str">
        <f t="array" ref="S32">INDEX('raw-sheet'!$A$2:$ZZ$1000, ROW(S31), MATCH(S$1, 'raw-sheet'!$A$1:$ZZ$1, 0))</f>
        <v>http://innisfree-taiwan.myshopify.com/cdn/shop/articles/pdp_mig_395b7cad_19_attimg1_origin_jpg_396bd313-2ff3-4e22-9c2e-67dd2388a365.jpg?v=1768549567</v>
      </c>
      <c r="T32" s="28" t="str">
        <f t="array" ref="T32">INDEX('raw-sheet'!$A$2:$ZZ$1000, ROW(T31), MATCH(T$1, 'raw-sheet'!$A$1:$ZZ$1, 0))</f>
        <v>https://innisfree-taiwan.myshopify.com/cdn/shop/articles/pdp_mig_395b7cad_19_attimg1_origin_jpg_396bd313-2ff3-4e22-9c2e-67dd2388a365.jpg?v=1768549567</v>
      </c>
      <c r="U32" s="28" t="str">
        <f t="array" ref="U32">INDEX('raw-sheet'!$A$2:$ZZ$1000, ROW(U31), MATCH(U$1, 'raw-sheet'!$A$1:$ZZ$1, 0))</f>
        <v>https://innisfree-taiwan.myshopify.com/blogs/magazine/4-effective-steps-to-remove-blackheads</v>
      </c>
      <c r="V32" s="28" t="str">
        <f t="array" ref="V32">INDEX('raw-sheet'!$A$2:$ZZ$1000, ROW(V31), MATCH(V$1, 'raw-sheet'!$A$1:$ZZ$1, 0))</f>
        <v>去粉刺最有效的方法4步驟！清除粉刺派出面膜和粉刺夾，無痛移除黑白頭 | INNISFREE Taiwan</v>
      </c>
      <c r="W32" s="28" t="str">
        <f t="array" ref="W32">INDEX('raw-sheet'!$A$2:$ZZ$1000, ROW(W31), MATCH(W$1, 'raw-sheet'!$A$1:$ZZ$1, 0))</f>
        <v>去粉刺最有效的方法是什麼？如何透過日常保養避免粉刺？各位姊妹們是不是每次照鏡子時，只要看到鼻子上黑黑白白的粉刺，就忍不住想要「手動清潔」呢？小編勸你先冷靜～因為粉刺處理不對，可能變成更可怕的紅腫痘痘、甚至留疤，千萬別因為一時的衝動讓肌膚留下瑕疵！今天就讓小編來當你的保養軍師，教你去粉刺最有效的方法，輕鬆擺脫討人厭的小黑點與小白頭！ 粉刺是什麼？粉刺生成4原因 在探究去粉刺方法之前，讓我們先來認識「粉刺」這個頑皮的肌膚問題。簡單來說，粉刺就是毛孔裡不斷堆積的垃圾，其形成的原因有很多，快來看看你是因為哪種情況而中招： 皮脂過多 若你擁有油性肌，那皮脂分泌過多很可能就是你毛孔堵塞的罪魁禍首！ 角質堆積 如果臉上覺得粗粗的，這是死皮細胞搞得</v>
      </c>
      <c r="X32" s="28" t="str">
        <f t="array" ref="X32">INDEX('raw-sheet'!$A$2:$ZZ$1000, ROW(X31), MATCH(X$1, 'raw-sheet'!$A$1:$ZZ$1, 0))</f>
        <v>summary_large_image</v>
      </c>
      <c r="Y32" s="30" t="s">
        <v>11</v>
      </c>
      <c r="Z32" s="28" t="str">
        <f>VLOOKUP($A32,'raw-schema'!$A:$R,14,0)</f>
        <v>Article</v>
      </c>
      <c r="AA32" s="28" t="str">
        <f>VLOOKUP($A32,'raw-schema'!$A:$R,15,0)</f>
        <v>Organization</v>
      </c>
      <c r="AB32" s="28" t="str">
        <f>VLOOKUP($A32,'raw-schema'!$A:$R,16,0)</f>
        <v>Person</v>
      </c>
      <c r="AC32" s="28" t="str">
        <f>VLOOKUP($A32,'raw-schema'!$A:$R,17,0)</f>
        <v>WebPage</v>
      </c>
      <c r="AD32" s="28">
        <f>VLOOKUP($A32,'raw-schema'!$A:$R,18,0)</f>
        <v>0</v>
      </c>
      <c r="AE32" s="31" t="s">
        <v>63</v>
      </c>
    </row>
    <row r="33" spans="1:31" x14ac:dyDescent="0.3">
      <c r="A33" s="28" t="str">
        <f t="array" ref="A33">INDEX('raw-sheet'!$A$2:$ZZ$1000, ROW(A32), MATCH(A$1, 'raw-sheet'!$A$1:$ZZ$1, 0))</f>
        <v>https://innisfree-taiwan.myshopify.com/blogs/magazine/ampoule-usage-guide-how-and-when-to-use</v>
      </c>
      <c r="B33" s="30" t="s">
        <v>11</v>
      </c>
      <c r="C33" s="28" t="str">
        <f t="array" ref="C33">INDEX('raw-sheet'!$A$2:$ZZ$1000, ROW(C32), MATCH(C$1, 'raw-sheet'!$A$1:$ZZ$1, 0))</f>
        <v>Blog Page</v>
      </c>
      <c r="D33" s="28">
        <f t="array" ref="D33">INDEX('raw-sheet'!$A$2:$ZZ$1000, ROW(D32), MATCH(D$1, 'raw-sheet'!$A$1:$ZZ$1, 0))</f>
        <v>200</v>
      </c>
      <c r="E33" s="30" t="str">
        <f t="shared" si="0"/>
        <v>Pass</v>
      </c>
      <c r="F33" s="28" t="str">
        <f t="array" ref="F33">INDEX('raw-sheet'!$A$2:$ZZ$1000, ROW(F32), MATCH(F$1, 'raw-sheet'!$A$1:$ZZ$1, 0))</f>
        <v>正確安瓶使用順序大解密！快速了解安瓶怎麼用、什麼時候用_x000D_ | INNISFREE Taiwan</v>
      </c>
      <c r="G33" s="30" t="s">
        <v>11</v>
      </c>
      <c r="H33" s="28" t="str">
        <f t="array" ref="H33">INDEX('raw-sheet'!$A$2:$ZZ$1000, ROW(H32), MATCH(H$1, 'raw-sheet'!$A$1:$ZZ$1, 0))</f>
        <v>安瓶是什麼？了解使用順序前先看看其由來 「安瓶」源自英文（Ampoule），一開始是指用來裝藥品的無菌玻璃容器，是藥師為了將藥品與空氣、細菌隔絕所用之容器。 後來有美容保養業者開始使用此概念，將類似安瓶的容器用來裝化妝品、保養品，更運用安瓶的特性存放活性高的高濃縮保養液， 也因為存放的保養品濃度比、活性比、純度比都為高級的高濃度精華，所需的製作成本更高，因此安瓶的價格也就相對較高。 而這樣珍貴、小容量、高濃度的保養品，就是現在我們聽到的「安瓶」。 安瓶怎麼開？使用順序第一步：簡易開法教學 然而你是否有過這樣的經驗：買了安瓶卻卡關，不知道到底怎麼開？以前的安瓶通常是2mL以下的高濃縮美容保養液，密封的包裝技術比較複雜， 打開方式是從瓶</v>
      </c>
      <c r="I33" s="30" t="s">
        <v>11</v>
      </c>
      <c r="J33" s="28" t="str">
        <f t="array" ref="J33">INDEX('raw-sheet'!$A$2:$ZZ$1000, ROW(J32), MATCH(J$1, 'raw-sheet'!$A$1:$ZZ$1, 0))</f>
        <v>正確安瓶使用順序大解密！快速了解安瓶怎麼用、什麼時候用</v>
      </c>
      <c r="K33" s="28" t="str">
        <f t="array" ref="K33">INDEX('raw-sheet'!$A$2:$ZZ$1000, ROW(K32), MATCH(K$1, 'raw-sheet'!$A$1:$ZZ$1, 0))</f>
        <v>1</v>
      </c>
      <c r="L33" s="30" t="s">
        <v>11</v>
      </c>
      <c r="M33" s="28" t="str">
        <f t="array" ref="M33">INDEX('raw-sheet'!$A$2:$ZZ$1000, ROW(M32), MATCH(M$1, 'raw-sheet'!$A$1:$ZZ$1, 0))</f>
        <v>https://innisfree-taiwan.myshopify.com/blogs/magazine/ampoule-usage-guide-how-and-when-to-use</v>
      </c>
      <c r="N33" s="30" t="str">
        <f t="shared" si="1"/>
        <v>Pass</v>
      </c>
      <c r="O33" s="28" t="str">
        <f t="array" ref="O33">INDEX('raw-sheet'!$A$2:$ZZ$1000, ROW(O32), MATCH(O$1, 'raw-sheet'!$A$1:$ZZ$1, 0))</f>
        <v>正確安瓶使用順序大解密！快速了解安瓶怎麼用、什麼時候用 | INNISFREE Taiwan</v>
      </c>
      <c r="P33" s="28" t="str">
        <f t="array" ref="P33">INDEX('raw-sheet'!$A$2:$ZZ$1000, ROW(P32), MATCH(P$1, 'raw-sheet'!$A$1:$ZZ$1, 0))</f>
        <v>安瓶是什麼？了解使用順序前先看看其由來 「安瓶」源自英文（Ampoule），一開始是指用來裝藥品的無菌玻璃容器，是藥師為了將藥品與空氣、細菌隔絕所用之容器。 後來有美容保養業者開始使用此概念，將類似安瓶的容器用來裝化妝品、保養品，更運用安瓶的特性存放活性高的高濃縮保養液， 也因為存放的保養品濃度比、活性比、純度比都為高級的高濃度精華，所需的製作成本更高，因此安瓶的價格也就相對較高。 而這樣珍貴、小容量、高濃度的保養品，就是現在我們聽到的「安瓶」。 安瓶怎麼開？使用順序第一步：簡易開法教學 然而你是否有過這樣的經驗：買了安瓶卻卡關，不知道到底怎麼開？以前的安瓶通常是2mL以下的高濃縮美容保養液，密封的包裝技術比較複雜， 打開方式是從瓶</v>
      </c>
      <c r="Q33" s="28" t="str">
        <f t="array" ref="Q33">INDEX('raw-sheet'!$A$2:$ZZ$1000, ROW(Q32), MATCH(Q$1, 'raw-sheet'!$A$1:$ZZ$1, 0))</f>
        <v>article</v>
      </c>
      <c r="R33" s="28" t="str">
        <f t="array" ref="R33">INDEX('raw-sheet'!$A$2:$ZZ$1000, ROW(R32), MATCH(R$1, 'raw-sheet'!$A$1:$ZZ$1, 0))</f>
        <v>INNISFREE Taiwan</v>
      </c>
      <c r="S33" s="28" t="str">
        <f t="array" ref="S33">INDEX('raw-sheet'!$A$2:$ZZ$1000, ROW(S32), MATCH(S$1, 'raw-sheet'!$A$1:$ZZ$1, 0))</f>
        <v>http://innisfree-taiwan.myshopify.com/cdn/shop/articles/pdp_mig_23814c2c_4_attimg1_origin_jpg_67f30ed6-e670-4ba8-81e6-4e8ea13106ac.jpg?v=1769590004</v>
      </c>
      <c r="T33" s="28" t="str">
        <f t="array" ref="T33">INDEX('raw-sheet'!$A$2:$ZZ$1000, ROW(T32), MATCH(T$1, 'raw-sheet'!$A$1:$ZZ$1, 0))</f>
        <v>https://innisfree-taiwan.myshopify.com/cdn/shop/articles/pdp_mig_23814c2c_4_attimg1_origin_jpg_67f30ed6-e670-4ba8-81e6-4e8ea13106ac.jpg?v=1769590004</v>
      </c>
      <c r="U33" s="28" t="str">
        <f t="array" ref="U33">INDEX('raw-sheet'!$A$2:$ZZ$1000, ROW(U32), MATCH(U$1, 'raw-sheet'!$A$1:$ZZ$1, 0))</f>
        <v>https://innisfree-taiwan.myshopify.com/blogs/magazine/ampoule-usage-guide-how-and-when-to-use</v>
      </c>
      <c r="V33" s="28" t="str">
        <f t="array" ref="V33">INDEX('raw-sheet'!$A$2:$ZZ$1000, ROW(V32), MATCH(V$1, 'raw-sheet'!$A$1:$ZZ$1, 0))</f>
        <v>正確安瓶使用順序大解密！快速了解安瓶怎麼用、什麼時候用 | INNISFREE Taiwan</v>
      </c>
      <c r="W33" s="28" t="str">
        <f t="array" ref="W33">INDEX('raw-sheet'!$A$2:$ZZ$1000, ROW(W32), MATCH(W$1, 'raw-sheet'!$A$1:$ZZ$1, 0))</f>
        <v>安瓶是什麼？了解使用順序前先看看其由來 「安瓶」源自英文（Ampoule），一開始是指用來裝藥品的無菌玻璃容器，是藥師為了將藥品與空氣、細菌隔絕所用之容器。 後來有美容保養業者開始使用此概念，將類似安瓶的容器用來裝化妝品、保養品，更運用安瓶的特性存放活性高的高濃縮保養液， 也因為存放的保養品濃度比、活性比、純度比都為高級的高濃度精華，所需的製作成本更高，因此安瓶的價格也就相對較高。 而這樣珍貴、小容量、高濃度的保養品，就是現在我們聽到的「安瓶」。 安瓶怎麼開？使用順序第一步：簡易開法教學 然而你是否有過這樣的經驗：買了安瓶卻卡關，不知道到底怎麼開？以前的安瓶通常是2mL以下的高濃縮美容保養液，密封的包裝技術比較複雜， 打開方式是從瓶</v>
      </c>
      <c r="X33" s="28" t="str">
        <f t="array" ref="X33">INDEX('raw-sheet'!$A$2:$ZZ$1000, ROW(X32), MATCH(X$1, 'raw-sheet'!$A$1:$ZZ$1, 0))</f>
        <v>summary_large_image</v>
      </c>
      <c r="Y33" s="30" t="s">
        <v>11</v>
      </c>
      <c r="Z33" s="28" t="str">
        <f>VLOOKUP($A33,'raw-schema'!$A:$R,14,0)</f>
        <v>Article</v>
      </c>
      <c r="AA33" s="28" t="str">
        <f>VLOOKUP($A33,'raw-schema'!$A:$R,15,0)</f>
        <v>Organization</v>
      </c>
      <c r="AB33" s="28" t="str">
        <f>VLOOKUP($A33,'raw-schema'!$A:$R,16,0)</f>
        <v>Person</v>
      </c>
      <c r="AC33" s="28" t="str">
        <f>VLOOKUP($A33,'raw-schema'!$A:$R,17,0)</f>
        <v>WebPage</v>
      </c>
      <c r="AD33" s="28">
        <f>VLOOKUP($A33,'raw-schema'!$A:$R,18,0)</f>
        <v>0</v>
      </c>
      <c r="AE33" s="31" t="s">
        <v>63</v>
      </c>
    </row>
    <row r="34" spans="1:31" x14ac:dyDescent="0.3">
      <c r="A34" s="28" t="str">
        <f t="array" ref="A34">INDEX('raw-sheet'!$A$2:$ZZ$1000, ROW(A33), MATCH(A$1, 'raw-sheet'!$A$1:$ZZ$1, 0))</f>
        <v>https://innisfree-taiwan.myshopify.com/blogs/magazine/cakey-makeup-vs-patchy-makeup-differences</v>
      </c>
      <c r="B34" s="30" t="s">
        <v>11</v>
      </c>
      <c r="C34" s="28" t="str">
        <f t="array" ref="C34">INDEX('raw-sheet'!$A$2:$ZZ$1000, ROW(C33), MATCH(C$1, 'raw-sheet'!$A$1:$ZZ$1, 0))</f>
        <v>Blog Page</v>
      </c>
      <c r="D34" s="28">
        <f t="array" ref="D34">INDEX('raw-sheet'!$A$2:$ZZ$1000, ROW(D33), MATCH(D$1, 'raw-sheet'!$A$1:$ZZ$1, 0))</f>
        <v>200</v>
      </c>
      <c r="E34" s="30" t="str">
        <f t="shared" si="0"/>
        <v>Pass</v>
      </c>
      <c r="F34" s="28" t="str">
        <f t="array" ref="F34">INDEX('raw-sheet'!$A$2:$ZZ$1000, ROW(F33), MATCH(F$1, 'raw-sheet'!$A$1:$ZZ$1, 0))</f>
        <v>浮粉跟卡粉差在哪？浮粉怎麼辦？_x000D_ | INNISFREE Taiwan</v>
      </c>
      <c r="G34" s="30" t="s">
        <v>11</v>
      </c>
      <c r="H34" s="28" t="str">
        <f t="array" ref="H34">INDEX('raw-sheet'!$A$2:$ZZ$1000, ROW(H33), MATCH(H$1, 'raw-sheet'!$A$1:$ZZ$1, 0))</f>
        <v>浮粉跟卡粉差在哪？浮粉怎麼辦？分享底妝斑駁5大原因和急救方法 浮粉怎麼辦？浮粉或卡粉究竟是因為什麼原因？完美妝容的關鍵是服貼與自然，但有時上完妝沒多久就開始斑駁脫落，不只讓肌膚看起來粗糙不平，還可能使臉部膚色不均。而你知道自己的妝容是『浮粉』還是『卡粉』嗎？其實這兩者有不同的成因和解決方法！今天讓小編帶你一次了解這兩者的區別，並告訴你6個實用小技巧，幫助你打造服貼、輕透的完美妝容～ 浮粉是什麼？和卡粉有什麼差別？ 雖然浮粉與卡粉都是妝容不服貼的表現，但其發生時間、原因及解決方式各不相同： ■ 『浮粉』➡ 指粉底或底妝產品在肌膚表面無法緊密貼合，導致妝感「浮在肌膚上」，通常發生在妝後數小時，特別是在肌膚出油後。 ■ 『卡粉』➡ 指底妝</v>
      </c>
      <c r="I34" s="30" t="s">
        <v>11</v>
      </c>
      <c r="J34" s="28" t="str">
        <f t="array" ref="J34">INDEX('raw-sheet'!$A$2:$ZZ$1000, ROW(J33), MATCH(J$1, 'raw-sheet'!$A$1:$ZZ$1, 0))</f>
        <v>浮粉跟卡粉差在哪？浮粉怎麼辦？</v>
      </c>
      <c r="K34" s="28" t="str">
        <f t="array" ref="K34">INDEX('raw-sheet'!$A$2:$ZZ$1000, ROW(K33), MATCH(K$1, 'raw-sheet'!$A$1:$ZZ$1, 0))</f>
        <v>1</v>
      </c>
      <c r="L34" s="30" t="s">
        <v>11</v>
      </c>
      <c r="M34" s="28" t="str">
        <f t="array" ref="M34">INDEX('raw-sheet'!$A$2:$ZZ$1000, ROW(M33), MATCH(M$1, 'raw-sheet'!$A$1:$ZZ$1, 0))</f>
        <v>https://innisfree-taiwan.myshopify.com/blogs/magazine/cakey-makeup-vs-patchy-makeup-differences</v>
      </c>
      <c r="N34" s="30" t="str">
        <f t="shared" si="1"/>
        <v>Pass</v>
      </c>
      <c r="O34" s="28" t="str">
        <f t="array" ref="O34">INDEX('raw-sheet'!$A$2:$ZZ$1000, ROW(O33), MATCH(O$1, 'raw-sheet'!$A$1:$ZZ$1, 0))</f>
        <v>浮粉跟卡粉差在哪？浮粉怎麼辦？ | INNISFREE Taiwan</v>
      </c>
      <c r="P34" s="28" t="str">
        <f t="array" ref="P34">INDEX('raw-sheet'!$A$2:$ZZ$1000, ROW(P33), MATCH(P$1, 'raw-sheet'!$A$1:$ZZ$1, 0))</f>
        <v>浮粉跟卡粉差在哪？浮粉怎麼辦？分享底妝斑駁5大原因和急救方法 浮粉怎麼辦？浮粉或卡粉究竟是因為什麼原因？完美妝容的關鍵是服貼與自然，但有時上完妝沒多久就開始斑駁脫落，不只讓肌膚看起來粗糙不平，還可能使臉部膚色不均。而你知道自己的妝容是『浮粉』還是『卡粉』嗎？其實這兩者有不同的成因和解決方法！今天讓小編帶你一次了解這兩者的區別，並告訴你6個實用小技巧，幫助你打造服貼、輕透的完美妝容～ 浮粉是什麼？和卡粉有什麼差別？ 雖然浮粉與卡粉都是妝容不服貼的表現，但其發生時間、原因及解決方式各不相同： ■ 『浮粉』➡ 指粉底或底妝產品在肌膚表面無法緊密貼合，導致妝感「浮在肌膚上」，通常發生在妝後數小時，特別是在肌膚出油後。 ■ 『卡粉』➡ 指底妝</v>
      </c>
      <c r="Q34" s="28" t="str">
        <f t="array" ref="Q34">INDEX('raw-sheet'!$A$2:$ZZ$1000, ROW(Q33), MATCH(Q$1, 'raw-sheet'!$A$1:$ZZ$1, 0))</f>
        <v>article</v>
      </c>
      <c r="R34" s="28" t="str">
        <f t="array" ref="R34">INDEX('raw-sheet'!$A$2:$ZZ$1000, ROW(R33), MATCH(R$1, 'raw-sheet'!$A$1:$ZZ$1, 0))</f>
        <v>INNISFREE Taiwan</v>
      </c>
      <c r="S34" s="28" t="str">
        <f t="array" ref="S34">INDEX('raw-sheet'!$A$2:$ZZ$1000, ROW(S33), MATCH(S$1, 'raw-sheet'!$A$1:$ZZ$1, 0))</f>
        <v>http://innisfree-taiwan.myshopify.com/cdn/shop/articles/pdp_mig_6c92879f_14_attimg1_origin_jpg_1b24834d-bce4-48b1-a49e-f71eb88adafd.jpg?v=1768549613</v>
      </c>
      <c r="T34" s="28" t="str">
        <f t="array" ref="T34">INDEX('raw-sheet'!$A$2:$ZZ$1000, ROW(T33), MATCH(T$1, 'raw-sheet'!$A$1:$ZZ$1, 0))</f>
        <v>https://innisfree-taiwan.myshopify.com/cdn/shop/articles/pdp_mig_6c92879f_14_attimg1_origin_jpg_1b24834d-bce4-48b1-a49e-f71eb88adafd.jpg?v=1768549613</v>
      </c>
      <c r="U34" s="28" t="str">
        <f t="array" ref="U34">INDEX('raw-sheet'!$A$2:$ZZ$1000, ROW(U33), MATCH(U$1, 'raw-sheet'!$A$1:$ZZ$1, 0))</f>
        <v>https://innisfree-taiwan.myshopify.com/blogs/magazine/cakey-makeup-vs-patchy-makeup-differences</v>
      </c>
      <c r="V34" s="28" t="str">
        <f t="array" ref="V34">INDEX('raw-sheet'!$A$2:$ZZ$1000, ROW(V33), MATCH(V$1, 'raw-sheet'!$A$1:$ZZ$1, 0))</f>
        <v>浮粉跟卡粉差在哪？浮粉怎麼辦？ | INNISFREE Taiwan</v>
      </c>
      <c r="W34" s="28" t="str">
        <f t="array" ref="W34">INDEX('raw-sheet'!$A$2:$ZZ$1000, ROW(W33), MATCH(W$1, 'raw-sheet'!$A$1:$ZZ$1, 0))</f>
        <v>浮粉跟卡粉差在哪？浮粉怎麼辦？分享底妝斑駁5大原因和急救方法 浮粉怎麼辦？浮粉或卡粉究竟是因為什麼原因？完美妝容的關鍵是服貼與自然，但有時上完妝沒多久就開始斑駁脫落，不只讓肌膚看起來粗糙不平，還可能使臉部膚色不均。而你知道自己的妝容是『浮粉』還是『卡粉』嗎？其實這兩者有不同的成因和解決方法！今天讓小編帶你一次了解這兩者的區別，並告訴你6個實用小技巧，幫助你打造服貼、輕透的完美妝容～ 浮粉是什麼？和卡粉有什麼差別？ 雖然浮粉與卡粉都是妝容不服貼的表現，但其發生時間、原因及解決方式各不相同： ■ 『浮粉』➡ 指粉底或底妝產品在肌膚表面無法緊密貼合，導致妝感「浮在肌膚上」，通常發生在妝後數小時，特別是在肌膚出油後。 ■ 『卡粉』➡ 指底妝</v>
      </c>
      <c r="X34" s="28" t="str">
        <f t="array" ref="X34">INDEX('raw-sheet'!$A$2:$ZZ$1000, ROW(X33), MATCH(X$1, 'raw-sheet'!$A$1:$ZZ$1, 0))</f>
        <v>summary_large_image</v>
      </c>
      <c r="Y34" s="30" t="s">
        <v>11</v>
      </c>
      <c r="Z34" s="28" t="str">
        <f>VLOOKUP($A34,'raw-schema'!$A:$R,14,0)</f>
        <v>Article</v>
      </c>
      <c r="AA34" s="28" t="str">
        <f>VLOOKUP($A34,'raw-schema'!$A:$R,15,0)</f>
        <v>Organization</v>
      </c>
      <c r="AB34" s="28" t="str">
        <f>VLOOKUP($A34,'raw-schema'!$A:$R,16,0)</f>
        <v>Person</v>
      </c>
      <c r="AC34" s="28" t="str">
        <f>VLOOKUP($A34,'raw-schema'!$A:$R,17,0)</f>
        <v>WebPage</v>
      </c>
      <c r="AD34" s="28">
        <f>VLOOKUP($A34,'raw-schema'!$A:$R,18,0)</f>
        <v>0</v>
      </c>
      <c r="AE34" s="31" t="s">
        <v>63</v>
      </c>
    </row>
    <row r="35" spans="1:31" x14ac:dyDescent="0.3">
      <c r="A35" s="28" t="str">
        <f t="array" ref="A35">INDEX('raw-sheet'!$A$2:$ZZ$1000, ROW(A34), MATCH(A$1, 'raw-sheet'!$A$1:$ZZ$1, 0))</f>
        <v>https://innisfree-taiwan.myshopify.com/blogs/magazine/causes-of-dry-skin-and-how-to-improve-it</v>
      </c>
      <c r="B35" s="30" t="s">
        <v>11</v>
      </c>
      <c r="C35" s="28" t="str">
        <f t="array" ref="C35">INDEX('raw-sheet'!$A$2:$ZZ$1000, ROW(C34), MATCH(C$1, 'raw-sheet'!$A$1:$ZZ$1, 0))</f>
        <v>Blog Page</v>
      </c>
      <c r="D35" s="28">
        <f t="array" ref="D35">INDEX('raw-sheet'!$A$2:$ZZ$1000, ROW(D34), MATCH(D$1, 'raw-sheet'!$A$1:$ZZ$1, 0))</f>
        <v>200</v>
      </c>
      <c r="E35" s="30" t="str">
        <f t="shared" si="0"/>
        <v>Pass</v>
      </c>
      <c r="F35" s="28" t="str">
        <f t="array" ref="F35">INDEX('raw-sheet'!$A$2:$ZZ$1000, ROW(F34), MATCH(F$1, 'raw-sheet'!$A$1:$ZZ$1, 0))</f>
        <v>皮膚乾燥原因有哪些？如何改善？乾肌人必看保養方法與保養品推薦_x000D_ | INNISFREE Taiwan</v>
      </c>
      <c r="G35" s="30" t="s">
        <v>11</v>
      </c>
      <c r="H35" s="28" t="str">
        <f t="array" ref="H35">INDEX('raw-sheet'!$A$2:$ZZ$1000, ROW(H34), MATCH(H$1, 'raw-sheet'!$A$1:$ZZ$1, 0))</f>
        <v>皮膚乾燥原因有哪些？如何改善？乾肌人必看保養方法與保養品推薦 長期有搔癢、泛紅等皮膚乾燥困擾，卻遲遲找不到原因嗎？其實肌膚乾燥有時不是「天氣惹的禍」，可能是你的生活習慣或保養方式出了問題，讓肌膚鬧起了脾氣！這篇文章將從乾燥的症狀、根本原因到實用保養方法，手把手教你如何打敗乾燥不適。不管你是臉上乾得卡粉，還是身體肌膚乾燥粗糙，讀完後跟著我們一起輕鬆挑保養品，找回柔嫩又水潤的肌膚光彩！ 皮膚乾燥不只會脫屑或搔癢！5大症狀一次看 當肌膚水分不足時，肌膚乾燥的症狀便會悄然出現。以下是常見的肌膚乾燥症狀： ✔ 搔癢 乾燥的肌膚容易引發搔癢感，尤其是冬季或長時間暴露於冷風中時特別明顯。 ✔ 緊繃感 洗臉後若感覺肌膚緊繃、像是被拉扯，可能是肌膚屏</v>
      </c>
      <c r="I35" s="30" t="s">
        <v>11</v>
      </c>
      <c r="J35" s="28" t="str">
        <f t="array" ref="J35">INDEX('raw-sheet'!$A$2:$ZZ$1000, ROW(J34), MATCH(J$1, 'raw-sheet'!$A$1:$ZZ$1, 0))</f>
        <v>皮膚乾燥原因有哪些？如何改善？乾肌人必看保養方法與保養品推薦</v>
      </c>
      <c r="K35" s="28" t="str">
        <f t="array" ref="K35">INDEX('raw-sheet'!$A$2:$ZZ$1000, ROW(K34), MATCH(K$1, 'raw-sheet'!$A$1:$ZZ$1, 0))</f>
        <v>Error Parsing HTML</v>
      </c>
      <c r="L35" s="30" t="s">
        <v>11</v>
      </c>
      <c r="M35" s="28" t="str">
        <f t="array" ref="M35">INDEX('raw-sheet'!$A$2:$ZZ$1000, ROW(M34), MATCH(M$1, 'raw-sheet'!$A$1:$ZZ$1, 0))</f>
        <v>https://innisfree-taiwan.myshopify.com/blogs/magazine/causes-of-dry-skin-and-how-to-improve-it</v>
      </c>
      <c r="N35" s="30" t="str">
        <f t="shared" si="1"/>
        <v>Pass</v>
      </c>
      <c r="O35" s="28" t="str">
        <f t="array" ref="O35">INDEX('raw-sheet'!$A$2:$ZZ$1000, ROW(O34), MATCH(O$1, 'raw-sheet'!$A$1:$ZZ$1, 0))</f>
        <v>Error Parsing HTML</v>
      </c>
      <c r="P35" s="28" t="str">
        <f t="array" ref="P35">INDEX('raw-sheet'!$A$2:$ZZ$1000, ROW(P34), MATCH(P$1, 'raw-sheet'!$A$1:$ZZ$1, 0))</f>
        <v>Error Parsing HTML</v>
      </c>
      <c r="Q35" s="28" t="str">
        <f t="array" ref="Q35">INDEX('raw-sheet'!$A$2:$ZZ$1000, ROW(Q34), MATCH(Q$1, 'raw-sheet'!$A$1:$ZZ$1, 0))</f>
        <v>Error Parsing HTML</v>
      </c>
      <c r="R35" s="28" t="str">
        <f t="array" ref="R35">INDEX('raw-sheet'!$A$2:$ZZ$1000, ROW(R34), MATCH(R$1, 'raw-sheet'!$A$1:$ZZ$1, 0))</f>
        <v>Error Parsing HTML</v>
      </c>
      <c r="S35" s="28" t="str">
        <f t="array" ref="S35">INDEX('raw-sheet'!$A$2:$ZZ$1000, ROW(S34), MATCH(S$1, 'raw-sheet'!$A$1:$ZZ$1, 0))</f>
        <v>Error Parsing HTML</v>
      </c>
      <c r="T35" s="28">
        <f t="array" ref="T35">INDEX('raw-sheet'!$A$2:$ZZ$1000, ROW(T34), MATCH(T$1, 'raw-sheet'!$A$1:$ZZ$1, 0))</f>
        <v>0</v>
      </c>
      <c r="U35" s="28" t="str">
        <f t="array" ref="U35">INDEX('raw-sheet'!$A$2:$ZZ$1000, ROW(U34), MATCH(U$1, 'raw-sheet'!$A$1:$ZZ$1, 0))</f>
        <v>Error Parsing HTML</v>
      </c>
      <c r="V35" s="28" t="str">
        <f t="array" ref="V35">INDEX('raw-sheet'!$A$2:$ZZ$1000, ROW(V34), MATCH(V$1, 'raw-sheet'!$A$1:$ZZ$1, 0))</f>
        <v>Error Parsing HTML</v>
      </c>
      <c r="W35" s="28" t="str">
        <f t="array" ref="W35">INDEX('raw-sheet'!$A$2:$ZZ$1000, ROW(W34), MATCH(W$1, 'raw-sheet'!$A$1:$ZZ$1, 0))</f>
        <v>Error Parsing HTML</v>
      </c>
      <c r="X35" s="28" t="str">
        <f t="array" ref="X35">INDEX('raw-sheet'!$A$2:$ZZ$1000, ROW(X34), MATCH(X$1, 'raw-sheet'!$A$1:$ZZ$1, 0))</f>
        <v>Error Parsing HTML</v>
      </c>
      <c r="Y35" s="30" t="s">
        <v>11</v>
      </c>
      <c r="Z35" s="28" t="str">
        <f>VLOOKUP($A35,'raw-schema'!$A:$R,14,0)</f>
        <v>Article</v>
      </c>
      <c r="AA35" s="28" t="str">
        <f>VLOOKUP($A35,'raw-schema'!$A:$R,15,0)</f>
        <v>Organization</v>
      </c>
      <c r="AB35" s="28" t="str">
        <f>VLOOKUP($A35,'raw-schema'!$A:$R,16,0)</f>
        <v>Person</v>
      </c>
      <c r="AC35" s="28" t="str">
        <f>VLOOKUP($A35,'raw-schema'!$A:$R,17,0)</f>
        <v>WebPage</v>
      </c>
      <c r="AD35" s="28">
        <f>VLOOKUP($A35,'raw-schema'!$A:$R,18,0)</f>
        <v>0</v>
      </c>
      <c r="AE35" s="31" t="s">
        <v>63</v>
      </c>
    </row>
    <row r="36" spans="1:31" x14ac:dyDescent="0.3">
      <c r="A36" s="28" t="str">
        <f t="array" ref="A36">INDEX('raw-sheet'!$A$2:$ZZ$1000, ROW(A35), MATCH(A$1, 'raw-sheet'!$A$1:$ZZ$1, 0))</f>
        <v>https://innisfree-taiwan.myshopify.com/blogs/magazine/ceramide-benefits-and-skincare-guide</v>
      </c>
      <c r="B36" s="30" t="s">
        <v>11</v>
      </c>
      <c r="C36" s="28" t="str">
        <f t="array" ref="C36">INDEX('raw-sheet'!$A$2:$ZZ$1000, ROW(C35), MATCH(C$1, 'raw-sheet'!$A$1:$ZZ$1, 0))</f>
        <v>Blog Page</v>
      </c>
      <c r="D36" s="28">
        <f t="array" ref="D36">INDEX('raw-sheet'!$A$2:$ZZ$1000, ROW(D35), MATCH(D$1, 'raw-sheet'!$A$1:$ZZ$1, 0))</f>
        <v>200</v>
      </c>
      <c r="E36" s="30" t="str">
        <f t="shared" si="0"/>
        <v>Pass</v>
      </c>
      <c r="F36" s="28" t="str">
        <f t="array" ref="F36">INDEX('raw-sheet'!$A$2:$ZZ$1000, ROW(F35), MATCH(F$1, 'raw-sheet'!$A$1:$ZZ$1, 0))</f>
        <v>神經醯胺功效有哪些？一篇看懂神經醯胺是什麼與保養品推薦_x000D_ | INNISFREE Taiwan</v>
      </c>
      <c r="G36" s="30" t="s">
        <v>11</v>
      </c>
      <c r="H36" s="28" t="str">
        <f t="array" ref="H36">INDEX('raw-sheet'!$A$2:$ZZ$1000, ROW(H35), MATCH(H$1, 'raw-sheet'!$A$1:$ZZ$1, 0))</f>
        <v>神經醯胺功效有哪些？一篇看懂神經醯胺是什麼與保養品推薦 神經醯胺是什麼？功效有哪些？近幾年超夯的神經醯胺是保養品的愛用成分，且不只是外用的保養品，在內服的營養補充品中都能找到其身影。而究竟神經醯胺有哪些作用？又能如何幫你挽救乾燥肌膚、扭轉肌齡呢？現在就和小編一起深入了解神經醯胺的定義、功效與保養品挑選方法，最後也會和你分享2款INNISFREE神經醯胺保養品，一起養成水嫩光澤肌！ 神經醯胺是什麼？常見種類與功效一次看 神經醯胺，學名Ceramide，又被稱為「賽洛美」、「分子酊」。它是人體肌膚中一種天然的脂質成分，約佔角質層脂質的50%以上，扮演著「屏障守護者」的角色。肌膚因為這個成分的存在，能有效鎖住水分、阻擋外界侵害，保持柔潤的</v>
      </c>
      <c r="I36" s="30" t="s">
        <v>11</v>
      </c>
      <c r="J36" s="28" t="str">
        <f t="array" ref="J36">INDEX('raw-sheet'!$A$2:$ZZ$1000, ROW(J35), MATCH(J$1, 'raw-sheet'!$A$1:$ZZ$1, 0))</f>
        <v>神經醯胺功效有哪些？一篇看懂神經醯胺是什麼與保養品推薦</v>
      </c>
      <c r="K36" s="28" t="str">
        <f t="array" ref="K36">INDEX('raw-sheet'!$A$2:$ZZ$1000, ROW(K35), MATCH(K$1, 'raw-sheet'!$A$1:$ZZ$1, 0))</f>
        <v>1</v>
      </c>
      <c r="L36" s="30" t="s">
        <v>11</v>
      </c>
      <c r="M36" s="28" t="str">
        <f t="array" ref="M36">INDEX('raw-sheet'!$A$2:$ZZ$1000, ROW(M35), MATCH(M$1, 'raw-sheet'!$A$1:$ZZ$1, 0))</f>
        <v>https://innisfree-taiwan.myshopify.com/blogs/magazine/ceramide-benefits-and-skincare-guide</v>
      </c>
      <c r="N36" s="30" t="str">
        <f t="shared" si="1"/>
        <v>Pass</v>
      </c>
      <c r="O36" s="28" t="str">
        <f t="array" ref="O36">INDEX('raw-sheet'!$A$2:$ZZ$1000, ROW(O35), MATCH(O$1, 'raw-sheet'!$A$1:$ZZ$1, 0))</f>
        <v>神經醯胺功效有哪些？一篇看懂神經醯胺是什麼與保養品推薦 | INNISFREE Taiwan</v>
      </c>
      <c r="P36" s="28" t="str">
        <f t="array" ref="P36">INDEX('raw-sheet'!$A$2:$ZZ$1000, ROW(P35), MATCH(P$1, 'raw-sheet'!$A$1:$ZZ$1, 0))</f>
        <v>神經醯胺功效有哪些？一篇看懂神經醯胺是什麼與保養品推薦 神經醯胺是什麼？功效有哪些？近幾年超夯的神經醯胺是保養品的愛用成分，且不只是外用的保養品，在內服的營養補充品中都能找到其身影。而究竟神經醯胺有哪些作用？又能如何幫你挽救乾燥肌膚、扭轉肌齡呢？現在就和小編一起深入了解神經醯胺的定義、功效與保養品挑選方法，最後也會和你分享2款INNISFREE神經醯胺保養品，一起養成水嫩光澤肌！ 神經醯胺是什麼？常見種類與功效一次看 神經醯胺，學名Ceramide，又被稱為「賽洛美」、「分子酊」。它是人體肌膚中一種天然的脂質成分，約佔角質層脂質的50%以上，扮演著「屏障守護者」的角色。肌膚因為這個成分的存在，能有效鎖住水分、阻擋外界侵害，保持柔潤的</v>
      </c>
      <c r="Q36" s="28" t="str">
        <f t="array" ref="Q36">INDEX('raw-sheet'!$A$2:$ZZ$1000, ROW(Q35), MATCH(Q$1, 'raw-sheet'!$A$1:$ZZ$1, 0))</f>
        <v>article</v>
      </c>
      <c r="R36" s="28" t="str">
        <f t="array" ref="R36">INDEX('raw-sheet'!$A$2:$ZZ$1000, ROW(R35), MATCH(R$1, 'raw-sheet'!$A$1:$ZZ$1, 0))</f>
        <v>INNISFREE Taiwan</v>
      </c>
      <c r="S36" s="28" t="str">
        <f t="array" ref="S36">INDEX('raw-sheet'!$A$2:$ZZ$1000, ROW(S35), MATCH(S$1, 'raw-sheet'!$A$1:$ZZ$1, 0))</f>
        <v>http://innisfree-taiwan.myshopify.com/cdn/shop/articles/pdp_mig_c6b17a9a_20_attimg1_origin_jpg_9b718333-e57e-4035-b3b8-f4663d01b12f.jpg?v=1768550049</v>
      </c>
      <c r="T36" s="28" t="str">
        <f t="array" ref="T36">INDEX('raw-sheet'!$A$2:$ZZ$1000, ROW(T35), MATCH(T$1, 'raw-sheet'!$A$1:$ZZ$1, 0))</f>
        <v>https://innisfree-taiwan.myshopify.com/cdn/shop/articles/pdp_mig_c6b17a9a_20_attimg1_origin_jpg_9b718333-e57e-4035-b3b8-f4663d01b12f.jpg?v=1768550049</v>
      </c>
      <c r="U36" s="28" t="str">
        <f t="array" ref="U36">INDEX('raw-sheet'!$A$2:$ZZ$1000, ROW(U35), MATCH(U$1, 'raw-sheet'!$A$1:$ZZ$1, 0))</f>
        <v>https://innisfree-taiwan.myshopify.com/blogs/magazine/ceramide-benefits-and-skincare-guide</v>
      </c>
      <c r="V36" s="28" t="str">
        <f t="array" ref="V36">INDEX('raw-sheet'!$A$2:$ZZ$1000, ROW(V35), MATCH(V$1, 'raw-sheet'!$A$1:$ZZ$1, 0))</f>
        <v>神經醯胺功效有哪些？一篇看懂神經醯胺是什麼與保養品推薦 | INNISFREE Taiwan</v>
      </c>
      <c r="W36" s="28" t="str">
        <f t="array" ref="W36">INDEX('raw-sheet'!$A$2:$ZZ$1000, ROW(W35), MATCH(W$1, 'raw-sheet'!$A$1:$ZZ$1, 0))</f>
        <v>神經醯胺功效有哪些？一篇看懂神經醯胺是什麼與保養品推薦 神經醯胺是什麼？功效有哪些？近幾年超夯的神經醯胺是保養品的愛用成分，且不只是外用的保養品，在內服的營養補充品中都能找到其身影。而究竟神經醯胺有哪些作用？又能如何幫你挽救乾燥肌膚、扭轉肌齡呢？現在就和小編一起深入了解神經醯胺的定義、功效與保養品挑選方法，最後也會和你分享2款INNISFREE神經醯胺保養品，一起養成水嫩光澤肌！ 神經醯胺是什麼？常見種類與功效一次看 神經醯胺，學名Ceramide，又被稱為「賽洛美」、「分子酊」。它是人體肌膚中一種天然的脂質成分，約佔角質層脂質的50%以上，扮演著「屏障守護者」的角色。肌膚因為這個成分的存在，能有效鎖住水分、阻擋外界侵害，保持柔潤的</v>
      </c>
      <c r="X36" s="28" t="str">
        <f t="array" ref="X36">INDEX('raw-sheet'!$A$2:$ZZ$1000, ROW(X35), MATCH(X$1, 'raw-sheet'!$A$1:$ZZ$1, 0))</f>
        <v>summary_large_image</v>
      </c>
      <c r="Y36" s="30" t="s">
        <v>11</v>
      </c>
      <c r="Z36" s="28" t="str">
        <f>VLOOKUP($A36,'raw-schema'!$A:$R,14,0)</f>
        <v>Article</v>
      </c>
      <c r="AA36" s="28" t="str">
        <f>VLOOKUP($A36,'raw-schema'!$A:$R,15,0)</f>
        <v>Organization</v>
      </c>
      <c r="AB36" s="28" t="str">
        <f>VLOOKUP($A36,'raw-schema'!$A:$R,16,0)</f>
        <v>Person</v>
      </c>
      <c r="AC36" s="28" t="str">
        <f>VLOOKUP($A36,'raw-schema'!$A:$R,17,0)</f>
        <v>WebPage</v>
      </c>
      <c r="AD36" s="28">
        <f>VLOOKUP($A36,'raw-schema'!$A:$R,18,0)</f>
        <v>0</v>
      </c>
      <c r="AE36" s="31" t="s">
        <v>63</v>
      </c>
    </row>
    <row r="37" spans="1:31" x14ac:dyDescent="0.3">
      <c r="A37" s="28" t="str">
        <f t="array" ref="A37">INDEX('raw-sheet'!$A$2:$ZZ$1000, ROW(A36), MATCH(A$1, 'raw-sheet'!$A$1:$ZZ$1, 0))</f>
        <v>https://innisfree-taiwan.myshopify.com/blogs/magazine/dry-skin-characteristics-and-care-tips</v>
      </c>
      <c r="B37" s="30" t="s">
        <v>11</v>
      </c>
      <c r="C37" s="28" t="str">
        <f t="array" ref="C37">INDEX('raw-sheet'!$A$2:$ZZ$1000, ROW(C36), MATCH(C$1, 'raw-sheet'!$A$1:$ZZ$1, 0))</f>
        <v>Blog Page</v>
      </c>
      <c r="D37" s="28">
        <f t="array" ref="D37">INDEX('raw-sheet'!$A$2:$ZZ$1000, ROW(D36), MATCH(D$1, 'raw-sheet'!$A$1:$ZZ$1, 0))</f>
        <v>200</v>
      </c>
      <c r="E37" s="30" t="str">
        <f t="shared" si="0"/>
        <v>Pass</v>
      </c>
      <c r="F37" s="28" t="str">
        <f t="array" ref="F37">INDEX('raw-sheet'!$A$2:$ZZ$1000, ROW(F36), MATCH(F$1, 'raw-sheet'!$A$1:$ZZ$1, 0))</f>
        <v>你是乾性肌膚嗎？乾性肌膚特徵＋4大保養關鍵大公開！_x000D_ | INNISFREE Taiwan</v>
      </c>
      <c r="G37" s="30" t="s">
        <v>11</v>
      </c>
      <c r="H37" s="28" t="str">
        <f t="array" ref="H37">INDEX('raw-sheet'!$A$2:$ZZ$1000, ROW(H36), MATCH(H$1, 'raw-sheet'!$A$1:$ZZ$1, 0))</f>
        <v>怎麼樣是乾性肌膚？膚質檢測表快速告訴你 想知道自己是不是乾性肌膚，那就快來看看有沒有以下膚質狀況，如有符合的情形請打勾V。 ◻ 洗完臉容易感覺肌膚乾澀、緊繃不舒服 ◻ 過中午後，T字部分依然乾燥幾乎無出油 ◻ 肌膚常常看起來無光、摸起來粗糙 ◻ 肌膚易受外在環境影響出現乾癢、脫皮問題 如果上面情形符合2個或以上的勾勾，那～你就幾乎可以確認自己是乾性肌膚啦！ 乾性肌膚特徵說明😣 那麼更詳細一點來說，乾性肌膚有什麼特徵？就像上面的膚質檢測表中的情形，乾性肌膚的油脂分泌較少，因此比起其它像是油性、混合性肌膚類型，乾性肌膚更容易受到外在環境影響，可能外界只要一點點刺激，乾肌就容易出現敏弱現象， 像是：換季時、空氣汙染，甚至是經歷壓力、焦慮時</v>
      </c>
      <c r="I37" s="30" t="s">
        <v>11</v>
      </c>
      <c r="J37" s="28" t="str">
        <f t="array" ref="J37">INDEX('raw-sheet'!$A$2:$ZZ$1000, ROW(J36), MATCH(J$1, 'raw-sheet'!$A$1:$ZZ$1, 0))</f>
        <v>你是乾性肌膚嗎？乾性肌膚特徵＋4大保養關鍵大公開！</v>
      </c>
      <c r="K37" s="28" t="str">
        <f t="array" ref="K37">INDEX('raw-sheet'!$A$2:$ZZ$1000, ROW(K36), MATCH(K$1, 'raw-sheet'!$A$1:$ZZ$1, 0))</f>
        <v>1</v>
      </c>
      <c r="L37" s="30" t="s">
        <v>11</v>
      </c>
      <c r="M37" s="28" t="str">
        <f t="array" ref="M37">INDEX('raw-sheet'!$A$2:$ZZ$1000, ROW(M36), MATCH(M$1, 'raw-sheet'!$A$1:$ZZ$1, 0))</f>
        <v>https://innisfree-taiwan.myshopify.com/blogs/magazine/dry-skin-characteristics-and-care-tips</v>
      </c>
      <c r="N37" s="30" t="str">
        <f t="shared" si="1"/>
        <v>Pass</v>
      </c>
      <c r="O37" s="28" t="str">
        <f t="array" ref="O37">INDEX('raw-sheet'!$A$2:$ZZ$1000, ROW(O36), MATCH(O$1, 'raw-sheet'!$A$1:$ZZ$1, 0))</f>
        <v>你是乾性肌膚嗎？乾性肌膚特徵＋4大保養關鍵大公開！ | INNISFREE Taiwan</v>
      </c>
      <c r="P37" s="28" t="str">
        <f t="array" ref="P37">INDEX('raw-sheet'!$A$2:$ZZ$1000, ROW(P36), MATCH(P$1, 'raw-sheet'!$A$1:$ZZ$1, 0))</f>
        <v>怎麼樣是乾性肌膚？膚質檢測表快速告訴你 想知道自己是不是乾性肌膚，那就快來看看有沒有以下膚質狀況，如有符合的情形請打勾V。 ◻ 洗完臉容易感覺肌膚乾澀、緊繃不舒服 ◻ 過中午後，T字部分依然乾燥幾乎無出油 ◻ 肌膚常常看起來無光、摸起來粗糙 ◻ 肌膚易受外在環境影響出現乾癢、脫皮問題 如果上面情形符合2個或以上的勾勾，那～你就幾乎可以確認自己是乾性肌膚啦！ 乾性肌膚特徵說明😣 那麼更詳細一點來說，乾性肌膚有什麼特徵？就像上面的膚質檢測表中的情形，乾性肌膚的油脂分泌較少，因此比起其它像是油性、混合性肌膚類型，乾性肌膚更容易受到外在環境影響，可能外界只要一點點刺激，乾肌就容易出現敏弱現象， 像是：換季時、空氣汙染，甚至是經歷壓力、焦慮時</v>
      </c>
      <c r="Q37" s="28" t="str">
        <f t="array" ref="Q37">INDEX('raw-sheet'!$A$2:$ZZ$1000, ROW(Q36), MATCH(Q$1, 'raw-sheet'!$A$1:$ZZ$1, 0))</f>
        <v>article</v>
      </c>
      <c r="R37" s="28" t="str">
        <f t="array" ref="R37">INDEX('raw-sheet'!$A$2:$ZZ$1000, ROW(R36), MATCH(R$1, 'raw-sheet'!$A$1:$ZZ$1, 0))</f>
        <v>INNISFREE Taiwan</v>
      </c>
      <c r="S37" s="28" t="str">
        <f t="array" ref="S37">INDEX('raw-sheet'!$A$2:$ZZ$1000, ROW(S36), MATCH(S$1, 'raw-sheet'!$A$1:$ZZ$1, 0))</f>
        <v>http://innisfree-taiwan.myshopify.com/cdn/shop/articles/pdp_mig_bd41c2e0_6_attimg1_origin_jpg_027335c6-f7f3-4440-bc1c-329254d7308a.jpg?v=1769589937</v>
      </c>
      <c r="T37" s="28" t="str">
        <f t="array" ref="T37">INDEX('raw-sheet'!$A$2:$ZZ$1000, ROW(T36), MATCH(T$1, 'raw-sheet'!$A$1:$ZZ$1, 0))</f>
        <v>https://innisfree-taiwan.myshopify.com/cdn/shop/articles/pdp_mig_bd41c2e0_6_attimg1_origin_jpg_027335c6-f7f3-4440-bc1c-329254d7308a.jpg?v=1769589937</v>
      </c>
      <c r="U37" s="28" t="str">
        <f t="array" ref="U37">INDEX('raw-sheet'!$A$2:$ZZ$1000, ROW(U36), MATCH(U$1, 'raw-sheet'!$A$1:$ZZ$1, 0))</f>
        <v>https://innisfree-taiwan.myshopify.com/blogs/magazine/dry-skin-characteristics-and-care-tips</v>
      </c>
      <c r="V37" s="28" t="str">
        <f t="array" ref="V37">INDEX('raw-sheet'!$A$2:$ZZ$1000, ROW(V36), MATCH(V$1, 'raw-sheet'!$A$1:$ZZ$1, 0))</f>
        <v>你是乾性肌膚嗎？乾性肌膚特徵＋4大保養關鍵大公開！ | INNISFREE Taiwan</v>
      </c>
      <c r="W37" s="28" t="str">
        <f t="array" ref="W37">INDEX('raw-sheet'!$A$2:$ZZ$1000, ROW(W36), MATCH(W$1, 'raw-sheet'!$A$1:$ZZ$1, 0))</f>
        <v>怎麼樣是乾性肌膚？膚質檢測表快速告訴你 想知道自己是不是乾性肌膚，那就快來看看有沒有以下膚質狀況，如有符合的情形請打勾V。 ◻ 洗完臉容易感覺肌膚乾澀、緊繃不舒服 ◻ 過中午後，T字部分依然乾燥幾乎無出油 ◻ 肌膚常常看起來無光、摸起來粗糙 ◻ 肌膚易受外在環境影響出現乾癢、脫皮問題 如果上面情形符合2個或以上的勾勾，那～你就幾乎可以確認自己是乾性肌膚啦！ 乾性肌膚特徵說明😣 那麼更詳細一點來說，乾性肌膚有什麼特徵？就像上面的膚質檢測表中的情形，乾性肌膚的油脂分泌較少，因此比起其它像是油性、混合性肌膚類型，乾性肌膚更容易受到外在環境影響，可能外界只要一點點刺激，乾肌就容易出現敏弱現象， 像是：換季時、空氣汙染，甚至是經歷壓力、焦慮時</v>
      </c>
      <c r="X37" s="28" t="str">
        <f t="array" ref="X37">INDEX('raw-sheet'!$A$2:$ZZ$1000, ROW(X36), MATCH(X$1, 'raw-sheet'!$A$1:$ZZ$1, 0))</f>
        <v>summary_large_image</v>
      </c>
      <c r="Y37" s="30" t="s">
        <v>11</v>
      </c>
      <c r="Z37" s="28" t="str">
        <f>VLOOKUP($A37,'raw-schema'!$A:$R,14,0)</f>
        <v>Article</v>
      </c>
      <c r="AA37" s="28" t="str">
        <f>VLOOKUP($A37,'raw-schema'!$A:$R,15,0)</f>
        <v>Organization</v>
      </c>
      <c r="AB37" s="28" t="str">
        <f>VLOOKUP($A37,'raw-schema'!$A:$R,16,0)</f>
        <v>Person</v>
      </c>
      <c r="AC37" s="28" t="str">
        <f>VLOOKUP($A37,'raw-schema'!$A:$R,17,0)</f>
        <v>WebPage</v>
      </c>
      <c r="AD37" s="28">
        <f>VLOOKUP($A37,'raw-schema'!$A:$R,18,0)</f>
        <v>0</v>
      </c>
      <c r="AE37" s="31" t="s">
        <v>63</v>
      </c>
    </row>
    <row r="38" spans="1:31" x14ac:dyDescent="0.3">
      <c r="A38" s="28" t="str">
        <f t="array" ref="A38">INDEX('raw-sheet'!$A$2:$ZZ$1000, ROW(A37), MATCH(A$1, 'raw-sheet'!$A$1:$ZZ$1, 0))</f>
        <v>https://innisfree-taiwan.myshopify.com/blogs/magazine/facial-skincare-routine-correct-order-guide</v>
      </c>
      <c r="B38" s="30" t="s">
        <v>11</v>
      </c>
      <c r="C38" s="28" t="str">
        <f t="array" ref="C38">INDEX('raw-sheet'!$A$2:$ZZ$1000, ROW(C37), MATCH(C$1, 'raw-sheet'!$A$1:$ZZ$1, 0))</f>
        <v>Blog Page</v>
      </c>
      <c r="D38" s="28">
        <f t="array" ref="D38">INDEX('raw-sheet'!$A$2:$ZZ$1000, ROW(D37), MATCH(D$1, 'raw-sheet'!$A$1:$ZZ$1, 0))</f>
        <v>200</v>
      </c>
      <c r="E38" s="30" t="str">
        <f t="shared" si="0"/>
        <v>Pass</v>
      </c>
      <c r="F38" s="28" t="str">
        <f t="array" ref="F38">INDEX('raw-sheet'!$A$2:$ZZ$1000, ROW(F37), MATCH(F$1, 'raw-sheet'!$A$1:$ZZ$1, 0))</f>
        <v>臉部保養順序解析：掌握正確保養順序，達到超有感保養！_x000D_ | INNISFREE Taiwan</v>
      </c>
      <c r="G38" s="30" t="s">
        <v>11</v>
      </c>
      <c r="H38" s="28" t="str">
        <f t="array" ref="H38">INDEX('raw-sheet'!$A$2:$ZZ$1000, ROW(H37), MATCH(H$1, 'raw-sheet'!$A$1:$ZZ$1, 0))</f>
        <v>臉部保養順序重要嗎？不同膚質保養SOP解析 大多數人都知道，不同膚質挑選的保養品類型會有區別，那麼當然保養順序也會有所差別。因此首先就讓我們先了解不同膚質的保養順序和注意要點有哪些。 乾性肌膚 油性肌膚 敏弱肌膚 特徵 ● 肌膚含水量較低，且幾乎不出油 ● 肌膚水分流失較快 ● 若保養沒做好，容易導致脫屑、粗糙等肌膚問題 ● 需選擇油脂含量較高的保養產品 ● 肌膚含水量較高，但皮脂線分泌也很旺盛 ● 需特別注意清潔與保養，才不容易因油脂分泌旺盛而堵塞毛孔，導致毛孔粗大、粉刺與痘痘 ● 建議可選購能調理肌膚油水平衡的保養品 ● 肌膚較薄弱，容易因外界影響，導致肌膚泛紅、發癢 ● 需挑選低刺激、溫和的保養品 ● 避免使用含酒精、人工香料</v>
      </c>
      <c r="I38" s="30" t="s">
        <v>11</v>
      </c>
      <c r="J38" s="28" t="str">
        <f t="array" ref="J38">INDEX('raw-sheet'!$A$2:$ZZ$1000, ROW(J37), MATCH(J$1, 'raw-sheet'!$A$1:$ZZ$1, 0))</f>
        <v>臉部保養順序解析：掌握正確保養順序，達到超有感保養！</v>
      </c>
      <c r="K38" s="28" t="str">
        <f t="array" ref="K38">INDEX('raw-sheet'!$A$2:$ZZ$1000, ROW(K37), MATCH(K$1, 'raw-sheet'!$A$1:$ZZ$1, 0))</f>
        <v>1</v>
      </c>
      <c r="L38" s="30" t="s">
        <v>11</v>
      </c>
      <c r="M38" s="28" t="str">
        <f t="array" ref="M38">INDEX('raw-sheet'!$A$2:$ZZ$1000, ROW(M37), MATCH(M$1, 'raw-sheet'!$A$1:$ZZ$1, 0))</f>
        <v>https://innisfree-taiwan.myshopify.com/blogs/magazine/facial-skincare-routine-correct-order-guide</v>
      </c>
      <c r="N38" s="30" t="str">
        <f t="shared" si="1"/>
        <v>Pass</v>
      </c>
      <c r="O38" s="28" t="str">
        <f t="array" ref="O38">INDEX('raw-sheet'!$A$2:$ZZ$1000, ROW(O37), MATCH(O$1, 'raw-sheet'!$A$1:$ZZ$1, 0))</f>
        <v>臉部保養順序解析：掌握正確保養順序，達到超有感保養！ | INNISFREE Taiwan</v>
      </c>
      <c r="P38" s="28" t="str">
        <f t="array" ref="P38">INDEX('raw-sheet'!$A$2:$ZZ$1000, ROW(P37), MATCH(P$1, 'raw-sheet'!$A$1:$ZZ$1, 0))</f>
        <v>臉部保養順序重要嗎？不同膚質保養SOP解析 大多數人都知道，不同膚質挑選的保養品類型會有區別，那麼當然保養順序也會有所差別。因此首先就讓我們先了解不同膚質的保養順序和注意要點有哪些。 乾性肌膚 油性肌膚 敏弱肌膚 特徵 ● 肌膚含水量較低，且幾乎不出油 ● 肌膚水分流失較快 ● 若保養沒做好，容易導致脫屑、粗糙等肌膚問題 ● 需選擇油脂含量較高的保養產品 ● 肌膚含水量較高，但皮脂線分泌也很旺盛 ● 需特別注意清潔與保養，才不容易因油脂分泌旺盛而堵塞毛孔，導致毛孔粗大、粉刺與痘痘 ● 建議可選購能調理肌膚油水平衡的保養品 ● 肌膚較薄弱，容易因外界影響，導致肌膚泛紅、發癢 ● 需挑選低刺激、溫和的保養品 ● 避免使用含酒精、人工香料</v>
      </c>
      <c r="Q38" s="28" t="str">
        <f t="array" ref="Q38">INDEX('raw-sheet'!$A$2:$ZZ$1000, ROW(Q37), MATCH(Q$1, 'raw-sheet'!$A$1:$ZZ$1, 0))</f>
        <v>article</v>
      </c>
      <c r="R38" s="28" t="str">
        <f t="array" ref="R38">INDEX('raw-sheet'!$A$2:$ZZ$1000, ROW(R37), MATCH(R$1, 'raw-sheet'!$A$1:$ZZ$1, 0))</f>
        <v>INNISFREE Taiwan</v>
      </c>
      <c r="S38" s="28" t="str">
        <f t="array" ref="S38">INDEX('raw-sheet'!$A$2:$ZZ$1000, ROW(S37), MATCH(S$1, 'raw-sheet'!$A$1:$ZZ$1, 0))</f>
        <v>http://innisfree-taiwan.myshopify.com/cdn/shop/articles/pdp_mig_1d586e8b_8_attimg1_origin_jpg_2208f33d-ac94-449a-894a-1d36b84c5d96.jpg?v=1768549781</v>
      </c>
      <c r="T38" s="28" t="str">
        <f t="array" ref="T38">INDEX('raw-sheet'!$A$2:$ZZ$1000, ROW(T37), MATCH(T$1, 'raw-sheet'!$A$1:$ZZ$1, 0))</f>
        <v>https://innisfree-taiwan.myshopify.com/cdn/shop/articles/pdp_mig_1d586e8b_8_attimg1_origin_jpg_2208f33d-ac94-449a-894a-1d36b84c5d96.jpg?v=1768549781</v>
      </c>
      <c r="U38" s="28" t="str">
        <f t="array" ref="U38">INDEX('raw-sheet'!$A$2:$ZZ$1000, ROW(U37), MATCH(U$1, 'raw-sheet'!$A$1:$ZZ$1, 0))</f>
        <v>https://innisfree-taiwan.myshopify.com/blogs/magazine/facial-skincare-routine-correct-order-guide</v>
      </c>
      <c r="V38" s="28" t="str">
        <f t="array" ref="V38">INDEX('raw-sheet'!$A$2:$ZZ$1000, ROW(V37), MATCH(V$1, 'raw-sheet'!$A$1:$ZZ$1, 0))</f>
        <v>臉部保養順序解析：掌握正確保養順序，達到超有感保養！ | INNISFREE Taiwan</v>
      </c>
      <c r="W38" s="28" t="str">
        <f t="array" ref="W38">INDEX('raw-sheet'!$A$2:$ZZ$1000, ROW(W37), MATCH(W$1, 'raw-sheet'!$A$1:$ZZ$1, 0))</f>
        <v>臉部保養順序重要嗎？不同膚質保養SOP解析 大多數人都知道，不同膚質挑選的保養品類型會有區別，那麼當然保養順序也會有所差別。因此首先就讓我們先了解不同膚質的保養順序和注意要點有哪些。 乾性肌膚 油性肌膚 敏弱肌膚 特徵 ● 肌膚含水量較低，且幾乎不出油 ● 肌膚水分流失較快 ● 若保養沒做好，容易導致脫屑、粗糙等肌膚問題 ● 需選擇油脂含量較高的保養產品 ● 肌膚含水量較高，但皮脂線分泌也很旺盛 ● 需特別注意清潔與保養，才不容易因油脂分泌旺盛而堵塞毛孔，導致毛孔粗大、粉刺與痘痘 ● 建議可選購能調理肌膚油水平衡的保養品 ● 肌膚較薄弱，容易因外界影響，導致肌膚泛紅、發癢 ● 需挑選低刺激、溫和的保養品 ● 避免使用含酒精、人工香料</v>
      </c>
      <c r="X38" s="28" t="str">
        <f t="array" ref="X38">INDEX('raw-sheet'!$A$2:$ZZ$1000, ROW(X37), MATCH(X$1, 'raw-sheet'!$A$1:$ZZ$1, 0))</f>
        <v>summary_large_image</v>
      </c>
      <c r="Y38" s="30" t="s">
        <v>11</v>
      </c>
      <c r="Z38" s="28" t="str">
        <f>VLOOKUP($A38,'raw-schema'!$A:$R,14,0)</f>
        <v>Article</v>
      </c>
      <c r="AA38" s="28" t="str">
        <f>VLOOKUP($A38,'raw-schema'!$A:$R,15,0)</f>
        <v>Organization</v>
      </c>
      <c r="AB38" s="28" t="str">
        <f>VLOOKUP($A38,'raw-schema'!$A:$R,16,0)</f>
        <v>Person</v>
      </c>
      <c r="AC38" s="28" t="str">
        <f>VLOOKUP($A38,'raw-schema'!$A:$R,17,0)</f>
        <v>WebPage</v>
      </c>
      <c r="AD38" s="28">
        <f>VLOOKUP($A38,'raw-schema'!$A:$R,18,0)</f>
        <v>0</v>
      </c>
      <c r="AE38" s="31" t="s">
        <v>63</v>
      </c>
    </row>
    <row r="39" spans="1:31" x14ac:dyDescent="0.3">
      <c r="A39" s="28" t="str">
        <f t="array" ref="A39">INDEX('raw-sheet'!$A$2:$ZZ$1000, ROW(A38), MATCH(A$1, 'raw-sheet'!$A$1:$ZZ$1, 0))</f>
        <v>https://innisfree-taiwan.myshopify.com/blogs/magazine/how-often-should-you-use-a-face-mask</v>
      </c>
      <c r="B39" s="30" t="s">
        <v>11</v>
      </c>
      <c r="C39" s="28" t="str">
        <f t="array" ref="C39">INDEX('raw-sheet'!$A$2:$ZZ$1000, ROW(C38), MATCH(C$1, 'raw-sheet'!$A$1:$ZZ$1, 0))</f>
        <v>Blog Page</v>
      </c>
      <c r="D39" s="28">
        <f t="array" ref="D39">INDEX('raw-sheet'!$A$2:$ZZ$1000, ROW(D38), MATCH(D$1, 'raw-sheet'!$A$1:$ZZ$1, 0))</f>
        <v>200</v>
      </c>
      <c r="E39" s="30" t="str">
        <f t="shared" si="0"/>
        <v>Pass</v>
      </c>
      <c r="F39" s="28" t="str">
        <f t="array" ref="F39">INDEX('raw-sheet'!$A$2:$ZZ$1000, ROW(F38), MATCH(F$1, 'raw-sheet'!$A$1:$ZZ$1, 0))</f>
        <v>面膜多久敷一次？每次敷多久？敷完面膜要洗臉嗎？常見QA快速看_x000D_ | INNISFREE Taiwan</v>
      </c>
      <c r="G39" s="30" t="s">
        <v>11</v>
      </c>
      <c r="H39" s="28" t="str">
        <f t="array" ref="H39">INDEX('raw-sheet'!$A$2:$ZZ$1000, ROW(H38), MATCH(H$1, 'raw-sheet'!$A$1:$ZZ$1, 0))</f>
        <v>想要皮膚變好的你，是否也急著想知道「面膜多久敷一次、每次敷多久、敷完面膜要洗臉嗎」等保養問題？作為一種能夠快速為皮膚提供滋養的保養方式，面膜是愛美人士的日常必備品，特別是在現代生活中，我們的肌膚常因爲環境、壓力、飲食等因素而出現問題，這時面膜就成了皮膚的急救救星。然而關於敷面膜的正確方式總是有許多說法，本篇就讓INNISFREE來為你一解疑惑！ 敷面膜好處有哪些？4大優點「歐逆」超推薦 敷面膜的原理主要是透過密封肌膚的方式，短時間內集中補充所需的水分與養分。且透過面膜中含有的精華液、有效成分滲透至肌底，能深層呵護、喚回肌膚的彈性與光澤感。而根據不同的面膜種類，其效果也會有所不同，能夠針對各類肌膚問題來加強保養，例如：乾燥、老化、暗沉</v>
      </c>
      <c r="I39" s="30" t="s">
        <v>11</v>
      </c>
      <c r="J39" s="28" t="str">
        <f t="array" ref="J39">INDEX('raw-sheet'!$A$2:$ZZ$1000, ROW(J38), MATCH(J$1, 'raw-sheet'!$A$1:$ZZ$1, 0))</f>
        <v>面膜多久敷一次？每次敷多久？敷完面膜要洗臉嗎？常見QA快速看</v>
      </c>
      <c r="K39" s="28" t="str">
        <f t="array" ref="K39">INDEX('raw-sheet'!$A$2:$ZZ$1000, ROW(K38), MATCH(K$1, 'raw-sheet'!$A$1:$ZZ$1, 0))</f>
        <v>1</v>
      </c>
      <c r="L39" s="30" t="s">
        <v>11</v>
      </c>
      <c r="M39" s="28" t="str">
        <f t="array" ref="M39">INDEX('raw-sheet'!$A$2:$ZZ$1000, ROW(M38), MATCH(M$1, 'raw-sheet'!$A$1:$ZZ$1, 0))</f>
        <v>https://innisfree-taiwan.myshopify.com/blogs/magazine/how-often-should-you-use-a-face-mask</v>
      </c>
      <c r="N39" s="30" t="str">
        <f t="shared" si="1"/>
        <v>Pass</v>
      </c>
      <c r="O39" s="28" t="str">
        <f t="array" ref="O39">INDEX('raw-sheet'!$A$2:$ZZ$1000, ROW(O38), MATCH(O$1, 'raw-sheet'!$A$1:$ZZ$1, 0))</f>
        <v>面膜多久敷一次？每次敷多久？敷完面膜要洗臉嗎？常見QA快速看 | INNISFREE Taiwan</v>
      </c>
      <c r="P39" s="28" t="str">
        <f t="array" ref="P39">INDEX('raw-sheet'!$A$2:$ZZ$1000, ROW(P38), MATCH(P$1, 'raw-sheet'!$A$1:$ZZ$1, 0))</f>
        <v>想要皮膚變好的你，是否也急著想知道「面膜多久敷一次、每次敷多久、敷完面膜要洗臉嗎」等保養問題？作為一種能夠快速為皮膚提供滋養的保養方式，面膜是愛美人士的日常必備品，特別是在現代生活中，我們的肌膚常因爲環境、壓力、飲食等因素而出現問題，這時面膜就成了皮膚的急救救星。然而關於敷面膜的正確方式總是有許多說法，本篇就讓INNISFREE來為你一解疑惑！ 敷面膜好處有哪些？4大優點「歐逆」超推薦 敷面膜的原理主要是透過密封肌膚的方式，短時間內集中補充所需的水分與養分。且透過面膜中含有的精華液、有效成分滲透至肌底，能深層呵護、喚回肌膚的彈性與光澤感。而根據不同的面膜種類，其效果也會有所不同，能夠針對各類肌膚問題來加強保養，例如：乾燥、老化、暗沉</v>
      </c>
      <c r="Q39" s="28" t="str">
        <f t="array" ref="Q39">INDEX('raw-sheet'!$A$2:$ZZ$1000, ROW(Q38), MATCH(Q$1, 'raw-sheet'!$A$1:$ZZ$1, 0))</f>
        <v>article</v>
      </c>
      <c r="R39" s="28" t="str">
        <f t="array" ref="R39">INDEX('raw-sheet'!$A$2:$ZZ$1000, ROW(R38), MATCH(R$1, 'raw-sheet'!$A$1:$ZZ$1, 0))</f>
        <v>INNISFREE Taiwan</v>
      </c>
      <c r="S39" s="28" t="str">
        <f t="array" ref="S39">INDEX('raw-sheet'!$A$2:$ZZ$1000, ROW(S38), MATCH(S$1, 'raw-sheet'!$A$1:$ZZ$1, 0))</f>
        <v>http://innisfree-taiwan.myshopify.com/cdn/shop/articles/pdp_mig_705bb79d_11_attimg1_origin_png.png?v=1768549763</v>
      </c>
      <c r="T39" s="28" t="str">
        <f t="array" ref="T39">INDEX('raw-sheet'!$A$2:$ZZ$1000, ROW(T38), MATCH(T$1, 'raw-sheet'!$A$1:$ZZ$1, 0))</f>
        <v>https://innisfree-taiwan.myshopify.com/cdn/shop/articles/pdp_mig_705bb79d_11_attimg1_origin_png.png?v=1768549763</v>
      </c>
      <c r="U39" s="28" t="str">
        <f t="array" ref="U39">INDEX('raw-sheet'!$A$2:$ZZ$1000, ROW(U38), MATCH(U$1, 'raw-sheet'!$A$1:$ZZ$1, 0))</f>
        <v>https://innisfree-taiwan.myshopify.com/blogs/magazine/how-often-should-you-use-a-face-mask</v>
      </c>
      <c r="V39" s="28" t="str">
        <f t="array" ref="V39">INDEX('raw-sheet'!$A$2:$ZZ$1000, ROW(V38), MATCH(V$1, 'raw-sheet'!$A$1:$ZZ$1, 0))</f>
        <v>面膜多久敷一次？每次敷多久？敷完面膜要洗臉嗎？常見QA快速看 | INNISFREE Taiwan</v>
      </c>
      <c r="W39" s="28" t="str">
        <f t="array" ref="W39">INDEX('raw-sheet'!$A$2:$ZZ$1000, ROW(W38), MATCH(W$1, 'raw-sheet'!$A$1:$ZZ$1, 0))</f>
        <v>想要皮膚變好的你，是否也急著想知道「面膜多久敷一次、每次敷多久、敷完面膜要洗臉嗎」等保養問題？作為一種能夠快速為皮膚提供滋養的保養方式，面膜是愛美人士的日常必備品，特別是在現代生活中，我們的肌膚常因爲環境、壓力、飲食等因素而出現問題，這時面膜就成了皮膚的急救救星。然而關於敷面膜的正確方式總是有許多說法，本篇就讓INNISFREE來為你一解疑惑！ 敷面膜好處有哪些？4大優點「歐逆」超推薦 敷面膜的原理主要是透過密封肌膚的方式，短時間內集中補充所需的水分與養分。且透過面膜中含有的精華液、有效成分滲透至肌底，能深層呵護、喚回肌膚的彈性與光澤感。而根據不同的面膜種類，其效果也會有所不同，能夠針對各類肌膚問題來加強保養，例如：乾燥、老化、暗沉</v>
      </c>
      <c r="X39" s="28" t="str">
        <f t="array" ref="X39">INDEX('raw-sheet'!$A$2:$ZZ$1000, ROW(X38), MATCH(X$1, 'raw-sheet'!$A$1:$ZZ$1, 0))</f>
        <v>summary_large_image</v>
      </c>
      <c r="Y39" s="30" t="s">
        <v>11</v>
      </c>
      <c r="Z39" s="28" t="str">
        <f>VLOOKUP($A39,'raw-schema'!$A:$R,14,0)</f>
        <v>Article</v>
      </c>
      <c r="AA39" s="28" t="str">
        <f>VLOOKUP($A39,'raw-schema'!$A:$R,15,0)</f>
        <v>Organization</v>
      </c>
      <c r="AB39" s="28" t="str">
        <f>VLOOKUP($A39,'raw-schema'!$A:$R,16,0)</f>
        <v>Person</v>
      </c>
      <c r="AC39" s="28" t="str">
        <f>VLOOKUP($A39,'raw-schema'!$A:$R,17,0)</f>
        <v>WebPage</v>
      </c>
      <c r="AD39" s="28">
        <f>VLOOKUP($A39,'raw-schema'!$A:$R,18,0)</f>
        <v>0</v>
      </c>
      <c r="AE39" s="31" t="s">
        <v>63</v>
      </c>
    </row>
    <row r="40" spans="1:31" x14ac:dyDescent="0.3">
      <c r="A40" s="28" t="str">
        <f t="array" ref="A40">INDEX('raw-sheet'!$A$2:$ZZ$1000, ROW(A39), MATCH(A$1, 'raw-sheet'!$A$1:$ZZ$1, 0))</f>
        <v>https://innisfree-taiwan.myshopify.com/blogs/magazine/how-to-apply-eye-cream-correctly</v>
      </c>
      <c r="B40" s="30" t="s">
        <v>11</v>
      </c>
      <c r="C40" s="28" t="str">
        <f t="array" ref="C40">INDEX('raw-sheet'!$A$2:$ZZ$1000, ROW(C39), MATCH(C$1, 'raw-sheet'!$A$1:$ZZ$1, 0))</f>
        <v>Blog Page</v>
      </c>
      <c r="D40" s="28">
        <f t="array" ref="D40">INDEX('raw-sheet'!$A$2:$ZZ$1000, ROW(D39), MATCH(D$1, 'raw-sheet'!$A$1:$ZZ$1, 0))</f>
        <v>200</v>
      </c>
      <c r="E40" s="30" t="str">
        <f t="shared" si="0"/>
        <v>Pass</v>
      </c>
      <c r="F40" s="28" t="str">
        <f t="array" ref="F40">INDEX('raw-sheet'!$A$2:$ZZ$1000, ROW(F39), MATCH(F$1, 'raw-sheet'!$A$1:$ZZ$1, 0))</f>
        <v>眼霜怎麼擦？正確用法與人氣眼霜推薦，想要透亮眼周就看這篇_x000D_ | INNISFREE Taiwan</v>
      </c>
      <c r="G40" s="30" t="s">
        <v>11</v>
      </c>
      <c r="H40" s="28" t="str">
        <f t="array" ref="H40">INDEX('raw-sheet'!$A$2:$ZZ$1000, ROW(H39), MATCH(H$1, 'raw-sheet'!$A$1:$ZZ$1, 0))</f>
        <v>眼霜怎麼擦？正確用法與人氣眼霜推薦，想要透亮眼周就看這篇 想知道眼霜怎麼擦？正確用法是什麼？看這篇準沒錯！對許多人來說，泡泡眼、熊貓眼和魚尾紋等眼周肌膚問題就像是噩夢，趕都趕不走，不僅讓人看來失神，外觀也較為顯老，甚至有時連底妝都無法掩蓋過！而如果想扭轉這些眼周肌膚困擾，培養起保養習慣就很重要～本篇讓小編一步步教你眼霜的正確用法，並於最後向大家推薦2款好用的眼霜，讓你隨時散發自信光彩！ 分享眼周常見3種困擾！不好好保養問題就會找上門 有時不管多努力用笑容掩蓋疲累，眼下肌膚的暗沉或眼周腫大，都會默默地出賣你的真實心聲。且不只如此，細紋也是常見的眼周問題之一，讓我們透過以下的說明，帶你看看這些眼周肌膚困擾的成因。 😭 泡泡眼 早上起來眼</v>
      </c>
      <c r="I40" s="30" t="s">
        <v>11</v>
      </c>
      <c r="J40" s="28" t="str">
        <f t="array" ref="J40">INDEX('raw-sheet'!$A$2:$ZZ$1000, ROW(J39), MATCH(J$1, 'raw-sheet'!$A$1:$ZZ$1, 0))</f>
        <v>眼霜怎麼擦？正確用法與人氣眼霜推薦，想要透亮眼周就看這篇</v>
      </c>
      <c r="K40" s="28" t="str">
        <f t="array" ref="K40">INDEX('raw-sheet'!$A$2:$ZZ$1000, ROW(K39), MATCH(K$1, 'raw-sheet'!$A$1:$ZZ$1, 0))</f>
        <v>1</v>
      </c>
      <c r="L40" s="30" t="s">
        <v>11</v>
      </c>
      <c r="M40" s="28" t="str">
        <f t="array" ref="M40">INDEX('raw-sheet'!$A$2:$ZZ$1000, ROW(M39), MATCH(M$1, 'raw-sheet'!$A$1:$ZZ$1, 0))</f>
        <v>https://innisfree-taiwan.myshopify.com/blogs/magazine/how-to-apply-eye-cream-correctly</v>
      </c>
      <c r="N40" s="30" t="str">
        <f t="shared" si="1"/>
        <v>Pass</v>
      </c>
      <c r="O40" s="28" t="str">
        <f t="array" ref="O40">INDEX('raw-sheet'!$A$2:$ZZ$1000, ROW(O39), MATCH(O$1, 'raw-sheet'!$A$1:$ZZ$1, 0))</f>
        <v>眼霜怎麼擦？正確用法與人氣眼霜推薦，想要透亮眼周就看這篇 | INNISFREE Taiwan</v>
      </c>
      <c r="P40" s="28" t="str">
        <f t="array" ref="P40">INDEX('raw-sheet'!$A$2:$ZZ$1000, ROW(P39), MATCH(P$1, 'raw-sheet'!$A$1:$ZZ$1, 0))</f>
        <v>眼霜怎麼擦？正確用法與人氣眼霜推薦，想要透亮眼周就看這篇 想知道眼霜怎麼擦？正確用法是什麼？看這篇準沒錯！對許多人來說，泡泡眼、熊貓眼和魚尾紋等眼周肌膚問題就像是噩夢，趕都趕不走，不僅讓人看來失神，外觀也較為顯老，甚至有時連底妝都無法掩蓋過！而如果想扭轉這些眼周肌膚困擾，培養起保養習慣就很重要～本篇讓小編一步步教你眼霜的正確用法，並於最後向大家推薦2款好用的眼霜，讓你隨時散發自信光彩！ 分享眼周常見3種困擾！不好好保養問題就會找上門 有時不管多努力用笑容掩蓋疲累，眼下肌膚的暗沉或眼周腫大，都會默默地出賣你的真實心聲。且不只如此，細紋也是常見的眼周問題之一，讓我們透過以下的說明，帶你看看這些眼周肌膚困擾的成因。 😭 泡泡眼 早上起來眼</v>
      </c>
      <c r="Q40" s="28" t="str">
        <f t="array" ref="Q40">INDEX('raw-sheet'!$A$2:$ZZ$1000, ROW(Q39), MATCH(Q$1, 'raw-sheet'!$A$1:$ZZ$1, 0))</f>
        <v>article</v>
      </c>
      <c r="R40" s="28" t="str">
        <f t="array" ref="R40">INDEX('raw-sheet'!$A$2:$ZZ$1000, ROW(R39), MATCH(R$1, 'raw-sheet'!$A$1:$ZZ$1, 0))</f>
        <v>INNISFREE Taiwan</v>
      </c>
      <c r="S40" s="28" t="str">
        <f t="array" ref="S40">INDEX('raw-sheet'!$A$2:$ZZ$1000, ROW(S39), MATCH(S$1, 'raw-sheet'!$A$1:$ZZ$1, 0))</f>
        <v>http://innisfree-taiwan.myshopify.com/cdn/shop/articles/pdp_mig_1b7a0bdc_15_attimg1_origin_jpg_71bf0ed4-f563-472a-8ed6-0f61ecba7592.jpg?v=1768549804</v>
      </c>
      <c r="T40" s="28" t="str">
        <f t="array" ref="T40">INDEX('raw-sheet'!$A$2:$ZZ$1000, ROW(T39), MATCH(T$1, 'raw-sheet'!$A$1:$ZZ$1, 0))</f>
        <v>https://innisfree-taiwan.myshopify.com/cdn/shop/articles/pdp_mig_1b7a0bdc_15_attimg1_origin_jpg_71bf0ed4-f563-472a-8ed6-0f61ecba7592.jpg?v=1768549804</v>
      </c>
      <c r="U40" s="28" t="str">
        <f t="array" ref="U40">INDEX('raw-sheet'!$A$2:$ZZ$1000, ROW(U39), MATCH(U$1, 'raw-sheet'!$A$1:$ZZ$1, 0))</f>
        <v>https://innisfree-taiwan.myshopify.com/blogs/magazine/how-to-apply-eye-cream-correctly</v>
      </c>
      <c r="V40" s="28" t="str">
        <f t="array" ref="V40">INDEX('raw-sheet'!$A$2:$ZZ$1000, ROW(V39), MATCH(V$1, 'raw-sheet'!$A$1:$ZZ$1, 0))</f>
        <v>眼霜怎麼擦？正確用法與人氣眼霜推薦，想要透亮眼周就看這篇 | INNISFREE Taiwan</v>
      </c>
      <c r="W40" s="28" t="str">
        <f t="array" ref="W40">INDEX('raw-sheet'!$A$2:$ZZ$1000, ROW(W39), MATCH(W$1, 'raw-sheet'!$A$1:$ZZ$1, 0))</f>
        <v>眼霜怎麼擦？正確用法與人氣眼霜推薦，想要透亮眼周就看這篇 想知道眼霜怎麼擦？正確用法是什麼？看這篇準沒錯！對許多人來說，泡泡眼、熊貓眼和魚尾紋等眼周肌膚問題就像是噩夢，趕都趕不走，不僅讓人看來失神，外觀也較為顯老，甚至有時連底妝都無法掩蓋過！而如果想扭轉這些眼周肌膚困擾，培養起保養習慣就很重要～本篇讓小編一步步教你眼霜的正確用法，並於最後向大家推薦2款好用的眼霜，讓你隨時散發自信光彩！ 分享眼周常見3種困擾！不好好保養問題就會找上門 有時不管多努力用笑容掩蓋疲累，眼下肌膚的暗沉或眼周腫大，都會默默地出賣你的真實心聲。且不只如此，細紋也是常見的眼周問題之一，讓我們透過以下的說明，帶你看看這些眼周肌膚困擾的成因。 😭 泡泡眼 早上起來眼</v>
      </c>
      <c r="X40" s="28" t="str">
        <f t="array" ref="X40">INDEX('raw-sheet'!$A$2:$ZZ$1000, ROW(X39), MATCH(X$1, 'raw-sheet'!$A$1:$ZZ$1, 0))</f>
        <v>summary_large_image</v>
      </c>
      <c r="Y40" s="30" t="s">
        <v>11</v>
      </c>
      <c r="Z40" s="28" t="str">
        <f>VLOOKUP($A40,'raw-schema'!$A:$R,14,0)</f>
        <v>Article</v>
      </c>
      <c r="AA40" s="28" t="str">
        <f>VLOOKUP($A40,'raw-schema'!$A:$R,15,0)</f>
        <v>Organization</v>
      </c>
      <c r="AB40" s="28" t="str">
        <f>VLOOKUP($A40,'raw-schema'!$A:$R,16,0)</f>
        <v>Person</v>
      </c>
      <c r="AC40" s="28" t="str">
        <f>VLOOKUP($A40,'raw-schema'!$A:$R,17,0)</f>
        <v>WebPage</v>
      </c>
      <c r="AD40" s="28">
        <f>VLOOKUP($A40,'raw-schema'!$A:$R,18,0)</f>
        <v>0</v>
      </c>
      <c r="AE40" s="31" t="s">
        <v>63</v>
      </c>
    </row>
    <row r="41" spans="1:31" x14ac:dyDescent="0.3">
      <c r="A41" s="28" t="str">
        <f t="array" ref="A41">INDEX('raw-sheet'!$A$2:$ZZ$1000, ROW(A40), MATCH(A$1, 'raw-sheet'!$A$1:$ZZ$1, 0))</f>
        <v>https://innisfree-taiwan.myshopify.com/blogs/magazine/how-to-choose-products-for-enlarged-pores</v>
      </c>
      <c r="B41" s="30" t="s">
        <v>11</v>
      </c>
      <c r="C41" s="28" t="str">
        <f t="array" ref="C41">INDEX('raw-sheet'!$A$2:$ZZ$1000, ROW(C40), MATCH(C$1, 'raw-sheet'!$A$1:$ZZ$1, 0))</f>
        <v>Blog Page</v>
      </c>
      <c r="D41" s="28">
        <f t="array" ref="D41">INDEX('raw-sheet'!$A$2:$ZZ$1000, ROW(D40), MATCH(D$1, 'raw-sheet'!$A$1:$ZZ$1, 0))</f>
        <v>200</v>
      </c>
      <c r="E41" s="30" t="str">
        <f t="shared" si="0"/>
        <v>Pass</v>
      </c>
      <c r="F41" s="28" t="str">
        <f t="array" ref="F41">INDEX('raw-sheet'!$A$2:$ZZ$1000, ROW(F40), MATCH(F$1, 'raw-sheet'!$A$1:$ZZ$1, 0))</f>
        <v>毛孔粗大保養品怎麼挑？打造完美膚質4大關鍵不可少！_x000D_ | INNISFREE Taiwan</v>
      </c>
      <c r="G41" s="30" t="s">
        <v>11</v>
      </c>
      <c r="H41" s="28" t="str">
        <f t="array" ref="H41">INDEX('raw-sheet'!$A$2:$ZZ$1000, ROW(H40), MATCH(H$1, 'raw-sheet'!$A$1:$ZZ$1, 0))</f>
        <v>毛孔粗大的原因有哪些？ 你是否也為了毛孔粗大和粉刺瑕疵苦惱不已？且不論擦了多少保養品、買了多貴的精華液，皮膚依舊粗糙不平、粉刺林始終茂密？而此問題的來源，其實就出在肌膚表面堆積的老廢角質和髒汙上。 基本上，臉部肌膚的毛孔超過兩萬個，隨著年齡增長或受到自由基的傷害，若沒有定時且使用正確方式清理角質，老廢角質就容易越積越厚。當毛孔被角質、皮脂及髒汙阻塞，再接觸到空氣後便容易氧化滋生細菌，漸漸地毛孔就被越撐越大，形成令人困擾的毛孔粗大現象，且也會造成保養品無法被完整吸收。建議毛孔粗大保養品，要依據下列2大依據挑選才不踩雷： 清潔產品 選擇具保水效果的洗面乳，加強角質層健康。另外可視膚況1~2週搭配使用一次泥狀清潔面膜，深層清除肌膚的皮脂髒</v>
      </c>
      <c r="I41" s="30" t="s">
        <v>11</v>
      </c>
      <c r="J41" s="28" t="str">
        <f t="array" ref="J41">INDEX('raw-sheet'!$A$2:$ZZ$1000, ROW(J40), MATCH(J$1, 'raw-sheet'!$A$1:$ZZ$1, 0))</f>
        <v>毛孔粗大保養品怎麼挑？打造完美膚質4大關鍵不可少！</v>
      </c>
      <c r="K41" s="28" t="str">
        <f t="array" ref="K41">INDEX('raw-sheet'!$A$2:$ZZ$1000, ROW(K40), MATCH(K$1, 'raw-sheet'!$A$1:$ZZ$1, 0))</f>
        <v>1</v>
      </c>
      <c r="L41" s="30" t="s">
        <v>11</v>
      </c>
      <c r="M41" s="28" t="str">
        <f t="array" ref="M41">INDEX('raw-sheet'!$A$2:$ZZ$1000, ROW(M40), MATCH(M$1, 'raw-sheet'!$A$1:$ZZ$1, 0))</f>
        <v>https://innisfree-taiwan.myshopify.com/blogs/magazine/how-to-choose-products-for-enlarged-pores</v>
      </c>
      <c r="N41" s="30" t="str">
        <f t="shared" si="1"/>
        <v>Pass</v>
      </c>
      <c r="O41" s="28" t="str">
        <f t="array" ref="O41">INDEX('raw-sheet'!$A$2:$ZZ$1000, ROW(O40), MATCH(O$1, 'raw-sheet'!$A$1:$ZZ$1, 0))</f>
        <v>毛孔粗大保養品怎麼挑？打造完美膚質4大關鍵不可少！ | INNISFREE Taiwan</v>
      </c>
      <c r="P41" s="28" t="str">
        <f t="array" ref="P41">INDEX('raw-sheet'!$A$2:$ZZ$1000, ROW(P40), MATCH(P$1, 'raw-sheet'!$A$1:$ZZ$1, 0))</f>
        <v>毛孔粗大的原因有哪些？ 你是否也為了毛孔粗大和粉刺瑕疵苦惱不已？且不論擦了多少保養品、買了多貴的精華液，皮膚依舊粗糙不平、粉刺林始終茂密？而此問題的來源，其實就出在肌膚表面堆積的老廢角質和髒汙上。 基本上，臉部肌膚的毛孔超過兩萬個，隨著年齡增長或受到自由基的傷害，若沒有定時且使用正確方式清理角質，老廢角質就容易越積越厚。當毛孔被角質、皮脂及髒汙阻塞，再接觸到空氣後便容易氧化滋生細菌，漸漸地毛孔就被越撐越大，形成令人困擾的毛孔粗大現象，且也會造成保養品無法被完整吸收。建議毛孔粗大保養品，要依據下列2大依據挑選才不踩雷： 清潔產品 選擇具保水效果的洗面乳，加強角質層健康。另外可視膚況1~2週搭配使用一次泥狀清潔面膜，深層清除肌膚的皮脂髒</v>
      </c>
      <c r="Q41" s="28" t="str">
        <f t="array" ref="Q41">INDEX('raw-sheet'!$A$2:$ZZ$1000, ROW(Q40), MATCH(Q$1, 'raw-sheet'!$A$1:$ZZ$1, 0))</f>
        <v>article</v>
      </c>
      <c r="R41" s="28" t="str">
        <f t="array" ref="R41">INDEX('raw-sheet'!$A$2:$ZZ$1000, ROW(R40), MATCH(R$1, 'raw-sheet'!$A$1:$ZZ$1, 0))</f>
        <v>INNISFREE Taiwan</v>
      </c>
      <c r="S41" s="28" t="str">
        <f t="array" ref="S41">INDEX('raw-sheet'!$A$2:$ZZ$1000, ROW(S40), MATCH(S$1, 'raw-sheet'!$A$1:$ZZ$1, 0))</f>
        <v>http://innisfree-taiwan.myshopify.com/cdn/shop/articles/pdp_mig_776a18f6_3_attimg1_origin_jpg_ba030c6a-5c8b-4dbf-8c76-507a2a7f2d24.jpg?v=1769590030</v>
      </c>
      <c r="T41" s="28" t="str">
        <f t="array" ref="T41">INDEX('raw-sheet'!$A$2:$ZZ$1000, ROW(T40), MATCH(T$1, 'raw-sheet'!$A$1:$ZZ$1, 0))</f>
        <v>https://innisfree-taiwan.myshopify.com/cdn/shop/articles/pdp_mig_776a18f6_3_attimg1_origin_jpg_ba030c6a-5c8b-4dbf-8c76-507a2a7f2d24.jpg?v=1769590030</v>
      </c>
      <c r="U41" s="28" t="str">
        <f t="array" ref="U41">INDEX('raw-sheet'!$A$2:$ZZ$1000, ROW(U40), MATCH(U$1, 'raw-sheet'!$A$1:$ZZ$1, 0))</f>
        <v>https://innisfree-taiwan.myshopify.com/blogs/magazine/how-to-choose-products-for-enlarged-pores</v>
      </c>
      <c r="V41" s="28" t="str">
        <f t="array" ref="V41">INDEX('raw-sheet'!$A$2:$ZZ$1000, ROW(V40), MATCH(V$1, 'raw-sheet'!$A$1:$ZZ$1, 0))</f>
        <v>毛孔粗大保養品怎麼挑？打造完美膚質4大關鍵不可少！ | INNISFREE Taiwan</v>
      </c>
      <c r="W41" s="28" t="str">
        <f t="array" ref="W41">INDEX('raw-sheet'!$A$2:$ZZ$1000, ROW(W40), MATCH(W$1, 'raw-sheet'!$A$1:$ZZ$1, 0))</f>
        <v>毛孔粗大的原因有哪些？ 你是否也為了毛孔粗大和粉刺瑕疵苦惱不已？且不論擦了多少保養品、買了多貴的精華液，皮膚依舊粗糙不平、粉刺林始終茂密？而此問題的來源，其實就出在肌膚表面堆積的老廢角質和髒汙上。 基本上，臉部肌膚的毛孔超過兩萬個，隨著年齡增長或受到自由基的傷害，若沒有定時且使用正確方式清理角質，老廢角質就容易越積越厚。當毛孔被角質、皮脂及髒汙阻塞，再接觸到空氣後便容易氧化滋生細菌，漸漸地毛孔就被越撐越大，形成令人困擾的毛孔粗大現象，且也會造成保養品無法被完整吸收。建議毛孔粗大保養品，要依據下列2大依據挑選才不踩雷： 清潔產品 選擇具保水效果的洗面乳，加強角質層健康。另外可視膚況1~2週搭配使用一次泥狀清潔面膜，深層清除肌膚的皮脂髒</v>
      </c>
      <c r="X41" s="28" t="str">
        <f t="array" ref="X41">INDEX('raw-sheet'!$A$2:$ZZ$1000, ROW(X40), MATCH(X$1, 'raw-sheet'!$A$1:$ZZ$1, 0))</f>
        <v>summary_large_image</v>
      </c>
      <c r="Y41" s="31" t="s">
        <v>11</v>
      </c>
      <c r="Z41" s="28" t="str">
        <f>VLOOKUP($A41,'raw-schema'!$A:$R,14,0)</f>
        <v>Article</v>
      </c>
      <c r="AA41" s="28" t="str">
        <f>VLOOKUP($A41,'raw-schema'!$A:$R,15,0)</f>
        <v>Organization</v>
      </c>
      <c r="AB41" s="28" t="str">
        <f>VLOOKUP($A41,'raw-schema'!$A:$R,16,0)</f>
        <v>Person</v>
      </c>
      <c r="AC41" s="28" t="str">
        <f>VLOOKUP($A41,'raw-schema'!$A:$R,17,0)</f>
        <v>WebPage</v>
      </c>
      <c r="AD41" s="28">
        <f>VLOOKUP($A41,'raw-schema'!$A:$R,18,0)</f>
        <v>0</v>
      </c>
      <c r="AE41" s="31" t="s">
        <v>63</v>
      </c>
    </row>
    <row r="42" spans="1:31" x14ac:dyDescent="0.3">
      <c r="A42" s="28" t="str">
        <f t="array" ref="A42">INDEX('raw-sheet'!$A$2:$ZZ$1000, ROW(A41), MATCH(A$1, 'raw-sheet'!$A$1:$ZZ$1, 0))</f>
        <v>https://innisfree-taiwan.myshopify.com/blogs/magazine/how-to-get-rid-of-dark-circles</v>
      </c>
      <c r="B42" s="30" t="s">
        <v>11</v>
      </c>
      <c r="C42" s="28" t="str">
        <f t="array" ref="C42">INDEX('raw-sheet'!$A$2:$ZZ$1000, ROW(C41), MATCH(C$1, 'raw-sheet'!$A$1:$ZZ$1, 0))</f>
        <v>Blog Page</v>
      </c>
      <c r="D42" s="28">
        <f t="array" ref="D42">INDEX('raw-sheet'!$A$2:$ZZ$1000, ROW(D41), MATCH(D$1, 'raw-sheet'!$A$1:$ZZ$1, 0))</f>
        <v>200</v>
      </c>
      <c r="E42" s="30" t="str">
        <f t="shared" si="0"/>
        <v>Pass</v>
      </c>
      <c r="F42" s="28" t="str">
        <f t="array" ref="F42">INDEX('raw-sheet'!$A$2:$ZZ$1000, ROW(F41), MATCH(F$1, 'raw-sheet'!$A$1:$ZZ$1, 0))</f>
        <v>黑眼圈怎麼消除？教你改善4大類型黑眼圈和了解形成原因_x000D_ | INNISFREE Taiwan</v>
      </c>
      <c r="G42" s="30" t="s">
        <v>11</v>
      </c>
      <c r="H42" s="28" t="str">
        <f t="array" ref="H42">INDEX('raw-sheet'!$A$2:$ZZ$1000, ROW(H41), MATCH(H$1, 'raw-sheet'!$A$1:$ZZ$1, 0))</f>
        <v>你知道嗎？黑眼圈其實有不同類型，且其形成原因也比你想像中複雜許多，因此想要改善黑眼圈，就要追根究柢，從判斷自己是哪種類型的「熊貓眼」開始。而如果你也深受身受其擾，就一起來看看這篇文章！今天我們不只要解析黑眼圈的形成原因，還要教你如何改善這道「抹不去的陰影」，並加碼推薦3款人氣保養品，幫助你脫離看起來總是又累又沒精神的窘境！ 黑眼圈是什麼？形成原因主要有哪些？ 簡單來說，黑眼圈的生成主要是源於眼周附近的色素沉澱，進而導致肌膚變得暗沉，而顏色從淡紫、深藍到暗棕都有可能。至於其形成原因，其實不僅僅是因為熬夜，也有可能是遺傳、生活習慣甚至身體狀況所導致，大致上可分為以下3種： 詳細原因 說明 先天因素 天生皮膚薄或遺傳因素 有些人天生皮膚較</v>
      </c>
      <c r="I42" s="30" t="s">
        <v>11</v>
      </c>
      <c r="J42" s="28" t="str">
        <f t="array" ref="J42">INDEX('raw-sheet'!$A$2:$ZZ$1000, ROW(J41), MATCH(J$1, 'raw-sheet'!$A$1:$ZZ$1, 0))</f>
        <v>黑眼圈怎麼消除？教你改善4大類型黑眼圈和了解形成原因</v>
      </c>
      <c r="K42" s="28" t="str">
        <f t="array" ref="K42">INDEX('raw-sheet'!$A$2:$ZZ$1000, ROW(K41), MATCH(K$1, 'raw-sheet'!$A$1:$ZZ$1, 0))</f>
        <v>1</v>
      </c>
      <c r="L42" s="30" t="s">
        <v>11</v>
      </c>
      <c r="M42" s="28" t="str">
        <f t="array" ref="M42">INDEX('raw-sheet'!$A$2:$ZZ$1000, ROW(M41), MATCH(M$1, 'raw-sheet'!$A$1:$ZZ$1, 0))</f>
        <v>https://innisfree-taiwan.myshopify.com/blogs/magazine/how-to-get-rid-of-dark-circles</v>
      </c>
      <c r="N42" s="30" t="str">
        <f t="shared" si="1"/>
        <v>Pass</v>
      </c>
      <c r="O42" s="28" t="str">
        <f t="array" ref="O42">INDEX('raw-sheet'!$A$2:$ZZ$1000, ROW(O41), MATCH(O$1, 'raw-sheet'!$A$1:$ZZ$1, 0))</f>
        <v>黑眼圈怎麼消除？教你改善4大類型黑眼圈和了解形成原因 | INNISFREE Taiwan</v>
      </c>
      <c r="P42" s="28" t="str">
        <f t="array" ref="P42">INDEX('raw-sheet'!$A$2:$ZZ$1000, ROW(P41), MATCH(P$1, 'raw-sheet'!$A$1:$ZZ$1, 0))</f>
        <v>你知道嗎？黑眼圈其實有不同類型，且其形成原因也比你想像中複雜許多，因此想要改善黑眼圈，就要追根究柢，從判斷自己是哪種類型的「熊貓眼」開始。而如果你也深受身受其擾，就一起來看看這篇文章！今天我們不只要解析黑眼圈的形成原因，還要教你如何改善這道「抹不去的陰影」，並加碼推薦3款人氣保養品，幫助你脫離看起來總是又累又沒精神的窘境！ 黑眼圈是什麼？形成原因主要有哪些？ 簡單來說，黑眼圈的生成主要是源於眼周附近的色素沉澱，進而導致肌膚變得暗沉，而顏色從淡紫、深藍到暗棕都有可能。至於其形成原因，其實不僅僅是因為熬夜，也有可能是遺傳、生活習慣甚至身體狀況所導致，大致上可分為以下3種： 詳細原因 說明 先天因素 天生皮膚薄或遺傳因素 有些人天生皮膚較</v>
      </c>
      <c r="Q42" s="28" t="str">
        <f t="array" ref="Q42">INDEX('raw-sheet'!$A$2:$ZZ$1000, ROW(Q41), MATCH(Q$1, 'raw-sheet'!$A$1:$ZZ$1, 0))</f>
        <v>article</v>
      </c>
      <c r="R42" s="28" t="str">
        <f t="array" ref="R42">INDEX('raw-sheet'!$A$2:$ZZ$1000, ROW(R41), MATCH(R$1, 'raw-sheet'!$A$1:$ZZ$1, 0))</f>
        <v>INNISFREE Taiwan</v>
      </c>
      <c r="S42" s="28" t="str">
        <f t="array" ref="S42">INDEX('raw-sheet'!$A$2:$ZZ$1000, ROW(S41), MATCH(S$1, 'raw-sheet'!$A$1:$ZZ$1, 0))</f>
        <v>http://innisfree-taiwan.myshopify.com/cdn/shop/articles/pdp_mig_2a266f0c_10_attimg1_origin_png.png?v=1768549926</v>
      </c>
      <c r="T42" s="28" t="str">
        <f t="array" ref="T42">INDEX('raw-sheet'!$A$2:$ZZ$1000, ROW(T41), MATCH(T$1, 'raw-sheet'!$A$1:$ZZ$1, 0))</f>
        <v>https://innisfree-taiwan.myshopify.com/cdn/shop/articles/pdp_mig_2a266f0c_10_attimg1_origin_png.png?v=1768549926</v>
      </c>
      <c r="U42" s="28" t="str">
        <f t="array" ref="U42">INDEX('raw-sheet'!$A$2:$ZZ$1000, ROW(U41), MATCH(U$1, 'raw-sheet'!$A$1:$ZZ$1, 0))</f>
        <v>https://innisfree-taiwan.myshopify.com/blogs/magazine/how-to-get-rid-of-dark-circles</v>
      </c>
      <c r="V42" s="28" t="str">
        <f t="array" ref="V42">INDEX('raw-sheet'!$A$2:$ZZ$1000, ROW(V41), MATCH(V$1, 'raw-sheet'!$A$1:$ZZ$1, 0))</f>
        <v>黑眼圈怎麼消除？教你改善4大類型黑眼圈和了解形成原因 | INNISFREE Taiwan</v>
      </c>
      <c r="W42" s="28" t="str">
        <f t="array" ref="W42">INDEX('raw-sheet'!$A$2:$ZZ$1000, ROW(W41), MATCH(W$1, 'raw-sheet'!$A$1:$ZZ$1, 0))</f>
        <v>你知道嗎？黑眼圈其實有不同類型，且其形成原因也比你想像中複雜許多，因此想要改善黑眼圈，就要追根究柢，從判斷自己是哪種類型的「熊貓眼」開始。而如果你也深受身受其擾，就一起來看看這篇文章！今天我們不只要解析黑眼圈的形成原因，還要教你如何改善這道「抹不去的陰影」，並加碼推薦3款人氣保養品，幫助你脫離看起來總是又累又沒精神的窘境！ 黑眼圈是什麼？形成原因主要有哪些？ 簡單來說，黑眼圈的生成主要是源於眼周附近的色素沉澱，進而導致肌膚變得暗沉，而顏色從淡紫、深藍到暗棕都有可能。至於其形成原因，其實不僅僅是因為熬夜，也有可能是遺傳、生活習慣甚至身體狀況所導致，大致上可分為以下3種： 詳細原因 說明 先天因素 天生皮膚薄或遺傳因素 有些人天生皮膚較</v>
      </c>
      <c r="X42" s="28" t="str">
        <f t="array" ref="X42">INDEX('raw-sheet'!$A$2:$ZZ$1000, ROW(X41), MATCH(X$1, 'raw-sheet'!$A$1:$ZZ$1, 0))</f>
        <v>summary_large_image</v>
      </c>
      <c r="Y42" s="31" t="s">
        <v>11</v>
      </c>
      <c r="Z42" s="28" t="str">
        <f>VLOOKUP($A42,'raw-schema'!$A:$R,14,0)</f>
        <v>Article</v>
      </c>
      <c r="AA42" s="28" t="str">
        <f>VLOOKUP($A42,'raw-schema'!$A:$R,15,0)</f>
        <v>Organization</v>
      </c>
      <c r="AB42" s="28" t="str">
        <f>VLOOKUP($A42,'raw-schema'!$A:$R,16,0)</f>
        <v>Person</v>
      </c>
      <c r="AC42" s="28" t="str">
        <f>VLOOKUP($A42,'raw-schema'!$A:$R,17,0)</f>
        <v>WebPage</v>
      </c>
      <c r="AD42" s="28">
        <f>VLOOKUP($A42,'raw-schema'!$A:$R,18,0)</f>
        <v>0</v>
      </c>
      <c r="AE42" s="31" t="s">
        <v>63</v>
      </c>
    </row>
    <row r="43" spans="1:31" x14ac:dyDescent="0.3">
      <c r="A43" s="28" t="str">
        <f t="array" ref="A43">INDEX('raw-sheet'!$A$2:$ZZ$1000, ROW(A42), MATCH(A$1, 'raw-sheet'!$A$1:$ZZ$1, 0))</f>
        <v>https://innisfree-taiwan.myshopify.com/blogs/magazine/how-to-use-korean-toner-pads-correctly</v>
      </c>
      <c r="B43" s="30" t="s">
        <v>11</v>
      </c>
      <c r="C43" s="28" t="str">
        <f t="array" ref="C43">INDEX('raw-sheet'!$A$2:$ZZ$1000, ROW(C42), MATCH(C$1, 'raw-sheet'!$A$1:$ZZ$1, 0))</f>
        <v>Blog Page</v>
      </c>
      <c r="D43" s="28">
        <f t="array" ref="D43">INDEX('raw-sheet'!$A$2:$ZZ$1000, ROW(D42), MATCH(D$1, 'raw-sheet'!$A$1:$ZZ$1, 0))</f>
        <v>200</v>
      </c>
      <c r="E43" s="30" t="str">
        <f t="shared" si="0"/>
        <v>Pass</v>
      </c>
      <c r="F43" s="28" t="str">
        <f t="array" ref="F43">INDEX('raw-sheet'!$A$2:$ZZ$1000, ROW(F42), MATCH(F$1, 'raw-sheet'!$A$1:$ZZ$1, 0))</f>
        <v>韓國棉片用法推薦！正確使用方法與順序看這篇，好膚質就該這樣保養_x000D_ | INNISFREE Taiwan</v>
      </c>
      <c r="G43" s="30" t="s">
        <v>11</v>
      </c>
      <c r="H43" s="28" t="str">
        <f t="array" ref="H43">INDEX('raw-sheet'!$A$2:$ZZ$1000, ROW(H42), MATCH(H$1, 'raw-sheet'!$A$1:$ZZ$1, 0))</f>
        <v>韓國棉片用法推薦！正確使用方法與順序看這篇，好膚質就該這樣保養 最近超夯的韓國棉片是什麼？使用方法和順序又該怎麼安排？小小的一片圓形小棉片，已經在韓國女生保養圈裡刮起一股新潮流，不僅能用於清潔和清除角質，還能在濕敷與潤澤中發揮很好的效果。如果你也想知道棉片究竟有多好用，或者正確的使用方法是什麼？今天就讓我們一起深入了解，認識這項保養界的新寵兒！ 韓國棉片是什麼？3種棉片用法和用途一次看 棉片（Cotton Pad）在韓國已經成為每個女生化妝台上的必備品，且根據材質與功能不同，不僅能用於基礎清潔，還可以結合臉部保養品，達到深層保養的效果。以下是棉片的主要種類與用途： 1. 擦拭清潔型棉片 這類棉片材質輕柔且吸水性佳，其設計是用於搭配化</v>
      </c>
      <c r="I43" s="30" t="s">
        <v>11</v>
      </c>
      <c r="J43" s="28" t="str">
        <f t="array" ref="J43">INDEX('raw-sheet'!$A$2:$ZZ$1000, ROW(J42), MATCH(J$1, 'raw-sheet'!$A$1:$ZZ$1, 0))</f>
        <v>韓國棉片用法推薦！正確使用方法與順序看這篇，好膚質就該這樣保養</v>
      </c>
      <c r="K43" s="28" t="str">
        <f t="array" ref="K43">INDEX('raw-sheet'!$A$2:$ZZ$1000, ROW(K42), MATCH(K$1, 'raw-sheet'!$A$1:$ZZ$1, 0))</f>
        <v>1</v>
      </c>
      <c r="L43" s="30" t="s">
        <v>11</v>
      </c>
      <c r="M43" s="28" t="str">
        <f t="array" ref="M43">INDEX('raw-sheet'!$A$2:$ZZ$1000, ROW(M42), MATCH(M$1, 'raw-sheet'!$A$1:$ZZ$1, 0))</f>
        <v>https://innisfree-taiwan.myshopify.com/blogs/magazine/how-to-use-korean-toner-pads-correctly</v>
      </c>
      <c r="N43" s="30" t="str">
        <f t="shared" si="1"/>
        <v>Pass</v>
      </c>
      <c r="O43" s="28" t="str">
        <f t="array" ref="O43">INDEX('raw-sheet'!$A$2:$ZZ$1000, ROW(O42), MATCH(O$1, 'raw-sheet'!$A$1:$ZZ$1, 0))</f>
        <v>韓國棉片用法推薦！正確使用方法與順序看這篇，好膚質就該這樣保養 | INNISFREE Taiwan</v>
      </c>
      <c r="P43" s="28" t="str">
        <f t="array" ref="P43">INDEX('raw-sheet'!$A$2:$ZZ$1000, ROW(P42), MATCH(P$1, 'raw-sheet'!$A$1:$ZZ$1, 0))</f>
        <v>韓國棉片用法推薦！正確使用方法與順序看這篇，好膚質就該這樣保養 最近超夯的韓國棉片是什麼？使用方法和順序又該怎麼安排？小小的一片圓形小棉片，已經在韓國女生保養圈裡刮起一股新潮流，不僅能用於清潔和清除角質，還能在濕敷與潤澤中發揮很好的效果。如果你也想知道棉片究竟有多好用，或者正確的使用方法是什麼？今天就讓我們一起深入了解，認識這項保養界的新寵兒！ 韓國棉片是什麼？3種棉片用法和用途一次看 棉片（Cotton Pad）在韓國已經成為每個女生化妝台上的必備品，且根據材質與功能不同，不僅能用於基礎清潔，還可以結合臉部保養品，達到深層保養的效果。以下是棉片的主要種類與用途： 1. 擦拭清潔型棉片 這類棉片材質輕柔且吸水性佳，其設計是用於搭配化</v>
      </c>
      <c r="Q43" s="28" t="str">
        <f t="array" ref="Q43">INDEX('raw-sheet'!$A$2:$ZZ$1000, ROW(Q42), MATCH(Q$1, 'raw-sheet'!$A$1:$ZZ$1, 0))</f>
        <v>article</v>
      </c>
      <c r="R43" s="28" t="str">
        <f t="array" ref="R43">INDEX('raw-sheet'!$A$2:$ZZ$1000, ROW(R42), MATCH(R$1, 'raw-sheet'!$A$1:$ZZ$1, 0))</f>
        <v>INNISFREE Taiwan</v>
      </c>
      <c r="S43" s="28" t="str">
        <f t="array" ref="S43">INDEX('raw-sheet'!$A$2:$ZZ$1000, ROW(S42), MATCH(S$1, 'raw-sheet'!$A$1:$ZZ$1, 0))</f>
        <v>http://innisfree-taiwan.myshopify.com/cdn/shop/articles/pdp_mig_bc5e208b_13_attimg1_origin_jpg_05b93181-dc36-4b29-806a-bca17e7ff163.jpg?v=1768549865</v>
      </c>
      <c r="T43" s="28" t="str">
        <f t="array" ref="T43">INDEX('raw-sheet'!$A$2:$ZZ$1000, ROW(T42), MATCH(T$1, 'raw-sheet'!$A$1:$ZZ$1, 0))</f>
        <v>https://innisfree-taiwan.myshopify.com/cdn/shop/articles/pdp_mig_bc5e208b_13_attimg1_origin_jpg_05b93181-dc36-4b29-806a-bca17e7ff163.jpg?v=1768549865</v>
      </c>
      <c r="U43" s="28" t="str">
        <f t="array" ref="U43">INDEX('raw-sheet'!$A$2:$ZZ$1000, ROW(U42), MATCH(U$1, 'raw-sheet'!$A$1:$ZZ$1, 0))</f>
        <v>https://innisfree-taiwan.myshopify.com/blogs/magazine/how-to-use-korean-toner-pads-correctly</v>
      </c>
      <c r="V43" s="28" t="str">
        <f t="array" ref="V43">INDEX('raw-sheet'!$A$2:$ZZ$1000, ROW(V42), MATCH(V$1, 'raw-sheet'!$A$1:$ZZ$1, 0))</f>
        <v>韓國棉片用法推薦！正確使用方法與順序看這篇，好膚質就該這樣保養 | INNISFREE Taiwan</v>
      </c>
      <c r="W43" s="28" t="str">
        <f t="array" ref="W43">INDEX('raw-sheet'!$A$2:$ZZ$1000, ROW(W42), MATCH(W$1, 'raw-sheet'!$A$1:$ZZ$1, 0))</f>
        <v>韓國棉片用法推薦！正確使用方法與順序看這篇，好膚質就該這樣保養 最近超夯的韓國棉片是什麼？使用方法和順序又該怎麼安排？小小的一片圓形小棉片，已經在韓國女生保養圈裡刮起一股新潮流，不僅能用於清潔和清除角質，還能在濕敷與潤澤中發揮很好的效果。如果你也想知道棉片究竟有多好用，或者正確的使用方法是什麼？今天就讓我們一起深入了解，認識這項保養界的新寵兒！ 韓國棉片是什麼？3種棉片用法和用途一次看 棉片（Cotton Pad）在韓國已經成為每個女生化妝台上的必備品，且根據材質與功能不同，不僅能用於基礎清潔，還可以結合臉部保養品，達到深層保養的效果。以下是棉片的主要種類與用途： 1. 擦拭清潔型棉片 這類棉片材質輕柔且吸水性佳，其設計是用於搭配化</v>
      </c>
      <c r="X43" s="28" t="str">
        <f t="array" ref="X43">INDEX('raw-sheet'!$A$2:$ZZ$1000, ROW(X42), MATCH(X$1, 'raw-sheet'!$A$1:$ZZ$1, 0))</f>
        <v>summary_large_image</v>
      </c>
      <c r="Y43" s="31" t="s">
        <v>11</v>
      </c>
      <c r="Z43" s="28" t="str">
        <f>VLOOKUP($A43,'raw-schema'!$A:$R,14,0)</f>
        <v>Article</v>
      </c>
      <c r="AA43" s="28" t="str">
        <f>VLOOKUP($A43,'raw-schema'!$A:$R,15,0)</f>
        <v>Organization</v>
      </c>
      <c r="AB43" s="28" t="str">
        <f>VLOOKUP($A43,'raw-schema'!$A:$R,16,0)</f>
        <v>Person</v>
      </c>
      <c r="AC43" s="28" t="str">
        <f>VLOOKUP($A43,'raw-schema'!$A:$R,17,0)</f>
        <v>WebPage</v>
      </c>
      <c r="AD43" s="28">
        <f>VLOOKUP($A43,'raw-schema'!$A:$R,18,0)</f>
        <v>0</v>
      </c>
      <c r="AE43" s="31" t="s">
        <v>63</v>
      </c>
    </row>
    <row r="44" spans="1:31" x14ac:dyDescent="0.3">
      <c r="A44" s="28" t="str">
        <f t="array" ref="A44">INDEX('raw-sheet'!$A$2:$ZZ$1000, ROW(A43), MATCH(A$1, 'raw-sheet'!$A$1:$ZZ$1, 0))</f>
        <v>https://innisfree-taiwan.myshopify.com/blogs/magazine/loose-powder-uses-vs-pressed-powder</v>
      </c>
      <c r="B44" s="30" t="s">
        <v>11</v>
      </c>
      <c r="C44" s="28" t="str">
        <f t="array" ref="C44">INDEX('raw-sheet'!$A$2:$ZZ$1000, ROW(C43), MATCH(C$1, 'raw-sheet'!$A$1:$ZZ$1, 0))</f>
        <v>Blog Page</v>
      </c>
      <c r="D44" s="28">
        <f t="array" ref="D44">INDEX('raw-sheet'!$A$2:$ZZ$1000, ROW(D43), MATCH(D$1, 'raw-sheet'!$A$1:$ZZ$1, 0))</f>
        <v>200</v>
      </c>
      <c r="E44" s="30" t="str">
        <f t="shared" si="0"/>
        <v>Pass</v>
      </c>
      <c r="F44" s="28" t="str">
        <f t="array" ref="F44">INDEX('raw-sheet'!$A$2:$ZZ$1000, ROW(F43), MATCH(F$1, 'raw-sheet'!$A$1:$ZZ$1, 0))</f>
        <v>蜜粉用途有哪些？跟粉餅差在哪？正確用法與推薦3款蜜粉大公開_x000D_ | INNISFREE Taiwan</v>
      </c>
      <c r="G44" s="30" t="s">
        <v>11</v>
      </c>
      <c r="H44" s="28" t="str">
        <f t="array" ref="H44">INDEX('raw-sheet'!$A$2:$ZZ$1000, ROW(H43), MATCH(H$1, 'raw-sheet'!$A$1:$ZZ$1, 0))</f>
        <v>蜜粉的正確用法是什麼？除了定妝還有什麼用途呢？無論是通勤路上風吹日曬雨淋，還是浪漫約會中不小心流汗的瞬間，「蜜粉」就是妝容的隱形守護者，不僅能拯救你的日常妝感，甚至能讓妝容在派對狂歡後也依然精緻！不過蜜粉到底應該怎麼選、怎麼用，才能提高持妝度？今天跟著小編一起了解蜜粉的用途、挑選訣竅與使用技巧，讓你在化妝的道路上更得心應手！ 蜜粉是什麼？用途有哪些？ 蜜粉是一種細緻的粉末狀化妝品，主要用於妝後定妝，可以幫助控制油光、提升妝容的持久度。除此之外，它還有以下這些用途： 1. 保持膚況乾爽 適合混合肌與油性肌，可幫助吸附多餘油脂，維持乾爽膚況。 2. 修飾瑕疵 有些蜜粉能幫助填補毛孔與細紋，讓肌膚看起來更平滑。 3. 持久妝效 避免底妝因</v>
      </c>
      <c r="I44" s="30" t="s">
        <v>11</v>
      </c>
      <c r="J44" s="28" t="str">
        <f t="array" ref="J44">INDEX('raw-sheet'!$A$2:$ZZ$1000, ROW(J43), MATCH(J$1, 'raw-sheet'!$A$1:$ZZ$1, 0))</f>
        <v>蜜粉用途有哪些？跟粉餅差在哪？正確用法與推薦3款蜜粉大公開</v>
      </c>
      <c r="K44" s="28" t="str">
        <f t="array" ref="K44">INDEX('raw-sheet'!$A$2:$ZZ$1000, ROW(K43), MATCH(K$1, 'raw-sheet'!$A$1:$ZZ$1, 0))</f>
        <v>1</v>
      </c>
      <c r="L44" s="30" t="s">
        <v>11</v>
      </c>
      <c r="M44" s="28" t="str">
        <f t="array" ref="M44">INDEX('raw-sheet'!$A$2:$ZZ$1000, ROW(M43), MATCH(M$1, 'raw-sheet'!$A$1:$ZZ$1, 0))</f>
        <v>https://innisfree-taiwan.myshopify.com/blogs/magazine/loose-powder-uses-vs-pressed-powder</v>
      </c>
      <c r="N44" s="30" t="str">
        <f t="shared" si="1"/>
        <v>Pass</v>
      </c>
      <c r="O44" s="28" t="str">
        <f t="array" ref="O44">INDEX('raw-sheet'!$A$2:$ZZ$1000, ROW(O43), MATCH(O$1, 'raw-sheet'!$A$1:$ZZ$1, 0))</f>
        <v>蜜粉用途有哪些？跟粉餅差在哪？正確用法與推薦3款蜜粉大公開 | INNISFREE Taiwan</v>
      </c>
      <c r="P44" s="28" t="str">
        <f t="array" ref="P44">INDEX('raw-sheet'!$A$2:$ZZ$1000, ROW(P43), MATCH(P$1, 'raw-sheet'!$A$1:$ZZ$1, 0))</f>
        <v>蜜粉的正確用法是什麼？除了定妝還有什麼用途呢？無論是通勤路上風吹日曬雨淋，還是浪漫約會中不小心流汗的瞬間，「蜜粉」就是妝容的隱形守護者，不僅能拯救你的日常妝感，甚至能讓妝容在派對狂歡後也依然精緻！不過蜜粉到底應該怎麼選、怎麼用，才能提高持妝度？今天跟著小編一起了解蜜粉的用途、挑選訣竅與使用技巧，讓你在化妝的道路上更得心應手！ 蜜粉是什麼？用途有哪些？ 蜜粉是一種細緻的粉末狀化妝品，主要用於妝後定妝，可以幫助控制油光、提升妝容的持久度。除此之外，它還有以下這些用途： 1. 保持膚況乾爽 適合混合肌與油性肌，可幫助吸附多餘油脂，維持乾爽膚況。 2. 修飾瑕疵 有些蜜粉能幫助填補毛孔與細紋，讓肌膚看起來更平滑。 3. 持久妝效 避免底妝因</v>
      </c>
      <c r="Q44" s="28" t="str">
        <f t="array" ref="Q44">INDEX('raw-sheet'!$A$2:$ZZ$1000, ROW(Q43), MATCH(Q$1, 'raw-sheet'!$A$1:$ZZ$1, 0))</f>
        <v>article</v>
      </c>
      <c r="R44" s="28" t="str">
        <f t="array" ref="R44">INDEX('raw-sheet'!$A$2:$ZZ$1000, ROW(R43), MATCH(R$1, 'raw-sheet'!$A$1:$ZZ$1, 0))</f>
        <v>INNISFREE Taiwan</v>
      </c>
      <c r="S44" s="28" t="str">
        <f t="array" ref="S44">INDEX('raw-sheet'!$A$2:$ZZ$1000, ROW(S43), MATCH(S$1, 'raw-sheet'!$A$1:$ZZ$1, 0))</f>
        <v>http://innisfree-taiwan.myshopify.com/cdn/shop/articles/pdp_mig_c1497207_12_attimg1_origin_jpg_65a020ea-775b-46c3-a501-c63879ccf91a.jpg?v=1768549952</v>
      </c>
      <c r="T44" s="28" t="str">
        <f t="array" ref="T44">INDEX('raw-sheet'!$A$2:$ZZ$1000, ROW(T43), MATCH(T$1, 'raw-sheet'!$A$1:$ZZ$1, 0))</f>
        <v>https://innisfree-taiwan.myshopify.com/cdn/shop/articles/pdp_mig_c1497207_12_attimg1_origin_jpg_65a020ea-775b-46c3-a501-c63879ccf91a.jpg?v=1768549952</v>
      </c>
      <c r="U44" s="28" t="str">
        <f t="array" ref="U44">INDEX('raw-sheet'!$A$2:$ZZ$1000, ROW(U43), MATCH(U$1, 'raw-sheet'!$A$1:$ZZ$1, 0))</f>
        <v>https://innisfree-taiwan.myshopify.com/blogs/magazine/loose-powder-uses-vs-pressed-powder</v>
      </c>
      <c r="V44" s="28" t="str">
        <f t="array" ref="V44">INDEX('raw-sheet'!$A$2:$ZZ$1000, ROW(V43), MATCH(V$1, 'raw-sheet'!$A$1:$ZZ$1, 0))</f>
        <v>蜜粉用途有哪些？跟粉餅差在哪？正確用法與推薦3款蜜粉大公開 | INNISFREE Taiwan</v>
      </c>
      <c r="W44" s="28" t="str">
        <f t="array" ref="W44">INDEX('raw-sheet'!$A$2:$ZZ$1000, ROW(W43), MATCH(W$1, 'raw-sheet'!$A$1:$ZZ$1, 0))</f>
        <v>蜜粉的正確用法是什麼？除了定妝還有什麼用途呢？無論是通勤路上風吹日曬雨淋，還是浪漫約會中不小心流汗的瞬間，「蜜粉」就是妝容的隱形守護者，不僅能拯救你的日常妝感，甚至能讓妝容在派對狂歡後也依然精緻！不過蜜粉到底應該怎麼選、怎麼用，才能提高持妝度？今天跟著小編一起了解蜜粉的用途、挑選訣竅與使用技巧，讓你在化妝的道路上更得心應手！ 蜜粉是什麼？用途有哪些？ 蜜粉是一種細緻的粉末狀化妝品，主要用於妝後定妝，可以幫助控制油光、提升妝容的持久度。除此之外，它還有以下這些用途： 1. 保持膚況乾爽 適合混合肌與油性肌，可幫助吸附多餘油脂，維持乾爽膚況。 2. 修飾瑕疵 有些蜜粉能幫助填補毛孔與細紋，讓肌膚看起來更平滑。 3. 持久妝效 避免底妝因</v>
      </c>
      <c r="X44" s="28" t="str">
        <f t="array" ref="X44">INDEX('raw-sheet'!$A$2:$ZZ$1000, ROW(X43), MATCH(X$1, 'raw-sheet'!$A$1:$ZZ$1, 0))</f>
        <v>summary_large_image</v>
      </c>
      <c r="Y44" s="31" t="s">
        <v>11</v>
      </c>
      <c r="Z44" s="28" t="str">
        <f>VLOOKUP($A44,'raw-schema'!$A:$R,14,0)</f>
        <v>Article</v>
      </c>
      <c r="AA44" s="28" t="str">
        <f>VLOOKUP($A44,'raw-schema'!$A:$R,15,0)</f>
        <v>Organization</v>
      </c>
      <c r="AB44" s="28" t="str">
        <f>VLOOKUP($A44,'raw-schema'!$A:$R,16,0)</f>
        <v>Person</v>
      </c>
      <c r="AC44" s="28" t="str">
        <f>VLOOKUP($A44,'raw-schema'!$A:$R,17,0)</f>
        <v>WebPage</v>
      </c>
      <c r="AD44" s="28">
        <f>VLOOKUP($A44,'raw-schema'!$A:$R,18,0)</f>
        <v>0</v>
      </c>
      <c r="AE44" s="31" t="s">
        <v>63</v>
      </c>
    </row>
    <row r="45" spans="1:31" x14ac:dyDescent="0.3">
      <c r="A45" s="28" t="str">
        <f t="array" ref="A45">INDEX('raw-sheet'!$A$2:$ZZ$1000, ROW(A44), MATCH(A$1, 'raw-sheet'!$A$1:$ZZ$1, 0))</f>
        <v>https://innisfree-taiwan.myshopify.com/blogs/magazine/morning-c-night-a-skincare-routine-guide</v>
      </c>
      <c r="B45" s="30" t="s">
        <v>11</v>
      </c>
      <c r="C45" s="28" t="str">
        <f t="array" ref="C45">INDEX('raw-sheet'!$A$2:$ZZ$1000, ROW(C44), MATCH(C$1, 'raw-sheet'!$A$1:$ZZ$1, 0))</f>
        <v>Blog Page</v>
      </c>
      <c r="D45" s="28">
        <f t="array" ref="D45">INDEX('raw-sheet'!$A$2:$ZZ$1000, ROW(D44), MATCH(D$1, 'raw-sheet'!$A$1:$ZZ$1, 0))</f>
        <v>200</v>
      </c>
      <c r="E45" s="30" t="str">
        <f t="shared" si="0"/>
        <v>Pass</v>
      </c>
      <c r="F45" s="28" t="str">
        <f t="array" ref="F45">INDEX('raw-sheet'!$A$2:$ZZ$1000, ROW(F44), MATCH(F$1, 'raw-sheet'!$A$1:$ZZ$1, 0))</f>
        <v>早C晚A是什麼意思？早C晚A順序與產品推薦＋挑選要點全祕笈_x000D_ | INNISFREE Taiwan</v>
      </c>
      <c r="G45" s="30" t="s">
        <v>11</v>
      </c>
      <c r="H45" s="28" t="str">
        <f t="array" ref="H45">INDEX('raw-sheet'!$A$2:$ZZ$1000, ROW(H44), MATCH(H$1, 'raw-sheet'!$A$1:$ZZ$1, 0))</f>
        <v>早C晚A是什麼意思？早C晚A順序與產品推薦＋挑選要點全祕笈 早C晚A是什麼？順序又該怎麼安排？如果你每天起床都覺得臉上暗沉沒光澤，卻怎麼保養都無感，那就快試試保養界最夯的「早C晚A」保養哲學！這個保養方法簡單、有效，又適合忙碌、愛美的現代女生。今天就讓INNISFREE來聊聊什麼是「早C晚A」，教你怎麼做才能讓保養發揮成效，也會和你分享挑選產品的5個Tips，讓你每天早上素顏也能美美的，晚上還能保有肌膚光澤！ 早C晚A是什麼意思？適用族群有哪些？ 雖然「早C晚A」每個字都看得懂，但聽起來又有點像密碼，其實超簡單啦！以下就分別拆解「早C」和「晚A」的意思，並會向你說明其適用族群。相信看完以下的彙整，你會更了解「早C晚A」保養法。 早C</v>
      </c>
      <c r="I45" s="30" t="s">
        <v>11</v>
      </c>
      <c r="J45" s="28" t="str">
        <f t="array" ref="J45">INDEX('raw-sheet'!$A$2:$ZZ$1000, ROW(J44), MATCH(J$1, 'raw-sheet'!$A$1:$ZZ$1, 0))</f>
        <v>早C晚A是什麼意思？早C晚A順序與產品推薦＋挑選要點全祕笈</v>
      </c>
      <c r="K45" s="28" t="str">
        <f t="array" ref="K45">INDEX('raw-sheet'!$A$2:$ZZ$1000, ROW(K44), MATCH(K$1, 'raw-sheet'!$A$1:$ZZ$1, 0))</f>
        <v>1</v>
      </c>
      <c r="L45" s="30" t="s">
        <v>11</v>
      </c>
      <c r="M45" s="28" t="str">
        <f t="array" ref="M45">INDEX('raw-sheet'!$A$2:$ZZ$1000, ROW(M44), MATCH(M$1, 'raw-sheet'!$A$1:$ZZ$1, 0))</f>
        <v>https://innisfree-taiwan.myshopify.com/blogs/magazine/morning-c-night-a-skincare-routine-guide</v>
      </c>
      <c r="N45" s="30" t="str">
        <f t="shared" si="1"/>
        <v>Pass</v>
      </c>
      <c r="O45" s="28" t="str">
        <f t="array" ref="O45">INDEX('raw-sheet'!$A$2:$ZZ$1000, ROW(O44), MATCH(O$1, 'raw-sheet'!$A$1:$ZZ$1, 0))</f>
        <v>早C晚A是什麼意思？早C晚A順序與產品推薦＋挑選要點全祕笈 | INNISFREE Taiwan</v>
      </c>
      <c r="P45" s="28" t="str">
        <f t="array" ref="P45">INDEX('raw-sheet'!$A$2:$ZZ$1000, ROW(P44), MATCH(P$1, 'raw-sheet'!$A$1:$ZZ$1, 0))</f>
        <v>早C晚A是什麼意思？早C晚A順序與產品推薦＋挑選要點全祕笈 早C晚A是什麼？順序又該怎麼安排？如果你每天起床都覺得臉上暗沉沒光澤，卻怎麼保養都無感，那就快試試保養界最夯的「早C晚A」保養哲學！這個保養方法簡單、有效，又適合忙碌、愛美的現代女生。今天就讓INNISFREE來聊聊什麼是「早C晚A」，教你怎麼做才能讓保養發揮成效，也會和你分享挑選產品的5個Tips，讓你每天早上素顏也能美美的，晚上還能保有肌膚光澤！ 早C晚A是什麼意思？適用族群有哪些？ 雖然「早C晚A」每個字都看得懂，但聽起來又有點像密碼，其實超簡單啦！以下就分別拆解「早C」和「晚A」的意思，並會向你說明其適用族群。相信看完以下的彙整，你會更了解「早C晚A」保養法。 早C</v>
      </c>
      <c r="Q45" s="28" t="str">
        <f t="array" ref="Q45">INDEX('raw-sheet'!$A$2:$ZZ$1000, ROW(Q44), MATCH(Q$1, 'raw-sheet'!$A$1:$ZZ$1, 0))</f>
        <v>article</v>
      </c>
      <c r="R45" s="28" t="str">
        <f t="array" ref="R45">INDEX('raw-sheet'!$A$2:$ZZ$1000, ROW(R44), MATCH(R$1, 'raw-sheet'!$A$1:$ZZ$1, 0))</f>
        <v>INNISFREE Taiwan</v>
      </c>
      <c r="S45" s="28" t="str">
        <f t="array" ref="S45">INDEX('raw-sheet'!$A$2:$ZZ$1000, ROW(S44), MATCH(S$1, 'raw-sheet'!$A$1:$ZZ$1, 0))</f>
        <v>http://innisfree-taiwan.myshopify.com/cdn/shop/articles/pdp_mig_a32b9358_18_attimg1_origin_jpg_ca58d4bf-cbb6-4a43-8a82-99116ef84539.jpg?v=1768549982</v>
      </c>
      <c r="T45" s="28" t="str">
        <f t="array" ref="T45">INDEX('raw-sheet'!$A$2:$ZZ$1000, ROW(T44), MATCH(T$1, 'raw-sheet'!$A$1:$ZZ$1, 0))</f>
        <v>https://innisfree-taiwan.myshopify.com/cdn/shop/articles/pdp_mig_a32b9358_18_attimg1_origin_jpg_ca58d4bf-cbb6-4a43-8a82-99116ef84539.jpg?v=1768549982</v>
      </c>
      <c r="U45" s="28" t="str">
        <f t="array" ref="U45">INDEX('raw-sheet'!$A$2:$ZZ$1000, ROW(U44), MATCH(U$1, 'raw-sheet'!$A$1:$ZZ$1, 0))</f>
        <v>https://innisfree-taiwan.myshopify.com/blogs/magazine/morning-c-night-a-skincare-routine-guide</v>
      </c>
      <c r="V45" s="28" t="str">
        <f t="array" ref="V45">INDEX('raw-sheet'!$A$2:$ZZ$1000, ROW(V44), MATCH(V$1, 'raw-sheet'!$A$1:$ZZ$1, 0))</f>
        <v>早C晚A是什麼意思？早C晚A順序與產品推薦＋挑選要點全祕笈 | INNISFREE Taiwan</v>
      </c>
      <c r="W45" s="28" t="str">
        <f t="array" ref="W45">INDEX('raw-sheet'!$A$2:$ZZ$1000, ROW(W44), MATCH(W$1, 'raw-sheet'!$A$1:$ZZ$1, 0))</f>
        <v>早C晚A是什麼意思？早C晚A順序與產品推薦＋挑選要點全祕笈 早C晚A是什麼？順序又該怎麼安排？如果你每天起床都覺得臉上暗沉沒光澤，卻怎麼保養都無感，那就快試試保養界最夯的「早C晚A」保養哲學！這個保養方法簡單、有效，又適合忙碌、愛美的現代女生。今天就讓INNISFREE來聊聊什麼是「早C晚A」，教你怎麼做才能讓保養發揮成效，也會和你分享挑選產品的5個Tips，讓你每天早上素顏也能美美的，晚上還能保有肌膚光澤！ 早C晚A是什麼意思？適用族群有哪些？ 雖然「早C晚A」每個字都看得懂，但聽起來又有點像密碼，其實超簡單啦！以下就分別拆解「早C」和「晚A」的意思，並會向你說明其適用族群。相信看完以下的彙整，你會更了解「早C晚A」保養法。 早C</v>
      </c>
      <c r="X45" s="28" t="str">
        <f t="array" ref="X45">INDEX('raw-sheet'!$A$2:$ZZ$1000, ROW(X44), MATCH(X$1, 'raw-sheet'!$A$1:$ZZ$1, 0))</f>
        <v>summary_large_image</v>
      </c>
      <c r="Y45" s="31" t="s">
        <v>11</v>
      </c>
      <c r="Z45" s="28" t="str">
        <f>VLOOKUP($A45,'raw-schema'!$A:$R,14,0)</f>
        <v>Article</v>
      </c>
      <c r="AA45" s="28" t="str">
        <f>VLOOKUP($A45,'raw-schema'!$A:$R,15,0)</f>
        <v>Organization</v>
      </c>
      <c r="AB45" s="28" t="str">
        <f>VLOOKUP($A45,'raw-schema'!$A:$R,16,0)</f>
        <v>Person</v>
      </c>
      <c r="AC45" s="28" t="str">
        <f>VLOOKUP($A45,'raw-schema'!$A:$R,17,0)</f>
        <v>WebPage</v>
      </c>
      <c r="AD45" s="28">
        <f>VLOOKUP($A45,'raw-schema'!$A:$R,18,0)</f>
        <v>0</v>
      </c>
      <c r="AE45" s="31" t="s">
        <v>63</v>
      </c>
    </row>
    <row r="46" spans="1:31" x14ac:dyDescent="0.3">
      <c r="A46" s="28" t="str">
        <f t="array" ref="A46">INDEX('raw-sheet'!$A$2:$ZZ$1000, ROW(A45), MATCH(A$1, 'raw-sheet'!$A$1:$ZZ$1, 0))</f>
        <v>https://innisfree-taiwan.myshopify.com/blogs/magazine/pre-makeup-skincare-routine-5-step-guide</v>
      </c>
      <c r="B46" s="30" t="s">
        <v>11</v>
      </c>
      <c r="C46" s="28" t="str">
        <f t="array" ref="C46">INDEX('raw-sheet'!$A$2:$ZZ$1000, ROW(C45), MATCH(C$1, 'raw-sheet'!$A$1:$ZZ$1, 0))</f>
        <v>Blog Page</v>
      </c>
      <c r="D46" s="28">
        <f t="array" ref="D46">INDEX('raw-sheet'!$A$2:$ZZ$1000, ROW(D45), MATCH(D$1, 'raw-sheet'!$A$1:$ZZ$1, 0))</f>
        <v>200</v>
      </c>
      <c r="E46" s="30" t="str">
        <f t="shared" si="0"/>
        <v>Pass</v>
      </c>
      <c r="F46" s="28" t="str">
        <f t="array" ref="F46">INDEX('raw-sheet'!$A$2:$ZZ$1000, ROW(F45), MATCH(F$1, 'raw-sheet'!$A$1:$ZZ$1, 0))</f>
        <v>妝前保養順序推薦！5步驟教你安排保養品順序，輕鬆打造持久妝容_x000D_ | INNISFREE Taiwan</v>
      </c>
      <c r="G46" s="30" t="s">
        <v>11</v>
      </c>
      <c r="H46" s="28" t="str">
        <f t="array" ref="H46">INDEX('raw-sheet'!$A$2:$ZZ$1000, ROW(H45), MATCH(H$1, 'raw-sheet'!$A$1:$ZZ$1, 0))</f>
        <v>上妝完沒多久，妝容就開始浮粉、斑駁嗎？也許是你的妝前保養沒做好！不管是乾肌人或油肌人，上妝前為肌膚做好打底、讓膚況更穩定，都是妝容能均勻持久的一大關鍵。且保養品的順序安排尤其重要，不只能使底妝更服貼，還可以幫你打造出人人都稱羨的好膚質。本篇就讓小編告訴你妝前保養有多重要，也會分享正確的保養品使用順序，一起看下去，讓底妝更耐久！ 妝前保養重要嗎？可以帶來哪些好處？ 你是否有過這樣的煩惱？明明早上化妝精緻到不行，到了中午卻浮粉脫妝，甚至一到下午更像是臉部災難現場。而產生這些問題的罪魁禍首，很可能就是你忽略了妝前保養！因為好的妝前保養可以幫你： ✅ 提升妝容服貼度與持久性 如果把化妝比喻成畫畫，那麼妝前保養就是「準備畫布」的過程。潤澤、柔</v>
      </c>
      <c r="I46" s="30" t="s">
        <v>11</v>
      </c>
      <c r="J46" s="28" t="str">
        <f t="array" ref="J46">INDEX('raw-sheet'!$A$2:$ZZ$1000, ROW(J45), MATCH(J$1, 'raw-sheet'!$A$1:$ZZ$1, 0))</f>
        <v>妝前保養順序推薦！5步驟教你安排保養品順序，輕鬆打造持久妝容</v>
      </c>
      <c r="K46" s="28" t="str">
        <f t="array" ref="K46">INDEX('raw-sheet'!$A$2:$ZZ$1000, ROW(K45), MATCH(K$1, 'raw-sheet'!$A$1:$ZZ$1, 0))</f>
        <v>1</v>
      </c>
      <c r="L46" s="30" t="s">
        <v>11</v>
      </c>
      <c r="M46" s="28" t="str">
        <f t="array" ref="M46">INDEX('raw-sheet'!$A$2:$ZZ$1000, ROW(M45), MATCH(M$1, 'raw-sheet'!$A$1:$ZZ$1, 0))</f>
        <v>https://innisfree-taiwan.myshopify.com/blogs/magazine/pre-makeup-skincare-routine-5-step-guide</v>
      </c>
      <c r="N46" s="30" t="str">
        <f t="shared" si="1"/>
        <v>Pass</v>
      </c>
      <c r="O46" s="28" t="str">
        <f t="array" ref="O46">INDEX('raw-sheet'!$A$2:$ZZ$1000, ROW(O45), MATCH(O$1, 'raw-sheet'!$A$1:$ZZ$1, 0))</f>
        <v>妝前保養順序推薦！5步驟教你安排保養品順序，輕鬆打造持久妝容 | INNISFREE Taiwan</v>
      </c>
      <c r="P46" s="28" t="str">
        <f t="array" ref="P46">INDEX('raw-sheet'!$A$2:$ZZ$1000, ROW(P45), MATCH(P$1, 'raw-sheet'!$A$1:$ZZ$1, 0))</f>
        <v>上妝完沒多久，妝容就開始浮粉、斑駁嗎？也許是你的妝前保養沒做好！不管是乾肌人或油肌人，上妝前為肌膚做好打底、讓膚況更穩定，都是妝容能均勻持久的一大關鍵。且保養品的順序安排尤其重要，不只能使底妝更服貼，還可以幫你打造出人人都稱羨的好膚質。本篇就讓小編告訴你妝前保養有多重要，也會分享正確的保養品使用順序，一起看下去，讓底妝更耐久！ 妝前保養重要嗎？可以帶來哪些好處？ 你是否有過這樣的煩惱？明明早上化妝精緻到不行，到了中午卻浮粉脫妝，甚至一到下午更像是臉部災難現場。而產生這些問題的罪魁禍首，很可能就是你忽略了妝前保養！因為好的妝前保養可以幫你： ✅ 提升妝容服貼度與持久性 如果把化妝比喻成畫畫，那麼妝前保養就是「準備畫布」的過程。潤澤、柔</v>
      </c>
      <c r="Q46" s="28" t="str">
        <f t="array" ref="Q46">INDEX('raw-sheet'!$A$2:$ZZ$1000, ROW(Q45), MATCH(Q$1, 'raw-sheet'!$A$1:$ZZ$1, 0))</f>
        <v>article</v>
      </c>
      <c r="R46" s="28" t="str">
        <f t="array" ref="R46">INDEX('raw-sheet'!$A$2:$ZZ$1000, ROW(R45), MATCH(R$1, 'raw-sheet'!$A$1:$ZZ$1, 0))</f>
        <v>INNISFREE Taiwan</v>
      </c>
      <c r="S46" s="28" t="str">
        <f t="array" ref="S46">INDEX('raw-sheet'!$A$2:$ZZ$1000, ROW(S45), MATCH(S$1, 'raw-sheet'!$A$1:$ZZ$1, 0))</f>
        <v>http://innisfree-taiwan.myshopify.com/cdn/shop/articles/pdp_mig_0d3b7df4_17_attimg1_origin_jpg_b1d1b711-f662-4d6b-96e6-487a636dc82a.jpg?v=1768550000</v>
      </c>
      <c r="T46" s="28" t="str">
        <f t="array" ref="T46">INDEX('raw-sheet'!$A$2:$ZZ$1000, ROW(T45), MATCH(T$1, 'raw-sheet'!$A$1:$ZZ$1, 0))</f>
        <v>https://innisfree-taiwan.myshopify.com/cdn/shop/articles/pdp_mig_0d3b7df4_17_attimg1_origin_jpg_b1d1b711-f662-4d6b-96e6-487a636dc82a.jpg?v=1768550000</v>
      </c>
      <c r="U46" s="28" t="str">
        <f t="array" ref="U46">INDEX('raw-sheet'!$A$2:$ZZ$1000, ROW(U45), MATCH(U$1, 'raw-sheet'!$A$1:$ZZ$1, 0))</f>
        <v>https://innisfree-taiwan.myshopify.com/blogs/magazine/pre-makeup-skincare-routine-5-step-guide</v>
      </c>
      <c r="V46" s="28" t="str">
        <f t="array" ref="V46">INDEX('raw-sheet'!$A$2:$ZZ$1000, ROW(V45), MATCH(V$1, 'raw-sheet'!$A$1:$ZZ$1, 0))</f>
        <v>妝前保養順序推薦！5步驟教你安排保養品順序，輕鬆打造持久妝容 | INNISFREE Taiwan</v>
      </c>
      <c r="W46" s="28" t="str">
        <f t="array" ref="W46">INDEX('raw-sheet'!$A$2:$ZZ$1000, ROW(W45), MATCH(W$1, 'raw-sheet'!$A$1:$ZZ$1, 0))</f>
        <v>上妝完沒多久，妝容就開始浮粉、斑駁嗎？也許是你的妝前保養沒做好！不管是乾肌人或油肌人，上妝前為肌膚做好打底、讓膚況更穩定，都是妝容能均勻持久的一大關鍵。且保養品的順序安排尤其重要，不只能使底妝更服貼，還可以幫你打造出人人都稱羨的好膚質。本篇就讓小編告訴你妝前保養有多重要，也會分享正確的保養品使用順序，一起看下去，讓底妝更耐久！ 妝前保養重要嗎？可以帶來哪些好處？ 你是否有過這樣的煩惱？明明早上化妝精緻到不行，到了中午卻浮粉脫妝，甚至一到下午更像是臉部災難現場。而產生這些問題的罪魁禍首，很可能就是你忽略了妝前保養！因為好的妝前保養可以幫你： ✅ 提升妝容服貼度與持久性 如果把化妝比喻成畫畫，那麼妝前保養就是「準備畫布」的過程。潤澤、柔</v>
      </c>
      <c r="X46" s="28" t="str">
        <f t="array" ref="X46">INDEX('raw-sheet'!$A$2:$ZZ$1000, ROW(X45), MATCH(X$1, 'raw-sheet'!$A$1:$ZZ$1, 0))</f>
        <v>summary_large_image</v>
      </c>
      <c r="Y46" s="31" t="s">
        <v>11</v>
      </c>
      <c r="Z46" s="28" t="str">
        <f>VLOOKUP($A46,'raw-schema'!$A:$R,14,0)</f>
        <v>Article</v>
      </c>
      <c r="AA46" s="28" t="str">
        <f>VLOOKUP($A46,'raw-schema'!$A:$R,15,0)</f>
        <v>Organization</v>
      </c>
      <c r="AB46" s="28" t="str">
        <f>VLOOKUP($A46,'raw-schema'!$A:$R,16,0)</f>
        <v>Person</v>
      </c>
      <c r="AC46" s="28" t="str">
        <f>VLOOKUP($A46,'raw-schema'!$A:$R,17,0)</f>
        <v>WebPage</v>
      </c>
      <c r="AD46" s="28">
        <f>VLOOKUP($A46,'raw-schema'!$A:$R,18,0)</f>
        <v>0</v>
      </c>
      <c r="AE46" s="31" t="s">
        <v>63</v>
      </c>
    </row>
    <row r="47" spans="1:31" x14ac:dyDescent="0.3">
      <c r="A47" s="28" t="str">
        <f t="array" ref="A47">INDEX('raw-sheet'!$A$2:$ZZ$1000, ROW(A46), MATCH(A$1, 'raw-sheet'!$A$1:$ZZ$1, 0))</f>
        <v>https://innisfree-taiwan.myshopify.com/blogs/magazine/sensitive-skin-care-3-step-routine</v>
      </c>
      <c r="B47" s="30" t="s">
        <v>11</v>
      </c>
      <c r="C47" s="28" t="str">
        <f t="array" ref="C47">INDEX('raw-sheet'!$A$2:$ZZ$1000, ROW(C46), MATCH(C$1, 'raw-sheet'!$A$1:$ZZ$1, 0))</f>
        <v>Blog Page</v>
      </c>
      <c r="D47" s="28">
        <f t="array" ref="D47">INDEX('raw-sheet'!$A$2:$ZZ$1000, ROW(D46), MATCH(D$1, 'raw-sheet'!$A$1:$ZZ$1, 0))</f>
        <v>200</v>
      </c>
      <c r="E47" s="30" t="str">
        <f t="shared" si="0"/>
        <v>Pass</v>
      </c>
      <c r="F47" s="28" t="str">
        <f t="array" ref="F47">INDEX('raw-sheet'!$A$2:$ZZ$1000, ROW(F46), MATCH(F$1, 'raw-sheet'!$A$1:$ZZ$1, 0))</f>
        <v>敏感肌保養怎麼做？教你正確保養3步驟，推薦敏感肌保養品！_x000D_ | INNISFREE Taiwan</v>
      </c>
      <c r="G47" s="30" t="s">
        <v>11</v>
      </c>
      <c r="H47" s="28" t="str">
        <f t="array" ref="H47">INDEX('raw-sheet'!$A$2:$ZZ$1000, ROW(H46), MATCH(H$1, 'raw-sheet'!$A$1:$ZZ$1, 0))</f>
        <v>你是敏感肌嗎？保養前簡單膚質小測驗 如果肌膚有常出現以下症狀請打勾V。 ◻ 泛紅 ◻ 脫屑 ◻ 乾癢 ◻ 緊繃 ◻ 灼熱 ◻ 刺痛 如果上面幾項你符合1～2項，那不一定是敏弱肌膚，可能只是剛好出現了突發刺激而引起肌膚不適，只需要在日常保養再多注意一些即可； 如果符合3～4項，那可能是輕中度敏弱性肌膚，該特別注意肌膚的水分與滋養；如果符合5～6項，則建議尋求專業皮膚科醫生的協助。 為何需要敏感肌保養？成因解析帶你看 然而，為何敏弱肌需要特別注意保養？這就要從敏感肌的成因開始說明。造成敏弱性肌膚的原因有很多，不論是環境變化、年齡、日常習慣、壓力等都可能導致「皮膚防禦力下降」，因而出現肌膚問題。 所以，敏感肌的出現主要可以理解成因為皮膚防</v>
      </c>
      <c r="I47" s="30" t="s">
        <v>11</v>
      </c>
      <c r="J47" s="28" t="str">
        <f t="array" ref="J47">INDEX('raw-sheet'!$A$2:$ZZ$1000, ROW(J46), MATCH(J$1, 'raw-sheet'!$A$1:$ZZ$1, 0))</f>
        <v>敏感肌保養怎麼做？教你正確保養3步驟，推薦敏感肌保養品！</v>
      </c>
      <c r="K47" s="28" t="str">
        <f t="array" ref="K47">INDEX('raw-sheet'!$A$2:$ZZ$1000, ROW(K46), MATCH(K$1, 'raw-sheet'!$A$1:$ZZ$1, 0))</f>
        <v>1</v>
      </c>
      <c r="L47" s="30" t="s">
        <v>11</v>
      </c>
      <c r="M47" s="28" t="str">
        <f t="array" ref="M47">INDEX('raw-sheet'!$A$2:$ZZ$1000, ROW(M46), MATCH(M$1, 'raw-sheet'!$A$1:$ZZ$1, 0))</f>
        <v>https://innisfree-taiwan.myshopify.com/blogs/magazine/sensitive-skin-care-3-step-routine</v>
      </c>
      <c r="N47" s="30" t="str">
        <f t="shared" si="1"/>
        <v>Pass</v>
      </c>
      <c r="O47" s="28" t="str">
        <f t="array" ref="O47">INDEX('raw-sheet'!$A$2:$ZZ$1000, ROW(O46), MATCH(O$1, 'raw-sheet'!$A$1:$ZZ$1, 0))</f>
        <v>敏感肌保養怎麼做？教你正確保養3步驟，推薦敏感肌保養品！ | INNISFREE Taiwan</v>
      </c>
      <c r="P47" s="28" t="str">
        <f t="array" ref="P47">INDEX('raw-sheet'!$A$2:$ZZ$1000, ROW(P46), MATCH(P$1, 'raw-sheet'!$A$1:$ZZ$1, 0))</f>
        <v>你是敏感肌嗎？保養前簡單膚質小測驗 如果肌膚有常出現以下症狀請打勾V。 ◻ 泛紅 ◻ 脫屑 ◻ 乾癢 ◻ 緊繃 ◻ 灼熱 ◻ 刺痛 如果上面幾項你符合1～2項，那不一定是敏弱肌膚，可能只是剛好出現了突發刺激而引起肌膚不適，只需要在日常保養再多注意一些即可； 如果符合3～4項，那可能是輕中度敏弱性肌膚，該特別注意肌膚的水分與滋養；如果符合5～6項，則建議尋求專業皮膚科醫生的協助。 為何需要敏感肌保養？成因解析帶你看 然而，為何敏弱肌需要特別注意保養？這就要從敏感肌的成因開始說明。造成敏弱性肌膚的原因有很多，不論是環境變化、年齡、日常習慣、壓力等都可能導致「皮膚防禦力下降」，因而出現肌膚問題。 所以，敏感肌的出現主要可以理解成因為皮膚防</v>
      </c>
      <c r="Q47" s="28" t="str">
        <f t="array" ref="Q47">INDEX('raw-sheet'!$A$2:$ZZ$1000, ROW(Q46), MATCH(Q$1, 'raw-sheet'!$A$1:$ZZ$1, 0))</f>
        <v>article</v>
      </c>
      <c r="R47" s="28" t="str">
        <f t="array" ref="R47">INDEX('raw-sheet'!$A$2:$ZZ$1000, ROW(R46), MATCH(R$1, 'raw-sheet'!$A$1:$ZZ$1, 0))</f>
        <v>INNISFREE Taiwan</v>
      </c>
      <c r="S47" s="28" t="str">
        <f t="array" ref="S47">INDEX('raw-sheet'!$A$2:$ZZ$1000, ROW(S46), MATCH(S$1, 'raw-sheet'!$A$1:$ZZ$1, 0))</f>
        <v>http://innisfree-taiwan.myshopify.com/cdn/shop/articles/pdp_mig_f631c4ef_7_attimg1_origin_jpg_ff30b3d9-2cb2-46bf-ab38-990671ceb03d.jpg?v=1768550023</v>
      </c>
      <c r="T47" s="28" t="str">
        <f t="array" ref="T47">INDEX('raw-sheet'!$A$2:$ZZ$1000, ROW(T46), MATCH(T$1, 'raw-sheet'!$A$1:$ZZ$1, 0))</f>
        <v>https://innisfree-taiwan.myshopify.com/cdn/shop/articles/pdp_mig_f631c4ef_7_attimg1_origin_jpg_ff30b3d9-2cb2-46bf-ab38-990671ceb03d.jpg?v=1768550023</v>
      </c>
      <c r="U47" s="28" t="str">
        <f t="array" ref="U47">INDEX('raw-sheet'!$A$2:$ZZ$1000, ROW(U46), MATCH(U$1, 'raw-sheet'!$A$1:$ZZ$1, 0))</f>
        <v>https://innisfree-taiwan.myshopify.com/blogs/magazine/sensitive-skin-care-3-step-routine</v>
      </c>
      <c r="V47" s="28" t="str">
        <f t="array" ref="V47">INDEX('raw-sheet'!$A$2:$ZZ$1000, ROW(V46), MATCH(V$1, 'raw-sheet'!$A$1:$ZZ$1, 0))</f>
        <v>敏感肌保養怎麼做？教你正確保養3步驟，推薦敏感肌保養品！ | INNISFREE Taiwan</v>
      </c>
      <c r="W47" s="28" t="str">
        <f t="array" ref="W47">INDEX('raw-sheet'!$A$2:$ZZ$1000, ROW(W46), MATCH(W$1, 'raw-sheet'!$A$1:$ZZ$1, 0))</f>
        <v>你是敏感肌嗎？保養前簡單膚質小測驗 如果肌膚有常出現以下症狀請打勾V。 ◻ 泛紅 ◻ 脫屑 ◻ 乾癢 ◻ 緊繃 ◻ 灼熱 ◻ 刺痛 如果上面幾項你符合1～2項，那不一定是敏弱肌膚，可能只是剛好出現了突發刺激而引起肌膚不適，只需要在日常保養再多注意一些即可； 如果符合3～4項，那可能是輕中度敏弱性肌膚，該特別注意肌膚的水分與滋養；如果符合5～6項，則建議尋求專業皮膚科醫生的協助。 為何需要敏感肌保養？成因解析帶你看 然而，為何敏弱肌需要特別注意保養？這就要從敏感肌的成因開始說明。造成敏弱性肌膚的原因有很多，不論是環境變化、年齡、日常習慣、壓力等都可能導致「皮膚防禦力下降」，因而出現肌膚問題。 所以，敏感肌的出現主要可以理解成因為皮膚防</v>
      </c>
      <c r="X47" s="28" t="str">
        <f t="array" ref="X47">INDEX('raw-sheet'!$A$2:$ZZ$1000, ROW(X46), MATCH(X$1, 'raw-sheet'!$A$1:$ZZ$1, 0))</f>
        <v>summary_large_image</v>
      </c>
      <c r="Y47" s="31" t="s">
        <v>11</v>
      </c>
      <c r="Z47" s="28" t="str">
        <f>VLOOKUP($A47,'raw-schema'!$A:$R,14,0)</f>
        <v>Article</v>
      </c>
      <c r="AA47" s="28" t="str">
        <f>VLOOKUP($A47,'raw-schema'!$A:$R,15,0)</f>
        <v>Organization</v>
      </c>
      <c r="AB47" s="28" t="str">
        <f>VLOOKUP($A47,'raw-schema'!$A:$R,16,0)</f>
        <v>Person</v>
      </c>
      <c r="AC47" s="28" t="str">
        <f>VLOOKUP($A47,'raw-schema'!$A:$R,17,0)</f>
        <v>WebPage</v>
      </c>
      <c r="AD47" s="28">
        <f>VLOOKUP($A47,'raw-schema'!$A:$R,18,0)</f>
        <v>0</v>
      </c>
      <c r="AE47" s="31" t="s">
        <v>63</v>
      </c>
    </row>
    <row r="48" spans="1:31" ht="22.5" x14ac:dyDescent="0.3">
      <c r="A48" s="28" t="str">
        <f t="array" ref="A48">INDEX('raw-sheet'!$A$2:$ZZ$1000, ROW(A47), MATCH(A$1, 'raw-sheet'!$A$1:$ZZ$1, 0))</f>
        <v>https://innisfree-taiwan.myshopify.com/blogs/magazine/tagged/recommend</v>
      </c>
      <c r="B48" s="30" t="s">
        <v>11</v>
      </c>
      <c r="C48" s="28" t="str">
        <f t="array" ref="C48">INDEX('raw-sheet'!$A$2:$ZZ$1000, ROW(C47), MATCH(C$1, 'raw-sheet'!$A$1:$ZZ$1, 0))</f>
        <v>Blog Page</v>
      </c>
      <c r="D48" s="28">
        <f t="array" ref="D48">INDEX('raw-sheet'!$A$2:$ZZ$1000, ROW(D47), MATCH(D$1, 'raw-sheet'!$A$1:$ZZ$1, 0))</f>
        <v>200</v>
      </c>
      <c r="E48" s="30" t="str">
        <f t="shared" si="0"/>
        <v>Pass</v>
      </c>
      <c r="F48" s="28" t="str">
        <f t="array" ref="F48">INDEX('raw-sheet'!$A$2:$ZZ$1000, ROW(F47), MATCH(F$1, 'raw-sheet'!$A$1:$ZZ$1, 0))</f>
        <v>精選文章_x000D_ – tagged "recommend" | INNISFREE Taiwan</v>
      </c>
      <c r="G48" s="30" t="s">
        <v>11</v>
      </c>
      <c r="H48" s="28">
        <f t="array" ref="H48">INDEX('raw-sheet'!$A$2:$ZZ$1000, ROW(H47), MATCH(H$1, 'raw-sheet'!$A$1:$ZZ$1, 0))</f>
        <v>0</v>
      </c>
      <c r="I48" s="30" t="s">
        <v>61</v>
      </c>
      <c r="J48" s="28" t="str">
        <f t="array" ref="J48">INDEX('raw-sheet'!$A$2:$ZZ$1000, ROW(J47), MATCH(J$1, 'raw-sheet'!$A$1:$ZZ$1, 0))</f>
        <v>精選文章</v>
      </c>
      <c r="K48" s="28" t="str">
        <f t="array" ref="K48">INDEX('raw-sheet'!$A$2:$ZZ$1000, ROW(K47), MATCH(K$1, 'raw-sheet'!$A$1:$ZZ$1, 0))</f>
        <v>1</v>
      </c>
      <c r="L48" s="30" t="s">
        <v>60</v>
      </c>
      <c r="M48" s="28" t="str">
        <f t="array" ref="M48">INDEX('raw-sheet'!$A$2:$ZZ$1000, ROW(M47), MATCH(M$1, 'raw-sheet'!$A$1:$ZZ$1, 0))</f>
        <v>https://innisfree-taiwan.myshopify.com/blogs/magazine/tagged/recommend</v>
      </c>
      <c r="N48" s="30" t="str">
        <f t="shared" si="1"/>
        <v>Pass</v>
      </c>
      <c r="O48" s="28" t="str">
        <f t="array" ref="O48">INDEX('raw-sheet'!$A$2:$ZZ$1000, ROW(O47), MATCH(O$1, 'raw-sheet'!$A$1:$ZZ$1, 0))</f>
        <v>精選文章 | INNISFREE Taiwan</v>
      </c>
      <c r="P48" s="28" t="str">
        <f t="array" ref="P48">INDEX('raw-sheet'!$A$2:$ZZ$1000, ROW(P47),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48" s="28" t="str">
        <f t="array" ref="Q48">INDEX('raw-sheet'!$A$2:$ZZ$1000, ROW(Q47), MATCH(Q$1, 'raw-sheet'!$A$1:$ZZ$1, 0))</f>
        <v>website</v>
      </c>
      <c r="R48" s="28" t="str">
        <f t="array" ref="R48">INDEX('raw-sheet'!$A$2:$ZZ$1000, ROW(R47), MATCH(R$1, 'raw-sheet'!$A$1:$ZZ$1, 0))</f>
        <v>INNISFREE Taiwan</v>
      </c>
      <c r="S48" s="28" t="str">
        <f t="array" ref="S48">INDEX('raw-sheet'!$A$2:$ZZ$1000, ROW(S47), MATCH(S$1, 'raw-sheet'!$A$1:$ZZ$1, 0))</f>
        <v>http://innisfree-taiwan.myshopify.com/cdn/shop/files/logo.png?v=1767594135</v>
      </c>
      <c r="T48" s="28" t="str">
        <f t="array" ref="T48">INDEX('raw-sheet'!$A$2:$ZZ$1000, ROW(T47), MATCH(T$1, 'raw-sheet'!$A$1:$ZZ$1, 0))</f>
        <v>https://innisfree-taiwan.myshopify.com/cdn/shop/files/logo.png?v=1767594135</v>
      </c>
      <c r="U48" s="28" t="str">
        <f t="array" ref="U48">INDEX('raw-sheet'!$A$2:$ZZ$1000, ROW(U47), MATCH(U$1, 'raw-sheet'!$A$1:$ZZ$1, 0))</f>
        <v>https://innisfree-taiwan.myshopify.com/blogs/magazine/tagged/recommend</v>
      </c>
      <c r="V48" s="28" t="str">
        <f t="array" ref="V48">INDEX('raw-sheet'!$A$2:$ZZ$1000, ROW(V47), MATCH(V$1, 'raw-sheet'!$A$1:$ZZ$1, 0))</f>
        <v>精選文章 | INNISFREE Taiwan</v>
      </c>
      <c r="W48" s="28" t="str">
        <f t="array" ref="W48">INDEX('raw-sheet'!$A$2:$ZZ$1000, ROW(W47),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48" s="28" t="str">
        <f t="array" ref="X48">INDEX('raw-sheet'!$A$2:$ZZ$1000, ROW(X47), MATCH(X$1, 'raw-sheet'!$A$1:$ZZ$1, 0))</f>
        <v>summary_large_image</v>
      </c>
      <c r="Y48" s="31" t="s">
        <v>62</v>
      </c>
      <c r="Z48" s="28" t="str">
        <f>VLOOKUP($A48,'raw-schema'!$A:$R,14,0)</f>
        <v>Organization</v>
      </c>
      <c r="AA48" s="28">
        <f>VLOOKUP($A48,'raw-schema'!$A:$R,15,0)</f>
        <v>0</v>
      </c>
      <c r="AB48" s="28">
        <f>VLOOKUP($A48,'raw-schema'!$A:$R,16,0)</f>
        <v>0</v>
      </c>
      <c r="AC48" s="28">
        <f>VLOOKUP($A48,'raw-schema'!$A:$R,17,0)</f>
        <v>0</v>
      </c>
      <c r="AD48" s="28">
        <f>VLOOKUP($A48,'raw-schema'!$A:$R,18,0)</f>
        <v>0</v>
      </c>
      <c r="AE48" s="31" t="s">
        <v>63</v>
      </c>
    </row>
    <row r="49" spans="1:32" ht="22.5" x14ac:dyDescent="0.3">
      <c r="A49" s="28" t="str">
        <f t="array" ref="A49">INDEX('raw-sheet'!$A$2:$ZZ$1000, ROW(A48), MATCH(A$1, 'raw-sheet'!$A$1:$ZZ$1, 0))</f>
        <v>https://innisfree-taiwan.myshopify.com/blogs/magazine/tagged/routine</v>
      </c>
      <c r="B49" s="30" t="s">
        <v>11</v>
      </c>
      <c r="C49" s="28" t="str">
        <f t="array" ref="C49">INDEX('raw-sheet'!$A$2:$ZZ$1000, ROW(C48), MATCH(C$1, 'raw-sheet'!$A$1:$ZZ$1, 0))</f>
        <v>Blog Page</v>
      </c>
      <c r="D49" s="28">
        <f t="array" ref="D49">INDEX('raw-sheet'!$A$2:$ZZ$1000, ROW(D48), MATCH(D$1, 'raw-sheet'!$A$1:$ZZ$1, 0))</f>
        <v>200</v>
      </c>
      <c r="E49" s="30" t="str">
        <f t="shared" si="0"/>
        <v>Pass</v>
      </c>
      <c r="F49" s="28" t="str">
        <f t="array" ref="F49">INDEX('raw-sheet'!$A$2:$ZZ$1000, ROW(F48), MATCH(F$1, 'raw-sheet'!$A$1:$ZZ$1, 0))</f>
        <v>精選文章_x000D_ – tagged "routine" | INNISFREE Taiwan</v>
      </c>
      <c r="G49" s="30" t="s">
        <v>11</v>
      </c>
      <c r="H49" s="28">
        <f t="array" ref="H49">INDEX('raw-sheet'!$A$2:$ZZ$1000, ROW(H48), MATCH(H$1, 'raw-sheet'!$A$1:$ZZ$1, 0))</f>
        <v>0</v>
      </c>
      <c r="I49" s="30" t="s">
        <v>61</v>
      </c>
      <c r="J49" s="28" t="str">
        <f t="array" ref="J49">INDEX('raw-sheet'!$A$2:$ZZ$1000, ROW(J48), MATCH(J$1, 'raw-sheet'!$A$1:$ZZ$1, 0))</f>
        <v>精選文章</v>
      </c>
      <c r="K49" s="28" t="str">
        <f t="array" ref="K49">INDEX('raw-sheet'!$A$2:$ZZ$1000, ROW(K48), MATCH(K$1, 'raw-sheet'!$A$1:$ZZ$1, 0))</f>
        <v>1</v>
      </c>
      <c r="L49" s="30" t="s">
        <v>60</v>
      </c>
      <c r="M49" s="28" t="str">
        <f t="array" ref="M49">INDEX('raw-sheet'!$A$2:$ZZ$1000, ROW(M48), MATCH(M$1, 'raw-sheet'!$A$1:$ZZ$1, 0))</f>
        <v>https://innisfree-taiwan.myshopify.com/blogs/magazine/tagged/routine</v>
      </c>
      <c r="N49" s="30" t="str">
        <f t="shared" si="1"/>
        <v>Pass</v>
      </c>
      <c r="O49" s="28" t="str">
        <f t="array" ref="O49">INDEX('raw-sheet'!$A$2:$ZZ$1000, ROW(O48), MATCH(O$1, 'raw-sheet'!$A$1:$ZZ$1, 0))</f>
        <v>精選文章 | INNISFREE Taiwan</v>
      </c>
      <c r="P49" s="28" t="str">
        <f t="array" ref="P49">INDEX('raw-sheet'!$A$2:$ZZ$1000, ROW(P48),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49" s="28" t="str">
        <f t="array" ref="Q49">INDEX('raw-sheet'!$A$2:$ZZ$1000, ROW(Q48), MATCH(Q$1, 'raw-sheet'!$A$1:$ZZ$1, 0))</f>
        <v>website</v>
      </c>
      <c r="R49" s="28" t="str">
        <f t="array" ref="R49">INDEX('raw-sheet'!$A$2:$ZZ$1000, ROW(R48), MATCH(R$1, 'raw-sheet'!$A$1:$ZZ$1, 0))</f>
        <v>INNISFREE Taiwan</v>
      </c>
      <c r="S49" s="28" t="str">
        <f t="array" ref="S49">INDEX('raw-sheet'!$A$2:$ZZ$1000, ROW(S48), MATCH(S$1, 'raw-sheet'!$A$1:$ZZ$1, 0))</f>
        <v>http://innisfree-taiwan.myshopify.com/cdn/shop/files/logo.png?v=1767594135</v>
      </c>
      <c r="T49" s="28" t="str">
        <f t="array" ref="T49">INDEX('raw-sheet'!$A$2:$ZZ$1000, ROW(T48), MATCH(T$1, 'raw-sheet'!$A$1:$ZZ$1, 0))</f>
        <v>https://innisfree-taiwan.myshopify.com/cdn/shop/files/logo.png?v=1767594135</v>
      </c>
      <c r="U49" s="28" t="str">
        <f t="array" ref="U49">INDEX('raw-sheet'!$A$2:$ZZ$1000, ROW(U48), MATCH(U$1, 'raw-sheet'!$A$1:$ZZ$1, 0))</f>
        <v>https://innisfree-taiwan.myshopify.com/blogs/magazine/tagged/routine</v>
      </c>
      <c r="V49" s="28" t="str">
        <f t="array" ref="V49">INDEX('raw-sheet'!$A$2:$ZZ$1000, ROW(V48), MATCH(V$1, 'raw-sheet'!$A$1:$ZZ$1, 0))</f>
        <v>精選文章 | INNISFREE Taiwan</v>
      </c>
      <c r="W49" s="28" t="str">
        <f t="array" ref="W49">INDEX('raw-sheet'!$A$2:$ZZ$1000, ROW(W48),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49" s="28" t="str">
        <f t="array" ref="X49">INDEX('raw-sheet'!$A$2:$ZZ$1000, ROW(X48), MATCH(X$1, 'raw-sheet'!$A$1:$ZZ$1, 0))</f>
        <v>summary_large_image</v>
      </c>
      <c r="Y49" s="31" t="s">
        <v>62</v>
      </c>
      <c r="Z49" s="28" t="str">
        <f>VLOOKUP($A49,'raw-schema'!$A:$R,14,0)</f>
        <v>Organization</v>
      </c>
      <c r="AA49" s="28">
        <f>VLOOKUP($A49,'raw-schema'!$A:$R,15,0)</f>
        <v>0</v>
      </c>
      <c r="AB49" s="28">
        <f>VLOOKUP($A49,'raw-schema'!$A:$R,16,0)</f>
        <v>0</v>
      </c>
      <c r="AC49" s="28">
        <f>VLOOKUP($A49,'raw-schema'!$A:$R,17,0)</f>
        <v>0</v>
      </c>
      <c r="AD49" s="28">
        <f>VLOOKUP($A49,'raw-schema'!$A:$R,18,0)</f>
        <v>0</v>
      </c>
      <c r="AE49" s="31" t="s">
        <v>63</v>
      </c>
    </row>
    <row r="50" spans="1:32" ht="22.5" x14ac:dyDescent="0.3">
      <c r="A50" s="28" t="str">
        <f t="array" ref="A50">INDEX('raw-sheet'!$A$2:$ZZ$1000, ROW(A49), MATCH(A$1, 'raw-sheet'!$A$1:$ZZ$1, 0))</f>
        <v>https://innisfree-taiwan.myshopify.com/blogs/magazine/tagged/trouble-care</v>
      </c>
      <c r="B50" s="30" t="s">
        <v>11</v>
      </c>
      <c r="C50" s="28" t="str">
        <f t="array" ref="C50">INDEX('raw-sheet'!$A$2:$ZZ$1000, ROW(C49), MATCH(C$1, 'raw-sheet'!$A$1:$ZZ$1, 0))</f>
        <v>Blog Page</v>
      </c>
      <c r="D50" s="28">
        <f t="array" ref="D50">INDEX('raw-sheet'!$A$2:$ZZ$1000, ROW(D49), MATCH(D$1, 'raw-sheet'!$A$1:$ZZ$1, 0))</f>
        <v>200</v>
      </c>
      <c r="E50" s="30" t="str">
        <f t="shared" si="0"/>
        <v>Pass</v>
      </c>
      <c r="F50" s="28" t="str">
        <f t="array" ref="F50">INDEX('raw-sheet'!$A$2:$ZZ$1000, ROW(F49), MATCH(F$1, 'raw-sheet'!$A$1:$ZZ$1, 0))</f>
        <v>精選文章_x000D_ – tagged "trouble-care" | INNISFREE Taiwan</v>
      </c>
      <c r="G50" s="30" t="s">
        <v>60</v>
      </c>
      <c r="H50" s="28">
        <f t="array" ref="H50">INDEX('raw-sheet'!$A$2:$ZZ$1000, ROW(H49), MATCH(H$1, 'raw-sheet'!$A$1:$ZZ$1, 0))</f>
        <v>0</v>
      </c>
      <c r="I50" s="30" t="s">
        <v>61</v>
      </c>
      <c r="J50" s="28" t="str">
        <f t="array" ref="J50">INDEX('raw-sheet'!$A$2:$ZZ$1000, ROW(J49), MATCH(J$1, 'raw-sheet'!$A$1:$ZZ$1, 0))</f>
        <v>精選文章</v>
      </c>
      <c r="K50" s="28" t="str">
        <f t="array" ref="K50">INDEX('raw-sheet'!$A$2:$ZZ$1000, ROW(K49), MATCH(K$1, 'raw-sheet'!$A$1:$ZZ$1, 0))</f>
        <v>1</v>
      </c>
      <c r="L50" s="30" t="s">
        <v>60</v>
      </c>
      <c r="M50" s="28" t="str">
        <f t="array" ref="M50">INDEX('raw-sheet'!$A$2:$ZZ$1000, ROW(M49), MATCH(M$1, 'raw-sheet'!$A$1:$ZZ$1, 0))</f>
        <v>https://innisfree-taiwan.myshopify.com/blogs/magazine/tagged/trouble-care</v>
      </c>
      <c r="N50" s="30" t="str">
        <f t="shared" si="1"/>
        <v>Pass</v>
      </c>
      <c r="O50" s="28" t="str">
        <f t="array" ref="O50">INDEX('raw-sheet'!$A$2:$ZZ$1000, ROW(O49), MATCH(O$1, 'raw-sheet'!$A$1:$ZZ$1, 0))</f>
        <v>精選文章 | INNISFREE Taiwan</v>
      </c>
      <c r="P50" s="28" t="str">
        <f t="array" ref="P50">INDEX('raw-sheet'!$A$2:$ZZ$1000, ROW(P49),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50" s="28" t="str">
        <f t="array" ref="Q50">INDEX('raw-sheet'!$A$2:$ZZ$1000, ROW(Q49), MATCH(Q$1, 'raw-sheet'!$A$1:$ZZ$1, 0))</f>
        <v>website</v>
      </c>
      <c r="R50" s="28" t="str">
        <f t="array" ref="R50">INDEX('raw-sheet'!$A$2:$ZZ$1000, ROW(R49), MATCH(R$1, 'raw-sheet'!$A$1:$ZZ$1, 0))</f>
        <v>INNISFREE Taiwan</v>
      </c>
      <c r="S50" s="28" t="str">
        <f t="array" ref="S50">INDEX('raw-sheet'!$A$2:$ZZ$1000, ROW(S49), MATCH(S$1, 'raw-sheet'!$A$1:$ZZ$1, 0))</f>
        <v>http://innisfree-taiwan.myshopify.com/cdn/shop/files/logo.png?v=1767594135</v>
      </c>
      <c r="T50" s="28" t="str">
        <f t="array" ref="T50">INDEX('raw-sheet'!$A$2:$ZZ$1000, ROW(T49), MATCH(T$1, 'raw-sheet'!$A$1:$ZZ$1, 0))</f>
        <v>https://innisfree-taiwan.myshopify.com/cdn/shop/files/logo.png?v=1767594135</v>
      </c>
      <c r="U50" s="28" t="str">
        <f t="array" ref="U50">INDEX('raw-sheet'!$A$2:$ZZ$1000, ROW(U49), MATCH(U$1, 'raw-sheet'!$A$1:$ZZ$1, 0))</f>
        <v>https://innisfree-taiwan.myshopify.com/blogs/magazine/tagged/trouble-care</v>
      </c>
      <c r="V50" s="28" t="str">
        <f t="array" ref="V50">INDEX('raw-sheet'!$A$2:$ZZ$1000, ROW(V49), MATCH(V$1, 'raw-sheet'!$A$1:$ZZ$1, 0))</f>
        <v>精選文章 | INNISFREE Taiwan</v>
      </c>
      <c r="W50" s="28" t="str">
        <f t="array" ref="W50">INDEX('raw-sheet'!$A$2:$ZZ$1000, ROW(W49),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50" s="28" t="str">
        <f t="array" ref="X50">INDEX('raw-sheet'!$A$2:$ZZ$1000, ROW(X49), MATCH(X$1, 'raw-sheet'!$A$1:$ZZ$1, 0))</f>
        <v>summary_large_image</v>
      </c>
      <c r="Y50" s="31" t="s">
        <v>62</v>
      </c>
      <c r="Z50" s="28" t="str">
        <f>VLOOKUP($A50,'raw-schema'!$A:$R,14,0)</f>
        <v>Organization</v>
      </c>
      <c r="AA50" s="28">
        <f>VLOOKUP($A50,'raw-schema'!$A:$R,15,0)</f>
        <v>0</v>
      </c>
      <c r="AB50" s="28">
        <f>VLOOKUP($A50,'raw-schema'!$A:$R,16,0)</f>
        <v>0</v>
      </c>
      <c r="AC50" s="28">
        <f>VLOOKUP($A50,'raw-schema'!$A:$R,17,0)</f>
        <v>0</v>
      </c>
      <c r="AD50" s="28">
        <f>VLOOKUP($A50,'raw-schema'!$A:$R,18,0)</f>
        <v>0</v>
      </c>
      <c r="AE50" s="31" t="s">
        <v>63</v>
      </c>
    </row>
    <row r="51" spans="1:32" ht="22.5" x14ac:dyDescent="0.3">
      <c r="A51" s="28" t="str">
        <f t="array" ref="A51">INDEX('raw-sheet'!$A$2:$ZZ$1000, ROW(A50), MATCH(A$1, 'raw-sheet'!$A$1:$ZZ$1, 0))</f>
        <v>https://innisfree-taiwan.myshopify.com/blogs/magazine/tagged/trouble-care?page=1</v>
      </c>
      <c r="B51" s="30" t="s">
        <v>11</v>
      </c>
      <c r="C51" s="28" t="str">
        <f t="array" ref="C51">INDEX('raw-sheet'!$A$2:$ZZ$1000, ROW(C50), MATCH(C$1, 'raw-sheet'!$A$1:$ZZ$1, 0))</f>
        <v>Blog Page</v>
      </c>
      <c r="D51" s="28">
        <f t="array" ref="D51">INDEX('raw-sheet'!$A$2:$ZZ$1000, ROW(D50), MATCH(D$1, 'raw-sheet'!$A$1:$ZZ$1, 0))</f>
        <v>200</v>
      </c>
      <c r="E51" s="30" t="str">
        <f t="shared" si="0"/>
        <v>Pass</v>
      </c>
      <c r="F51" s="28" t="str">
        <f t="array" ref="F51">INDEX('raw-sheet'!$A$2:$ZZ$1000, ROW(F50), MATCH(F$1, 'raw-sheet'!$A$1:$ZZ$1, 0))</f>
        <v>精選文章_x000D_ – tagged "trouble-care" | INNISFREE Taiwan</v>
      </c>
      <c r="G51" s="30" t="s">
        <v>11</v>
      </c>
      <c r="H51" s="28">
        <f t="array" ref="H51">INDEX('raw-sheet'!$A$2:$ZZ$1000, ROW(H50), MATCH(H$1, 'raw-sheet'!$A$1:$ZZ$1, 0))</f>
        <v>0</v>
      </c>
      <c r="I51" s="30" t="s">
        <v>61</v>
      </c>
      <c r="J51" s="28" t="str">
        <f t="array" ref="J51">INDEX('raw-sheet'!$A$2:$ZZ$1000, ROW(J50), MATCH(J$1, 'raw-sheet'!$A$1:$ZZ$1, 0))</f>
        <v>精選文章</v>
      </c>
      <c r="K51" s="28" t="str">
        <f t="array" ref="K51">INDEX('raw-sheet'!$A$2:$ZZ$1000, ROW(K50), MATCH(K$1, 'raw-sheet'!$A$1:$ZZ$1, 0))</f>
        <v>1</v>
      </c>
      <c r="L51" s="30" t="s">
        <v>60</v>
      </c>
      <c r="M51" s="28" t="str">
        <f t="array" ref="M51">INDEX('raw-sheet'!$A$2:$ZZ$1000, ROW(M50), MATCH(M$1, 'raw-sheet'!$A$1:$ZZ$1, 0))</f>
        <v>https://innisfree-taiwan.myshopify.com/blogs/magazine/tagged/trouble-care</v>
      </c>
      <c r="N51" s="30" t="str">
        <f t="shared" si="1"/>
        <v>Not</v>
      </c>
      <c r="O51" s="28" t="str">
        <f t="array" ref="O51">INDEX('raw-sheet'!$A$2:$ZZ$1000, ROW(O50), MATCH(O$1, 'raw-sheet'!$A$1:$ZZ$1, 0))</f>
        <v>精選文章 | INNISFREE Taiwan</v>
      </c>
      <c r="P51" s="28" t="str">
        <f t="array" ref="P51">INDEX('raw-sheet'!$A$2:$ZZ$1000, ROW(P50),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51" s="28" t="str">
        <f t="array" ref="Q51">INDEX('raw-sheet'!$A$2:$ZZ$1000, ROW(Q50), MATCH(Q$1, 'raw-sheet'!$A$1:$ZZ$1, 0))</f>
        <v>website</v>
      </c>
      <c r="R51" s="28" t="str">
        <f t="array" ref="R51">INDEX('raw-sheet'!$A$2:$ZZ$1000, ROW(R50), MATCH(R$1, 'raw-sheet'!$A$1:$ZZ$1, 0))</f>
        <v>INNISFREE Taiwan</v>
      </c>
      <c r="S51" s="28" t="str">
        <f t="array" ref="S51">INDEX('raw-sheet'!$A$2:$ZZ$1000, ROW(S50), MATCH(S$1, 'raw-sheet'!$A$1:$ZZ$1, 0))</f>
        <v>http://innisfree-taiwan.myshopify.com/cdn/shop/files/logo.png?v=1767594135</v>
      </c>
      <c r="T51" s="28" t="str">
        <f t="array" ref="T51">INDEX('raw-sheet'!$A$2:$ZZ$1000, ROW(T50), MATCH(T$1, 'raw-sheet'!$A$1:$ZZ$1, 0))</f>
        <v>https://innisfree-taiwan.myshopify.com/cdn/shop/files/logo.png?v=1767594135</v>
      </c>
      <c r="U51" s="28" t="str">
        <f t="array" ref="U51">INDEX('raw-sheet'!$A$2:$ZZ$1000, ROW(U50), MATCH(U$1, 'raw-sheet'!$A$1:$ZZ$1, 0))</f>
        <v>https://innisfree-taiwan.myshopify.com/blogs/magazine/tagged/trouble-care</v>
      </c>
      <c r="V51" s="28" t="str">
        <f t="array" ref="V51">INDEX('raw-sheet'!$A$2:$ZZ$1000, ROW(V50), MATCH(V$1, 'raw-sheet'!$A$1:$ZZ$1, 0))</f>
        <v>精選文章 | INNISFREE Taiwan</v>
      </c>
      <c r="W51" s="28" t="str">
        <f t="array" ref="W51">INDEX('raw-sheet'!$A$2:$ZZ$1000, ROW(W50),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51" s="28" t="str">
        <f t="array" ref="X51">INDEX('raw-sheet'!$A$2:$ZZ$1000, ROW(X50), MATCH(X$1, 'raw-sheet'!$A$1:$ZZ$1, 0))</f>
        <v>summary_large_image</v>
      </c>
      <c r="Y51" s="31" t="s">
        <v>62</v>
      </c>
      <c r="Z51" s="28" t="str">
        <f>VLOOKUP($A51,'raw-schema'!$A:$R,14,0)</f>
        <v>Organization</v>
      </c>
      <c r="AA51" s="28">
        <f>VLOOKUP($A51,'raw-schema'!$A:$R,15,0)</f>
        <v>0</v>
      </c>
      <c r="AB51" s="28">
        <f>VLOOKUP($A51,'raw-schema'!$A:$R,16,0)</f>
        <v>0</v>
      </c>
      <c r="AC51" s="28">
        <f>VLOOKUP($A51,'raw-schema'!$A:$R,17,0)</f>
        <v>0</v>
      </c>
      <c r="AD51" s="28">
        <f>VLOOKUP($A51,'raw-schema'!$A:$R,18,0)</f>
        <v>0</v>
      </c>
      <c r="AE51" s="31" t="s">
        <v>63</v>
      </c>
      <c r="AF51" t="s">
        <v>65</v>
      </c>
    </row>
    <row r="52" spans="1:32" ht="22.5" x14ac:dyDescent="0.3">
      <c r="A52" s="28" t="str">
        <f t="array" ref="A52">INDEX('raw-sheet'!$A$2:$ZZ$1000, ROW(A51), MATCH(A$1, 'raw-sheet'!$A$1:$ZZ$1, 0))</f>
        <v>https://innisfree-taiwan.myshopify.com/blogs/magazine/tagged/trouble-care?page=2</v>
      </c>
      <c r="B52" s="30" t="s">
        <v>11</v>
      </c>
      <c r="C52" s="28" t="str">
        <f t="array" ref="C52">INDEX('raw-sheet'!$A$2:$ZZ$1000, ROW(C51), MATCH(C$1, 'raw-sheet'!$A$1:$ZZ$1, 0))</f>
        <v>Blog Page</v>
      </c>
      <c r="D52" s="28">
        <f t="array" ref="D52">INDEX('raw-sheet'!$A$2:$ZZ$1000, ROW(D51), MATCH(D$1, 'raw-sheet'!$A$1:$ZZ$1, 0))</f>
        <v>200</v>
      </c>
      <c r="E52" s="30" t="str">
        <f t="shared" si="0"/>
        <v>Pass</v>
      </c>
      <c r="F52" s="28" t="str">
        <f t="array" ref="F52">INDEX('raw-sheet'!$A$2:$ZZ$1000, ROW(F51), MATCH(F$1, 'raw-sheet'!$A$1:$ZZ$1, 0))</f>
        <v>精選文章_x000D_ – tagged "trouble-care" – Page 2 | INNISFREE Taiwan</v>
      </c>
      <c r="G52" s="30" t="s">
        <v>11</v>
      </c>
      <c r="H52" s="28">
        <f t="array" ref="H52">INDEX('raw-sheet'!$A$2:$ZZ$1000, ROW(H51), MATCH(H$1, 'raw-sheet'!$A$1:$ZZ$1, 0))</f>
        <v>0</v>
      </c>
      <c r="I52" s="30" t="s">
        <v>61</v>
      </c>
      <c r="J52" s="28" t="str">
        <f t="array" ref="J52">INDEX('raw-sheet'!$A$2:$ZZ$1000, ROW(J51), MATCH(J$1, 'raw-sheet'!$A$1:$ZZ$1, 0))</f>
        <v>精選文章</v>
      </c>
      <c r="K52" s="28" t="str">
        <f t="array" ref="K52">INDEX('raw-sheet'!$A$2:$ZZ$1000, ROW(K51), MATCH(K$1, 'raw-sheet'!$A$1:$ZZ$1, 0))</f>
        <v>1</v>
      </c>
      <c r="L52" s="30" t="s">
        <v>60</v>
      </c>
      <c r="M52" s="28" t="str">
        <f t="array" ref="M52">INDEX('raw-sheet'!$A$2:$ZZ$1000, ROW(M51), MATCH(M$1, 'raw-sheet'!$A$1:$ZZ$1, 0))</f>
        <v>https://innisfree-taiwan.myshopify.com/blogs/magazine/tagged/trouble-care?page=2</v>
      </c>
      <c r="N52" s="30" t="str">
        <f t="shared" si="1"/>
        <v>Pass</v>
      </c>
      <c r="O52" s="28" t="str">
        <f t="array" ref="O52">INDEX('raw-sheet'!$A$2:$ZZ$1000, ROW(O51), MATCH(O$1, 'raw-sheet'!$A$1:$ZZ$1, 0))</f>
        <v>精選文章 | INNISFREE Taiwan</v>
      </c>
      <c r="P52" s="28" t="str">
        <f t="array" ref="P52">INDEX('raw-sheet'!$A$2:$ZZ$1000, ROW(P51),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52" s="28" t="str">
        <f t="array" ref="Q52">INDEX('raw-sheet'!$A$2:$ZZ$1000, ROW(Q51), MATCH(Q$1, 'raw-sheet'!$A$1:$ZZ$1, 0))</f>
        <v>website</v>
      </c>
      <c r="R52" s="28" t="str">
        <f t="array" ref="R52">INDEX('raw-sheet'!$A$2:$ZZ$1000, ROW(R51), MATCH(R$1, 'raw-sheet'!$A$1:$ZZ$1, 0))</f>
        <v>INNISFREE Taiwan</v>
      </c>
      <c r="S52" s="28" t="str">
        <f t="array" ref="S52">INDEX('raw-sheet'!$A$2:$ZZ$1000, ROW(S51), MATCH(S$1, 'raw-sheet'!$A$1:$ZZ$1, 0))</f>
        <v>http://innisfree-taiwan.myshopify.com/cdn/shop/files/logo.png?v=1767594135</v>
      </c>
      <c r="T52" s="28" t="str">
        <f t="array" ref="T52">INDEX('raw-sheet'!$A$2:$ZZ$1000, ROW(T51), MATCH(T$1, 'raw-sheet'!$A$1:$ZZ$1, 0))</f>
        <v>https://innisfree-taiwan.myshopify.com/cdn/shop/files/logo.png?v=1767594135</v>
      </c>
      <c r="U52" s="28" t="str">
        <f t="array" ref="U52">INDEX('raw-sheet'!$A$2:$ZZ$1000, ROW(U51), MATCH(U$1, 'raw-sheet'!$A$1:$ZZ$1, 0))</f>
        <v>https://innisfree-taiwan.myshopify.com/blogs/magazine/tagged/trouble-care?page=2</v>
      </c>
      <c r="V52" s="28" t="str">
        <f t="array" ref="V52">INDEX('raw-sheet'!$A$2:$ZZ$1000, ROW(V51), MATCH(V$1, 'raw-sheet'!$A$1:$ZZ$1, 0))</f>
        <v>精選文章 | INNISFREE Taiwan</v>
      </c>
      <c r="W52" s="28" t="str">
        <f t="array" ref="W52">INDEX('raw-sheet'!$A$2:$ZZ$1000, ROW(W51),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52" s="28" t="str">
        <f t="array" ref="X52">INDEX('raw-sheet'!$A$2:$ZZ$1000, ROW(X51), MATCH(X$1, 'raw-sheet'!$A$1:$ZZ$1, 0))</f>
        <v>summary_large_image</v>
      </c>
      <c r="Y52" s="31" t="s">
        <v>62</v>
      </c>
      <c r="Z52" s="28" t="str">
        <f>VLOOKUP($A52,'raw-schema'!$A:$R,14,0)</f>
        <v>Organization</v>
      </c>
      <c r="AA52" s="28">
        <f>VLOOKUP($A52,'raw-schema'!$A:$R,15,0)</f>
        <v>0</v>
      </c>
      <c r="AB52" s="28">
        <f>VLOOKUP($A52,'raw-schema'!$A:$R,16,0)</f>
        <v>0</v>
      </c>
      <c r="AC52" s="28">
        <f>VLOOKUP($A52,'raw-schema'!$A:$R,17,0)</f>
        <v>0</v>
      </c>
      <c r="AD52" s="28">
        <f>VLOOKUP($A52,'raw-schema'!$A:$R,18,0)</f>
        <v>0</v>
      </c>
      <c r="AE52" s="31" t="s">
        <v>63</v>
      </c>
      <c r="AF52" t="s">
        <v>65</v>
      </c>
    </row>
    <row r="53" spans="1:32" x14ac:dyDescent="0.3">
      <c r="A53" s="28" t="str">
        <f t="array" ref="A53">INDEX('raw-sheet'!$A$2:$ZZ$1000, ROW(A52), MATCH(A$1, 'raw-sheet'!$A$1:$ZZ$1, 0))</f>
        <v>https://innisfree-taiwan.myshopify.com/blogs/magazine/{{%20blog.url%20}}</v>
      </c>
      <c r="B53" s="30"/>
      <c r="C53" s="28" t="str">
        <f t="array" ref="C53">INDEX('raw-sheet'!$A$2:$ZZ$1000, ROW(C52), MATCH(C$1, 'raw-sheet'!$A$1:$ZZ$1, 0))</f>
        <v>Blog Page</v>
      </c>
      <c r="D53" s="28">
        <f t="array" ref="D53">INDEX('raw-sheet'!$A$2:$ZZ$1000, ROW(D52), MATCH(D$1, 'raw-sheet'!$A$1:$ZZ$1, 0))</f>
        <v>404</v>
      </c>
      <c r="E53" s="30" t="str">
        <f t="shared" si="0"/>
        <v>Not</v>
      </c>
      <c r="F53" s="28">
        <f t="array" ref="F53">INDEX('raw-sheet'!$A$2:$ZZ$1000, ROW(F52), MATCH(F$1, 'raw-sheet'!$A$1:$ZZ$1, 0))</f>
        <v>0</v>
      </c>
      <c r="G53" s="30"/>
      <c r="H53" s="28">
        <f t="array" ref="H53">INDEX('raw-sheet'!$A$2:$ZZ$1000, ROW(H52), MATCH(H$1, 'raw-sheet'!$A$1:$ZZ$1, 0))</f>
        <v>0</v>
      </c>
      <c r="I53" s="30"/>
      <c r="J53" s="28">
        <f t="array" ref="J53">INDEX('raw-sheet'!$A$2:$ZZ$1000, ROW(J52), MATCH(J$1, 'raw-sheet'!$A$1:$ZZ$1, 0))</f>
        <v>0</v>
      </c>
      <c r="K53" s="28">
        <f t="array" ref="K53">INDEX('raw-sheet'!$A$2:$ZZ$1000, ROW(K52), MATCH(K$1, 'raw-sheet'!$A$1:$ZZ$1, 0))</f>
        <v>0</v>
      </c>
      <c r="L53" s="30"/>
      <c r="M53" s="28">
        <f t="array" ref="M53">INDEX('raw-sheet'!$A$2:$ZZ$1000, ROW(M52), MATCH(M$1, 'raw-sheet'!$A$1:$ZZ$1, 0))</f>
        <v>0</v>
      </c>
      <c r="N53" s="30" t="str">
        <f t="shared" si="1"/>
        <v>Not</v>
      </c>
      <c r="O53" s="28">
        <f t="array" ref="O53">INDEX('raw-sheet'!$A$2:$ZZ$1000, ROW(O52), MATCH(O$1, 'raw-sheet'!$A$1:$ZZ$1, 0))</f>
        <v>0</v>
      </c>
      <c r="P53" s="28">
        <f t="array" ref="P53">INDEX('raw-sheet'!$A$2:$ZZ$1000, ROW(P52), MATCH(P$1, 'raw-sheet'!$A$1:$ZZ$1, 0))</f>
        <v>0</v>
      </c>
      <c r="Q53" s="28">
        <f t="array" ref="Q53">INDEX('raw-sheet'!$A$2:$ZZ$1000, ROW(Q52), MATCH(Q$1, 'raw-sheet'!$A$1:$ZZ$1, 0))</f>
        <v>0</v>
      </c>
      <c r="R53" s="28">
        <f t="array" ref="R53">INDEX('raw-sheet'!$A$2:$ZZ$1000, ROW(R52), MATCH(R$1, 'raw-sheet'!$A$1:$ZZ$1, 0))</f>
        <v>0</v>
      </c>
      <c r="S53" s="28">
        <f t="array" ref="S53">INDEX('raw-sheet'!$A$2:$ZZ$1000, ROW(S52), MATCH(S$1, 'raw-sheet'!$A$1:$ZZ$1, 0))</f>
        <v>0</v>
      </c>
      <c r="T53" s="28">
        <f t="array" ref="T53">INDEX('raw-sheet'!$A$2:$ZZ$1000, ROW(T52), MATCH(T$1, 'raw-sheet'!$A$1:$ZZ$1, 0))</f>
        <v>0</v>
      </c>
      <c r="U53" s="28">
        <f t="array" ref="U53">INDEX('raw-sheet'!$A$2:$ZZ$1000, ROW(U52), MATCH(U$1, 'raw-sheet'!$A$1:$ZZ$1, 0))</f>
        <v>0</v>
      </c>
      <c r="V53" s="28">
        <f t="array" ref="V53">INDEX('raw-sheet'!$A$2:$ZZ$1000, ROW(V52), MATCH(V$1, 'raw-sheet'!$A$1:$ZZ$1, 0))</f>
        <v>0</v>
      </c>
      <c r="W53" s="28">
        <f t="array" ref="W53">INDEX('raw-sheet'!$A$2:$ZZ$1000, ROW(W52), MATCH(W$1, 'raw-sheet'!$A$1:$ZZ$1, 0))</f>
        <v>0</v>
      </c>
      <c r="X53" s="28">
        <f t="array" ref="X53">INDEX('raw-sheet'!$A$2:$ZZ$1000, ROW(X52), MATCH(X$1, 'raw-sheet'!$A$1:$ZZ$1, 0))</f>
        <v>0</v>
      </c>
      <c r="Y53" s="31"/>
      <c r="Z53" s="28" t="e">
        <f>VLOOKUP($A53,'raw-schema'!$A:$R,14,0)</f>
        <v>#N/A</v>
      </c>
      <c r="AA53" s="28" t="e">
        <f>VLOOKUP($A53,'raw-schema'!$A:$R,15,0)</f>
        <v>#N/A</v>
      </c>
      <c r="AB53" s="28" t="e">
        <f>VLOOKUP($A53,'raw-schema'!$A:$R,16,0)</f>
        <v>#N/A</v>
      </c>
      <c r="AC53" s="28" t="e">
        <f>VLOOKUP($A53,'raw-schema'!$A:$R,17,0)</f>
        <v>#N/A</v>
      </c>
      <c r="AD53" s="28" t="e">
        <f>VLOOKUP($A53,'raw-schema'!$A:$R,18,0)</f>
        <v>#N/A</v>
      </c>
      <c r="AE53" s="31"/>
      <c r="AF53" t="s">
        <v>58</v>
      </c>
    </row>
    <row r="54" spans="1:32" x14ac:dyDescent="0.3">
      <c r="A54" s="28" t="str">
        <f t="array" ref="A54">INDEX('raw-sheet'!$A$2:$ZZ$1000, ROW(A53), MATCH(A$1, 'raw-sheet'!$A$1:$ZZ$1, 0))</f>
        <v>https://innisfree-taiwan.myshopify.com/blogs/magazine/{{%20blog.url%20}}/2024-popular-moisturizer-recommendations</v>
      </c>
      <c r="B54" s="30"/>
      <c r="C54" s="28" t="str">
        <f t="array" ref="C54">INDEX('raw-sheet'!$A$2:$ZZ$1000, ROW(C53), MATCH(C$1, 'raw-sheet'!$A$1:$ZZ$1, 0))</f>
        <v>Blog Page</v>
      </c>
      <c r="D54" s="28">
        <f t="array" ref="D54">INDEX('raw-sheet'!$A$2:$ZZ$1000, ROW(D53), MATCH(D$1, 'raw-sheet'!$A$1:$ZZ$1, 0))</f>
        <v>404</v>
      </c>
      <c r="E54" s="30" t="str">
        <f t="shared" si="0"/>
        <v>Not</v>
      </c>
      <c r="F54" s="28">
        <f t="array" ref="F54">INDEX('raw-sheet'!$A$2:$ZZ$1000, ROW(F53), MATCH(F$1, 'raw-sheet'!$A$1:$ZZ$1, 0))</f>
        <v>0</v>
      </c>
      <c r="G54" s="30"/>
      <c r="H54" s="28">
        <f t="array" ref="H54">INDEX('raw-sheet'!$A$2:$ZZ$1000, ROW(H53), MATCH(H$1, 'raw-sheet'!$A$1:$ZZ$1, 0))</f>
        <v>0</v>
      </c>
      <c r="I54" s="30"/>
      <c r="J54" s="28">
        <f t="array" ref="J54">INDEX('raw-sheet'!$A$2:$ZZ$1000, ROW(J53), MATCH(J$1, 'raw-sheet'!$A$1:$ZZ$1, 0))</f>
        <v>0</v>
      </c>
      <c r="K54" s="28">
        <f t="array" ref="K54">INDEX('raw-sheet'!$A$2:$ZZ$1000, ROW(K53), MATCH(K$1, 'raw-sheet'!$A$1:$ZZ$1, 0))</f>
        <v>0</v>
      </c>
      <c r="L54" s="30"/>
      <c r="M54" s="28">
        <f t="array" ref="M54">INDEX('raw-sheet'!$A$2:$ZZ$1000, ROW(M53), MATCH(M$1, 'raw-sheet'!$A$1:$ZZ$1, 0))</f>
        <v>0</v>
      </c>
      <c r="N54" s="30" t="str">
        <f t="shared" si="1"/>
        <v>Not</v>
      </c>
      <c r="O54" s="28">
        <f t="array" ref="O54">INDEX('raw-sheet'!$A$2:$ZZ$1000, ROW(O53), MATCH(O$1, 'raw-sheet'!$A$1:$ZZ$1, 0))</f>
        <v>0</v>
      </c>
      <c r="P54" s="28">
        <f t="array" ref="P54">INDEX('raw-sheet'!$A$2:$ZZ$1000, ROW(P53), MATCH(P$1, 'raw-sheet'!$A$1:$ZZ$1, 0))</f>
        <v>0</v>
      </c>
      <c r="Q54" s="28">
        <f t="array" ref="Q54">INDEX('raw-sheet'!$A$2:$ZZ$1000, ROW(Q53), MATCH(Q$1, 'raw-sheet'!$A$1:$ZZ$1, 0))</f>
        <v>0</v>
      </c>
      <c r="R54" s="28">
        <f t="array" ref="R54">INDEX('raw-sheet'!$A$2:$ZZ$1000, ROW(R53), MATCH(R$1, 'raw-sheet'!$A$1:$ZZ$1, 0))</f>
        <v>0</v>
      </c>
      <c r="S54" s="28">
        <f t="array" ref="S54">INDEX('raw-sheet'!$A$2:$ZZ$1000, ROW(S53), MATCH(S$1, 'raw-sheet'!$A$1:$ZZ$1, 0))</f>
        <v>0</v>
      </c>
      <c r="T54" s="28">
        <f t="array" ref="T54">INDEX('raw-sheet'!$A$2:$ZZ$1000, ROW(T53), MATCH(T$1, 'raw-sheet'!$A$1:$ZZ$1, 0))</f>
        <v>0</v>
      </c>
      <c r="U54" s="28">
        <f t="array" ref="U54">INDEX('raw-sheet'!$A$2:$ZZ$1000, ROW(U53), MATCH(U$1, 'raw-sheet'!$A$1:$ZZ$1, 0))</f>
        <v>0</v>
      </c>
      <c r="V54" s="28">
        <f t="array" ref="V54">INDEX('raw-sheet'!$A$2:$ZZ$1000, ROW(V53), MATCH(V$1, 'raw-sheet'!$A$1:$ZZ$1, 0))</f>
        <v>0</v>
      </c>
      <c r="W54" s="28">
        <f t="array" ref="W54">INDEX('raw-sheet'!$A$2:$ZZ$1000, ROW(W53), MATCH(W$1, 'raw-sheet'!$A$1:$ZZ$1, 0))</f>
        <v>0</v>
      </c>
      <c r="X54" s="28">
        <f t="array" ref="X54">INDEX('raw-sheet'!$A$2:$ZZ$1000, ROW(X53), MATCH(X$1, 'raw-sheet'!$A$1:$ZZ$1, 0))</f>
        <v>0</v>
      </c>
      <c r="Y54" s="30"/>
      <c r="Z54" s="28" t="e">
        <f>VLOOKUP($A54,'raw-schema'!$A:$R,14,0)</f>
        <v>#N/A</v>
      </c>
      <c r="AA54" s="28" t="e">
        <f>VLOOKUP($A54,'raw-schema'!$A:$R,15,0)</f>
        <v>#N/A</v>
      </c>
      <c r="AB54" s="28" t="e">
        <f>VLOOKUP($A54,'raw-schema'!$A:$R,16,0)</f>
        <v>#N/A</v>
      </c>
      <c r="AC54" s="28" t="e">
        <f>VLOOKUP($A54,'raw-schema'!$A:$R,17,0)</f>
        <v>#N/A</v>
      </c>
      <c r="AD54" s="28" t="e">
        <f>VLOOKUP($A54,'raw-schema'!$A:$R,18,0)</f>
        <v>#N/A</v>
      </c>
      <c r="AE54" s="30"/>
      <c r="AF54" t="s">
        <v>58</v>
      </c>
    </row>
    <row r="55" spans="1:32" x14ac:dyDescent="0.3">
      <c r="A55" s="28" t="str">
        <f t="array" ref="A55">INDEX('raw-sheet'!$A$2:$ZZ$1000, ROW(A54), MATCH(A$1, 'raw-sheet'!$A$1:$ZZ$1, 0))</f>
        <v>https://innisfree-taiwan.myshopify.com/blogs/magazine/{{%20blog.url%20}}/3-step-facial-moisturizing-routine</v>
      </c>
      <c r="B55" s="30"/>
      <c r="C55" s="28" t="str">
        <f t="array" ref="C55">INDEX('raw-sheet'!$A$2:$ZZ$1000, ROW(C54), MATCH(C$1, 'raw-sheet'!$A$1:$ZZ$1, 0))</f>
        <v>Blog Page</v>
      </c>
      <c r="D55" s="28">
        <f t="array" ref="D55">INDEX('raw-sheet'!$A$2:$ZZ$1000, ROW(D54), MATCH(D$1, 'raw-sheet'!$A$1:$ZZ$1, 0))</f>
        <v>404</v>
      </c>
      <c r="E55" s="30" t="str">
        <f t="shared" si="0"/>
        <v>Not</v>
      </c>
      <c r="F55" s="28">
        <f t="array" ref="F55">INDEX('raw-sheet'!$A$2:$ZZ$1000, ROW(F54), MATCH(F$1, 'raw-sheet'!$A$1:$ZZ$1, 0))</f>
        <v>0</v>
      </c>
      <c r="G55" s="30"/>
      <c r="H55" s="28">
        <f t="array" ref="H55">INDEX('raw-sheet'!$A$2:$ZZ$1000, ROW(H54), MATCH(H$1, 'raw-sheet'!$A$1:$ZZ$1, 0))</f>
        <v>0</v>
      </c>
      <c r="I55" s="30"/>
      <c r="J55" s="28">
        <f t="array" ref="J55">INDEX('raw-sheet'!$A$2:$ZZ$1000, ROW(J54), MATCH(J$1, 'raw-sheet'!$A$1:$ZZ$1, 0))</f>
        <v>0</v>
      </c>
      <c r="K55" s="28">
        <f t="array" ref="K55">INDEX('raw-sheet'!$A$2:$ZZ$1000, ROW(K54), MATCH(K$1, 'raw-sheet'!$A$1:$ZZ$1, 0))</f>
        <v>0</v>
      </c>
      <c r="L55" s="30"/>
      <c r="M55" s="28">
        <f t="array" ref="M55">INDEX('raw-sheet'!$A$2:$ZZ$1000, ROW(M54), MATCH(M$1, 'raw-sheet'!$A$1:$ZZ$1, 0))</f>
        <v>0</v>
      </c>
      <c r="N55" s="30" t="str">
        <f t="shared" si="1"/>
        <v>Not</v>
      </c>
      <c r="O55" s="28">
        <f t="array" ref="O55">INDEX('raw-sheet'!$A$2:$ZZ$1000, ROW(O54), MATCH(O$1, 'raw-sheet'!$A$1:$ZZ$1, 0))</f>
        <v>0</v>
      </c>
      <c r="P55" s="28">
        <f t="array" ref="P55">INDEX('raw-sheet'!$A$2:$ZZ$1000, ROW(P54), MATCH(P$1, 'raw-sheet'!$A$1:$ZZ$1, 0))</f>
        <v>0</v>
      </c>
      <c r="Q55" s="28">
        <f t="array" ref="Q55">INDEX('raw-sheet'!$A$2:$ZZ$1000, ROW(Q54), MATCH(Q$1, 'raw-sheet'!$A$1:$ZZ$1, 0))</f>
        <v>0</v>
      </c>
      <c r="R55" s="28">
        <f t="array" ref="R55">INDEX('raw-sheet'!$A$2:$ZZ$1000, ROW(R54), MATCH(R$1, 'raw-sheet'!$A$1:$ZZ$1, 0))</f>
        <v>0</v>
      </c>
      <c r="S55" s="28">
        <f t="array" ref="S55">INDEX('raw-sheet'!$A$2:$ZZ$1000, ROW(S54), MATCH(S$1, 'raw-sheet'!$A$1:$ZZ$1, 0))</f>
        <v>0</v>
      </c>
      <c r="T55" s="28">
        <f t="array" ref="T55">INDEX('raw-sheet'!$A$2:$ZZ$1000, ROW(T54), MATCH(T$1, 'raw-sheet'!$A$1:$ZZ$1, 0))</f>
        <v>0</v>
      </c>
      <c r="U55" s="28">
        <f t="array" ref="U55">INDEX('raw-sheet'!$A$2:$ZZ$1000, ROW(U54), MATCH(U$1, 'raw-sheet'!$A$1:$ZZ$1, 0))</f>
        <v>0</v>
      </c>
      <c r="V55" s="28">
        <f t="array" ref="V55">INDEX('raw-sheet'!$A$2:$ZZ$1000, ROW(V54), MATCH(V$1, 'raw-sheet'!$A$1:$ZZ$1, 0))</f>
        <v>0</v>
      </c>
      <c r="W55" s="28">
        <f t="array" ref="W55">INDEX('raw-sheet'!$A$2:$ZZ$1000, ROW(W54), MATCH(W$1, 'raw-sheet'!$A$1:$ZZ$1, 0))</f>
        <v>0</v>
      </c>
      <c r="X55" s="28">
        <f t="array" ref="X55">INDEX('raw-sheet'!$A$2:$ZZ$1000, ROW(X54), MATCH(X$1, 'raw-sheet'!$A$1:$ZZ$1, 0))</f>
        <v>0</v>
      </c>
      <c r="Y55" s="30"/>
      <c r="Z55" s="28" t="e">
        <f>VLOOKUP($A55,'raw-schema'!$A:$R,14,0)</f>
        <v>#N/A</v>
      </c>
      <c r="AA55" s="28" t="e">
        <f>VLOOKUP($A55,'raw-schema'!$A:$R,15,0)</f>
        <v>#N/A</v>
      </c>
      <c r="AB55" s="28" t="e">
        <f>VLOOKUP($A55,'raw-schema'!$A:$R,16,0)</f>
        <v>#N/A</v>
      </c>
      <c r="AC55" s="28" t="e">
        <f>VLOOKUP($A55,'raw-schema'!$A:$R,17,0)</f>
        <v>#N/A</v>
      </c>
      <c r="AD55" s="28" t="e">
        <f>VLOOKUP($A55,'raw-schema'!$A:$R,18,0)</f>
        <v>#N/A</v>
      </c>
      <c r="AE55" s="30"/>
      <c r="AF55" t="s">
        <v>58</v>
      </c>
    </row>
    <row r="56" spans="1:32" x14ac:dyDescent="0.3">
      <c r="A56" s="28" t="str">
        <f t="array" ref="A56">INDEX('raw-sheet'!$A$2:$ZZ$1000, ROW(A55), MATCH(A$1, 'raw-sheet'!$A$1:$ZZ$1, 0))</f>
        <v>https://innisfree-taiwan.myshopify.com/blogs/magazine/{{%20blog.url%20}}/4-effective-steps-to-remove-blackheads</v>
      </c>
      <c r="B56" s="30"/>
      <c r="C56" s="28" t="str">
        <f t="array" ref="C56">INDEX('raw-sheet'!$A$2:$ZZ$1000, ROW(C55), MATCH(C$1, 'raw-sheet'!$A$1:$ZZ$1, 0))</f>
        <v>Blog Page</v>
      </c>
      <c r="D56" s="28">
        <f t="array" ref="D56">INDEX('raw-sheet'!$A$2:$ZZ$1000, ROW(D55), MATCH(D$1, 'raw-sheet'!$A$1:$ZZ$1, 0))</f>
        <v>404</v>
      </c>
      <c r="E56" s="30" t="str">
        <f t="shared" si="0"/>
        <v>Not</v>
      </c>
      <c r="F56" s="28">
        <f t="array" ref="F56">INDEX('raw-sheet'!$A$2:$ZZ$1000, ROW(F55), MATCH(F$1, 'raw-sheet'!$A$1:$ZZ$1, 0))</f>
        <v>0</v>
      </c>
      <c r="G56" s="30"/>
      <c r="H56" s="28">
        <f t="array" ref="H56">INDEX('raw-sheet'!$A$2:$ZZ$1000, ROW(H55), MATCH(H$1, 'raw-sheet'!$A$1:$ZZ$1, 0))</f>
        <v>0</v>
      </c>
      <c r="I56" s="30"/>
      <c r="J56" s="28">
        <f t="array" ref="J56">INDEX('raw-sheet'!$A$2:$ZZ$1000, ROW(J55), MATCH(J$1, 'raw-sheet'!$A$1:$ZZ$1, 0))</f>
        <v>0</v>
      </c>
      <c r="K56" s="28">
        <f t="array" ref="K56">INDEX('raw-sheet'!$A$2:$ZZ$1000, ROW(K55), MATCH(K$1, 'raw-sheet'!$A$1:$ZZ$1, 0))</f>
        <v>0</v>
      </c>
      <c r="L56" s="30"/>
      <c r="M56" s="28">
        <f t="array" ref="M56">INDEX('raw-sheet'!$A$2:$ZZ$1000, ROW(M55), MATCH(M$1, 'raw-sheet'!$A$1:$ZZ$1, 0))</f>
        <v>0</v>
      </c>
      <c r="N56" s="30" t="str">
        <f t="shared" si="1"/>
        <v>Not</v>
      </c>
      <c r="O56" s="28">
        <f t="array" ref="O56">INDEX('raw-sheet'!$A$2:$ZZ$1000, ROW(O55), MATCH(O$1, 'raw-sheet'!$A$1:$ZZ$1, 0))</f>
        <v>0</v>
      </c>
      <c r="P56" s="28">
        <f t="array" ref="P56">INDEX('raw-sheet'!$A$2:$ZZ$1000, ROW(P55), MATCH(P$1, 'raw-sheet'!$A$1:$ZZ$1, 0))</f>
        <v>0</v>
      </c>
      <c r="Q56" s="28">
        <f t="array" ref="Q56">INDEX('raw-sheet'!$A$2:$ZZ$1000, ROW(Q55), MATCH(Q$1, 'raw-sheet'!$A$1:$ZZ$1, 0))</f>
        <v>0</v>
      </c>
      <c r="R56" s="28">
        <f t="array" ref="R56">INDEX('raw-sheet'!$A$2:$ZZ$1000, ROW(R55), MATCH(R$1, 'raw-sheet'!$A$1:$ZZ$1, 0))</f>
        <v>0</v>
      </c>
      <c r="S56" s="28">
        <f t="array" ref="S56">INDEX('raw-sheet'!$A$2:$ZZ$1000, ROW(S55), MATCH(S$1, 'raw-sheet'!$A$1:$ZZ$1, 0))</f>
        <v>0</v>
      </c>
      <c r="T56" s="28">
        <f t="array" ref="T56">INDEX('raw-sheet'!$A$2:$ZZ$1000, ROW(T55), MATCH(T$1, 'raw-sheet'!$A$1:$ZZ$1, 0))</f>
        <v>0</v>
      </c>
      <c r="U56" s="28">
        <f t="array" ref="U56">INDEX('raw-sheet'!$A$2:$ZZ$1000, ROW(U55), MATCH(U$1, 'raw-sheet'!$A$1:$ZZ$1, 0))</f>
        <v>0</v>
      </c>
      <c r="V56" s="28">
        <f t="array" ref="V56">INDEX('raw-sheet'!$A$2:$ZZ$1000, ROW(V55), MATCH(V$1, 'raw-sheet'!$A$1:$ZZ$1, 0))</f>
        <v>0</v>
      </c>
      <c r="W56" s="28">
        <f t="array" ref="W56">INDEX('raw-sheet'!$A$2:$ZZ$1000, ROW(W55), MATCH(W$1, 'raw-sheet'!$A$1:$ZZ$1, 0))</f>
        <v>0</v>
      </c>
      <c r="X56" s="28">
        <f t="array" ref="X56">INDEX('raw-sheet'!$A$2:$ZZ$1000, ROW(X55), MATCH(X$1, 'raw-sheet'!$A$1:$ZZ$1, 0))</f>
        <v>0</v>
      </c>
      <c r="Y56" s="30"/>
      <c r="Z56" s="28" t="e">
        <f>VLOOKUP($A56,'raw-schema'!$A:$R,14,0)</f>
        <v>#N/A</v>
      </c>
      <c r="AA56" s="28" t="e">
        <f>VLOOKUP($A56,'raw-schema'!$A:$R,15,0)</f>
        <v>#N/A</v>
      </c>
      <c r="AB56" s="28" t="e">
        <f>VLOOKUP($A56,'raw-schema'!$A:$R,16,0)</f>
        <v>#N/A</v>
      </c>
      <c r="AC56" s="28" t="e">
        <f>VLOOKUP($A56,'raw-schema'!$A:$R,17,0)</f>
        <v>#N/A</v>
      </c>
      <c r="AD56" s="28" t="e">
        <f>VLOOKUP($A56,'raw-schema'!$A:$R,18,0)</f>
        <v>#N/A</v>
      </c>
      <c r="AE56" s="30"/>
      <c r="AF56" t="s">
        <v>58</v>
      </c>
    </row>
    <row r="57" spans="1:32" x14ac:dyDescent="0.3">
      <c r="A57" s="28" t="str">
        <f t="array" ref="A57">INDEX('raw-sheet'!$A$2:$ZZ$1000, ROW(A56), MATCH(A$1, 'raw-sheet'!$A$1:$ZZ$1, 0))</f>
        <v>https://innisfree-taiwan.myshopify.com/blogs/magazine/{{%20blog.url%20}}/causes-of-dry-skin-and-how-to-improve-it</v>
      </c>
      <c r="B57" s="30"/>
      <c r="C57" s="28" t="str">
        <f t="array" ref="C57">INDEX('raw-sheet'!$A$2:$ZZ$1000, ROW(C56), MATCH(C$1, 'raw-sheet'!$A$1:$ZZ$1, 0))</f>
        <v>Blog Page</v>
      </c>
      <c r="D57" s="28">
        <f t="array" ref="D57">INDEX('raw-sheet'!$A$2:$ZZ$1000, ROW(D56), MATCH(D$1, 'raw-sheet'!$A$1:$ZZ$1, 0))</f>
        <v>404</v>
      </c>
      <c r="E57" s="30" t="str">
        <f t="shared" si="0"/>
        <v>Not</v>
      </c>
      <c r="F57" s="28">
        <f t="array" ref="F57">INDEX('raw-sheet'!$A$2:$ZZ$1000, ROW(F56), MATCH(F$1, 'raw-sheet'!$A$1:$ZZ$1, 0))</f>
        <v>0</v>
      </c>
      <c r="G57" s="30"/>
      <c r="H57" s="28">
        <f t="array" ref="H57">INDEX('raw-sheet'!$A$2:$ZZ$1000, ROW(H56), MATCH(H$1, 'raw-sheet'!$A$1:$ZZ$1, 0))</f>
        <v>0</v>
      </c>
      <c r="I57" s="30"/>
      <c r="J57" s="28">
        <f t="array" ref="J57">INDEX('raw-sheet'!$A$2:$ZZ$1000, ROW(J56), MATCH(J$1, 'raw-sheet'!$A$1:$ZZ$1, 0))</f>
        <v>0</v>
      </c>
      <c r="K57" s="28">
        <f t="array" ref="K57">INDEX('raw-sheet'!$A$2:$ZZ$1000, ROW(K56), MATCH(K$1, 'raw-sheet'!$A$1:$ZZ$1, 0))</f>
        <v>0</v>
      </c>
      <c r="L57" s="30"/>
      <c r="M57" s="28">
        <f t="array" ref="M57">INDEX('raw-sheet'!$A$2:$ZZ$1000, ROW(M56), MATCH(M$1, 'raw-sheet'!$A$1:$ZZ$1, 0))</f>
        <v>0</v>
      </c>
      <c r="N57" s="30" t="str">
        <f t="shared" si="1"/>
        <v>Not</v>
      </c>
      <c r="O57" s="28">
        <f t="array" ref="O57">INDEX('raw-sheet'!$A$2:$ZZ$1000, ROW(O56), MATCH(O$1, 'raw-sheet'!$A$1:$ZZ$1, 0))</f>
        <v>0</v>
      </c>
      <c r="P57" s="28">
        <f t="array" ref="P57">INDEX('raw-sheet'!$A$2:$ZZ$1000, ROW(P56), MATCH(P$1, 'raw-sheet'!$A$1:$ZZ$1, 0))</f>
        <v>0</v>
      </c>
      <c r="Q57" s="28">
        <f t="array" ref="Q57">INDEX('raw-sheet'!$A$2:$ZZ$1000, ROW(Q56), MATCH(Q$1, 'raw-sheet'!$A$1:$ZZ$1, 0))</f>
        <v>0</v>
      </c>
      <c r="R57" s="28">
        <f t="array" ref="R57">INDEX('raw-sheet'!$A$2:$ZZ$1000, ROW(R56), MATCH(R$1, 'raw-sheet'!$A$1:$ZZ$1, 0))</f>
        <v>0</v>
      </c>
      <c r="S57" s="28">
        <f t="array" ref="S57">INDEX('raw-sheet'!$A$2:$ZZ$1000, ROW(S56), MATCH(S$1, 'raw-sheet'!$A$1:$ZZ$1, 0))</f>
        <v>0</v>
      </c>
      <c r="T57" s="28">
        <f t="array" ref="T57">INDEX('raw-sheet'!$A$2:$ZZ$1000, ROW(T56), MATCH(T$1, 'raw-sheet'!$A$1:$ZZ$1, 0))</f>
        <v>0</v>
      </c>
      <c r="U57" s="28">
        <f t="array" ref="U57">INDEX('raw-sheet'!$A$2:$ZZ$1000, ROW(U56), MATCH(U$1, 'raw-sheet'!$A$1:$ZZ$1, 0))</f>
        <v>0</v>
      </c>
      <c r="V57" s="28">
        <f t="array" ref="V57">INDEX('raw-sheet'!$A$2:$ZZ$1000, ROW(V56), MATCH(V$1, 'raw-sheet'!$A$1:$ZZ$1, 0))</f>
        <v>0</v>
      </c>
      <c r="W57" s="28">
        <f t="array" ref="W57">INDEX('raw-sheet'!$A$2:$ZZ$1000, ROW(W56), MATCH(W$1, 'raw-sheet'!$A$1:$ZZ$1, 0))</f>
        <v>0</v>
      </c>
      <c r="X57" s="28">
        <f t="array" ref="X57">INDEX('raw-sheet'!$A$2:$ZZ$1000, ROW(X56), MATCH(X$1, 'raw-sheet'!$A$1:$ZZ$1, 0))</f>
        <v>0</v>
      </c>
      <c r="Y57" s="30"/>
      <c r="Z57" s="28" t="e">
        <f>VLOOKUP($A57,'raw-schema'!$A:$R,14,0)</f>
        <v>#N/A</v>
      </c>
      <c r="AA57" s="28" t="e">
        <f>VLOOKUP($A57,'raw-schema'!$A:$R,15,0)</f>
        <v>#N/A</v>
      </c>
      <c r="AB57" s="28" t="e">
        <f>VLOOKUP($A57,'raw-schema'!$A:$R,16,0)</f>
        <v>#N/A</v>
      </c>
      <c r="AC57" s="28" t="e">
        <f>VLOOKUP($A57,'raw-schema'!$A:$R,17,0)</f>
        <v>#N/A</v>
      </c>
      <c r="AD57" s="28" t="e">
        <f>VLOOKUP($A57,'raw-schema'!$A:$R,18,0)</f>
        <v>#N/A</v>
      </c>
      <c r="AE57" s="30"/>
      <c r="AF57" t="s">
        <v>58</v>
      </c>
    </row>
    <row r="58" spans="1:32" x14ac:dyDescent="0.3">
      <c r="A58" s="28" t="str">
        <f t="array" ref="A58">INDEX('raw-sheet'!$A$2:$ZZ$1000, ROW(A57), MATCH(A$1, 'raw-sheet'!$A$1:$ZZ$1, 0))</f>
        <v>https://innisfree-taiwan.myshopify.com/blogs/magazine/{{%20blog.url%20}}/dry-skin-characteristics-and-care-tips</v>
      </c>
      <c r="B58" s="30"/>
      <c r="C58" s="28" t="str">
        <f t="array" ref="C58">INDEX('raw-sheet'!$A$2:$ZZ$1000, ROW(C57), MATCH(C$1, 'raw-sheet'!$A$1:$ZZ$1, 0))</f>
        <v>Blog Page</v>
      </c>
      <c r="D58" s="28">
        <f t="array" ref="D58">INDEX('raw-sheet'!$A$2:$ZZ$1000, ROW(D57), MATCH(D$1, 'raw-sheet'!$A$1:$ZZ$1, 0))</f>
        <v>404</v>
      </c>
      <c r="E58" s="30" t="str">
        <f t="shared" si="0"/>
        <v>Not</v>
      </c>
      <c r="F58" s="28">
        <f t="array" ref="F58">INDEX('raw-sheet'!$A$2:$ZZ$1000, ROW(F57), MATCH(F$1, 'raw-sheet'!$A$1:$ZZ$1, 0))</f>
        <v>0</v>
      </c>
      <c r="G58" s="30"/>
      <c r="H58" s="28">
        <f t="array" ref="H58">INDEX('raw-sheet'!$A$2:$ZZ$1000, ROW(H57), MATCH(H$1, 'raw-sheet'!$A$1:$ZZ$1, 0))</f>
        <v>0</v>
      </c>
      <c r="I58" s="30"/>
      <c r="J58" s="28">
        <f t="array" ref="J58">INDEX('raw-sheet'!$A$2:$ZZ$1000, ROW(J57), MATCH(J$1, 'raw-sheet'!$A$1:$ZZ$1, 0))</f>
        <v>0</v>
      </c>
      <c r="K58" s="28">
        <f t="array" ref="K58">INDEX('raw-sheet'!$A$2:$ZZ$1000, ROW(K57), MATCH(K$1, 'raw-sheet'!$A$1:$ZZ$1, 0))</f>
        <v>0</v>
      </c>
      <c r="L58" s="30"/>
      <c r="M58" s="28">
        <f t="array" ref="M58">INDEX('raw-sheet'!$A$2:$ZZ$1000, ROW(M57), MATCH(M$1, 'raw-sheet'!$A$1:$ZZ$1, 0))</f>
        <v>0</v>
      </c>
      <c r="N58" s="30" t="str">
        <f t="shared" si="1"/>
        <v>Not</v>
      </c>
      <c r="O58" s="28">
        <f t="array" ref="O58">INDEX('raw-sheet'!$A$2:$ZZ$1000, ROW(O57), MATCH(O$1, 'raw-sheet'!$A$1:$ZZ$1, 0))</f>
        <v>0</v>
      </c>
      <c r="P58" s="28">
        <f t="array" ref="P58">INDEX('raw-sheet'!$A$2:$ZZ$1000, ROW(P57), MATCH(P$1, 'raw-sheet'!$A$1:$ZZ$1, 0))</f>
        <v>0</v>
      </c>
      <c r="Q58" s="28">
        <f t="array" ref="Q58">INDEX('raw-sheet'!$A$2:$ZZ$1000, ROW(Q57), MATCH(Q$1, 'raw-sheet'!$A$1:$ZZ$1, 0))</f>
        <v>0</v>
      </c>
      <c r="R58" s="28">
        <f t="array" ref="R58">INDEX('raw-sheet'!$A$2:$ZZ$1000, ROW(R57), MATCH(R$1, 'raw-sheet'!$A$1:$ZZ$1, 0))</f>
        <v>0</v>
      </c>
      <c r="S58" s="28">
        <f t="array" ref="S58">INDEX('raw-sheet'!$A$2:$ZZ$1000, ROW(S57), MATCH(S$1, 'raw-sheet'!$A$1:$ZZ$1, 0))</f>
        <v>0</v>
      </c>
      <c r="T58" s="28">
        <f t="array" ref="T58">INDEX('raw-sheet'!$A$2:$ZZ$1000, ROW(T57), MATCH(T$1, 'raw-sheet'!$A$1:$ZZ$1, 0))</f>
        <v>0</v>
      </c>
      <c r="U58" s="28">
        <f t="array" ref="U58">INDEX('raw-sheet'!$A$2:$ZZ$1000, ROW(U57), MATCH(U$1, 'raw-sheet'!$A$1:$ZZ$1, 0))</f>
        <v>0</v>
      </c>
      <c r="V58" s="28">
        <f t="array" ref="V58">INDEX('raw-sheet'!$A$2:$ZZ$1000, ROW(V57), MATCH(V$1, 'raw-sheet'!$A$1:$ZZ$1, 0))</f>
        <v>0</v>
      </c>
      <c r="W58" s="28">
        <f t="array" ref="W58">INDEX('raw-sheet'!$A$2:$ZZ$1000, ROW(W57), MATCH(W$1, 'raw-sheet'!$A$1:$ZZ$1, 0))</f>
        <v>0</v>
      </c>
      <c r="X58" s="28">
        <f t="array" ref="X58">INDEX('raw-sheet'!$A$2:$ZZ$1000, ROW(X57), MATCH(X$1, 'raw-sheet'!$A$1:$ZZ$1, 0))</f>
        <v>0</v>
      </c>
      <c r="Y58" s="30"/>
      <c r="Z58" s="28" t="e">
        <f>VLOOKUP($A58,'raw-schema'!$A:$R,14,0)</f>
        <v>#N/A</v>
      </c>
      <c r="AA58" s="28" t="e">
        <f>VLOOKUP($A58,'raw-schema'!$A:$R,15,0)</f>
        <v>#N/A</v>
      </c>
      <c r="AB58" s="28" t="e">
        <f>VLOOKUP($A58,'raw-schema'!$A:$R,16,0)</f>
        <v>#N/A</v>
      </c>
      <c r="AC58" s="28" t="e">
        <f>VLOOKUP($A58,'raw-schema'!$A:$R,17,0)</f>
        <v>#N/A</v>
      </c>
      <c r="AD58" s="28" t="e">
        <f>VLOOKUP($A58,'raw-schema'!$A:$R,18,0)</f>
        <v>#N/A</v>
      </c>
      <c r="AE58" s="30"/>
      <c r="AF58" t="s">
        <v>58</v>
      </c>
    </row>
    <row r="59" spans="1:32" x14ac:dyDescent="0.3">
      <c r="A59" s="28" t="str">
        <f t="array" ref="A59">INDEX('raw-sheet'!$A$2:$ZZ$1000, ROW(A58), MATCH(A$1, 'raw-sheet'!$A$1:$ZZ$1, 0))</f>
        <v>https://innisfree-taiwan.myshopify.com/blogs/magazine/{{%20blog.url%20}}/facial-skincare-routine-correct-order-guide</v>
      </c>
      <c r="B59" s="30"/>
      <c r="C59" s="28" t="str">
        <f t="array" ref="C59">INDEX('raw-sheet'!$A$2:$ZZ$1000, ROW(C58), MATCH(C$1, 'raw-sheet'!$A$1:$ZZ$1, 0))</f>
        <v>Blog Page</v>
      </c>
      <c r="D59" s="28">
        <f t="array" ref="D59">INDEX('raw-sheet'!$A$2:$ZZ$1000, ROW(D58), MATCH(D$1, 'raw-sheet'!$A$1:$ZZ$1, 0))</f>
        <v>404</v>
      </c>
      <c r="E59" s="30" t="str">
        <f t="shared" si="0"/>
        <v>Not</v>
      </c>
      <c r="F59" s="28">
        <f t="array" ref="F59">INDEX('raw-sheet'!$A$2:$ZZ$1000, ROW(F58), MATCH(F$1, 'raw-sheet'!$A$1:$ZZ$1, 0))</f>
        <v>0</v>
      </c>
      <c r="G59" s="30"/>
      <c r="H59" s="28">
        <f t="array" ref="H59">INDEX('raw-sheet'!$A$2:$ZZ$1000, ROW(H58), MATCH(H$1, 'raw-sheet'!$A$1:$ZZ$1, 0))</f>
        <v>0</v>
      </c>
      <c r="I59" s="30"/>
      <c r="J59" s="28">
        <f t="array" ref="J59">INDEX('raw-sheet'!$A$2:$ZZ$1000, ROW(J58), MATCH(J$1, 'raw-sheet'!$A$1:$ZZ$1, 0))</f>
        <v>0</v>
      </c>
      <c r="K59" s="28">
        <f t="array" ref="K59">INDEX('raw-sheet'!$A$2:$ZZ$1000, ROW(K58), MATCH(K$1, 'raw-sheet'!$A$1:$ZZ$1, 0))</f>
        <v>0</v>
      </c>
      <c r="L59" s="30"/>
      <c r="M59" s="28">
        <f t="array" ref="M59">INDEX('raw-sheet'!$A$2:$ZZ$1000, ROW(M58), MATCH(M$1, 'raw-sheet'!$A$1:$ZZ$1, 0))</f>
        <v>0</v>
      </c>
      <c r="N59" s="30" t="str">
        <f t="shared" si="1"/>
        <v>Not</v>
      </c>
      <c r="O59" s="28">
        <f t="array" ref="O59">INDEX('raw-sheet'!$A$2:$ZZ$1000, ROW(O58), MATCH(O$1, 'raw-sheet'!$A$1:$ZZ$1, 0))</f>
        <v>0</v>
      </c>
      <c r="P59" s="28">
        <f t="array" ref="P59">INDEX('raw-sheet'!$A$2:$ZZ$1000, ROW(P58), MATCH(P$1, 'raw-sheet'!$A$1:$ZZ$1, 0))</f>
        <v>0</v>
      </c>
      <c r="Q59" s="28">
        <f t="array" ref="Q59">INDEX('raw-sheet'!$A$2:$ZZ$1000, ROW(Q58), MATCH(Q$1, 'raw-sheet'!$A$1:$ZZ$1, 0))</f>
        <v>0</v>
      </c>
      <c r="R59" s="28">
        <f t="array" ref="R59">INDEX('raw-sheet'!$A$2:$ZZ$1000, ROW(R58), MATCH(R$1, 'raw-sheet'!$A$1:$ZZ$1, 0))</f>
        <v>0</v>
      </c>
      <c r="S59" s="28">
        <f t="array" ref="S59">INDEX('raw-sheet'!$A$2:$ZZ$1000, ROW(S58), MATCH(S$1, 'raw-sheet'!$A$1:$ZZ$1, 0))</f>
        <v>0</v>
      </c>
      <c r="T59" s="28">
        <f t="array" ref="T59">INDEX('raw-sheet'!$A$2:$ZZ$1000, ROW(T58), MATCH(T$1, 'raw-sheet'!$A$1:$ZZ$1, 0))</f>
        <v>0</v>
      </c>
      <c r="U59" s="28">
        <f t="array" ref="U59">INDEX('raw-sheet'!$A$2:$ZZ$1000, ROW(U58), MATCH(U$1, 'raw-sheet'!$A$1:$ZZ$1, 0))</f>
        <v>0</v>
      </c>
      <c r="V59" s="28">
        <f t="array" ref="V59">INDEX('raw-sheet'!$A$2:$ZZ$1000, ROW(V58), MATCH(V$1, 'raw-sheet'!$A$1:$ZZ$1, 0))</f>
        <v>0</v>
      </c>
      <c r="W59" s="28">
        <f t="array" ref="W59">INDEX('raw-sheet'!$A$2:$ZZ$1000, ROW(W58), MATCH(W$1, 'raw-sheet'!$A$1:$ZZ$1, 0))</f>
        <v>0</v>
      </c>
      <c r="X59" s="28">
        <f t="array" ref="X59">INDEX('raw-sheet'!$A$2:$ZZ$1000, ROW(X58), MATCH(X$1, 'raw-sheet'!$A$1:$ZZ$1, 0))</f>
        <v>0</v>
      </c>
      <c r="Y59" s="30"/>
      <c r="Z59" s="28" t="e">
        <f>VLOOKUP($A59,'raw-schema'!$A:$R,14,0)</f>
        <v>#N/A</v>
      </c>
      <c r="AA59" s="28" t="e">
        <f>VLOOKUP($A59,'raw-schema'!$A:$R,15,0)</f>
        <v>#N/A</v>
      </c>
      <c r="AB59" s="28" t="e">
        <f>VLOOKUP($A59,'raw-schema'!$A:$R,16,0)</f>
        <v>#N/A</v>
      </c>
      <c r="AC59" s="28" t="e">
        <f>VLOOKUP($A59,'raw-schema'!$A:$R,17,0)</f>
        <v>#N/A</v>
      </c>
      <c r="AD59" s="28" t="e">
        <f>VLOOKUP($A59,'raw-schema'!$A:$R,18,0)</f>
        <v>#N/A</v>
      </c>
      <c r="AE59" s="30"/>
      <c r="AF59" t="s">
        <v>58</v>
      </c>
    </row>
    <row r="60" spans="1:32" x14ac:dyDescent="0.3">
      <c r="A60" s="28" t="str">
        <f t="array" ref="A60">INDEX('raw-sheet'!$A$2:$ZZ$1000, ROW(A59), MATCH(A$1, 'raw-sheet'!$A$1:$ZZ$1, 0))</f>
        <v>https://innisfree-taiwan.myshopify.com/blogs/magazine/{{%20blog.url%20}}/how-often-should-you-use-a-face-mask</v>
      </c>
      <c r="B60" s="30"/>
      <c r="C60" s="28" t="str">
        <f t="array" ref="C60">INDEX('raw-sheet'!$A$2:$ZZ$1000, ROW(C59), MATCH(C$1, 'raw-sheet'!$A$1:$ZZ$1, 0))</f>
        <v>Blog Page</v>
      </c>
      <c r="D60" s="28">
        <f t="array" ref="D60">INDEX('raw-sheet'!$A$2:$ZZ$1000, ROW(D59), MATCH(D$1, 'raw-sheet'!$A$1:$ZZ$1, 0))</f>
        <v>404</v>
      </c>
      <c r="E60" s="30" t="str">
        <f t="shared" si="0"/>
        <v>Not</v>
      </c>
      <c r="F60" s="28">
        <f t="array" ref="F60">INDEX('raw-sheet'!$A$2:$ZZ$1000, ROW(F59), MATCH(F$1, 'raw-sheet'!$A$1:$ZZ$1, 0))</f>
        <v>0</v>
      </c>
      <c r="G60" s="30"/>
      <c r="H60" s="28">
        <f t="array" ref="H60">INDEX('raw-sheet'!$A$2:$ZZ$1000, ROW(H59), MATCH(H$1, 'raw-sheet'!$A$1:$ZZ$1, 0))</f>
        <v>0</v>
      </c>
      <c r="I60" s="30"/>
      <c r="J60" s="28">
        <f t="array" ref="J60">INDEX('raw-sheet'!$A$2:$ZZ$1000, ROW(J59), MATCH(J$1, 'raw-sheet'!$A$1:$ZZ$1, 0))</f>
        <v>0</v>
      </c>
      <c r="K60" s="28">
        <f t="array" ref="K60">INDEX('raw-sheet'!$A$2:$ZZ$1000, ROW(K59), MATCH(K$1, 'raw-sheet'!$A$1:$ZZ$1, 0))</f>
        <v>0</v>
      </c>
      <c r="L60" s="30"/>
      <c r="M60" s="28">
        <f t="array" ref="M60">INDEX('raw-sheet'!$A$2:$ZZ$1000, ROW(M59), MATCH(M$1, 'raw-sheet'!$A$1:$ZZ$1, 0))</f>
        <v>0</v>
      </c>
      <c r="N60" s="30" t="str">
        <f t="shared" si="1"/>
        <v>Not</v>
      </c>
      <c r="O60" s="28">
        <f t="array" ref="O60">INDEX('raw-sheet'!$A$2:$ZZ$1000, ROW(O59), MATCH(O$1, 'raw-sheet'!$A$1:$ZZ$1, 0))</f>
        <v>0</v>
      </c>
      <c r="P60" s="28">
        <f t="array" ref="P60">INDEX('raw-sheet'!$A$2:$ZZ$1000, ROW(P59), MATCH(P$1, 'raw-sheet'!$A$1:$ZZ$1, 0))</f>
        <v>0</v>
      </c>
      <c r="Q60" s="28">
        <f t="array" ref="Q60">INDEX('raw-sheet'!$A$2:$ZZ$1000, ROW(Q59), MATCH(Q$1, 'raw-sheet'!$A$1:$ZZ$1, 0))</f>
        <v>0</v>
      </c>
      <c r="R60" s="28">
        <f t="array" ref="R60">INDEX('raw-sheet'!$A$2:$ZZ$1000, ROW(R59), MATCH(R$1, 'raw-sheet'!$A$1:$ZZ$1, 0))</f>
        <v>0</v>
      </c>
      <c r="S60" s="28">
        <f t="array" ref="S60">INDEX('raw-sheet'!$A$2:$ZZ$1000, ROW(S59), MATCH(S$1, 'raw-sheet'!$A$1:$ZZ$1, 0))</f>
        <v>0</v>
      </c>
      <c r="T60" s="28">
        <f t="array" ref="T60">INDEX('raw-sheet'!$A$2:$ZZ$1000, ROW(T59), MATCH(T$1, 'raw-sheet'!$A$1:$ZZ$1, 0))</f>
        <v>0</v>
      </c>
      <c r="U60" s="28">
        <f t="array" ref="U60">INDEX('raw-sheet'!$A$2:$ZZ$1000, ROW(U59), MATCH(U$1, 'raw-sheet'!$A$1:$ZZ$1, 0))</f>
        <v>0</v>
      </c>
      <c r="V60" s="28">
        <f t="array" ref="V60">INDEX('raw-sheet'!$A$2:$ZZ$1000, ROW(V59), MATCH(V$1, 'raw-sheet'!$A$1:$ZZ$1, 0))</f>
        <v>0</v>
      </c>
      <c r="W60" s="28">
        <f t="array" ref="W60">INDEX('raw-sheet'!$A$2:$ZZ$1000, ROW(W59), MATCH(W$1, 'raw-sheet'!$A$1:$ZZ$1, 0))</f>
        <v>0</v>
      </c>
      <c r="X60" s="28">
        <f t="array" ref="X60">INDEX('raw-sheet'!$A$2:$ZZ$1000, ROW(X59), MATCH(X$1, 'raw-sheet'!$A$1:$ZZ$1, 0))</f>
        <v>0</v>
      </c>
      <c r="Y60" s="30"/>
      <c r="Z60" s="28" t="e">
        <f>VLOOKUP($A60,'raw-schema'!$A:$R,14,0)</f>
        <v>#N/A</v>
      </c>
      <c r="AA60" s="28" t="e">
        <f>VLOOKUP($A60,'raw-schema'!$A:$R,15,0)</f>
        <v>#N/A</v>
      </c>
      <c r="AB60" s="28" t="e">
        <f>VLOOKUP($A60,'raw-schema'!$A:$R,16,0)</f>
        <v>#N/A</v>
      </c>
      <c r="AC60" s="28" t="e">
        <f>VLOOKUP($A60,'raw-schema'!$A:$R,17,0)</f>
        <v>#N/A</v>
      </c>
      <c r="AD60" s="28" t="e">
        <f>VLOOKUP($A60,'raw-schema'!$A:$R,18,0)</f>
        <v>#N/A</v>
      </c>
      <c r="AE60" s="30"/>
      <c r="AF60" t="s">
        <v>58</v>
      </c>
    </row>
    <row r="61" spans="1:32" x14ac:dyDescent="0.3">
      <c r="A61" s="28" t="str">
        <f t="array" ref="A61">INDEX('raw-sheet'!$A$2:$ZZ$1000, ROW(A60), MATCH(A$1, 'raw-sheet'!$A$1:$ZZ$1, 0))</f>
        <v>https://innisfree-taiwan.myshopify.com/blogs/magazine/{{%20blog.url%20}}/how-to-choose-products-for-enlarged-pores</v>
      </c>
      <c r="B61" s="30"/>
      <c r="C61" s="28" t="str">
        <f t="array" ref="C61">INDEX('raw-sheet'!$A$2:$ZZ$1000, ROW(C60), MATCH(C$1, 'raw-sheet'!$A$1:$ZZ$1, 0))</f>
        <v>Blog Page</v>
      </c>
      <c r="D61" s="28">
        <f t="array" ref="D61">INDEX('raw-sheet'!$A$2:$ZZ$1000, ROW(D60), MATCH(D$1, 'raw-sheet'!$A$1:$ZZ$1, 0))</f>
        <v>404</v>
      </c>
      <c r="E61" s="30" t="str">
        <f t="shared" si="0"/>
        <v>Not</v>
      </c>
      <c r="F61" s="28">
        <f t="array" ref="F61">INDEX('raw-sheet'!$A$2:$ZZ$1000, ROW(F60), MATCH(F$1, 'raw-sheet'!$A$1:$ZZ$1, 0))</f>
        <v>0</v>
      </c>
      <c r="G61" s="30"/>
      <c r="H61" s="28">
        <f t="array" ref="H61">INDEX('raw-sheet'!$A$2:$ZZ$1000, ROW(H60), MATCH(H$1, 'raw-sheet'!$A$1:$ZZ$1, 0))</f>
        <v>0</v>
      </c>
      <c r="I61" s="30"/>
      <c r="J61" s="28">
        <f t="array" ref="J61">INDEX('raw-sheet'!$A$2:$ZZ$1000, ROW(J60), MATCH(J$1, 'raw-sheet'!$A$1:$ZZ$1, 0))</f>
        <v>0</v>
      </c>
      <c r="K61" s="28">
        <f t="array" ref="K61">INDEX('raw-sheet'!$A$2:$ZZ$1000, ROW(K60), MATCH(K$1, 'raw-sheet'!$A$1:$ZZ$1, 0))</f>
        <v>0</v>
      </c>
      <c r="L61" s="30"/>
      <c r="M61" s="28">
        <f t="array" ref="M61">INDEX('raw-sheet'!$A$2:$ZZ$1000, ROW(M60), MATCH(M$1, 'raw-sheet'!$A$1:$ZZ$1, 0))</f>
        <v>0</v>
      </c>
      <c r="N61" s="30" t="str">
        <f t="shared" si="1"/>
        <v>Not</v>
      </c>
      <c r="O61" s="28">
        <f t="array" ref="O61">INDEX('raw-sheet'!$A$2:$ZZ$1000, ROW(O60), MATCH(O$1, 'raw-sheet'!$A$1:$ZZ$1, 0))</f>
        <v>0</v>
      </c>
      <c r="P61" s="28">
        <f t="array" ref="P61">INDEX('raw-sheet'!$A$2:$ZZ$1000, ROW(P60), MATCH(P$1, 'raw-sheet'!$A$1:$ZZ$1, 0))</f>
        <v>0</v>
      </c>
      <c r="Q61" s="28">
        <f t="array" ref="Q61">INDEX('raw-sheet'!$A$2:$ZZ$1000, ROW(Q60), MATCH(Q$1, 'raw-sheet'!$A$1:$ZZ$1, 0))</f>
        <v>0</v>
      </c>
      <c r="R61" s="28">
        <f t="array" ref="R61">INDEX('raw-sheet'!$A$2:$ZZ$1000, ROW(R60), MATCH(R$1, 'raw-sheet'!$A$1:$ZZ$1, 0))</f>
        <v>0</v>
      </c>
      <c r="S61" s="28">
        <f t="array" ref="S61">INDEX('raw-sheet'!$A$2:$ZZ$1000, ROW(S60), MATCH(S$1, 'raw-sheet'!$A$1:$ZZ$1, 0))</f>
        <v>0</v>
      </c>
      <c r="T61" s="28">
        <f t="array" ref="T61">INDEX('raw-sheet'!$A$2:$ZZ$1000, ROW(T60), MATCH(T$1, 'raw-sheet'!$A$1:$ZZ$1, 0))</f>
        <v>0</v>
      </c>
      <c r="U61" s="28">
        <f t="array" ref="U61">INDEX('raw-sheet'!$A$2:$ZZ$1000, ROW(U60), MATCH(U$1, 'raw-sheet'!$A$1:$ZZ$1, 0))</f>
        <v>0</v>
      </c>
      <c r="V61" s="28">
        <f t="array" ref="V61">INDEX('raw-sheet'!$A$2:$ZZ$1000, ROW(V60), MATCH(V$1, 'raw-sheet'!$A$1:$ZZ$1, 0))</f>
        <v>0</v>
      </c>
      <c r="W61" s="28">
        <f t="array" ref="W61">INDEX('raw-sheet'!$A$2:$ZZ$1000, ROW(W60), MATCH(W$1, 'raw-sheet'!$A$1:$ZZ$1, 0))</f>
        <v>0</v>
      </c>
      <c r="X61" s="28">
        <f t="array" ref="X61">INDEX('raw-sheet'!$A$2:$ZZ$1000, ROW(X60), MATCH(X$1, 'raw-sheet'!$A$1:$ZZ$1, 0))</f>
        <v>0</v>
      </c>
      <c r="Y61" s="30"/>
      <c r="Z61" s="28" t="e">
        <f>VLOOKUP($A61,'raw-schema'!$A:$R,14,0)</f>
        <v>#N/A</v>
      </c>
      <c r="AA61" s="28" t="e">
        <f>VLOOKUP($A61,'raw-schema'!$A:$R,15,0)</f>
        <v>#N/A</v>
      </c>
      <c r="AB61" s="28" t="e">
        <f>VLOOKUP($A61,'raw-schema'!$A:$R,16,0)</f>
        <v>#N/A</v>
      </c>
      <c r="AC61" s="28" t="e">
        <f>VLOOKUP($A61,'raw-schema'!$A:$R,17,0)</f>
        <v>#N/A</v>
      </c>
      <c r="AD61" s="28" t="e">
        <f>VLOOKUP($A61,'raw-schema'!$A:$R,18,0)</f>
        <v>#N/A</v>
      </c>
      <c r="AE61" s="30"/>
      <c r="AF61" t="s">
        <v>58</v>
      </c>
    </row>
    <row r="62" spans="1:32" x14ac:dyDescent="0.3">
      <c r="A62" s="28" t="str">
        <f t="array" ref="A62">INDEX('raw-sheet'!$A$2:$ZZ$1000, ROW(A61), MATCH(A$1, 'raw-sheet'!$A$1:$ZZ$1, 0))</f>
        <v>https://innisfree-taiwan.myshopify.com/blogs/magazine/{{%20blog.url%20}}/how-to-get-rid-of-dark-circles</v>
      </c>
      <c r="B62" s="30"/>
      <c r="C62" s="28" t="str">
        <f t="array" ref="C62">INDEX('raw-sheet'!$A$2:$ZZ$1000, ROW(C61), MATCH(C$1, 'raw-sheet'!$A$1:$ZZ$1, 0))</f>
        <v>Blog Page</v>
      </c>
      <c r="D62" s="28">
        <f t="array" ref="D62">INDEX('raw-sheet'!$A$2:$ZZ$1000, ROW(D61), MATCH(D$1, 'raw-sheet'!$A$1:$ZZ$1, 0))</f>
        <v>404</v>
      </c>
      <c r="E62" s="30" t="str">
        <f t="shared" si="0"/>
        <v>Not</v>
      </c>
      <c r="F62" s="28">
        <f t="array" ref="F62">INDEX('raw-sheet'!$A$2:$ZZ$1000, ROW(F61), MATCH(F$1, 'raw-sheet'!$A$1:$ZZ$1, 0))</f>
        <v>0</v>
      </c>
      <c r="G62" s="30"/>
      <c r="H62" s="28">
        <f t="array" ref="H62">INDEX('raw-sheet'!$A$2:$ZZ$1000, ROW(H61), MATCH(H$1, 'raw-sheet'!$A$1:$ZZ$1, 0))</f>
        <v>0</v>
      </c>
      <c r="I62" s="30"/>
      <c r="J62" s="28">
        <f t="array" ref="J62">INDEX('raw-sheet'!$A$2:$ZZ$1000, ROW(J61), MATCH(J$1, 'raw-sheet'!$A$1:$ZZ$1, 0))</f>
        <v>0</v>
      </c>
      <c r="K62" s="28">
        <f t="array" ref="K62">INDEX('raw-sheet'!$A$2:$ZZ$1000, ROW(K61), MATCH(K$1, 'raw-sheet'!$A$1:$ZZ$1, 0))</f>
        <v>0</v>
      </c>
      <c r="L62" s="30"/>
      <c r="M62" s="28">
        <f t="array" ref="M62">INDEX('raw-sheet'!$A$2:$ZZ$1000, ROW(M61), MATCH(M$1, 'raw-sheet'!$A$1:$ZZ$1, 0))</f>
        <v>0</v>
      </c>
      <c r="N62" s="30" t="str">
        <f t="shared" si="1"/>
        <v>Not</v>
      </c>
      <c r="O62" s="28">
        <f t="array" ref="O62">INDEX('raw-sheet'!$A$2:$ZZ$1000, ROW(O61), MATCH(O$1, 'raw-sheet'!$A$1:$ZZ$1, 0))</f>
        <v>0</v>
      </c>
      <c r="P62" s="28">
        <f t="array" ref="P62">INDEX('raw-sheet'!$A$2:$ZZ$1000, ROW(P61), MATCH(P$1, 'raw-sheet'!$A$1:$ZZ$1, 0))</f>
        <v>0</v>
      </c>
      <c r="Q62" s="28">
        <f t="array" ref="Q62">INDEX('raw-sheet'!$A$2:$ZZ$1000, ROW(Q61), MATCH(Q$1, 'raw-sheet'!$A$1:$ZZ$1, 0))</f>
        <v>0</v>
      </c>
      <c r="R62" s="28">
        <f t="array" ref="R62">INDEX('raw-sheet'!$A$2:$ZZ$1000, ROW(R61), MATCH(R$1, 'raw-sheet'!$A$1:$ZZ$1, 0))</f>
        <v>0</v>
      </c>
      <c r="S62" s="28">
        <f t="array" ref="S62">INDEX('raw-sheet'!$A$2:$ZZ$1000, ROW(S61), MATCH(S$1, 'raw-sheet'!$A$1:$ZZ$1, 0))</f>
        <v>0</v>
      </c>
      <c r="T62" s="28">
        <f t="array" ref="T62">INDEX('raw-sheet'!$A$2:$ZZ$1000, ROW(T61), MATCH(T$1, 'raw-sheet'!$A$1:$ZZ$1, 0))</f>
        <v>0</v>
      </c>
      <c r="U62" s="28">
        <f t="array" ref="U62">INDEX('raw-sheet'!$A$2:$ZZ$1000, ROW(U61), MATCH(U$1, 'raw-sheet'!$A$1:$ZZ$1, 0))</f>
        <v>0</v>
      </c>
      <c r="V62" s="28">
        <f t="array" ref="V62">INDEX('raw-sheet'!$A$2:$ZZ$1000, ROW(V61), MATCH(V$1, 'raw-sheet'!$A$1:$ZZ$1, 0))</f>
        <v>0</v>
      </c>
      <c r="W62" s="28">
        <f t="array" ref="W62">INDEX('raw-sheet'!$A$2:$ZZ$1000, ROW(W61), MATCH(W$1, 'raw-sheet'!$A$1:$ZZ$1, 0))</f>
        <v>0</v>
      </c>
      <c r="X62" s="28">
        <f t="array" ref="X62">INDEX('raw-sheet'!$A$2:$ZZ$1000, ROW(X61), MATCH(X$1, 'raw-sheet'!$A$1:$ZZ$1, 0))</f>
        <v>0</v>
      </c>
      <c r="Y62" s="30"/>
      <c r="Z62" s="28" t="e">
        <f>VLOOKUP($A62,'raw-schema'!$A:$R,14,0)</f>
        <v>#N/A</v>
      </c>
      <c r="AA62" s="28" t="e">
        <f>VLOOKUP($A62,'raw-schema'!$A:$R,15,0)</f>
        <v>#N/A</v>
      </c>
      <c r="AB62" s="28" t="e">
        <f>VLOOKUP($A62,'raw-schema'!$A:$R,16,0)</f>
        <v>#N/A</v>
      </c>
      <c r="AC62" s="28" t="e">
        <f>VLOOKUP($A62,'raw-schema'!$A:$R,17,0)</f>
        <v>#N/A</v>
      </c>
      <c r="AD62" s="28" t="e">
        <f>VLOOKUP($A62,'raw-schema'!$A:$R,18,0)</f>
        <v>#N/A</v>
      </c>
      <c r="AE62" s="30"/>
      <c r="AF62" t="s">
        <v>58</v>
      </c>
    </row>
    <row r="63" spans="1:32" x14ac:dyDescent="0.3">
      <c r="A63" s="28" t="str">
        <f t="array" ref="A63">INDEX('raw-sheet'!$A$2:$ZZ$1000, ROW(A62), MATCH(A$1, 'raw-sheet'!$A$1:$ZZ$1, 0))</f>
        <v>https://innisfree-taiwan.myshopify.com/blogs/magazine/{{%20blog.url%20}}/loose-powder-uses-vs-pressed-powder</v>
      </c>
      <c r="B63" s="30"/>
      <c r="C63" s="28" t="str">
        <f t="array" ref="C63">INDEX('raw-sheet'!$A$2:$ZZ$1000, ROW(C62), MATCH(C$1, 'raw-sheet'!$A$1:$ZZ$1, 0))</f>
        <v>Blog Page</v>
      </c>
      <c r="D63" s="28">
        <f t="array" ref="D63">INDEX('raw-sheet'!$A$2:$ZZ$1000, ROW(D62), MATCH(D$1, 'raw-sheet'!$A$1:$ZZ$1, 0))</f>
        <v>404</v>
      </c>
      <c r="E63" s="30" t="str">
        <f t="shared" si="0"/>
        <v>Not</v>
      </c>
      <c r="F63" s="28">
        <f t="array" ref="F63">INDEX('raw-sheet'!$A$2:$ZZ$1000, ROW(F62), MATCH(F$1, 'raw-sheet'!$A$1:$ZZ$1, 0))</f>
        <v>0</v>
      </c>
      <c r="G63" s="30"/>
      <c r="H63" s="28">
        <f t="array" ref="H63">INDEX('raw-sheet'!$A$2:$ZZ$1000, ROW(H62), MATCH(H$1, 'raw-sheet'!$A$1:$ZZ$1, 0))</f>
        <v>0</v>
      </c>
      <c r="I63" s="30"/>
      <c r="J63" s="28">
        <f t="array" ref="J63">INDEX('raw-sheet'!$A$2:$ZZ$1000, ROW(J62), MATCH(J$1, 'raw-sheet'!$A$1:$ZZ$1, 0))</f>
        <v>0</v>
      </c>
      <c r="K63" s="28">
        <f t="array" ref="K63">INDEX('raw-sheet'!$A$2:$ZZ$1000, ROW(K62), MATCH(K$1, 'raw-sheet'!$A$1:$ZZ$1, 0))</f>
        <v>0</v>
      </c>
      <c r="L63" s="30"/>
      <c r="M63" s="28">
        <f t="array" ref="M63">INDEX('raw-sheet'!$A$2:$ZZ$1000, ROW(M62), MATCH(M$1, 'raw-sheet'!$A$1:$ZZ$1, 0))</f>
        <v>0</v>
      </c>
      <c r="N63" s="30" t="str">
        <f t="shared" si="1"/>
        <v>Not</v>
      </c>
      <c r="O63" s="28">
        <f t="array" ref="O63">INDEX('raw-sheet'!$A$2:$ZZ$1000, ROW(O62), MATCH(O$1, 'raw-sheet'!$A$1:$ZZ$1, 0))</f>
        <v>0</v>
      </c>
      <c r="P63" s="28">
        <f t="array" ref="P63">INDEX('raw-sheet'!$A$2:$ZZ$1000, ROW(P62), MATCH(P$1, 'raw-sheet'!$A$1:$ZZ$1, 0))</f>
        <v>0</v>
      </c>
      <c r="Q63" s="28">
        <f t="array" ref="Q63">INDEX('raw-sheet'!$A$2:$ZZ$1000, ROW(Q62), MATCH(Q$1, 'raw-sheet'!$A$1:$ZZ$1, 0))</f>
        <v>0</v>
      </c>
      <c r="R63" s="28">
        <f t="array" ref="R63">INDEX('raw-sheet'!$A$2:$ZZ$1000, ROW(R62), MATCH(R$1, 'raw-sheet'!$A$1:$ZZ$1, 0))</f>
        <v>0</v>
      </c>
      <c r="S63" s="28">
        <f t="array" ref="S63">INDEX('raw-sheet'!$A$2:$ZZ$1000, ROW(S62), MATCH(S$1, 'raw-sheet'!$A$1:$ZZ$1, 0))</f>
        <v>0</v>
      </c>
      <c r="T63" s="28">
        <f t="array" ref="T63">INDEX('raw-sheet'!$A$2:$ZZ$1000, ROW(T62), MATCH(T$1, 'raw-sheet'!$A$1:$ZZ$1, 0))</f>
        <v>0</v>
      </c>
      <c r="U63" s="28">
        <f t="array" ref="U63">INDEX('raw-sheet'!$A$2:$ZZ$1000, ROW(U62), MATCH(U$1, 'raw-sheet'!$A$1:$ZZ$1, 0))</f>
        <v>0</v>
      </c>
      <c r="V63" s="28">
        <f t="array" ref="V63">INDEX('raw-sheet'!$A$2:$ZZ$1000, ROW(V62), MATCH(V$1, 'raw-sheet'!$A$1:$ZZ$1, 0))</f>
        <v>0</v>
      </c>
      <c r="W63" s="28">
        <f t="array" ref="W63">INDEX('raw-sheet'!$A$2:$ZZ$1000, ROW(W62), MATCH(W$1, 'raw-sheet'!$A$1:$ZZ$1, 0))</f>
        <v>0</v>
      </c>
      <c r="X63" s="28">
        <f t="array" ref="X63">INDEX('raw-sheet'!$A$2:$ZZ$1000, ROW(X62), MATCH(X$1, 'raw-sheet'!$A$1:$ZZ$1, 0))</f>
        <v>0</v>
      </c>
      <c r="Y63" s="30"/>
      <c r="Z63" s="28" t="e">
        <f>VLOOKUP($A63,'raw-schema'!$A:$R,14,0)</f>
        <v>#N/A</v>
      </c>
      <c r="AA63" s="28" t="e">
        <f>VLOOKUP($A63,'raw-schema'!$A:$R,15,0)</f>
        <v>#N/A</v>
      </c>
      <c r="AB63" s="28" t="e">
        <f>VLOOKUP($A63,'raw-schema'!$A:$R,16,0)</f>
        <v>#N/A</v>
      </c>
      <c r="AC63" s="28" t="e">
        <f>VLOOKUP($A63,'raw-schema'!$A:$R,17,0)</f>
        <v>#N/A</v>
      </c>
      <c r="AD63" s="28" t="e">
        <f>VLOOKUP($A63,'raw-schema'!$A:$R,18,0)</f>
        <v>#N/A</v>
      </c>
      <c r="AE63" s="30"/>
      <c r="AF63" t="s">
        <v>58</v>
      </c>
    </row>
    <row r="64" spans="1:32" x14ac:dyDescent="0.3">
      <c r="A64" s="28" t="str">
        <f t="array" ref="A64">INDEX('raw-sheet'!$A$2:$ZZ$1000, ROW(A63), MATCH(A$1, 'raw-sheet'!$A$1:$ZZ$1, 0))</f>
        <v>https://innisfree-taiwan.myshopify.com/blogs/magazine/{{%20blog.url%20}}/morning-c-night-a-skincare-routine-guide</v>
      </c>
      <c r="B64" s="30"/>
      <c r="C64" s="28" t="str">
        <f t="array" ref="C64">INDEX('raw-sheet'!$A$2:$ZZ$1000, ROW(C63), MATCH(C$1, 'raw-sheet'!$A$1:$ZZ$1, 0))</f>
        <v>Blog Page</v>
      </c>
      <c r="D64" s="28">
        <f t="array" ref="D64">INDEX('raw-sheet'!$A$2:$ZZ$1000, ROW(D63), MATCH(D$1, 'raw-sheet'!$A$1:$ZZ$1, 0))</f>
        <v>404</v>
      </c>
      <c r="E64" s="30" t="str">
        <f t="shared" si="0"/>
        <v>Not</v>
      </c>
      <c r="F64" s="28">
        <f t="array" ref="F64">INDEX('raw-sheet'!$A$2:$ZZ$1000, ROW(F63), MATCH(F$1, 'raw-sheet'!$A$1:$ZZ$1, 0))</f>
        <v>0</v>
      </c>
      <c r="G64" s="30"/>
      <c r="H64" s="28">
        <f t="array" ref="H64">INDEX('raw-sheet'!$A$2:$ZZ$1000, ROW(H63), MATCH(H$1, 'raw-sheet'!$A$1:$ZZ$1, 0))</f>
        <v>0</v>
      </c>
      <c r="I64" s="30"/>
      <c r="J64" s="28">
        <f t="array" ref="J64">INDEX('raw-sheet'!$A$2:$ZZ$1000, ROW(J63), MATCH(J$1, 'raw-sheet'!$A$1:$ZZ$1, 0))</f>
        <v>0</v>
      </c>
      <c r="K64" s="28">
        <f t="array" ref="K64">INDEX('raw-sheet'!$A$2:$ZZ$1000, ROW(K63), MATCH(K$1, 'raw-sheet'!$A$1:$ZZ$1, 0))</f>
        <v>0</v>
      </c>
      <c r="L64" s="30"/>
      <c r="M64" s="28">
        <f t="array" ref="M64">INDEX('raw-sheet'!$A$2:$ZZ$1000, ROW(M63), MATCH(M$1, 'raw-sheet'!$A$1:$ZZ$1, 0))</f>
        <v>0</v>
      </c>
      <c r="N64" s="30" t="str">
        <f t="shared" si="1"/>
        <v>Not</v>
      </c>
      <c r="O64" s="28">
        <f t="array" ref="O64">INDEX('raw-sheet'!$A$2:$ZZ$1000, ROW(O63), MATCH(O$1, 'raw-sheet'!$A$1:$ZZ$1, 0))</f>
        <v>0</v>
      </c>
      <c r="P64" s="28">
        <f t="array" ref="P64">INDEX('raw-sheet'!$A$2:$ZZ$1000, ROW(P63), MATCH(P$1, 'raw-sheet'!$A$1:$ZZ$1, 0))</f>
        <v>0</v>
      </c>
      <c r="Q64" s="28">
        <f t="array" ref="Q64">INDEX('raw-sheet'!$A$2:$ZZ$1000, ROW(Q63), MATCH(Q$1, 'raw-sheet'!$A$1:$ZZ$1, 0))</f>
        <v>0</v>
      </c>
      <c r="R64" s="28">
        <f t="array" ref="R64">INDEX('raw-sheet'!$A$2:$ZZ$1000, ROW(R63), MATCH(R$1, 'raw-sheet'!$A$1:$ZZ$1, 0))</f>
        <v>0</v>
      </c>
      <c r="S64" s="28">
        <f t="array" ref="S64">INDEX('raw-sheet'!$A$2:$ZZ$1000, ROW(S63), MATCH(S$1, 'raw-sheet'!$A$1:$ZZ$1, 0))</f>
        <v>0</v>
      </c>
      <c r="T64" s="28">
        <f t="array" ref="T64">INDEX('raw-sheet'!$A$2:$ZZ$1000, ROW(T63), MATCH(T$1, 'raw-sheet'!$A$1:$ZZ$1, 0))</f>
        <v>0</v>
      </c>
      <c r="U64" s="28">
        <f t="array" ref="U64">INDEX('raw-sheet'!$A$2:$ZZ$1000, ROW(U63), MATCH(U$1, 'raw-sheet'!$A$1:$ZZ$1, 0))</f>
        <v>0</v>
      </c>
      <c r="V64" s="28">
        <f t="array" ref="V64">INDEX('raw-sheet'!$A$2:$ZZ$1000, ROW(V63), MATCH(V$1, 'raw-sheet'!$A$1:$ZZ$1, 0))</f>
        <v>0</v>
      </c>
      <c r="W64" s="28">
        <f t="array" ref="W64">INDEX('raw-sheet'!$A$2:$ZZ$1000, ROW(W63), MATCH(W$1, 'raw-sheet'!$A$1:$ZZ$1, 0))</f>
        <v>0</v>
      </c>
      <c r="X64" s="28">
        <f t="array" ref="X64">INDEX('raw-sheet'!$A$2:$ZZ$1000, ROW(X63), MATCH(X$1, 'raw-sheet'!$A$1:$ZZ$1, 0))</f>
        <v>0</v>
      </c>
      <c r="Y64" s="30"/>
      <c r="Z64" s="28" t="e">
        <f>VLOOKUP($A64,'raw-schema'!$A:$R,14,0)</f>
        <v>#N/A</v>
      </c>
      <c r="AA64" s="28" t="e">
        <f>VLOOKUP($A64,'raw-schema'!$A:$R,15,0)</f>
        <v>#N/A</v>
      </c>
      <c r="AB64" s="28" t="e">
        <f>VLOOKUP($A64,'raw-schema'!$A:$R,16,0)</f>
        <v>#N/A</v>
      </c>
      <c r="AC64" s="28" t="e">
        <f>VLOOKUP($A64,'raw-schema'!$A:$R,17,0)</f>
        <v>#N/A</v>
      </c>
      <c r="AD64" s="28" t="e">
        <f>VLOOKUP($A64,'raw-schema'!$A:$R,18,0)</f>
        <v>#N/A</v>
      </c>
      <c r="AE64" s="30"/>
      <c r="AF64" t="s">
        <v>58</v>
      </c>
    </row>
    <row r="65" spans="1:32" x14ac:dyDescent="0.3">
      <c r="A65" s="28" t="str">
        <f t="array" ref="A65">INDEX('raw-sheet'!$A$2:$ZZ$1000, ROW(A64), MATCH(A$1, 'raw-sheet'!$A$1:$ZZ$1, 0))</f>
        <v>https://innisfree-taiwan.myshopify.com/blogs/magazine/{{%20blog.url%20}}/sensitive-skin-care-3-step-routine</v>
      </c>
      <c r="B65" s="30"/>
      <c r="C65" s="28" t="str">
        <f t="array" ref="C65">INDEX('raw-sheet'!$A$2:$ZZ$1000, ROW(C64), MATCH(C$1, 'raw-sheet'!$A$1:$ZZ$1, 0))</f>
        <v>Blog Page</v>
      </c>
      <c r="D65" s="28">
        <f t="array" ref="D65">INDEX('raw-sheet'!$A$2:$ZZ$1000, ROW(D64), MATCH(D$1, 'raw-sheet'!$A$1:$ZZ$1, 0))</f>
        <v>404</v>
      </c>
      <c r="E65" s="30" t="str">
        <f t="shared" si="0"/>
        <v>Not</v>
      </c>
      <c r="F65" s="28">
        <f t="array" ref="F65">INDEX('raw-sheet'!$A$2:$ZZ$1000, ROW(F64), MATCH(F$1, 'raw-sheet'!$A$1:$ZZ$1, 0))</f>
        <v>0</v>
      </c>
      <c r="G65" s="30"/>
      <c r="H65" s="28">
        <f t="array" ref="H65">INDEX('raw-sheet'!$A$2:$ZZ$1000, ROW(H64), MATCH(H$1, 'raw-sheet'!$A$1:$ZZ$1, 0))</f>
        <v>0</v>
      </c>
      <c r="I65" s="30"/>
      <c r="J65" s="28">
        <f t="array" ref="J65">INDEX('raw-sheet'!$A$2:$ZZ$1000, ROW(J64), MATCH(J$1, 'raw-sheet'!$A$1:$ZZ$1, 0))</f>
        <v>0</v>
      </c>
      <c r="K65" s="28">
        <f t="array" ref="K65">INDEX('raw-sheet'!$A$2:$ZZ$1000, ROW(K64), MATCH(K$1, 'raw-sheet'!$A$1:$ZZ$1, 0))</f>
        <v>0</v>
      </c>
      <c r="L65" s="30"/>
      <c r="M65" s="28">
        <f t="array" ref="M65">INDEX('raw-sheet'!$A$2:$ZZ$1000, ROW(M64), MATCH(M$1, 'raw-sheet'!$A$1:$ZZ$1, 0))</f>
        <v>0</v>
      </c>
      <c r="N65" s="30" t="str">
        <f t="shared" si="1"/>
        <v>Not</v>
      </c>
      <c r="O65" s="28">
        <f t="array" ref="O65">INDEX('raw-sheet'!$A$2:$ZZ$1000, ROW(O64), MATCH(O$1, 'raw-sheet'!$A$1:$ZZ$1, 0))</f>
        <v>0</v>
      </c>
      <c r="P65" s="28">
        <f t="array" ref="P65">INDEX('raw-sheet'!$A$2:$ZZ$1000, ROW(P64), MATCH(P$1, 'raw-sheet'!$A$1:$ZZ$1, 0))</f>
        <v>0</v>
      </c>
      <c r="Q65" s="28">
        <f t="array" ref="Q65">INDEX('raw-sheet'!$A$2:$ZZ$1000, ROW(Q64), MATCH(Q$1, 'raw-sheet'!$A$1:$ZZ$1, 0))</f>
        <v>0</v>
      </c>
      <c r="R65" s="28">
        <f t="array" ref="R65">INDEX('raw-sheet'!$A$2:$ZZ$1000, ROW(R64), MATCH(R$1, 'raw-sheet'!$A$1:$ZZ$1, 0))</f>
        <v>0</v>
      </c>
      <c r="S65" s="28">
        <f t="array" ref="S65">INDEX('raw-sheet'!$A$2:$ZZ$1000, ROW(S64), MATCH(S$1, 'raw-sheet'!$A$1:$ZZ$1, 0))</f>
        <v>0</v>
      </c>
      <c r="T65" s="28">
        <f t="array" ref="T65">INDEX('raw-sheet'!$A$2:$ZZ$1000, ROW(T64), MATCH(T$1, 'raw-sheet'!$A$1:$ZZ$1, 0))</f>
        <v>0</v>
      </c>
      <c r="U65" s="28">
        <f t="array" ref="U65">INDEX('raw-sheet'!$A$2:$ZZ$1000, ROW(U64), MATCH(U$1, 'raw-sheet'!$A$1:$ZZ$1, 0))</f>
        <v>0</v>
      </c>
      <c r="V65" s="28">
        <f t="array" ref="V65">INDEX('raw-sheet'!$A$2:$ZZ$1000, ROW(V64), MATCH(V$1, 'raw-sheet'!$A$1:$ZZ$1, 0))</f>
        <v>0</v>
      </c>
      <c r="W65" s="28">
        <f t="array" ref="W65">INDEX('raw-sheet'!$A$2:$ZZ$1000, ROW(W64), MATCH(W$1, 'raw-sheet'!$A$1:$ZZ$1, 0))</f>
        <v>0</v>
      </c>
      <c r="X65" s="28">
        <f t="array" ref="X65">INDEX('raw-sheet'!$A$2:$ZZ$1000, ROW(X64), MATCH(X$1, 'raw-sheet'!$A$1:$ZZ$1, 0))</f>
        <v>0</v>
      </c>
      <c r="Y65" s="30"/>
      <c r="Z65" s="28" t="e">
        <f>VLOOKUP($A65,'raw-schema'!$A:$R,14,0)</f>
        <v>#N/A</v>
      </c>
      <c r="AA65" s="28" t="e">
        <f>VLOOKUP($A65,'raw-schema'!$A:$R,15,0)</f>
        <v>#N/A</v>
      </c>
      <c r="AB65" s="28" t="e">
        <f>VLOOKUP($A65,'raw-schema'!$A:$R,16,0)</f>
        <v>#N/A</v>
      </c>
      <c r="AC65" s="28" t="e">
        <f>VLOOKUP($A65,'raw-schema'!$A:$R,17,0)</f>
        <v>#N/A</v>
      </c>
      <c r="AD65" s="28" t="e">
        <f>VLOOKUP($A65,'raw-schema'!$A:$R,18,0)</f>
        <v>#N/A</v>
      </c>
      <c r="AE65" s="30"/>
      <c r="AF65" t="s">
        <v>58</v>
      </c>
    </row>
    <row r="66" spans="1:32" x14ac:dyDescent="0.3">
      <c r="A66" s="28" t="str">
        <f t="array" ref="A66">INDEX('raw-sheet'!$A$2:$ZZ$1000, ROW(A65), MATCH(A$1, 'raw-sheet'!$A$1:$ZZ$1, 0))</f>
        <v>https://innisfree-taiwan.myshopify.com/blogs/magazine?page=1</v>
      </c>
      <c r="B66" s="30" t="s">
        <v>11</v>
      </c>
      <c r="C66" s="28" t="str">
        <f t="array" ref="C66">INDEX('raw-sheet'!$A$2:$ZZ$1000, ROW(C65), MATCH(C$1, 'raw-sheet'!$A$1:$ZZ$1, 0))</f>
        <v>Blog Page</v>
      </c>
      <c r="D66" s="28">
        <f t="array" ref="D66">INDEX('raw-sheet'!$A$2:$ZZ$1000, ROW(D65), MATCH(D$1, 'raw-sheet'!$A$1:$ZZ$1, 0))</f>
        <v>200</v>
      </c>
      <c r="E66" s="30" t="str">
        <f t="shared" ref="E66:E129" si="2">IF(D66=200,"Pass","Not")</f>
        <v>Pass</v>
      </c>
      <c r="F66" s="28" t="str">
        <f t="array" ref="F66">INDEX('raw-sheet'!$A$2:$ZZ$1000, ROW(F65), MATCH(F$1, 'raw-sheet'!$A$1:$ZZ$1, 0))</f>
        <v>精選文章_x000D_ | INNISFREE Taiwan</v>
      </c>
      <c r="G66" s="30" t="s">
        <v>11</v>
      </c>
      <c r="H66" s="28">
        <f t="array" ref="H66">INDEX('raw-sheet'!$A$2:$ZZ$1000, ROW(H65), MATCH(H$1, 'raw-sheet'!$A$1:$ZZ$1, 0))</f>
        <v>0</v>
      </c>
      <c r="I66" s="30" t="s">
        <v>61</v>
      </c>
      <c r="J66" s="28" t="str">
        <f t="array" ref="J66">INDEX('raw-sheet'!$A$2:$ZZ$1000, ROW(J65), MATCH(J$1, 'raw-sheet'!$A$1:$ZZ$1, 0))</f>
        <v>精選文章</v>
      </c>
      <c r="K66" s="28" t="str">
        <f t="array" ref="K66">INDEX('raw-sheet'!$A$2:$ZZ$1000, ROW(K65), MATCH(K$1, 'raw-sheet'!$A$1:$ZZ$1, 0))</f>
        <v>1</v>
      </c>
      <c r="L66" s="30" t="s">
        <v>60</v>
      </c>
      <c r="M66" s="28" t="str">
        <f t="array" ref="M66">INDEX('raw-sheet'!$A$2:$ZZ$1000, ROW(M65), MATCH(M$1, 'raw-sheet'!$A$1:$ZZ$1, 0))</f>
        <v>https://innisfree-taiwan.myshopify.com/blogs/magazine</v>
      </c>
      <c r="N66" s="30" t="str">
        <f t="shared" ref="N66:N129" si="3">IF(A66=M66,"Pass","Not")</f>
        <v>Not</v>
      </c>
      <c r="O66" s="28" t="str">
        <f t="array" ref="O66">INDEX('raw-sheet'!$A$2:$ZZ$1000, ROW(O65), MATCH(O$1, 'raw-sheet'!$A$1:$ZZ$1, 0))</f>
        <v>精選文章 | INNISFREE Taiwan</v>
      </c>
      <c r="P66" s="28" t="str">
        <f t="array" ref="P66">INDEX('raw-sheet'!$A$2:$ZZ$1000, ROW(P65),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66" s="28" t="str">
        <f t="array" ref="Q66">INDEX('raw-sheet'!$A$2:$ZZ$1000, ROW(Q65), MATCH(Q$1, 'raw-sheet'!$A$1:$ZZ$1, 0))</f>
        <v>website</v>
      </c>
      <c r="R66" s="28" t="str">
        <f t="array" ref="R66">INDEX('raw-sheet'!$A$2:$ZZ$1000, ROW(R65), MATCH(R$1, 'raw-sheet'!$A$1:$ZZ$1, 0))</f>
        <v>INNISFREE Taiwan</v>
      </c>
      <c r="S66" s="28" t="str">
        <f t="array" ref="S66">INDEX('raw-sheet'!$A$2:$ZZ$1000, ROW(S65), MATCH(S$1, 'raw-sheet'!$A$1:$ZZ$1, 0))</f>
        <v>http://innisfree-taiwan.myshopify.com/cdn/shop/files/logo.png?v=1767594135</v>
      </c>
      <c r="T66" s="28" t="str">
        <f t="array" ref="T66">INDEX('raw-sheet'!$A$2:$ZZ$1000, ROW(T65), MATCH(T$1, 'raw-sheet'!$A$1:$ZZ$1, 0))</f>
        <v>https://innisfree-taiwan.myshopify.com/cdn/shop/files/logo.png?v=1767594135</v>
      </c>
      <c r="U66" s="28" t="str">
        <f t="array" ref="U66">INDEX('raw-sheet'!$A$2:$ZZ$1000, ROW(U65), MATCH(U$1, 'raw-sheet'!$A$1:$ZZ$1, 0))</f>
        <v>https://innisfree-taiwan.myshopify.com/blogs/magazine</v>
      </c>
      <c r="V66" s="28" t="str">
        <f t="array" ref="V66">INDEX('raw-sheet'!$A$2:$ZZ$1000, ROW(V65), MATCH(V$1, 'raw-sheet'!$A$1:$ZZ$1, 0))</f>
        <v>精選文章 | INNISFREE Taiwan</v>
      </c>
      <c r="W66" s="28" t="str">
        <f t="array" ref="W66">INDEX('raw-sheet'!$A$2:$ZZ$1000, ROW(W65),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66" s="28" t="str">
        <f t="array" ref="X66">INDEX('raw-sheet'!$A$2:$ZZ$1000, ROW(X65), MATCH(X$1, 'raw-sheet'!$A$1:$ZZ$1, 0))</f>
        <v>summary_large_image</v>
      </c>
      <c r="Y66" s="30" t="s">
        <v>62</v>
      </c>
      <c r="Z66" s="28" t="str">
        <f>VLOOKUP($A66,'raw-schema'!$A:$R,14,0)</f>
        <v>Organization</v>
      </c>
      <c r="AA66" s="28">
        <f>VLOOKUP($A66,'raw-schema'!$A:$R,15,0)</f>
        <v>0</v>
      </c>
      <c r="AB66" s="28">
        <f>VLOOKUP($A66,'raw-schema'!$A:$R,16,0)</f>
        <v>0</v>
      </c>
      <c r="AC66" s="28">
        <f>VLOOKUP($A66,'raw-schema'!$A:$R,17,0)</f>
        <v>0</v>
      </c>
      <c r="AD66" s="28">
        <f>VLOOKUP($A66,'raw-schema'!$A:$R,18,0)</f>
        <v>0</v>
      </c>
      <c r="AE66" s="30" t="s">
        <v>63</v>
      </c>
      <c r="AF66" t="s">
        <v>65</v>
      </c>
    </row>
    <row r="67" spans="1:32" x14ac:dyDescent="0.3">
      <c r="A67" s="28" t="str">
        <f t="array" ref="A67">INDEX('raw-sheet'!$A$2:$ZZ$1000, ROW(A66), MATCH(A$1, 'raw-sheet'!$A$1:$ZZ$1, 0))</f>
        <v>https://innisfree-taiwan.myshopify.com/blogs/magazine?page=2</v>
      </c>
      <c r="B67" s="30" t="s">
        <v>11</v>
      </c>
      <c r="C67" s="28" t="str">
        <f t="array" ref="C67">INDEX('raw-sheet'!$A$2:$ZZ$1000, ROW(C66), MATCH(C$1, 'raw-sheet'!$A$1:$ZZ$1, 0))</f>
        <v>Blog Page</v>
      </c>
      <c r="D67" s="28">
        <f t="array" ref="D67">INDEX('raw-sheet'!$A$2:$ZZ$1000, ROW(D66), MATCH(D$1, 'raw-sheet'!$A$1:$ZZ$1, 0))</f>
        <v>200</v>
      </c>
      <c r="E67" s="30" t="str">
        <f t="shared" si="2"/>
        <v>Pass</v>
      </c>
      <c r="F67" s="28" t="str">
        <f t="array" ref="F67">INDEX('raw-sheet'!$A$2:$ZZ$1000, ROW(F66), MATCH(F$1, 'raw-sheet'!$A$1:$ZZ$1, 0))</f>
        <v>精選文章_x000D_ – Page 2 | INNISFREE Taiwan</v>
      </c>
      <c r="G67" s="30" t="s">
        <v>11</v>
      </c>
      <c r="H67" s="28">
        <f t="array" ref="H67">INDEX('raw-sheet'!$A$2:$ZZ$1000, ROW(H66), MATCH(H$1, 'raw-sheet'!$A$1:$ZZ$1, 0))</f>
        <v>0</v>
      </c>
      <c r="I67" s="30" t="s">
        <v>61</v>
      </c>
      <c r="J67" s="28" t="str">
        <f t="array" ref="J67">INDEX('raw-sheet'!$A$2:$ZZ$1000, ROW(J66), MATCH(J$1, 'raw-sheet'!$A$1:$ZZ$1, 0))</f>
        <v>精選文章</v>
      </c>
      <c r="K67" s="28" t="str">
        <f t="array" ref="K67">INDEX('raw-sheet'!$A$2:$ZZ$1000, ROW(K66), MATCH(K$1, 'raw-sheet'!$A$1:$ZZ$1, 0))</f>
        <v>1</v>
      </c>
      <c r="L67" s="30" t="s">
        <v>60</v>
      </c>
      <c r="M67" s="28" t="str">
        <f t="array" ref="M67">INDEX('raw-sheet'!$A$2:$ZZ$1000, ROW(M66), MATCH(M$1, 'raw-sheet'!$A$1:$ZZ$1, 0))</f>
        <v>https://innisfree-taiwan.myshopify.com/blogs/magazine?page=2</v>
      </c>
      <c r="N67" s="30" t="str">
        <f t="shared" si="3"/>
        <v>Pass</v>
      </c>
      <c r="O67" s="28" t="str">
        <f t="array" ref="O67">INDEX('raw-sheet'!$A$2:$ZZ$1000, ROW(O66), MATCH(O$1, 'raw-sheet'!$A$1:$ZZ$1, 0))</f>
        <v>精選文章 | INNISFREE Taiwan</v>
      </c>
      <c r="P67" s="28" t="str">
        <f t="array" ref="P67">INDEX('raw-sheet'!$A$2:$ZZ$1000, ROW(P66),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67" s="28" t="str">
        <f t="array" ref="Q67">INDEX('raw-sheet'!$A$2:$ZZ$1000, ROW(Q66), MATCH(Q$1, 'raw-sheet'!$A$1:$ZZ$1, 0))</f>
        <v>website</v>
      </c>
      <c r="R67" s="28" t="str">
        <f t="array" ref="R67">INDEX('raw-sheet'!$A$2:$ZZ$1000, ROW(R66), MATCH(R$1, 'raw-sheet'!$A$1:$ZZ$1, 0))</f>
        <v>INNISFREE Taiwan</v>
      </c>
      <c r="S67" s="28" t="str">
        <f t="array" ref="S67">INDEX('raw-sheet'!$A$2:$ZZ$1000, ROW(S66), MATCH(S$1, 'raw-sheet'!$A$1:$ZZ$1, 0))</f>
        <v>http://innisfree-taiwan.myshopify.com/cdn/shop/files/logo.png?v=1767594135</v>
      </c>
      <c r="T67" s="28" t="str">
        <f t="array" ref="T67">INDEX('raw-sheet'!$A$2:$ZZ$1000, ROW(T66), MATCH(T$1, 'raw-sheet'!$A$1:$ZZ$1, 0))</f>
        <v>https://innisfree-taiwan.myshopify.com/cdn/shop/files/logo.png?v=1767594135</v>
      </c>
      <c r="U67" s="28" t="str">
        <f t="array" ref="U67">INDEX('raw-sheet'!$A$2:$ZZ$1000, ROW(U66), MATCH(U$1, 'raw-sheet'!$A$1:$ZZ$1, 0))</f>
        <v>https://innisfree-taiwan.myshopify.com/blogs/magazine?page=2</v>
      </c>
      <c r="V67" s="28" t="str">
        <f t="array" ref="V67">INDEX('raw-sheet'!$A$2:$ZZ$1000, ROW(V66), MATCH(V$1, 'raw-sheet'!$A$1:$ZZ$1, 0))</f>
        <v>精選文章 | INNISFREE Taiwan</v>
      </c>
      <c r="W67" s="28" t="str">
        <f t="array" ref="W67">INDEX('raw-sheet'!$A$2:$ZZ$1000, ROW(W66),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67" s="28" t="str">
        <f t="array" ref="X67">INDEX('raw-sheet'!$A$2:$ZZ$1000, ROW(X66), MATCH(X$1, 'raw-sheet'!$A$1:$ZZ$1, 0))</f>
        <v>summary_large_image</v>
      </c>
      <c r="Y67" s="30" t="s">
        <v>62</v>
      </c>
      <c r="Z67" s="28" t="str">
        <f>VLOOKUP($A67,'raw-schema'!$A:$R,14,0)</f>
        <v>Organization</v>
      </c>
      <c r="AA67" s="28">
        <f>VLOOKUP($A67,'raw-schema'!$A:$R,15,0)</f>
        <v>0</v>
      </c>
      <c r="AB67" s="28">
        <f>VLOOKUP($A67,'raw-schema'!$A:$R,16,0)</f>
        <v>0</v>
      </c>
      <c r="AC67" s="28">
        <f>VLOOKUP($A67,'raw-schema'!$A:$R,17,0)</f>
        <v>0</v>
      </c>
      <c r="AD67" s="28">
        <f>VLOOKUP($A67,'raw-schema'!$A:$R,18,0)</f>
        <v>0</v>
      </c>
      <c r="AE67" s="30" t="s">
        <v>63</v>
      </c>
      <c r="AF67" t="s">
        <v>65</v>
      </c>
    </row>
    <row r="68" spans="1:32" x14ac:dyDescent="0.3">
      <c r="A68" s="28" t="str">
        <f t="array" ref="A68">INDEX('raw-sheet'!$A$2:$ZZ$1000, ROW(A67), MATCH(A$1, 'raw-sheet'!$A$1:$ZZ$1, 0))</f>
        <v>https://innisfree-taiwan.myshopify.com/blogs/magazine?page=3</v>
      </c>
      <c r="B68" s="30" t="s">
        <v>11</v>
      </c>
      <c r="C68" s="28" t="str">
        <f t="array" ref="C68">INDEX('raw-sheet'!$A$2:$ZZ$1000, ROW(C67), MATCH(C$1, 'raw-sheet'!$A$1:$ZZ$1, 0))</f>
        <v>Blog Page</v>
      </c>
      <c r="D68" s="28">
        <f t="array" ref="D68">INDEX('raw-sheet'!$A$2:$ZZ$1000, ROW(D67), MATCH(D$1, 'raw-sheet'!$A$1:$ZZ$1, 0))</f>
        <v>200</v>
      </c>
      <c r="E68" s="30" t="str">
        <f t="shared" si="2"/>
        <v>Pass</v>
      </c>
      <c r="F68" s="28" t="str">
        <f t="array" ref="F68">INDEX('raw-sheet'!$A$2:$ZZ$1000, ROW(F67), MATCH(F$1, 'raw-sheet'!$A$1:$ZZ$1, 0))</f>
        <v>精選文章_x000D_ – Page 3 | INNISFREE Taiwan</v>
      </c>
      <c r="G68" s="30" t="s">
        <v>11</v>
      </c>
      <c r="H68" s="28">
        <f t="array" ref="H68">INDEX('raw-sheet'!$A$2:$ZZ$1000, ROW(H67), MATCH(H$1, 'raw-sheet'!$A$1:$ZZ$1, 0))</f>
        <v>0</v>
      </c>
      <c r="I68" s="30" t="s">
        <v>61</v>
      </c>
      <c r="J68" s="28" t="str">
        <f t="array" ref="J68">INDEX('raw-sheet'!$A$2:$ZZ$1000, ROW(J67), MATCH(J$1, 'raw-sheet'!$A$1:$ZZ$1, 0))</f>
        <v>精選文章</v>
      </c>
      <c r="K68" s="28" t="str">
        <f t="array" ref="K68">INDEX('raw-sheet'!$A$2:$ZZ$1000, ROW(K67), MATCH(K$1, 'raw-sheet'!$A$1:$ZZ$1, 0))</f>
        <v>1</v>
      </c>
      <c r="L68" s="30" t="s">
        <v>60</v>
      </c>
      <c r="M68" s="28" t="str">
        <f t="array" ref="M68">INDEX('raw-sheet'!$A$2:$ZZ$1000, ROW(M67), MATCH(M$1, 'raw-sheet'!$A$1:$ZZ$1, 0))</f>
        <v>https://innisfree-taiwan.myshopify.com/blogs/magazine?page=3</v>
      </c>
      <c r="N68" s="30" t="str">
        <f t="shared" si="3"/>
        <v>Pass</v>
      </c>
      <c r="O68" s="28" t="str">
        <f t="array" ref="O68">INDEX('raw-sheet'!$A$2:$ZZ$1000, ROW(O67), MATCH(O$1, 'raw-sheet'!$A$1:$ZZ$1, 0))</f>
        <v>精選文章 | INNISFREE Taiwan</v>
      </c>
      <c r="P68" s="28" t="str">
        <f t="array" ref="P68">INDEX('raw-sheet'!$A$2:$ZZ$1000, ROW(P67),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68" s="28" t="str">
        <f t="array" ref="Q68">INDEX('raw-sheet'!$A$2:$ZZ$1000, ROW(Q67), MATCH(Q$1, 'raw-sheet'!$A$1:$ZZ$1, 0))</f>
        <v>website</v>
      </c>
      <c r="R68" s="28" t="str">
        <f t="array" ref="R68">INDEX('raw-sheet'!$A$2:$ZZ$1000, ROW(R67), MATCH(R$1, 'raw-sheet'!$A$1:$ZZ$1, 0))</f>
        <v>INNISFREE Taiwan</v>
      </c>
      <c r="S68" s="28" t="str">
        <f t="array" ref="S68">INDEX('raw-sheet'!$A$2:$ZZ$1000, ROW(S67), MATCH(S$1, 'raw-sheet'!$A$1:$ZZ$1, 0))</f>
        <v>http://innisfree-taiwan.myshopify.com/cdn/shop/files/logo.png?v=1767594135</v>
      </c>
      <c r="T68" s="28" t="str">
        <f t="array" ref="T68">INDEX('raw-sheet'!$A$2:$ZZ$1000, ROW(T67), MATCH(T$1, 'raw-sheet'!$A$1:$ZZ$1, 0))</f>
        <v>https://innisfree-taiwan.myshopify.com/cdn/shop/files/logo.png?v=1767594135</v>
      </c>
      <c r="U68" s="28" t="str">
        <f t="array" ref="U68">INDEX('raw-sheet'!$A$2:$ZZ$1000, ROW(U67), MATCH(U$1, 'raw-sheet'!$A$1:$ZZ$1, 0))</f>
        <v>https://innisfree-taiwan.myshopify.com/blogs/magazine?page=3</v>
      </c>
      <c r="V68" s="28" t="str">
        <f t="array" ref="V68">INDEX('raw-sheet'!$A$2:$ZZ$1000, ROW(V67), MATCH(V$1, 'raw-sheet'!$A$1:$ZZ$1, 0))</f>
        <v>精選文章 | INNISFREE Taiwan</v>
      </c>
      <c r="W68" s="28" t="str">
        <f t="array" ref="W68">INDEX('raw-sheet'!$A$2:$ZZ$1000, ROW(W67),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68" s="28" t="str">
        <f t="array" ref="X68">INDEX('raw-sheet'!$A$2:$ZZ$1000, ROW(X67), MATCH(X$1, 'raw-sheet'!$A$1:$ZZ$1, 0))</f>
        <v>summary_large_image</v>
      </c>
      <c r="Y68" s="30" t="s">
        <v>62</v>
      </c>
      <c r="Z68" s="28" t="str">
        <f>VLOOKUP($A68,'raw-schema'!$A:$R,14,0)</f>
        <v>Organization</v>
      </c>
      <c r="AA68" s="28">
        <f>VLOOKUP($A68,'raw-schema'!$A:$R,15,0)</f>
        <v>0</v>
      </c>
      <c r="AB68" s="28">
        <f>VLOOKUP($A68,'raw-schema'!$A:$R,16,0)</f>
        <v>0</v>
      </c>
      <c r="AC68" s="28">
        <f>VLOOKUP($A68,'raw-schema'!$A:$R,17,0)</f>
        <v>0</v>
      </c>
      <c r="AD68" s="28">
        <f>VLOOKUP($A68,'raw-schema'!$A:$R,18,0)</f>
        <v>0</v>
      </c>
      <c r="AE68" s="30" t="s">
        <v>63</v>
      </c>
      <c r="AF68" t="s">
        <v>65</v>
      </c>
    </row>
    <row r="69" spans="1:32" x14ac:dyDescent="0.3">
      <c r="A69" s="28" t="str">
        <f t="array" ref="A69">INDEX('raw-sheet'!$A$2:$ZZ$1000, ROW(A68), MATCH(A$1, 'raw-sheet'!$A$1:$ZZ$1, 0))</f>
        <v>https://innisfree-taiwan.myshopify.com/blogs/notice</v>
      </c>
      <c r="B69" s="30" t="s">
        <v>11</v>
      </c>
      <c r="C69" s="28" t="str">
        <f t="array" ref="C69">INDEX('raw-sheet'!$A$2:$ZZ$1000, ROW(C68), MATCH(C$1, 'raw-sheet'!$A$1:$ZZ$1, 0))</f>
        <v>Blog Page</v>
      </c>
      <c r="D69" s="28">
        <f t="array" ref="D69">INDEX('raw-sheet'!$A$2:$ZZ$1000, ROW(D68), MATCH(D$1, 'raw-sheet'!$A$1:$ZZ$1, 0))</f>
        <v>200</v>
      </c>
      <c r="E69" s="30" t="str">
        <f t="shared" si="2"/>
        <v>Pass</v>
      </c>
      <c r="F69" s="28" t="str">
        <f t="array" ref="F69">INDEX('raw-sheet'!$A$2:$ZZ$1000, ROW(F68), MATCH(F$1, 'raw-sheet'!$A$1:$ZZ$1, 0))</f>
        <v>公告_x000D_ | INNISFREE Taiwan</v>
      </c>
      <c r="G69" s="30" t="s">
        <v>11</v>
      </c>
      <c r="H69" s="28">
        <f t="array" ref="H69">INDEX('raw-sheet'!$A$2:$ZZ$1000, ROW(H68), MATCH(H$1, 'raw-sheet'!$A$1:$ZZ$1, 0))</f>
        <v>0</v>
      </c>
      <c r="I69" s="30" t="s">
        <v>61</v>
      </c>
      <c r="J69" s="28" t="str">
        <f t="array" ref="J69">INDEX('raw-sheet'!$A$2:$ZZ$1000, ROW(J68), MATCH(J$1, 'raw-sheet'!$A$1:$ZZ$1, 0))</f>
        <v>公告</v>
      </c>
      <c r="K69" s="28" t="str">
        <f t="array" ref="K69">INDEX('raw-sheet'!$A$2:$ZZ$1000, ROW(K68), MATCH(K$1, 'raw-sheet'!$A$1:$ZZ$1, 0))</f>
        <v>1</v>
      </c>
      <c r="L69" s="30" t="s">
        <v>11</v>
      </c>
      <c r="M69" s="28" t="str">
        <f t="array" ref="M69">INDEX('raw-sheet'!$A$2:$ZZ$1000, ROW(M68), MATCH(M$1, 'raw-sheet'!$A$1:$ZZ$1, 0))</f>
        <v>https://innisfree-taiwan.myshopify.com/blogs/notice</v>
      </c>
      <c r="N69" s="30" t="str">
        <f t="shared" si="3"/>
        <v>Pass</v>
      </c>
      <c r="O69" s="28" t="str">
        <f t="array" ref="O69">INDEX('raw-sheet'!$A$2:$ZZ$1000, ROW(O68), MATCH(O$1, 'raw-sheet'!$A$1:$ZZ$1, 0))</f>
        <v>公告 | INNISFREE Taiwan</v>
      </c>
      <c r="P69" s="28" t="str">
        <f t="array" ref="P69">INDEX('raw-sheet'!$A$2:$ZZ$1000, ROW(P68),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69" s="28" t="str">
        <f t="array" ref="Q69">INDEX('raw-sheet'!$A$2:$ZZ$1000, ROW(Q68), MATCH(Q$1, 'raw-sheet'!$A$1:$ZZ$1, 0))</f>
        <v>website</v>
      </c>
      <c r="R69" s="28" t="str">
        <f t="array" ref="R69">INDEX('raw-sheet'!$A$2:$ZZ$1000, ROW(R68), MATCH(R$1, 'raw-sheet'!$A$1:$ZZ$1, 0))</f>
        <v>INNISFREE Taiwan</v>
      </c>
      <c r="S69" s="28" t="str">
        <f t="array" ref="S69">INDEX('raw-sheet'!$A$2:$ZZ$1000, ROW(S68), MATCH(S$1, 'raw-sheet'!$A$1:$ZZ$1, 0))</f>
        <v>http://innisfree-taiwan.myshopify.com/cdn/shop/files/logo.png?v=1767594135</v>
      </c>
      <c r="T69" s="28" t="str">
        <f t="array" ref="T69">INDEX('raw-sheet'!$A$2:$ZZ$1000, ROW(T68), MATCH(T$1, 'raw-sheet'!$A$1:$ZZ$1, 0))</f>
        <v>https://innisfree-taiwan.myshopify.com/cdn/shop/files/logo.png?v=1767594135</v>
      </c>
      <c r="U69" s="28" t="str">
        <f t="array" ref="U69">INDEX('raw-sheet'!$A$2:$ZZ$1000, ROW(U68), MATCH(U$1, 'raw-sheet'!$A$1:$ZZ$1, 0))</f>
        <v>https://innisfree-taiwan.myshopify.com/blogs/notice</v>
      </c>
      <c r="V69" s="28" t="str">
        <f t="array" ref="V69">INDEX('raw-sheet'!$A$2:$ZZ$1000, ROW(V68), MATCH(V$1, 'raw-sheet'!$A$1:$ZZ$1, 0))</f>
        <v>公告 | INNISFREE Taiwan</v>
      </c>
      <c r="W69" s="28" t="str">
        <f t="array" ref="W69">INDEX('raw-sheet'!$A$2:$ZZ$1000, ROW(W68),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69" s="28" t="str">
        <f t="array" ref="X69">INDEX('raw-sheet'!$A$2:$ZZ$1000, ROW(X68), MATCH(X$1, 'raw-sheet'!$A$1:$ZZ$1, 0))</f>
        <v>summary_large_image</v>
      </c>
      <c r="Y69" s="30" t="s">
        <v>56</v>
      </c>
      <c r="Z69" s="28" t="str">
        <f>VLOOKUP($A69,'raw-schema'!$A:$R,14,0)</f>
        <v>Organization</v>
      </c>
      <c r="AA69" s="28">
        <f>VLOOKUP($A69,'raw-schema'!$A:$R,15,0)</f>
        <v>0</v>
      </c>
      <c r="AB69" s="28">
        <f>VLOOKUP($A69,'raw-schema'!$A:$R,16,0)</f>
        <v>0</v>
      </c>
      <c r="AC69" s="28">
        <f>VLOOKUP($A69,'raw-schema'!$A:$R,17,0)</f>
        <v>0</v>
      </c>
      <c r="AD69" s="28">
        <f>VLOOKUP($A69,'raw-schema'!$A:$R,18,0)</f>
        <v>0</v>
      </c>
      <c r="AE69" s="30" t="s">
        <v>63</v>
      </c>
    </row>
    <row r="70" spans="1:32" x14ac:dyDescent="0.3">
      <c r="A70" s="28" t="str">
        <f t="array" ref="A70">INDEX('raw-sheet'!$A$2:$ZZ$1000, ROW(A69), MATCH(A$1, 'raw-sheet'!$A$1:$ZZ$1, 0))</f>
        <v>https://innisfree-taiwan.myshopify.com/cart</v>
      </c>
      <c r="B70" s="30" t="s">
        <v>11</v>
      </c>
      <c r="C70" s="28">
        <f t="array" ref="C70">INDEX('raw-sheet'!$A$2:$ZZ$1000, ROW(C69), MATCH(C$1, 'raw-sheet'!$A$1:$ZZ$1, 0))</f>
        <v>0</v>
      </c>
      <c r="D70" s="28">
        <f t="array" ref="D70">INDEX('raw-sheet'!$A$2:$ZZ$1000, ROW(D69), MATCH(D$1, 'raw-sheet'!$A$1:$ZZ$1, 0))</f>
        <v>200</v>
      </c>
      <c r="E70" s="30" t="str">
        <f t="shared" si="2"/>
        <v>Pass</v>
      </c>
      <c r="F70" s="28" t="str">
        <f t="array" ref="F70">INDEX('raw-sheet'!$A$2:$ZZ$1000, ROW(F69), MATCH(F$1, 'raw-sheet'!$A$1:$ZZ$1, 0))</f>
        <v>您的購物車_x000D_ | INNISFREE Taiwan</v>
      </c>
      <c r="G70" s="30" t="s">
        <v>11</v>
      </c>
      <c r="H70" s="28">
        <f t="array" ref="H70">INDEX('raw-sheet'!$A$2:$ZZ$1000, ROW(H69), MATCH(H$1, 'raw-sheet'!$A$1:$ZZ$1, 0))</f>
        <v>0</v>
      </c>
      <c r="I70" s="30" t="s">
        <v>11</v>
      </c>
      <c r="J70" s="28" t="str">
        <f t="array" ref="J70">INDEX('raw-sheet'!$A$2:$ZZ$1000, ROW(J69), MATCH(J$1, 'raw-sheet'!$A$1:$ZZ$1, 0))</f>
        <v>購物車</v>
      </c>
      <c r="K70" s="28" t="str">
        <f t="array" ref="K70">INDEX('raw-sheet'!$A$2:$ZZ$1000, ROW(K69), MATCH(K$1, 'raw-sheet'!$A$1:$ZZ$1, 0))</f>
        <v>2</v>
      </c>
      <c r="L70" s="30" t="s">
        <v>11</v>
      </c>
      <c r="M70" s="28" t="str">
        <f t="array" ref="M70">INDEX('raw-sheet'!$A$2:$ZZ$1000, ROW(M69), MATCH(M$1, 'raw-sheet'!$A$1:$ZZ$1, 0))</f>
        <v>https://innisfree-taiwan.myshopify.com/cart</v>
      </c>
      <c r="N70" s="30" t="str">
        <f t="shared" si="3"/>
        <v>Pass</v>
      </c>
      <c r="O70" s="28" t="str">
        <f t="array" ref="O70">INDEX('raw-sheet'!$A$2:$ZZ$1000, ROW(O69), MATCH(O$1, 'raw-sheet'!$A$1:$ZZ$1, 0))</f>
        <v>您的購物車 | INNISFREE Taiwan</v>
      </c>
      <c r="P70" s="28" t="str">
        <f t="array" ref="P70">INDEX('raw-sheet'!$A$2:$ZZ$1000, ROW(P69),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0" s="28" t="str">
        <f t="array" ref="Q70">INDEX('raw-sheet'!$A$2:$ZZ$1000, ROW(Q69), MATCH(Q$1, 'raw-sheet'!$A$1:$ZZ$1, 0))</f>
        <v>website</v>
      </c>
      <c r="R70" s="28" t="str">
        <f t="array" ref="R70">INDEX('raw-sheet'!$A$2:$ZZ$1000, ROW(R69), MATCH(R$1, 'raw-sheet'!$A$1:$ZZ$1, 0))</f>
        <v>INNISFREE Taiwan</v>
      </c>
      <c r="S70" s="28" t="str">
        <f t="array" ref="S70">INDEX('raw-sheet'!$A$2:$ZZ$1000, ROW(S69), MATCH(S$1, 'raw-sheet'!$A$1:$ZZ$1, 0))</f>
        <v>http://innisfree-taiwan.myshopify.com/cdn/shop/files/logo.png?v=1767594135</v>
      </c>
      <c r="T70" s="28" t="str">
        <f t="array" ref="T70">INDEX('raw-sheet'!$A$2:$ZZ$1000, ROW(T69), MATCH(T$1, 'raw-sheet'!$A$1:$ZZ$1, 0))</f>
        <v>https://innisfree-taiwan.myshopify.com/cdn/shop/files/logo.png?v=1767594135</v>
      </c>
      <c r="U70" s="28" t="str">
        <f t="array" ref="U70">INDEX('raw-sheet'!$A$2:$ZZ$1000, ROW(U69), MATCH(U$1, 'raw-sheet'!$A$1:$ZZ$1, 0))</f>
        <v>https://innisfree-taiwan.myshopify.com/cart</v>
      </c>
      <c r="V70" s="28" t="str">
        <f t="array" ref="V70">INDEX('raw-sheet'!$A$2:$ZZ$1000, ROW(V69), MATCH(V$1, 'raw-sheet'!$A$1:$ZZ$1, 0))</f>
        <v>您的購物車 | INNISFREE Taiwan</v>
      </c>
      <c r="W70" s="28" t="str">
        <f t="array" ref="W70">INDEX('raw-sheet'!$A$2:$ZZ$1000, ROW(W69),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0" s="28" t="str">
        <f t="array" ref="X70">INDEX('raw-sheet'!$A$2:$ZZ$1000, ROW(X69), MATCH(X$1, 'raw-sheet'!$A$1:$ZZ$1, 0))</f>
        <v>summary_large_image</v>
      </c>
      <c r="Y70" s="30" t="s">
        <v>11</v>
      </c>
      <c r="Z70" s="28" t="str">
        <f>VLOOKUP($A70,'raw-schema'!$A:$R,14,0)</f>
        <v>Organization</v>
      </c>
      <c r="AA70" s="28">
        <f>VLOOKUP($A70,'raw-schema'!$A:$R,15,0)</f>
        <v>0</v>
      </c>
      <c r="AB70" s="28">
        <f>VLOOKUP($A70,'raw-schema'!$A:$R,16,0)</f>
        <v>0</v>
      </c>
      <c r="AC70" s="28">
        <f>VLOOKUP($A70,'raw-schema'!$A:$R,17,0)</f>
        <v>0</v>
      </c>
      <c r="AD70" s="28">
        <f>VLOOKUP($A70,'raw-schema'!$A:$R,18,0)</f>
        <v>0</v>
      </c>
      <c r="AE70" s="30" t="s">
        <v>11</v>
      </c>
      <c r="AF70" t="s">
        <v>59</v>
      </c>
    </row>
    <row r="71" spans="1:32" x14ac:dyDescent="0.3">
      <c r="A71" s="28" t="str">
        <f t="array" ref="A71">INDEX('raw-sheet'!$A$2:$ZZ$1000, ROW(A70), MATCH(A$1, 'raw-sheet'!$A$1:$ZZ$1, 0))</f>
        <v>https://innisfree-taiwan.myshopify.com/collections/a-alcohol-pdrn-skin-cleansing-series</v>
      </c>
      <c r="B71" s="30" t="s">
        <v>11</v>
      </c>
      <c r="C71" s="28" t="str">
        <f t="array" ref="C71">INDEX('raw-sheet'!$A$2:$ZZ$1000, ROW(C70), MATCH(C$1, 'raw-sheet'!$A$1:$ZZ$1, 0))</f>
        <v>Product List</v>
      </c>
      <c r="D71" s="28">
        <f t="array" ref="D71">INDEX('raw-sheet'!$A$2:$ZZ$1000, ROW(D70), MATCH(D$1, 'raw-sheet'!$A$1:$ZZ$1, 0))</f>
        <v>200</v>
      </c>
      <c r="E71" s="30" t="str">
        <f t="shared" si="2"/>
        <v>Pass</v>
      </c>
      <c r="F71" s="28" t="str">
        <f t="array" ref="F71">INDEX('raw-sheet'!$A$2:$ZZ$1000, ROW(F70), MATCH(F$1, 'raw-sheet'!$A$1:$ZZ$1, 0))</f>
        <v>A醇/PDRN淨膚系列_x000D_ | INNISFREE Taiwan</v>
      </c>
      <c r="G71" s="30" t="s">
        <v>60</v>
      </c>
      <c r="H71" s="28">
        <f t="array" ref="H71">INDEX('raw-sheet'!$A$2:$ZZ$1000, ROW(H70), MATCH(H$1, 'raw-sheet'!$A$1:$ZZ$1, 0))</f>
        <v>0</v>
      </c>
      <c r="I71" s="30" t="s">
        <v>61</v>
      </c>
      <c r="J71" s="28" t="str">
        <f t="array" ref="J71">INDEX('raw-sheet'!$A$2:$ZZ$1000, ROW(J70), MATCH(J$1, 'raw-sheet'!$A$1:$ZZ$1, 0))</f>
        <v>A醇/PDRN淨膚系列</v>
      </c>
      <c r="K71" s="28" t="str">
        <f t="array" ref="K71">INDEX('raw-sheet'!$A$2:$ZZ$1000, ROW(K70), MATCH(K$1, 'raw-sheet'!$A$1:$ZZ$1, 0))</f>
        <v>1</v>
      </c>
      <c r="L71" s="30" t="s">
        <v>60</v>
      </c>
      <c r="M71" s="28" t="str">
        <f t="array" ref="M71">INDEX('raw-sheet'!$A$2:$ZZ$1000, ROW(M70), MATCH(M$1, 'raw-sheet'!$A$1:$ZZ$1, 0))</f>
        <v>https://innisfree-taiwan.myshopify.com/collections/a-alcohol-pdrn-skin-cleansing-series</v>
      </c>
      <c r="N71" s="30" t="str">
        <f t="shared" si="3"/>
        <v>Pass</v>
      </c>
      <c r="O71" s="28" t="str">
        <f t="array" ref="O71">INDEX('raw-sheet'!$A$2:$ZZ$1000, ROW(O70), MATCH(O$1, 'raw-sheet'!$A$1:$ZZ$1, 0))</f>
        <v>A醇/PDRN淨膚系列 | INNISFREE Taiwan</v>
      </c>
      <c r="P71" s="28" t="str">
        <f t="array" ref="P71">INDEX('raw-sheet'!$A$2:$ZZ$1000, ROW(P70),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1" s="28" t="str">
        <f t="array" ref="Q71">INDEX('raw-sheet'!$A$2:$ZZ$1000, ROW(Q70), MATCH(Q$1, 'raw-sheet'!$A$1:$ZZ$1, 0))</f>
        <v>website</v>
      </c>
      <c r="R71" s="28" t="str">
        <f t="array" ref="R71">INDEX('raw-sheet'!$A$2:$ZZ$1000, ROW(R70), MATCH(R$1, 'raw-sheet'!$A$1:$ZZ$1, 0))</f>
        <v>INNISFREE Taiwan</v>
      </c>
      <c r="S71" s="28" t="str">
        <f t="array" ref="S71">INDEX('raw-sheet'!$A$2:$ZZ$1000, ROW(S70), MATCH(S$1, 'raw-sheet'!$A$1:$ZZ$1, 0))</f>
        <v>http://innisfree-taiwan.myshopify.com/cdn/shop/files/logo.png?v=1767594135</v>
      </c>
      <c r="T71" s="28" t="str">
        <f t="array" ref="T71">INDEX('raw-sheet'!$A$2:$ZZ$1000, ROW(T70), MATCH(T$1, 'raw-sheet'!$A$1:$ZZ$1, 0))</f>
        <v>https://innisfree-taiwan.myshopify.com/cdn/shop/files/logo.png?v=1767594135</v>
      </c>
      <c r="U71" s="28" t="str">
        <f t="array" ref="U71">INDEX('raw-sheet'!$A$2:$ZZ$1000, ROW(U70), MATCH(U$1, 'raw-sheet'!$A$1:$ZZ$1, 0))</f>
        <v>https://innisfree-taiwan.myshopify.com/collections/a-alcohol-pdrn-skin-cleansing-series</v>
      </c>
      <c r="V71" s="28" t="str">
        <f t="array" ref="V71">INDEX('raw-sheet'!$A$2:$ZZ$1000, ROW(V70), MATCH(V$1, 'raw-sheet'!$A$1:$ZZ$1, 0))</f>
        <v>A醇/PDRN淨膚系列 | INNISFREE Taiwan</v>
      </c>
      <c r="W71" s="28" t="str">
        <f t="array" ref="W71">INDEX('raw-sheet'!$A$2:$ZZ$1000, ROW(W70),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1" s="28" t="str">
        <f t="array" ref="X71">INDEX('raw-sheet'!$A$2:$ZZ$1000, ROW(X70), MATCH(X$1, 'raw-sheet'!$A$1:$ZZ$1, 0))</f>
        <v>summary_large_image</v>
      </c>
      <c r="Y71" s="30" t="s">
        <v>62</v>
      </c>
      <c r="Z71" s="28" t="str">
        <f>VLOOKUP($A71,'raw-schema'!$A:$R,14,0)</f>
        <v>Organization</v>
      </c>
      <c r="AA71" s="28">
        <f>VLOOKUP($A71,'raw-schema'!$A:$R,15,0)</f>
        <v>0</v>
      </c>
      <c r="AB71" s="28">
        <f>VLOOKUP($A71,'raw-schema'!$A:$R,16,0)</f>
        <v>0</v>
      </c>
      <c r="AC71" s="28">
        <f>VLOOKUP($A71,'raw-schema'!$A:$R,17,0)</f>
        <v>0</v>
      </c>
      <c r="AD71" s="28">
        <f>VLOOKUP($A71,'raw-schema'!$A:$R,18,0)</f>
        <v>0</v>
      </c>
      <c r="AE71" s="30" t="s">
        <v>66</v>
      </c>
    </row>
    <row r="72" spans="1:32" x14ac:dyDescent="0.3">
      <c r="A72" s="28" t="str">
        <f t="array" ref="A72">INDEX('raw-sheet'!$A$2:$ZZ$1000, ROW(A71), MATCH(A$1, 'raw-sheet'!$A$1:$ZZ$1, 0))</f>
        <v>https://innisfree-taiwan.myshopify.com/collections/a-alcohol-pdrn-skin-cleansing-series?page=1</v>
      </c>
      <c r="B72" s="30" t="s">
        <v>11</v>
      </c>
      <c r="C72" s="28" t="str">
        <f t="array" ref="C72">INDEX('raw-sheet'!$A$2:$ZZ$1000, ROW(C71), MATCH(C$1, 'raw-sheet'!$A$1:$ZZ$1, 0))</f>
        <v>Product List</v>
      </c>
      <c r="D72" s="28">
        <f t="array" ref="D72">INDEX('raw-sheet'!$A$2:$ZZ$1000, ROW(D71), MATCH(D$1, 'raw-sheet'!$A$1:$ZZ$1, 0))</f>
        <v>200</v>
      </c>
      <c r="E72" s="30" t="str">
        <f t="shared" si="2"/>
        <v>Pass</v>
      </c>
      <c r="F72" s="28" t="str">
        <f t="array" ref="F72">INDEX('raw-sheet'!$A$2:$ZZ$1000, ROW(F71), MATCH(F$1, 'raw-sheet'!$A$1:$ZZ$1, 0))</f>
        <v>A醇/PDRN淨膚系列_x000D_ | INNISFREE Taiwan</v>
      </c>
      <c r="G72" s="30" t="s">
        <v>11</v>
      </c>
      <c r="H72" s="28">
        <f t="array" ref="H72">INDEX('raw-sheet'!$A$2:$ZZ$1000, ROW(H71), MATCH(H$1, 'raw-sheet'!$A$1:$ZZ$1, 0))</f>
        <v>0</v>
      </c>
      <c r="I72" s="30" t="s">
        <v>61</v>
      </c>
      <c r="J72" s="28" t="str">
        <f t="array" ref="J72">INDEX('raw-sheet'!$A$2:$ZZ$1000, ROW(J71), MATCH(J$1, 'raw-sheet'!$A$1:$ZZ$1, 0))</f>
        <v>A醇/PDRN淨膚系列</v>
      </c>
      <c r="K72" s="28" t="str">
        <f t="array" ref="K72">INDEX('raw-sheet'!$A$2:$ZZ$1000, ROW(K71), MATCH(K$1, 'raw-sheet'!$A$1:$ZZ$1, 0))</f>
        <v>1</v>
      </c>
      <c r="L72" s="30" t="s">
        <v>60</v>
      </c>
      <c r="M72" s="28" t="str">
        <f t="array" ref="M72">INDEX('raw-sheet'!$A$2:$ZZ$1000, ROW(M71), MATCH(M$1, 'raw-sheet'!$A$1:$ZZ$1, 0))</f>
        <v>https://innisfree-taiwan.myshopify.com/collections/a-alcohol-pdrn-skin-cleansing-series</v>
      </c>
      <c r="N72" s="30" t="str">
        <f t="shared" si="3"/>
        <v>Not</v>
      </c>
      <c r="O72" s="28" t="str">
        <f t="array" ref="O72">INDEX('raw-sheet'!$A$2:$ZZ$1000, ROW(O71), MATCH(O$1, 'raw-sheet'!$A$1:$ZZ$1, 0))</f>
        <v>A醇/PDRN淨膚系列 | INNISFREE Taiwan</v>
      </c>
      <c r="P72" s="28" t="str">
        <f t="array" ref="P72">INDEX('raw-sheet'!$A$2:$ZZ$1000, ROW(P71),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2" s="28" t="str">
        <f t="array" ref="Q72">INDEX('raw-sheet'!$A$2:$ZZ$1000, ROW(Q71), MATCH(Q$1, 'raw-sheet'!$A$1:$ZZ$1, 0))</f>
        <v>website</v>
      </c>
      <c r="R72" s="28" t="str">
        <f t="array" ref="R72">INDEX('raw-sheet'!$A$2:$ZZ$1000, ROW(R71), MATCH(R$1, 'raw-sheet'!$A$1:$ZZ$1, 0))</f>
        <v>INNISFREE Taiwan</v>
      </c>
      <c r="S72" s="28" t="str">
        <f t="array" ref="S72">INDEX('raw-sheet'!$A$2:$ZZ$1000, ROW(S71), MATCH(S$1, 'raw-sheet'!$A$1:$ZZ$1, 0))</f>
        <v>http://innisfree-taiwan.myshopify.com/cdn/shop/files/logo.png?v=1767594135</v>
      </c>
      <c r="T72" s="28" t="str">
        <f t="array" ref="T72">INDEX('raw-sheet'!$A$2:$ZZ$1000, ROW(T71), MATCH(T$1, 'raw-sheet'!$A$1:$ZZ$1, 0))</f>
        <v>https://innisfree-taiwan.myshopify.com/cdn/shop/files/logo.png?v=1767594135</v>
      </c>
      <c r="U72" s="28" t="str">
        <f t="array" ref="U72">INDEX('raw-sheet'!$A$2:$ZZ$1000, ROW(U71), MATCH(U$1, 'raw-sheet'!$A$1:$ZZ$1, 0))</f>
        <v>https://innisfree-taiwan.myshopify.com/collections/a-alcohol-pdrn-skin-cleansing-series</v>
      </c>
      <c r="V72" s="28" t="str">
        <f t="array" ref="V72">INDEX('raw-sheet'!$A$2:$ZZ$1000, ROW(V71), MATCH(V$1, 'raw-sheet'!$A$1:$ZZ$1, 0))</f>
        <v>A醇/PDRN淨膚系列 | INNISFREE Taiwan</v>
      </c>
      <c r="W72" s="28" t="str">
        <f t="array" ref="W72">INDEX('raw-sheet'!$A$2:$ZZ$1000, ROW(W71),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2" s="28" t="str">
        <f t="array" ref="X72">INDEX('raw-sheet'!$A$2:$ZZ$1000, ROW(X71), MATCH(X$1, 'raw-sheet'!$A$1:$ZZ$1, 0))</f>
        <v>summary_large_image</v>
      </c>
      <c r="Y72" s="30" t="s">
        <v>62</v>
      </c>
      <c r="Z72" s="28" t="str">
        <f>VLOOKUP($A72,'raw-schema'!$A:$R,14,0)</f>
        <v>Organization</v>
      </c>
      <c r="AA72" s="28">
        <f>VLOOKUP($A72,'raw-schema'!$A:$R,15,0)</f>
        <v>0</v>
      </c>
      <c r="AB72" s="28">
        <f>VLOOKUP($A72,'raw-schema'!$A:$R,16,0)</f>
        <v>0</v>
      </c>
      <c r="AC72" s="28">
        <f>VLOOKUP($A72,'raw-schema'!$A:$R,17,0)</f>
        <v>0</v>
      </c>
      <c r="AD72" s="28">
        <f>VLOOKUP($A72,'raw-schema'!$A:$R,18,0)</f>
        <v>0</v>
      </c>
      <c r="AE72" s="30" t="s">
        <v>66</v>
      </c>
      <c r="AF72" t="s">
        <v>65</v>
      </c>
    </row>
    <row r="73" spans="1:32" x14ac:dyDescent="0.3">
      <c r="A73" s="28" t="str">
        <f t="array" ref="A73">INDEX('raw-sheet'!$A$2:$ZZ$1000, ROW(A72), MATCH(A$1, 'raw-sheet'!$A$1:$ZZ$1, 0))</f>
        <v>https://innisfree-taiwan.myshopify.com/collections/a-alcohol-pdrn-skin-cleansing-series?page=2</v>
      </c>
      <c r="B73" s="30" t="s">
        <v>11</v>
      </c>
      <c r="C73" s="28" t="str">
        <f t="array" ref="C73">INDEX('raw-sheet'!$A$2:$ZZ$1000, ROW(C72), MATCH(C$1, 'raw-sheet'!$A$1:$ZZ$1, 0))</f>
        <v>Product List</v>
      </c>
      <c r="D73" s="28">
        <f t="array" ref="D73">INDEX('raw-sheet'!$A$2:$ZZ$1000, ROW(D72), MATCH(D$1, 'raw-sheet'!$A$1:$ZZ$1, 0))</f>
        <v>200</v>
      </c>
      <c r="E73" s="30" t="str">
        <f t="shared" si="2"/>
        <v>Pass</v>
      </c>
      <c r="F73" s="28" t="str">
        <f t="array" ref="F73">INDEX('raw-sheet'!$A$2:$ZZ$1000, ROW(F72), MATCH(F$1, 'raw-sheet'!$A$1:$ZZ$1, 0))</f>
        <v>A醇/PDRN淨膚系列_x000D_ – Page 2 | INNISFREE Taiwan</v>
      </c>
      <c r="G73" s="30" t="s">
        <v>11</v>
      </c>
      <c r="H73" s="28">
        <f t="array" ref="H73">INDEX('raw-sheet'!$A$2:$ZZ$1000, ROW(H72), MATCH(H$1, 'raw-sheet'!$A$1:$ZZ$1, 0))</f>
        <v>0</v>
      </c>
      <c r="I73" s="30" t="s">
        <v>61</v>
      </c>
      <c r="J73" s="28" t="str">
        <f t="array" ref="J73">INDEX('raw-sheet'!$A$2:$ZZ$1000, ROW(J72), MATCH(J$1, 'raw-sheet'!$A$1:$ZZ$1, 0))</f>
        <v>A醇/PDRN淨膚系列</v>
      </c>
      <c r="K73" s="28" t="str">
        <f t="array" ref="K73">INDEX('raw-sheet'!$A$2:$ZZ$1000, ROW(K72), MATCH(K$1, 'raw-sheet'!$A$1:$ZZ$1, 0))</f>
        <v>1</v>
      </c>
      <c r="L73" s="30" t="s">
        <v>60</v>
      </c>
      <c r="M73" s="28" t="str">
        <f t="array" ref="M73">INDEX('raw-sheet'!$A$2:$ZZ$1000, ROW(M72), MATCH(M$1, 'raw-sheet'!$A$1:$ZZ$1, 0))</f>
        <v>https://innisfree-taiwan.myshopify.com/collections/a-alcohol-pdrn-skin-cleansing-series?page=2</v>
      </c>
      <c r="N73" s="30" t="str">
        <f t="shared" si="3"/>
        <v>Pass</v>
      </c>
      <c r="O73" s="28" t="str">
        <f t="array" ref="O73">INDEX('raw-sheet'!$A$2:$ZZ$1000, ROW(O72), MATCH(O$1, 'raw-sheet'!$A$1:$ZZ$1, 0))</f>
        <v>A醇/PDRN淨膚系列 | INNISFREE Taiwan</v>
      </c>
      <c r="P73" s="28" t="str">
        <f t="array" ref="P73">INDEX('raw-sheet'!$A$2:$ZZ$1000, ROW(P72),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3" s="28" t="str">
        <f t="array" ref="Q73">INDEX('raw-sheet'!$A$2:$ZZ$1000, ROW(Q72), MATCH(Q$1, 'raw-sheet'!$A$1:$ZZ$1, 0))</f>
        <v>website</v>
      </c>
      <c r="R73" s="28" t="str">
        <f t="array" ref="R73">INDEX('raw-sheet'!$A$2:$ZZ$1000, ROW(R72), MATCH(R$1, 'raw-sheet'!$A$1:$ZZ$1, 0))</f>
        <v>INNISFREE Taiwan</v>
      </c>
      <c r="S73" s="28" t="str">
        <f t="array" ref="S73">INDEX('raw-sheet'!$A$2:$ZZ$1000, ROW(S72), MATCH(S$1, 'raw-sheet'!$A$1:$ZZ$1, 0))</f>
        <v>http://innisfree-taiwan.myshopify.com/cdn/shop/files/logo.png?v=1767594135</v>
      </c>
      <c r="T73" s="28" t="str">
        <f t="array" ref="T73">INDEX('raw-sheet'!$A$2:$ZZ$1000, ROW(T72), MATCH(T$1, 'raw-sheet'!$A$1:$ZZ$1, 0))</f>
        <v>https://innisfree-taiwan.myshopify.com/cdn/shop/files/logo.png?v=1767594135</v>
      </c>
      <c r="U73" s="28" t="str">
        <f t="array" ref="U73">INDEX('raw-sheet'!$A$2:$ZZ$1000, ROW(U72), MATCH(U$1, 'raw-sheet'!$A$1:$ZZ$1, 0))</f>
        <v>https://innisfree-taiwan.myshopify.com/collections/a-alcohol-pdrn-skin-cleansing-series?page=2</v>
      </c>
      <c r="V73" s="28" t="str">
        <f t="array" ref="V73">INDEX('raw-sheet'!$A$2:$ZZ$1000, ROW(V72), MATCH(V$1, 'raw-sheet'!$A$1:$ZZ$1, 0))</f>
        <v>A醇/PDRN淨膚系列 | INNISFREE Taiwan</v>
      </c>
      <c r="W73" s="28" t="str">
        <f t="array" ref="W73">INDEX('raw-sheet'!$A$2:$ZZ$1000, ROW(W72),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3" s="28" t="str">
        <f t="array" ref="X73">INDEX('raw-sheet'!$A$2:$ZZ$1000, ROW(X72), MATCH(X$1, 'raw-sheet'!$A$1:$ZZ$1, 0))</f>
        <v>summary_large_image</v>
      </c>
      <c r="Y73" s="30" t="s">
        <v>62</v>
      </c>
      <c r="Z73" s="28" t="str">
        <f>VLOOKUP($A73,'raw-schema'!$A:$R,14,0)</f>
        <v>Organization</v>
      </c>
      <c r="AA73" s="28">
        <f>VLOOKUP($A73,'raw-schema'!$A:$R,15,0)</f>
        <v>0</v>
      </c>
      <c r="AB73" s="28">
        <f>VLOOKUP($A73,'raw-schema'!$A:$R,16,0)</f>
        <v>0</v>
      </c>
      <c r="AC73" s="28">
        <f>VLOOKUP($A73,'raw-schema'!$A:$R,17,0)</f>
        <v>0</v>
      </c>
      <c r="AD73" s="28">
        <f>VLOOKUP($A73,'raw-schema'!$A:$R,18,0)</f>
        <v>0</v>
      </c>
      <c r="AE73" s="30" t="s">
        <v>66</v>
      </c>
      <c r="AF73" t="s">
        <v>65</v>
      </c>
    </row>
    <row r="74" spans="1:32" x14ac:dyDescent="0.3">
      <c r="A74" s="28" t="str">
        <f t="array" ref="A74">INDEX('raw-sheet'!$A$2:$ZZ$1000, ROW(A73), MATCH(A$1, 'raw-sheet'!$A$1:$ZZ$1, 0))</f>
        <v>https://innisfree-taiwan.myshopify.com/collections/a-alcohol-pdrn-skin-cleansing-series?page=3</v>
      </c>
      <c r="B74" s="30" t="s">
        <v>11</v>
      </c>
      <c r="C74" s="28" t="str">
        <f t="array" ref="C74">INDEX('raw-sheet'!$A$2:$ZZ$1000, ROW(C73), MATCH(C$1, 'raw-sheet'!$A$1:$ZZ$1, 0))</f>
        <v>Product List</v>
      </c>
      <c r="D74" s="28">
        <f t="array" ref="D74">INDEX('raw-sheet'!$A$2:$ZZ$1000, ROW(D73), MATCH(D$1, 'raw-sheet'!$A$1:$ZZ$1, 0))</f>
        <v>200</v>
      </c>
      <c r="E74" s="30" t="str">
        <f t="shared" si="2"/>
        <v>Pass</v>
      </c>
      <c r="F74" s="28" t="str">
        <f t="array" ref="F74">INDEX('raw-sheet'!$A$2:$ZZ$1000, ROW(F73), MATCH(F$1, 'raw-sheet'!$A$1:$ZZ$1, 0))</f>
        <v>A醇/PDRN淨膚系列_x000D_ – Page 3 | INNISFREE Taiwan</v>
      </c>
      <c r="G74" s="30" t="s">
        <v>11</v>
      </c>
      <c r="H74" s="28">
        <f t="array" ref="H74">INDEX('raw-sheet'!$A$2:$ZZ$1000, ROW(H73), MATCH(H$1, 'raw-sheet'!$A$1:$ZZ$1, 0))</f>
        <v>0</v>
      </c>
      <c r="I74" s="30" t="s">
        <v>61</v>
      </c>
      <c r="J74" s="28" t="str">
        <f t="array" ref="J74">INDEX('raw-sheet'!$A$2:$ZZ$1000, ROW(J73), MATCH(J$1, 'raw-sheet'!$A$1:$ZZ$1, 0))</f>
        <v>A醇/PDRN淨膚系列</v>
      </c>
      <c r="K74" s="28" t="str">
        <f t="array" ref="K74">INDEX('raw-sheet'!$A$2:$ZZ$1000, ROW(K73), MATCH(K$1, 'raw-sheet'!$A$1:$ZZ$1, 0))</f>
        <v>1</v>
      </c>
      <c r="L74" s="30" t="s">
        <v>60</v>
      </c>
      <c r="M74" s="28" t="str">
        <f t="array" ref="M74">INDEX('raw-sheet'!$A$2:$ZZ$1000, ROW(M73), MATCH(M$1, 'raw-sheet'!$A$1:$ZZ$1, 0))</f>
        <v>https://innisfree-taiwan.myshopify.com/collections/a-alcohol-pdrn-skin-cleansing-series?page=3</v>
      </c>
      <c r="N74" s="30" t="str">
        <f t="shared" si="3"/>
        <v>Pass</v>
      </c>
      <c r="O74" s="28" t="str">
        <f t="array" ref="O74">INDEX('raw-sheet'!$A$2:$ZZ$1000, ROW(O73), MATCH(O$1, 'raw-sheet'!$A$1:$ZZ$1, 0))</f>
        <v>A醇/PDRN淨膚系列 | INNISFREE Taiwan</v>
      </c>
      <c r="P74" s="28" t="str">
        <f t="array" ref="P74">INDEX('raw-sheet'!$A$2:$ZZ$1000, ROW(P73),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4" s="28" t="str">
        <f t="array" ref="Q74">INDEX('raw-sheet'!$A$2:$ZZ$1000, ROW(Q73), MATCH(Q$1, 'raw-sheet'!$A$1:$ZZ$1, 0))</f>
        <v>website</v>
      </c>
      <c r="R74" s="28" t="str">
        <f t="array" ref="R74">INDEX('raw-sheet'!$A$2:$ZZ$1000, ROW(R73), MATCH(R$1, 'raw-sheet'!$A$1:$ZZ$1, 0))</f>
        <v>INNISFREE Taiwan</v>
      </c>
      <c r="S74" s="28" t="str">
        <f t="array" ref="S74">INDEX('raw-sheet'!$A$2:$ZZ$1000, ROW(S73), MATCH(S$1, 'raw-sheet'!$A$1:$ZZ$1, 0))</f>
        <v>http://innisfree-taiwan.myshopify.com/cdn/shop/files/logo.png?v=1767594135</v>
      </c>
      <c r="T74" s="28" t="str">
        <f t="array" ref="T74">INDEX('raw-sheet'!$A$2:$ZZ$1000, ROW(T73), MATCH(T$1, 'raw-sheet'!$A$1:$ZZ$1, 0))</f>
        <v>https://innisfree-taiwan.myshopify.com/cdn/shop/files/logo.png?v=1767594135</v>
      </c>
      <c r="U74" s="28" t="str">
        <f t="array" ref="U74">INDEX('raw-sheet'!$A$2:$ZZ$1000, ROW(U73), MATCH(U$1, 'raw-sheet'!$A$1:$ZZ$1, 0))</f>
        <v>https://innisfree-taiwan.myshopify.com/collections/a-alcohol-pdrn-skin-cleansing-series?page=3</v>
      </c>
      <c r="V74" s="28" t="str">
        <f t="array" ref="V74">INDEX('raw-sheet'!$A$2:$ZZ$1000, ROW(V73), MATCH(V$1, 'raw-sheet'!$A$1:$ZZ$1, 0))</f>
        <v>A醇/PDRN淨膚系列 | INNISFREE Taiwan</v>
      </c>
      <c r="W74" s="28" t="str">
        <f t="array" ref="W74">INDEX('raw-sheet'!$A$2:$ZZ$1000, ROW(W73),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4" s="28" t="str">
        <f t="array" ref="X74">INDEX('raw-sheet'!$A$2:$ZZ$1000, ROW(X73), MATCH(X$1, 'raw-sheet'!$A$1:$ZZ$1, 0))</f>
        <v>summary_large_image</v>
      </c>
      <c r="Y74" s="30" t="s">
        <v>62</v>
      </c>
      <c r="Z74" s="28" t="str">
        <f>VLOOKUP($A74,'raw-schema'!$A:$R,14,0)</f>
        <v>Organization</v>
      </c>
      <c r="AA74" s="28">
        <f>VLOOKUP($A74,'raw-schema'!$A:$R,15,0)</f>
        <v>0</v>
      </c>
      <c r="AB74" s="28">
        <f>VLOOKUP($A74,'raw-schema'!$A:$R,16,0)</f>
        <v>0</v>
      </c>
      <c r="AC74" s="28">
        <f>VLOOKUP($A74,'raw-schema'!$A:$R,17,0)</f>
        <v>0</v>
      </c>
      <c r="AD74" s="28">
        <f>VLOOKUP($A74,'raw-schema'!$A:$R,18,0)</f>
        <v>0</v>
      </c>
      <c r="AE74" s="30" t="s">
        <v>66</v>
      </c>
      <c r="AF74" t="s">
        <v>65</v>
      </c>
    </row>
    <row r="75" spans="1:32" x14ac:dyDescent="0.3">
      <c r="A75" s="28" t="str">
        <f t="array" ref="A75">INDEX('raw-sheet'!$A$2:$ZZ$1000, ROW(A74), MATCH(A$1, 'raw-sheet'!$A$1:$ZZ$1, 0))</f>
        <v>https://innisfree-taiwan.myshopify.com/collections/all</v>
      </c>
      <c r="B75" s="30" t="s">
        <v>11</v>
      </c>
      <c r="C75" s="28" t="str">
        <f t="array" ref="C75">INDEX('raw-sheet'!$A$2:$ZZ$1000, ROW(C74), MATCH(C$1, 'raw-sheet'!$A$1:$ZZ$1, 0))</f>
        <v>Product List</v>
      </c>
      <c r="D75" s="28">
        <f t="array" ref="D75">INDEX('raw-sheet'!$A$2:$ZZ$1000, ROW(D74), MATCH(D$1, 'raw-sheet'!$A$1:$ZZ$1, 0))</f>
        <v>200</v>
      </c>
      <c r="E75" s="30" t="str">
        <f t="shared" si="2"/>
        <v>Pass</v>
      </c>
      <c r="F75" s="28" t="str">
        <f t="array" ref="F75">INDEX('raw-sheet'!$A$2:$ZZ$1000, ROW(F74), MATCH(F$1, 'raw-sheet'!$A$1:$ZZ$1, 0))</f>
        <v>ALL_x000D_ | INNISFREE Taiwan</v>
      </c>
      <c r="G75" s="30" t="s">
        <v>60</v>
      </c>
      <c r="H75" s="28">
        <f t="array" ref="H75">INDEX('raw-sheet'!$A$2:$ZZ$1000, ROW(H74), MATCH(H$1, 'raw-sheet'!$A$1:$ZZ$1, 0))</f>
        <v>0</v>
      </c>
      <c r="I75" s="30" t="s">
        <v>61</v>
      </c>
      <c r="J75" s="28" t="str">
        <f t="array" ref="J75">INDEX('raw-sheet'!$A$2:$ZZ$1000, ROW(J74), MATCH(J$1, 'raw-sheet'!$A$1:$ZZ$1, 0))</f>
        <v>ALL</v>
      </c>
      <c r="K75" s="28" t="str">
        <f t="array" ref="K75">INDEX('raw-sheet'!$A$2:$ZZ$1000, ROW(K74), MATCH(K$1, 'raw-sheet'!$A$1:$ZZ$1, 0))</f>
        <v>1</v>
      </c>
      <c r="L75" s="30" t="s">
        <v>60</v>
      </c>
      <c r="M75" s="28" t="str">
        <f t="array" ref="M75">INDEX('raw-sheet'!$A$2:$ZZ$1000, ROW(M74), MATCH(M$1, 'raw-sheet'!$A$1:$ZZ$1, 0))</f>
        <v>https://innisfree-taiwan.myshopify.com/collections/all</v>
      </c>
      <c r="N75" s="30" t="str">
        <f t="shared" si="3"/>
        <v>Pass</v>
      </c>
      <c r="O75" s="28" t="str">
        <f t="array" ref="O75">INDEX('raw-sheet'!$A$2:$ZZ$1000, ROW(O74), MATCH(O$1, 'raw-sheet'!$A$1:$ZZ$1, 0))</f>
        <v>ALL | INNISFREE Taiwan</v>
      </c>
      <c r="P75" s="28" t="str">
        <f t="array" ref="P75">INDEX('raw-sheet'!$A$2:$ZZ$1000, ROW(P74),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5" s="28" t="str">
        <f t="array" ref="Q75">INDEX('raw-sheet'!$A$2:$ZZ$1000, ROW(Q74), MATCH(Q$1, 'raw-sheet'!$A$1:$ZZ$1, 0))</f>
        <v>website</v>
      </c>
      <c r="R75" s="28" t="str">
        <f t="array" ref="R75">INDEX('raw-sheet'!$A$2:$ZZ$1000, ROW(R74), MATCH(R$1, 'raw-sheet'!$A$1:$ZZ$1, 0))</f>
        <v>INNISFREE Taiwan</v>
      </c>
      <c r="S75" s="28" t="str">
        <f t="array" ref="S75">INDEX('raw-sheet'!$A$2:$ZZ$1000, ROW(S74), MATCH(S$1, 'raw-sheet'!$A$1:$ZZ$1, 0))</f>
        <v>http://innisfree-taiwan.myshopify.com/cdn/shop/files/logo.png?v=1767594135</v>
      </c>
      <c r="T75" s="28" t="str">
        <f t="array" ref="T75">INDEX('raw-sheet'!$A$2:$ZZ$1000, ROW(T74), MATCH(T$1, 'raw-sheet'!$A$1:$ZZ$1, 0))</f>
        <v>https://innisfree-taiwan.myshopify.com/cdn/shop/files/logo.png?v=1767594135</v>
      </c>
      <c r="U75" s="28" t="str">
        <f t="array" ref="U75">INDEX('raw-sheet'!$A$2:$ZZ$1000, ROW(U74), MATCH(U$1, 'raw-sheet'!$A$1:$ZZ$1, 0))</f>
        <v>https://innisfree-taiwan.myshopify.com/collections/all</v>
      </c>
      <c r="V75" s="28" t="str">
        <f t="array" ref="V75">INDEX('raw-sheet'!$A$2:$ZZ$1000, ROW(V74), MATCH(V$1, 'raw-sheet'!$A$1:$ZZ$1, 0))</f>
        <v>ALL | INNISFREE Taiwan</v>
      </c>
      <c r="W75" s="28" t="str">
        <f t="array" ref="W75">INDEX('raw-sheet'!$A$2:$ZZ$1000, ROW(W74),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5" s="28" t="str">
        <f t="array" ref="X75">INDEX('raw-sheet'!$A$2:$ZZ$1000, ROW(X74), MATCH(X$1, 'raw-sheet'!$A$1:$ZZ$1, 0))</f>
        <v>summary_large_image</v>
      </c>
      <c r="Y75" s="30" t="s">
        <v>62</v>
      </c>
      <c r="Z75" s="28" t="str">
        <f>VLOOKUP($A75,'raw-schema'!$A:$R,14,0)</f>
        <v>Organization</v>
      </c>
      <c r="AA75" s="28">
        <f>VLOOKUP($A75,'raw-schema'!$A:$R,15,0)</f>
        <v>0</v>
      </c>
      <c r="AB75" s="28">
        <f>VLOOKUP($A75,'raw-schema'!$A:$R,16,0)</f>
        <v>0</v>
      </c>
      <c r="AC75" s="28">
        <f>VLOOKUP($A75,'raw-schema'!$A:$R,17,0)</f>
        <v>0</v>
      </c>
      <c r="AD75" s="28">
        <f>VLOOKUP($A75,'raw-schema'!$A:$R,18,0)</f>
        <v>0</v>
      </c>
      <c r="AE75" s="30" t="s">
        <v>66</v>
      </c>
    </row>
    <row r="76" spans="1:32" x14ac:dyDescent="0.3">
      <c r="A76" s="28" t="str">
        <f t="array" ref="A76">INDEX('raw-sheet'!$A$2:$ZZ$1000, ROW(A75), MATCH(A$1, 'raw-sheet'!$A$1:$ZZ$1, 0))</f>
        <v>https://innisfree-taiwan.myshopify.com/collections/all?page=1</v>
      </c>
      <c r="B76" s="30" t="s">
        <v>11</v>
      </c>
      <c r="C76" s="28" t="str">
        <f t="array" ref="C76">INDEX('raw-sheet'!$A$2:$ZZ$1000, ROW(C75), MATCH(C$1, 'raw-sheet'!$A$1:$ZZ$1, 0))</f>
        <v>Product List</v>
      </c>
      <c r="D76" s="28">
        <f t="array" ref="D76">INDEX('raw-sheet'!$A$2:$ZZ$1000, ROW(D75), MATCH(D$1, 'raw-sheet'!$A$1:$ZZ$1, 0))</f>
        <v>200</v>
      </c>
      <c r="E76" s="30" t="str">
        <f t="shared" si="2"/>
        <v>Pass</v>
      </c>
      <c r="F76" s="28" t="str">
        <f t="array" ref="F76">INDEX('raw-sheet'!$A$2:$ZZ$1000, ROW(F75), MATCH(F$1, 'raw-sheet'!$A$1:$ZZ$1, 0))</f>
        <v>ALL_x000D_ | INNISFREE Taiwan</v>
      </c>
      <c r="G76" s="30" t="s">
        <v>11</v>
      </c>
      <c r="H76" s="28">
        <f t="array" ref="H76">INDEX('raw-sheet'!$A$2:$ZZ$1000, ROW(H75), MATCH(H$1, 'raw-sheet'!$A$1:$ZZ$1, 0))</f>
        <v>0</v>
      </c>
      <c r="I76" s="30" t="s">
        <v>61</v>
      </c>
      <c r="J76" s="28" t="str">
        <f t="array" ref="J76">INDEX('raw-sheet'!$A$2:$ZZ$1000, ROW(J75), MATCH(J$1, 'raw-sheet'!$A$1:$ZZ$1, 0))</f>
        <v>ALL</v>
      </c>
      <c r="K76" s="28" t="str">
        <f t="array" ref="K76">INDEX('raw-sheet'!$A$2:$ZZ$1000, ROW(K75), MATCH(K$1, 'raw-sheet'!$A$1:$ZZ$1, 0))</f>
        <v>1</v>
      </c>
      <c r="L76" s="30" t="s">
        <v>60</v>
      </c>
      <c r="M76" s="28" t="str">
        <f t="array" ref="M76">INDEX('raw-sheet'!$A$2:$ZZ$1000, ROW(M75), MATCH(M$1, 'raw-sheet'!$A$1:$ZZ$1, 0))</f>
        <v>https://innisfree-taiwan.myshopify.com/collections/all</v>
      </c>
      <c r="N76" s="30" t="str">
        <f t="shared" si="3"/>
        <v>Not</v>
      </c>
      <c r="O76" s="28" t="str">
        <f t="array" ref="O76">INDEX('raw-sheet'!$A$2:$ZZ$1000, ROW(O75), MATCH(O$1, 'raw-sheet'!$A$1:$ZZ$1, 0))</f>
        <v>ALL | INNISFREE Taiwan</v>
      </c>
      <c r="P76" s="28" t="str">
        <f t="array" ref="P76">INDEX('raw-sheet'!$A$2:$ZZ$1000, ROW(P75),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6" s="28" t="str">
        <f t="array" ref="Q76">INDEX('raw-sheet'!$A$2:$ZZ$1000, ROW(Q75), MATCH(Q$1, 'raw-sheet'!$A$1:$ZZ$1, 0))</f>
        <v>website</v>
      </c>
      <c r="R76" s="28" t="str">
        <f t="array" ref="R76">INDEX('raw-sheet'!$A$2:$ZZ$1000, ROW(R75), MATCH(R$1, 'raw-sheet'!$A$1:$ZZ$1, 0))</f>
        <v>INNISFREE Taiwan</v>
      </c>
      <c r="S76" s="28" t="str">
        <f t="array" ref="S76">INDEX('raw-sheet'!$A$2:$ZZ$1000, ROW(S75), MATCH(S$1, 'raw-sheet'!$A$1:$ZZ$1, 0))</f>
        <v>http://innisfree-taiwan.myshopify.com/cdn/shop/files/logo.png?v=1767594135</v>
      </c>
      <c r="T76" s="28" t="str">
        <f t="array" ref="T76">INDEX('raw-sheet'!$A$2:$ZZ$1000, ROW(T75), MATCH(T$1, 'raw-sheet'!$A$1:$ZZ$1, 0))</f>
        <v>https://innisfree-taiwan.myshopify.com/cdn/shop/files/logo.png?v=1767594135</v>
      </c>
      <c r="U76" s="28" t="str">
        <f t="array" ref="U76">INDEX('raw-sheet'!$A$2:$ZZ$1000, ROW(U75), MATCH(U$1, 'raw-sheet'!$A$1:$ZZ$1, 0))</f>
        <v>https://innisfree-taiwan.myshopify.com/collections/all</v>
      </c>
      <c r="V76" s="28" t="str">
        <f t="array" ref="V76">INDEX('raw-sheet'!$A$2:$ZZ$1000, ROW(V75), MATCH(V$1, 'raw-sheet'!$A$1:$ZZ$1, 0))</f>
        <v>ALL | INNISFREE Taiwan</v>
      </c>
      <c r="W76" s="28" t="str">
        <f t="array" ref="W76">INDEX('raw-sheet'!$A$2:$ZZ$1000, ROW(W75),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6" s="28" t="str">
        <f t="array" ref="X76">INDEX('raw-sheet'!$A$2:$ZZ$1000, ROW(X75), MATCH(X$1, 'raw-sheet'!$A$1:$ZZ$1, 0))</f>
        <v>summary_large_image</v>
      </c>
      <c r="Y76" s="30" t="s">
        <v>62</v>
      </c>
      <c r="Z76" s="28" t="str">
        <f>VLOOKUP($A76,'raw-schema'!$A:$R,14,0)</f>
        <v>Organization</v>
      </c>
      <c r="AA76" s="28">
        <f>VLOOKUP($A76,'raw-schema'!$A:$R,15,0)</f>
        <v>0</v>
      </c>
      <c r="AB76" s="28">
        <f>VLOOKUP($A76,'raw-schema'!$A:$R,16,0)</f>
        <v>0</v>
      </c>
      <c r="AC76" s="28">
        <f>VLOOKUP($A76,'raw-schema'!$A:$R,17,0)</f>
        <v>0</v>
      </c>
      <c r="AD76" s="28">
        <f>VLOOKUP($A76,'raw-schema'!$A:$R,18,0)</f>
        <v>0</v>
      </c>
      <c r="AE76" s="30" t="s">
        <v>66</v>
      </c>
      <c r="AF76" t="s">
        <v>65</v>
      </c>
    </row>
    <row r="77" spans="1:32" x14ac:dyDescent="0.3">
      <c r="A77" s="28" t="str">
        <f t="array" ref="A77">INDEX('raw-sheet'!$A$2:$ZZ$1000, ROW(A76), MATCH(A$1, 'raw-sheet'!$A$1:$ZZ$1, 0))</f>
        <v>https://innisfree-taiwan.myshopify.com/collections/all?page=10</v>
      </c>
      <c r="B77" s="30" t="s">
        <v>11</v>
      </c>
      <c r="C77" s="28" t="str">
        <f t="array" ref="C77">INDEX('raw-sheet'!$A$2:$ZZ$1000, ROW(C76), MATCH(C$1, 'raw-sheet'!$A$1:$ZZ$1, 0))</f>
        <v>Product List</v>
      </c>
      <c r="D77" s="28">
        <f t="array" ref="D77">INDEX('raw-sheet'!$A$2:$ZZ$1000, ROW(D76), MATCH(D$1, 'raw-sheet'!$A$1:$ZZ$1, 0))</f>
        <v>200</v>
      </c>
      <c r="E77" s="30" t="str">
        <f t="shared" si="2"/>
        <v>Pass</v>
      </c>
      <c r="F77" s="28" t="str">
        <f t="array" ref="F77">INDEX('raw-sheet'!$A$2:$ZZ$1000, ROW(F76), MATCH(F$1, 'raw-sheet'!$A$1:$ZZ$1, 0))</f>
        <v>ALL_x000D_ – Page 10 | INNISFREE Taiwan</v>
      </c>
      <c r="G77" s="30" t="s">
        <v>11</v>
      </c>
      <c r="H77" s="28">
        <f t="array" ref="H77">INDEX('raw-sheet'!$A$2:$ZZ$1000, ROW(H76), MATCH(H$1, 'raw-sheet'!$A$1:$ZZ$1, 0))</f>
        <v>0</v>
      </c>
      <c r="I77" s="30" t="s">
        <v>61</v>
      </c>
      <c r="J77" s="28" t="str">
        <f t="array" ref="J77">INDEX('raw-sheet'!$A$2:$ZZ$1000, ROW(J76), MATCH(J$1, 'raw-sheet'!$A$1:$ZZ$1, 0))</f>
        <v>ALL</v>
      </c>
      <c r="K77" s="28" t="str">
        <f t="array" ref="K77">INDEX('raw-sheet'!$A$2:$ZZ$1000, ROW(K76), MATCH(K$1, 'raw-sheet'!$A$1:$ZZ$1, 0))</f>
        <v>1</v>
      </c>
      <c r="L77" s="30" t="s">
        <v>60</v>
      </c>
      <c r="M77" s="28" t="str">
        <f t="array" ref="M77">INDEX('raw-sheet'!$A$2:$ZZ$1000, ROW(M76), MATCH(M$1, 'raw-sheet'!$A$1:$ZZ$1, 0))</f>
        <v>https://innisfree-taiwan.myshopify.com/collections/all?page=10</v>
      </c>
      <c r="N77" s="30" t="str">
        <f t="shared" si="3"/>
        <v>Pass</v>
      </c>
      <c r="O77" s="28" t="str">
        <f t="array" ref="O77">INDEX('raw-sheet'!$A$2:$ZZ$1000, ROW(O76), MATCH(O$1, 'raw-sheet'!$A$1:$ZZ$1, 0))</f>
        <v>ALL | INNISFREE Taiwan</v>
      </c>
      <c r="P77" s="28" t="str">
        <f t="array" ref="P77">INDEX('raw-sheet'!$A$2:$ZZ$1000, ROW(P76),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7" s="28" t="str">
        <f t="array" ref="Q77">INDEX('raw-sheet'!$A$2:$ZZ$1000, ROW(Q76), MATCH(Q$1, 'raw-sheet'!$A$1:$ZZ$1, 0))</f>
        <v>website</v>
      </c>
      <c r="R77" s="28" t="str">
        <f t="array" ref="R77">INDEX('raw-sheet'!$A$2:$ZZ$1000, ROW(R76), MATCH(R$1, 'raw-sheet'!$A$1:$ZZ$1, 0))</f>
        <v>INNISFREE Taiwan</v>
      </c>
      <c r="S77" s="28" t="str">
        <f t="array" ref="S77">INDEX('raw-sheet'!$A$2:$ZZ$1000, ROW(S76), MATCH(S$1, 'raw-sheet'!$A$1:$ZZ$1, 0))</f>
        <v>http://innisfree-taiwan.myshopify.com/cdn/shop/files/logo.png?v=1767594135</v>
      </c>
      <c r="T77" s="28" t="str">
        <f t="array" ref="T77">INDEX('raw-sheet'!$A$2:$ZZ$1000, ROW(T76), MATCH(T$1, 'raw-sheet'!$A$1:$ZZ$1, 0))</f>
        <v>https://innisfree-taiwan.myshopify.com/cdn/shop/files/logo.png?v=1767594135</v>
      </c>
      <c r="U77" s="28" t="str">
        <f t="array" ref="U77">INDEX('raw-sheet'!$A$2:$ZZ$1000, ROW(U76), MATCH(U$1, 'raw-sheet'!$A$1:$ZZ$1, 0))</f>
        <v>https://innisfree-taiwan.myshopify.com/collections/all?page=10</v>
      </c>
      <c r="V77" s="28" t="str">
        <f t="array" ref="V77">INDEX('raw-sheet'!$A$2:$ZZ$1000, ROW(V76), MATCH(V$1, 'raw-sheet'!$A$1:$ZZ$1, 0))</f>
        <v>ALL | INNISFREE Taiwan</v>
      </c>
      <c r="W77" s="28" t="str">
        <f t="array" ref="W77">INDEX('raw-sheet'!$A$2:$ZZ$1000, ROW(W76),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7" s="28" t="str">
        <f t="array" ref="X77">INDEX('raw-sheet'!$A$2:$ZZ$1000, ROW(X76), MATCH(X$1, 'raw-sheet'!$A$1:$ZZ$1, 0))</f>
        <v>summary_large_image</v>
      </c>
      <c r="Y77" s="30" t="s">
        <v>62</v>
      </c>
      <c r="Z77" s="28" t="str">
        <f>VLOOKUP($A77,'raw-schema'!$A:$R,14,0)</f>
        <v>Organization</v>
      </c>
      <c r="AA77" s="28">
        <f>VLOOKUP($A77,'raw-schema'!$A:$R,15,0)</f>
        <v>0</v>
      </c>
      <c r="AB77" s="28">
        <f>VLOOKUP($A77,'raw-schema'!$A:$R,16,0)</f>
        <v>0</v>
      </c>
      <c r="AC77" s="28">
        <f>VLOOKUP($A77,'raw-schema'!$A:$R,17,0)</f>
        <v>0</v>
      </c>
      <c r="AD77" s="28">
        <f>VLOOKUP($A77,'raw-schema'!$A:$R,18,0)</f>
        <v>0</v>
      </c>
      <c r="AE77" s="30" t="s">
        <v>66</v>
      </c>
      <c r="AF77" t="s">
        <v>65</v>
      </c>
    </row>
    <row r="78" spans="1:32" x14ac:dyDescent="0.3">
      <c r="A78" s="28" t="str">
        <f t="array" ref="A78">INDEX('raw-sheet'!$A$2:$ZZ$1000, ROW(A77), MATCH(A$1, 'raw-sheet'!$A$1:$ZZ$1, 0))</f>
        <v>https://innisfree-taiwan.myshopify.com/collections/all?page=11</v>
      </c>
      <c r="B78" s="30" t="s">
        <v>11</v>
      </c>
      <c r="C78" s="28" t="str">
        <f t="array" ref="C78">INDEX('raw-sheet'!$A$2:$ZZ$1000, ROW(C77), MATCH(C$1, 'raw-sheet'!$A$1:$ZZ$1, 0))</f>
        <v>Product List</v>
      </c>
      <c r="D78" s="28">
        <f t="array" ref="D78">INDEX('raw-sheet'!$A$2:$ZZ$1000, ROW(D77), MATCH(D$1, 'raw-sheet'!$A$1:$ZZ$1, 0))</f>
        <v>200</v>
      </c>
      <c r="E78" s="30" t="str">
        <f t="shared" si="2"/>
        <v>Pass</v>
      </c>
      <c r="F78" s="28" t="str">
        <f t="array" ref="F78">INDEX('raw-sheet'!$A$2:$ZZ$1000, ROW(F77), MATCH(F$1, 'raw-sheet'!$A$1:$ZZ$1, 0))</f>
        <v>ALL_x000D_ – Page 11 | INNISFREE Taiwan</v>
      </c>
      <c r="G78" s="30" t="s">
        <v>11</v>
      </c>
      <c r="H78" s="28">
        <f t="array" ref="H78">INDEX('raw-sheet'!$A$2:$ZZ$1000, ROW(H77), MATCH(H$1, 'raw-sheet'!$A$1:$ZZ$1, 0))</f>
        <v>0</v>
      </c>
      <c r="I78" s="30" t="s">
        <v>61</v>
      </c>
      <c r="J78" s="28" t="str">
        <f t="array" ref="J78">INDEX('raw-sheet'!$A$2:$ZZ$1000, ROW(J77), MATCH(J$1, 'raw-sheet'!$A$1:$ZZ$1, 0))</f>
        <v>ALL</v>
      </c>
      <c r="K78" s="28" t="str">
        <f t="array" ref="K78">INDEX('raw-sheet'!$A$2:$ZZ$1000, ROW(K77), MATCH(K$1, 'raw-sheet'!$A$1:$ZZ$1, 0))</f>
        <v>1</v>
      </c>
      <c r="L78" s="30" t="s">
        <v>60</v>
      </c>
      <c r="M78" s="28" t="str">
        <f t="array" ref="M78">INDEX('raw-sheet'!$A$2:$ZZ$1000, ROW(M77), MATCH(M$1, 'raw-sheet'!$A$1:$ZZ$1, 0))</f>
        <v>https://innisfree-taiwan.myshopify.com/collections/all?page=11</v>
      </c>
      <c r="N78" s="30" t="str">
        <f t="shared" si="3"/>
        <v>Pass</v>
      </c>
      <c r="O78" s="28" t="str">
        <f t="array" ref="O78">INDEX('raw-sheet'!$A$2:$ZZ$1000, ROW(O77), MATCH(O$1, 'raw-sheet'!$A$1:$ZZ$1, 0))</f>
        <v>ALL | INNISFREE Taiwan</v>
      </c>
      <c r="P78" s="28" t="str">
        <f t="array" ref="P78">INDEX('raw-sheet'!$A$2:$ZZ$1000, ROW(P77),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8" s="28" t="str">
        <f t="array" ref="Q78">INDEX('raw-sheet'!$A$2:$ZZ$1000, ROW(Q77), MATCH(Q$1, 'raw-sheet'!$A$1:$ZZ$1, 0))</f>
        <v>website</v>
      </c>
      <c r="R78" s="28" t="str">
        <f t="array" ref="R78">INDEX('raw-sheet'!$A$2:$ZZ$1000, ROW(R77), MATCH(R$1, 'raw-sheet'!$A$1:$ZZ$1, 0))</f>
        <v>INNISFREE Taiwan</v>
      </c>
      <c r="S78" s="28" t="str">
        <f t="array" ref="S78">INDEX('raw-sheet'!$A$2:$ZZ$1000, ROW(S77), MATCH(S$1, 'raw-sheet'!$A$1:$ZZ$1, 0))</f>
        <v>http://innisfree-taiwan.myshopify.com/cdn/shop/files/logo.png?v=1767594135</v>
      </c>
      <c r="T78" s="28" t="str">
        <f t="array" ref="T78">INDEX('raw-sheet'!$A$2:$ZZ$1000, ROW(T77), MATCH(T$1, 'raw-sheet'!$A$1:$ZZ$1, 0))</f>
        <v>https://innisfree-taiwan.myshopify.com/cdn/shop/files/logo.png?v=1767594135</v>
      </c>
      <c r="U78" s="28" t="str">
        <f t="array" ref="U78">INDEX('raw-sheet'!$A$2:$ZZ$1000, ROW(U77), MATCH(U$1, 'raw-sheet'!$A$1:$ZZ$1, 0))</f>
        <v>https://innisfree-taiwan.myshopify.com/collections/all?page=11</v>
      </c>
      <c r="V78" s="28" t="str">
        <f t="array" ref="V78">INDEX('raw-sheet'!$A$2:$ZZ$1000, ROW(V77), MATCH(V$1, 'raw-sheet'!$A$1:$ZZ$1, 0))</f>
        <v>ALL | INNISFREE Taiwan</v>
      </c>
      <c r="W78" s="28" t="str">
        <f t="array" ref="W78">INDEX('raw-sheet'!$A$2:$ZZ$1000, ROW(W77),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8" s="28" t="str">
        <f t="array" ref="X78">INDEX('raw-sheet'!$A$2:$ZZ$1000, ROW(X77), MATCH(X$1, 'raw-sheet'!$A$1:$ZZ$1, 0))</f>
        <v>summary_large_image</v>
      </c>
      <c r="Y78" s="30" t="s">
        <v>62</v>
      </c>
      <c r="Z78" s="28" t="str">
        <f>VLOOKUP($A78,'raw-schema'!$A:$R,14,0)</f>
        <v>Organization</v>
      </c>
      <c r="AA78" s="28">
        <f>VLOOKUP($A78,'raw-schema'!$A:$R,15,0)</f>
        <v>0</v>
      </c>
      <c r="AB78" s="28">
        <f>VLOOKUP($A78,'raw-schema'!$A:$R,16,0)</f>
        <v>0</v>
      </c>
      <c r="AC78" s="28">
        <f>VLOOKUP($A78,'raw-schema'!$A:$R,17,0)</f>
        <v>0</v>
      </c>
      <c r="AD78" s="28">
        <f>VLOOKUP($A78,'raw-schema'!$A:$R,18,0)</f>
        <v>0</v>
      </c>
      <c r="AE78" s="30" t="s">
        <v>66</v>
      </c>
      <c r="AF78" t="s">
        <v>65</v>
      </c>
    </row>
    <row r="79" spans="1:32" x14ac:dyDescent="0.3">
      <c r="A79" s="28" t="str">
        <f t="array" ref="A79">INDEX('raw-sheet'!$A$2:$ZZ$1000, ROW(A78), MATCH(A$1, 'raw-sheet'!$A$1:$ZZ$1, 0))</f>
        <v>https://innisfree-taiwan.myshopify.com/collections/all?page=12</v>
      </c>
      <c r="B79" s="30" t="s">
        <v>11</v>
      </c>
      <c r="C79" s="28" t="str">
        <f t="array" ref="C79">INDEX('raw-sheet'!$A$2:$ZZ$1000, ROW(C78), MATCH(C$1, 'raw-sheet'!$A$1:$ZZ$1, 0))</f>
        <v>Product List</v>
      </c>
      <c r="D79" s="28">
        <f t="array" ref="D79">INDEX('raw-sheet'!$A$2:$ZZ$1000, ROW(D78), MATCH(D$1, 'raw-sheet'!$A$1:$ZZ$1, 0))</f>
        <v>200</v>
      </c>
      <c r="E79" s="30" t="str">
        <f t="shared" si="2"/>
        <v>Pass</v>
      </c>
      <c r="F79" s="28" t="str">
        <f t="array" ref="F79">INDEX('raw-sheet'!$A$2:$ZZ$1000, ROW(F78), MATCH(F$1, 'raw-sheet'!$A$1:$ZZ$1, 0))</f>
        <v>ALL_x000D_ – Page 12 | INNISFREE Taiwan</v>
      </c>
      <c r="G79" s="30" t="s">
        <v>11</v>
      </c>
      <c r="H79" s="28">
        <f t="array" ref="H79">INDEX('raw-sheet'!$A$2:$ZZ$1000, ROW(H78), MATCH(H$1, 'raw-sheet'!$A$1:$ZZ$1, 0))</f>
        <v>0</v>
      </c>
      <c r="I79" s="30" t="s">
        <v>61</v>
      </c>
      <c r="J79" s="28" t="str">
        <f t="array" ref="J79">INDEX('raw-sheet'!$A$2:$ZZ$1000, ROW(J78), MATCH(J$1, 'raw-sheet'!$A$1:$ZZ$1, 0))</f>
        <v>ALL</v>
      </c>
      <c r="K79" s="28" t="str">
        <f t="array" ref="K79">INDEX('raw-sheet'!$A$2:$ZZ$1000, ROW(K78), MATCH(K$1, 'raw-sheet'!$A$1:$ZZ$1, 0))</f>
        <v>1</v>
      </c>
      <c r="L79" s="30" t="s">
        <v>60</v>
      </c>
      <c r="M79" s="28" t="str">
        <f t="array" ref="M79">INDEX('raw-sheet'!$A$2:$ZZ$1000, ROW(M78), MATCH(M$1, 'raw-sheet'!$A$1:$ZZ$1, 0))</f>
        <v>https://innisfree-taiwan.myshopify.com/collections/all?page=12</v>
      </c>
      <c r="N79" s="30" t="str">
        <f t="shared" si="3"/>
        <v>Pass</v>
      </c>
      <c r="O79" s="28" t="str">
        <f t="array" ref="O79">INDEX('raw-sheet'!$A$2:$ZZ$1000, ROW(O78), MATCH(O$1, 'raw-sheet'!$A$1:$ZZ$1, 0))</f>
        <v>ALL | INNISFREE Taiwan</v>
      </c>
      <c r="P79" s="28" t="str">
        <f t="array" ref="P79">INDEX('raw-sheet'!$A$2:$ZZ$1000, ROW(P78),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79" s="28" t="str">
        <f t="array" ref="Q79">INDEX('raw-sheet'!$A$2:$ZZ$1000, ROW(Q78), MATCH(Q$1, 'raw-sheet'!$A$1:$ZZ$1, 0))</f>
        <v>website</v>
      </c>
      <c r="R79" s="28" t="str">
        <f t="array" ref="R79">INDEX('raw-sheet'!$A$2:$ZZ$1000, ROW(R78), MATCH(R$1, 'raw-sheet'!$A$1:$ZZ$1, 0))</f>
        <v>INNISFREE Taiwan</v>
      </c>
      <c r="S79" s="28" t="str">
        <f t="array" ref="S79">INDEX('raw-sheet'!$A$2:$ZZ$1000, ROW(S78), MATCH(S$1, 'raw-sheet'!$A$1:$ZZ$1, 0))</f>
        <v>http://innisfree-taiwan.myshopify.com/cdn/shop/files/logo.png?v=1767594135</v>
      </c>
      <c r="T79" s="28" t="str">
        <f t="array" ref="T79">INDEX('raw-sheet'!$A$2:$ZZ$1000, ROW(T78), MATCH(T$1, 'raw-sheet'!$A$1:$ZZ$1, 0))</f>
        <v>https://innisfree-taiwan.myshopify.com/cdn/shop/files/logo.png?v=1767594135</v>
      </c>
      <c r="U79" s="28" t="str">
        <f t="array" ref="U79">INDEX('raw-sheet'!$A$2:$ZZ$1000, ROW(U78), MATCH(U$1, 'raw-sheet'!$A$1:$ZZ$1, 0))</f>
        <v>https://innisfree-taiwan.myshopify.com/collections/all?page=12</v>
      </c>
      <c r="V79" s="28" t="str">
        <f t="array" ref="V79">INDEX('raw-sheet'!$A$2:$ZZ$1000, ROW(V78), MATCH(V$1, 'raw-sheet'!$A$1:$ZZ$1, 0))</f>
        <v>ALL | INNISFREE Taiwan</v>
      </c>
      <c r="W79" s="28" t="str">
        <f t="array" ref="W79">INDEX('raw-sheet'!$A$2:$ZZ$1000, ROW(W78),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79" s="28" t="str">
        <f t="array" ref="X79">INDEX('raw-sheet'!$A$2:$ZZ$1000, ROW(X78), MATCH(X$1, 'raw-sheet'!$A$1:$ZZ$1, 0))</f>
        <v>summary_large_image</v>
      </c>
      <c r="Y79" s="30" t="s">
        <v>62</v>
      </c>
      <c r="Z79" s="28" t="str">
        <f>VLOOKUP($A79,'raw-schema'!$A:$R,14,0)</f>
        <v>Organization</v>
      </c>
      <c r="AA79" s="28">
        <f>VLOOKUP($A79,'raw-schema'!$A:$R,15,0)</f>
        <v>0</v>
      </c>
      <c r="AB79" s="28">
        <f>VLOOKUP($A79,'raw-schema'!$A:$R,16,0)</f>
        <v>0</v>
      </c>
      <c r="AC79" s="28">
        <f>VLOOKUP($A79,'raw-schema'!$A:$R,17,0)</f>
        <v>0</v>
      </c>
      <c r="AD79" s="28">
        <f>VLOOKUP($A79,'raw-schema'!$A:$R,18,0)</f>
        <v>0</v>
      </c>
      <c r="AE79" s="30" t="s">
        <v>66</v>
      </c>
      <c r="AF79" t="s">
        <v>65</v>
      </c>
    </row>
    <row r="80" spans="1:32" x14ac:dyDescent="0.3">
      <c r="A80" s="28" t="str">
        <f t="array" ref="A80">INDEX('raw-sheet'!$A$2:$ZZ$1000, ROW(A79), MATCH(A$1, 'raw-sheet'!$A$1:$ZZ$1, 0))</f>
        <v>https://innisfree-taiwan.myshopify.com/collections/all?page=13</v>
      </c>
      <c r="B80" s="30" t="s">
        <v>11</v>
      </c>
      <c r="C80" s="28" t="str">
        <f t="array" ref="C80">INDEX('raw-sheet'!$A$2:$ZZ$1000, ROW(C79), MATCH(C$1, 'raw-sheet'!$A$1:$ZZ$1, 0))</f>
        <v>Product List</v>
      </c>
      <c r="D80" s="28">
        <f t="array" ref="D80">INDEX('raw-sheet'!$A$2:$ZZ$1000, ROW(D79), MATCH(D$1, 'raw-sheet'!$A$1:$ZZ$1, 0))</f>
        <v>200</v>
      </c>
      <c r="E80" s="30" t="str">
        <f t="shared" si="2"/>
        <v>Pass</v>
      </c>
      <c r="F80" s="28" t="str">
        <f t="array" ref="F80">INDEX('raw-sheet'!$A$2:$ZZ$1000, ROW(F79), MATCH(F$1, 'raw-sheet'!$A$1:$ZZ$1, 0))</f>
        <v>ALL_x000D_ – Page 13 | INNISFREE Taiwan</v>
      </c>
      <c r="G80" s="30" t="s">
        <v>11</v>
      </c>
      <c r="H80" s="28">
        <f t="array" ref="H80">INDEX('raw-sheet'!$A$2:$ZZ$1000, ROW(H79), MATCH(H$1, 'raw-sheet'!$A$1:$ZZ$1, 0))</f>
        <v>0</v>
      </c>
      <c r="I80" s="30" t="s">
        <v>61</v>
      </c>
      <c r="J80" s="28" t="str">
        <f t="array" ref="J80">INDEX('raw-sheet'!$A$2:$ZZ$1000, ROW(J79), MATCH(J$1, 'raw-sheet'!$A$1:$ZZ$1, 0))</f>
        <v>ALL</v>
      </c>
      <c r="K80" s="28" t="str">
        <f t="array" ref="K80">INDEX('raw-sheet'!$A$2:$ZZ$1000, ROW(K79), MATCH(K$1, 'raw-sheet'!$A$1:$ZZ$1, 0))</f>
        <v>1</v>
      </c>
      <c r="L80" s="30" t="s">
        <v>60</v>
      </c>
      <c r="M80" s="28" t="str">
        <f t="array" ref="M80">INDEX('raw-sheet'!$A$2:$ZZ$1000, ROW(M79), MATCH(M$1, 'raw-sheet'!$A$1:$ZZ$1, 0))</f>
        <v>https://innisfree-taiwan.myshopify.com/collections/all?page=13</v>
      </c>
      <c r="N80" s="30" t="str">
        <f t="shared" si="3"/>
        <v>Pass</v>
      </c>
      <c r="O80" s="28" t="str">
        <f t="array" ref="O80">INDEX('raw-sheet'!$A$2:$ZZ$1000, ROW(O79), MATCH(O$1, 'raw-sheet'!$A$1:$ZZ$1, 0))</f>
        <v>ALL | INNISFREE Taiwan</v>
      </c>
      <c r="P80" s="28" t="str">
        <f t="array" ref="P80">INDEX('raw-sheet'!$A$2:$ZZ$1000, ROW(P79),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0" s="28" t="str">
        <f t="array" ref="Q80">INDEX('raw-sheet'!$A$2:$ZZ$1000, ROW(Q79), MATCH(Q$1, 'raw-sheet'!$A$1:$ZZ$1, 0))</f>
        <v>website</v>
      </c>
      <c r="R80" s="28" t="str">
        <f t="array" ref="R80">INDEX('raw-sheet'!$A$2:$ZZ$1000, ROW(R79), MATCH(R$1, 'raw-sheet'!$A$1:$ZZ$1, 0))</f>
        <v>INNISFREE Taiwan</v>
      </c>
      <c r="S80" s="28" t="str">
        <f t="array" ref="S80">INDEX('raw-sheet'!$A$2:$ZZ$1000, ROW(S79), MATCH(S$1, 'raw-sheet'!$A$1:$ZZ$1, 0))</f>
        <v>http://innisfree-taiwan.myshopify.com/cdn/shop/files/logo.png?v=1767594135</v>
      </c>
      <c r="T80" s="28" t="str">
        <f t="array" ref="T80">INDEX('raw-sheet'!$A$2:$ZZ$1000, ROW(T79), MATCH(T$1, 'raw-sheet'!$A$1:$ZZ$1, 0))</f>
        <v>https://innisfree-taiwan.myshopify.com/cdn/shop/files/logo.png?v=1767594135</v>
      </c>
      <c r="U80" s="28" t="str">
        <f t="array" ref="U80">INDEX('raw-sheet'!$A$2:$ZZ$1000, ROW(U79), MATCH(U$1, 'raw-sheet'!$A$1:$ZZ$1, 0))</f>
        <v>https://innisfree-taiwan.myshopify.com/collections/all?page=13</v>
      </c>
      <c r="V80" s="28" t="str">
        <f t="array" ref="V80">INDEX('raw-sheet'!$A$2:$ZZ$1000, ROW(V79), MATCH(V$1, 'raw-sheet'!$A$1:$ZZ$1, 0))</f>
        <v>ALL | INNISFREE Taiwan</v>
      </c>
      <c r="W80" s="28" t="str">
        <f t="array" ref="W80">INDEX('raw-sheet'!$A$2:$ZZ$1000, ROW(W79),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0" s="28" t="str">
        <f t="array" ref="X80">INDEX('raw-sheet'!$A$2:$ZZ$1000, ROW(X79), MATCH(X$1, 'raw-sheet'!$A$1:$ZZ$1, 0))</f>
        <v>summary_large_image</v>
      </c>
      <c r="Y80" s="30" t="s">
        <v>62</v>
      </c>
      <c r="Z80" s="28" t="str">
        <f>VLOOKUP($A80,'raw-schema'!$A:$R,14,0)</f>
        <v>Organization</v>
      </c>
      <c r="AA80" s="28">
        <f>VLOOKUP($A80,'raw-schema'!$A:$R,15,0)</f>
        <v>0</v>
      </c>
      <c r="AB80" s="28">
        <f>VLOOKUP($A80,'raw-schema'!$A:$R,16,0)</f>
        <v>0</v>
      </c>
      <c r="AC80" s="28">
        <f>VLOOKUP($A80,'raw-schema'!$A:$R,17,0)</f>
        <v>0</v>
      </c>
      <c r="AD80" s="28">
        <f>VLOOKUP($A80,'raw-schema'!$A:$R,18,0)</f>
        <v>0</v>
      </c>
      <c r="AE80" s="30" t="s">
        <v>66</v>
      </c>
      <c r="AF80" t="s">
        <v>65</v>
      </c>
    </row>
    <row r="81" spans="1:32" x14ac:dyDescent="0.3">
      <c r="A81" s="28" t="str">
        <f t="array" ref="A81">INDEX('raw-sheet'!$A$2:$ZZ$1000, ROW(A80), MATCH(A$1, 'raw-sheet'!$A$1:$ZZ$1, 0))</f>
        <v>https://innisfree-taiwan.myshopify.com/collections/all?page=14</v>
      </c>
      <c r="B81" s="30" t="s">
        <v>11</v>
      </c>
      <c r="C81" s="28" t="str">
        <f t="array" ref="C81">INDEX('raw-sheet'!$A$2:$ZZ$1000, ROW(C80), MATCH(C$1, 'raw-sheet'!$A$1:$ZZ$1, 0))</f>
        <v>Product List</v>
      </c>
      <c r="D81" s="28">
        <f t="array" ref="D81">INDEX('raw-sheet'!$A$2:$ZZ$1000, ROW(D80), MATCH(D$1, 'raw-sheet'!$A$1:$ZZ$1, 0))</f>
        <v>200</v>
      </c>
      <c r="E81" s="30" t="str">
        <f t="shared" si="2"/>
        <v>Pass</v>
      </c>
      <c r="F81" s="28" t="str">
        <f t="array" ref="F81">INDEX('raw-sheet'!$A$2:$ZZ$1000, ROW(F80), MATCH(F$1, 'raw-sheet'!$A$1:$ZZ$1, 0))</f>
        <v>ALL_x000D_ – Page 14 | INNISFREE Taiwan</v>
      </c>
      <c r="G81" s="30" t="s">
        <v>11</v>
      </c>
      <c r="H81" s="28">
        <f t="array" ref="H81">INDEX('raw-sheet'!$A$2:$ZZ$1000, ROW(H80), MATCH(H$1, 'raw-sheet'!$A$1:$ZZ$1, 0))</f>
        <v>0</v>
      </c>
      <c r="I81" s="30" t="s">
        <v>61</v>
      </c>
      <c r="J81" s="28" t="str">
        <f t="array" ref="J81">INDEX('raw-sheet'!$A$2:$ZZ$1000, ROW(J80), MATCH(J$1, 'raw-sheet'!$A$1:$ZZ$1, 0))</f>
        <v>ALL</v>
      </c>
      <c r="K81" s="28" t="str">
        <f t="array" ref="K81">INDEX('raw-sheet'!$A$2:$ZZ$1000, ROW(K80), MATCH(K$1, 'raw-sheet'!$A$1:$ZZ$1, 0))</f>
        <v>1</v>
      </c>
      <c r="L81" s="30" t="s">
        <v>60</v>
      </c>
      <c r="M81" s="28" t="str">
        <f t="array" ref="M81">INDEX('raw-sheet'!$A$2:$ZZ$1000, ROW(M80), MATCH(M$1, 'raw-sheet'!$A$1:$ZZ$1, 0))</f>
        <v>https://innisfree-taiwan.myshopify.com/collections/all?page=14</v>
      </c>
      <c r="N81" s="30" t="str">
        <f t="shared" si="3"/>
        <v>Pass</v>
      </c>
      <c r="O81" s="28" t="str">
        <f t="array" ref="O81">INDEX('raw-sheet'!$A$2:$ZZ$1000, ROW(O80), MATCH(O$1, 'raw-sheet'!$A$1:$ZZ$1, 0))</f>
        <v>ALL | INNISFREE Taiwan</v>
      </c>
      <c r="P81" s="28" t="str">
        <f t="array" ref="P81">INDEX('raw-sheet'!$A$2:$ZZ$1000, ROW(P80),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1" s="28" t="str">
        <f t="array" ref="Q81">INDEX('raw-sheet'!$A$2:$ZZ$1000, ROW(Q80), MATCH(Q$1, 'raw-sheet'!$A$1:$ZZ$1, 0))</f>
        <v>website</v>
      </c>
      <c r="R81" s="28" t="str">
        <f t="array" ref="R81">INDEX('raw-sheet'!$A$2:$ZZ$1000, ROW(R80), MATCH(R$1, 'raw-sheet'!$A$1:$ZZ$1, 0))</f>
        <v>INNISFREE Taiwan</v>
      </c>
      <c r="S81" s="28" t="str">
        <f t="array" ref="S81">INDEX('raw-sheet'!$A$2:$ZZ$1000, ROW(S80), MATCH(S$1, 'raw-sheet'!$A$1:$ZZ$1, 0))</f>
        <v>http://innisfree-taiwan.myshopify.com/cdn/shop/files/logo.png?v=1767594135</v>
      </c>
      <c r="T81" s="28" t="str">
        <f t="array" ref="T81">INDEX('raw-sheet'!$A$2:$ZZ$1000, ROW(T80), MATCH(T$1, 'raw-sheet'!$A$1:$ZZ$1, 0))</f>
        <v>https://innisfree-taiwan.myshopify.com/cdn/shop/files/logo.png?v=1767594135</v>
      </c>
      <c r="U81" s="28" t="str">
        <f t="array" ref="U81">INDEX('raw-sheet'!$A$2:$ZZ$1000, ROW(U80), MATCH(U$1, 'raw-sheet'!$A$1:$ZZ$1, 0))</f>
        <v>https://innisfree-taiwan.myshopify.com/collections/all?page=14</v>
      </c>
      <c r="V81" s="28" t="str">
        <f t="array" ref="V81">INDEX('raw-sheet'!$A$2:$ZZ$1000, ROW(V80), MATCH(V$1, 'raw-sheet'!$A$1:$ZZ$1, 0))</f>
        <v>ALL | INNISFREE Taiwan</v>
      </c>
      <c r="W81" s="28" t="str">
        <f t="array" ref="W81">INDEX('raw-sheet'!$A$2:$ZZ$1000, ROW(W80),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1" s="28" t="str">
        <f t="array" ref="X81">INDEX('raw-sheet'!$A$2:$ZZ$1000, ROW(X80), MATCH(X$1, 'raw-sheet'!$A$1:$ZZ$1, 0))</f>
        <v>summary_large_image</v>
      </c>
      <c r="Y81" s="30" t="s">
        <v>62</v>
      </c>
      <c r="Z81" s="28" t="str">
        <f>VLOOKUP($A81,'raw-schema'!$A:$R,14,0)</f>
        <v>Organization</v>
      </c>
      <c r="AA81" s="28">
        <f>VLOOKUP($A81,'raw-schema'!$A:$R,15,0)</f>
        <v>0</v>
      </c>
      <c r="AB81" s="28">
        <f>VLOOKUP($A81,'raw-schema'!$A:$R,16,0)</f>
        <v>0</v>
      </c>
      <c r="AC81" s="28">
        <f>VLOOKUP($A81,'raw-schema'!$A:$R,17,0)</f>
        <v>0</v>
      </c>
      <c r="AD81" s="28">
        <f>VLOOKUP($A81,'raw-schema'!$A:$R,18,0)</f>
        <v>0</v>
      </c>
      <c r="AE81" s="30" t="s">
        <v>66</v>
      </c>
      <c r="AF81" t="s">
        <v>65</v>
      </c>
    </row>
    <row r="82" spans="1:32" x14ac:dyDescent="0.3">
      <c r="A82" s="28" t="str">
        <f t="array" ref="A82">INDEX('raw-sheet'!$A$2:$ZZ$1000, ROW(A81), MATCH(A$1, 'raw-sheet'!$A$1:$ZZ$1, 0))</f>
        <v>https://innisfree-taiwan.myshopify.com/collections/all?page=15</v>
      </c>
      <c r="B82" s="30" t="s">
        <v>11</v>
      </c>
      <c r="C82" s="28" t="str">
        <f t="array" ref="C82">INDEX('raw-sheet'!$A$2:$ZZ$1000, ROW(C81), MATCH(C$1, 'raw-sheet'!$A$1:$ZZ$1, 0))</f>
        <v>Product List</v>
      </c>
      <c r="D82" s="28">
        <f t="array" ref="D82">INDEX('raw-sheet'!$A$2:$ZZ$1000, ROW(D81), MATCH(D$1, 'raw-sheet'!$A$1:$ZZ$1, 0))</f>
        <v>200</v>
      </c>
      <c r="E82" s="30" t="str">
        <f t="shared" si="2"/>
        <v>Pass</v>
      </c>
      <c r="F82" s="28" t="str">
        <f t="array" ref="F82">INDEX('raw-sheet'!$A$2:$ZZ$1000, ROW(F81), MATCH(F$1, 'raw-sheet'!$A$1:$ZZ$1, 0))</f>
        <v>ALL_x000D_ – Page 15 | INNISFREE Taiwan</v>
      </c>
      <c r="G82" s="30" t="s">
        <v>11</v>
      </c>
      <c r="H82" s="28">
        <f t="array" ref="H82">INDEX('raw-sheet'!$A$2:$ZZ$1000, ROW(H81), MATCH(H$1, 'raw-sheet'!$A$1:$ZZ$1, 0))</f>
        <v>0</v>
      </c>
      <c r="I82" s="30" t="s">
        <v>61</v>
      </c>
      <c r="J82" s="28" t="str">
        <f t="array" ref="J82">INDEX('raw-sheet'!$A$2:$ZZ$1000, ROW(J81), MATCH(J$1, 'raw-sheet'!$A$1:$ZZ$1, 0))</f>
        <v>ALL</v>
      </c>
      <c r="K82" s="28" t="str">
        <f t="array" ref="K82">INDEX('raw-sheet'!$A$2:$ZZ$1000, ROW(K81), MATCH(K$1, 'raw-sheet'!$A$1:$ZZ$1, 0))</f>
        <v>1</v>
      </c>
      <c r="L82" s="30" t="s">
        <v>60</v>
      </c>
      <c r="M82" s="28" t="str">
        <f t="array" ref="M82">INDEX('raw-sheet'!$A$2:$ZZ$1000, ROW(M81), MATCH(M$1, 'raw-sheet'!$A$1:$ZZ$1, 0))</f>
        <v>https://innisfree-taiwan.myshopify.com/collections/all?page=15</v>
      </c>
      <c r="N82" s="30" t="str">
        <f t="shared" si="3"/>
        <v>Pass</v>
      </c>
      <c r="O82" s="28" t="str">
        <f t="array" ref="O82">INDEX('raw-sheet'!$A$2:$ZZ$1000, ROW(O81), MATCH(O$1, 'raw-sheet'!$A$1:$ZZ$1, 0))</f>
        <v>ALL | INNISFREE Taiwan</v>
      </c>
      <c r="P82" s="28" t="str">
        <f t="array" ref="P82">INDEX('raw-sheet'!$A$2:$ZZ$1000, ROW(P81),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2" s="28" t="str">
        <f t="array" ref="Q82">INDEX('raw-sheet'!$A$2:$ZZ$1000, ROW(Q81), MATCH(Q$1, 'raw-sheet'!$A$1:$ZZ$1, 0))</f>
        <v>website</v>
      </c>
      <c r="R82" s="28" t="str">
        <f t="array" ref="R82">INDEX('raw-sheet'!$A$2:$ZZ$1000, ROW(R81), MATCH(R$1, 'raw-sheet'!$A$1:$ZZ$1, 0))</f>
        <v>INNISFREE Taiwan</v>
      </c>
      <c r="S82" s="28" t="str">
        <f t="array" ref="S82">INDEX('raw-sheet'!$A$2:$ZZ$1000, ROW(S81), MATCH(S$1, 'raw-sheet'!$A$1:$ZZ$1, 0))</f>
        <v>http://innisfree-taiwan.myshopify.com/cdn/shop/files/logo.png?v=1767594135</v>
      </c>
      <c r="T82" s="28" t="str">
        <f t="array" ref="T82">INDEX('raw-sheet'!$A$2:$ZZ$1000, ROW(T81), MATCH(T$1, 'raw-sheet'!$A$1:$ZZ$1, 0))</f>
        <v>https://innisfree-taiwan.myshopify.com/cdn/shop/files/logo.png?v=1767594135</v>
      </c>
      <c r="U82" s="28" t="str">
        <f t="array" ref="U82">INDEX('raw-sheet'!$A$2:$ZZ$1000, ROW(U81), MATCH(U$1, 'raw-sheet'!$A$1:$ZZ$1, 0))</f>
        <v>https://innisfree-taiwan.myshopify.com/collections/all?page=15</v>
      </c>
      <c r="V82" s="28" t="str">
        <f t="array" ref="V82">INDEX('raw-sheet'!$A$2:$ZZ$1000, ROW(V81), MATCH(V$1, 'raw-sheet'!$A$1:$ZZ$1, 0))</f>
        <v>ALL | INNISFREE Taiwan</v>
      </c>
      <c r="W82" s="28" t="str">
        <f t="array" ref="W82">INDEX('raw-sheet'!$A$2:$ZZ$1000, ROW(W81),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2" s="28" t="str">
        <f t="array" ref="X82">INDEX('raw-sheet'!$A$2:$ZZ$1000, ROW(X81), MATCH(X$1, 'raw-sheet'!$A$1:$ZZ$1, 0))</f>
        <v>summary_large_image</v>
      </c>
      <c r="Y82" s="30" t="s">
        <v>62</v>
      </c>
      <c r="Z82" s="28" t="str">
        <f>VLOOKUP($A82,'raw-schema'!$A:$R,14,0)</f>
        <v>Organization</v>
      </c>
      <c r="AA82" s="28">
        <f>VLOOKUP($A82,'raw-schema'!$A:$R,15,0)</f>
        <v>0</v>
      </c>
      <c r="AB82" s="28">
        <f>VLOOKUP($A82,'raw-schema'!$A:$R,16,0)</f>
        <v>0</v>
      </c>
      <c r="AC82" s="28">
        <f>VLOOKUP($A82,'raw-schema'!$A:$R,17,0)</f>
        <v>0</v>
      </c>
      <c r="AD82" s="28">
        <f>VLOOKUP($A82,'raw-schema'!$A:$R,18,0)</f>
        <v>0</v>
      </c>
      <c r="AE82" s="30" t="s">
        <v>66</v>
      </c>
      <c r="AF82" t="s">
        <v>65</v>
      </c>
    </row>
    <row r="83" spans="1:32" x14ac:dyDescent="0.3">
      <c r="A83" s="28" t="str">
        <f t="array" ref="A83">INDEX('raw-sheet'!$A$2:$ZZ$1000, ROW(A82), MATCH(A$1, 'raw-sheet'!$A$1:$ZZ$1, 0))</f>
        <v>https://innisfree-taiwan.myshopify.com/collections/all?page=16</v>
      </c>
      <c r="B83" s="30" t="s">
        <v>11</v>
      </c>
      <c r="C83" s="28" t="str">
        <f t="array" ref="C83">INDEX('raw-sheet'!$A$2:$ZZ$1000, ROW(C82), MATCH(C$1, 'raw-sheet'!$A$1:$ZZ$1, 0))</f>
        <v>Product List</v>
      </c>
      <c r="D83" s="28">
        <f t="array" ref="D83">INDEX('raw-sheet'!$A$2:$ZZ$1000, ROW(D82), MATCH(D$1, 'raw-sheet'!$A$1:$ZZ$1, 0))</f>
        <v>200</v>
      </c>
      <c r="E83" s="30" t="str">
        <f t="shared" si="2"/>
        <v>Pass</v>
      </c>
      <c r="F83" s="28" t="str">
        <f t="array" ref="F83">INDEX('raw-sheet'!$A$2:$ZZ$1000, ROW(F82), MATCH(F$1, 'raw-sheet'!$A$1:$ZZ$1, 0))</f>
        <v>ALL_x000D_ – Page 16 | INNISFREE Taiwan</v>
      </c>
      <c r="G83" s="30" t="s">
        <v>11</v>
      </c>
      <c r="H83" s="28">
        <f t="array" ref="H83">INDEX('raw-sheet'!$A$2:$ZZ$1000, ROW(H82), MATCH(H$1, 'raw-sheet'!$A$1:$ZZ$1, 0))</f>
        <v>0</v>
      </c>
      <c r="I83" s="30" t="s">
        <v>61</v>
      </c>
      <c r="J83" s="28" t="str">
        <f t="array" ref="J83">INDEX('raw-sheet'!$A$2:$ZZ$1000, ROW(J82), MATCH(J$1, 'raw-sheet'!$A$1:$ZZ$1, 0))</f>
        <v>ALL</v>
      </c>
      <c r="K83" s="28" t="str">
        <f t="array" ref="K83">INDEX('raw-sheet'!$A$2:$ZZ$1000, ROW(K82), MATCH(K$1, 'raw-sheet'!$A$1:$ZZ$1, 0))</f>
        <v>1</v>
      </c>
      <c r="L83" s="30" t="s">
        <v>60</v>
      </c>
      <c r="M83" s="28" t="str">
        <f t="array" ref="M83">INDEX('raw-sheet'!$A$2:$ZZ$1000, ROW(M82), MATCH(M$1, 'raw-sheet'!$A$1:$ZZ$1, 0))</f>
        <v>https://innisfree-taiwan.myshopify.com/collections/all?page=16</v>
      </c>
      <c r="N83" s="30" t="str">
        <f t="shared" si="3"/>
        <v>Pass</v>
      </c>
      <c r="O83" s="28" t="str">
        <f t="array" ref="O83">INDEX('raw-sheet'!$A$2:$ZZ$1000, ROW(O82), MATCH(O$1, 'raw-sheet'!$A$1:$ZZ$1, 0))</f>
        <v>ALL | INNISFREE Taiwan</v>
      </c>
      <c r="P83" s="28" t="str">
        <f t="array" ref="P83">INDEX('raw-sheet'!$A$2:$ZZ$1000, ROW(P82),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3" s="28" t="str">
        <f t="array" ref="Q83">INDEX('raw-sheet'!$A$2:$ZZ$1000, ROW(Q82), MATCH(Q$1, 'raw-sheet'!$A$1:$ZZ$1, 0))</f>
        <v>website</v>
      </c>
      <c r="R83" s="28" t="str">
        <f t="array" ref="R83">INDEX('raw-sheet'!$A$2:$ZZ$1000, ROW(R82), MATCH(R$1, 'raw-sheet'!$A$1:$ZZ$1, 0))</f>
        <v>INNISFREE Taiwan</v>
      </c>
      <c r="S83" s="28" t="str">
        <f t="array" ref="S83">INDEX('raw-sheet'!$A$2:$ZZ$1000, ROW(S82), MATCH(S$1, 'raw-sheet'!$A$1:$ZZ$1, 0))</f>
        <v>http://innisfree-taiwan.myshopify.com/cdn/shop/files/logo.png?v=1767594135</v>
      </c>
      <c r="T83" s="28" t="str">
        <f t="array" ref="T83">INDEX('raw-sheet'!$A$2:$ZZ$1000, ROW(T82), MATCH(T$1, 'raw-sheet'!$A$1:$ZZ$1, 0))</f>
        <v>https://innisfree-taiwan.myshopify.com/cdn/shop/files/logo.png?v=1767594135</v>
      </c>
      <c r="U83" s="28" t="str">
        <f t="array" ref="U83">INDEX('raw-sheet'!$A$2:$ZZ$1000, ROW(U82), MATCH(U$1, 'raw-sheet'!$A$1:$ZZ$1, 0))</f>
        <v>https://innisfree-taiwan.myshopify.com/collections/all?page=16</v>
      </c>
      <c r="V83" s="28" t="str">
        <f t="array" ref="V83">INDEX('raw-sheet'!$A$2:$ZZ$1000, ROW(V82), MATCH(V$1, 'raw-sheet'!$A$1:$ZZ$1, 0))</f>
        <v>ALL | INNISFREE Taiwan</v>
      </c>
      <c r="W83" s="28" t="str">
        <f t="array" ref="W83">INDEX('raw-sheet'!$A$2:$ZZ$1000, ROW(W82),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3" s="28" t="str">
        <f t="array" ref="X83">INDEX('raw-sheet'!$A$2:$ZZ$1000, ROW(X82), MATCH(X$1, 'raw-sheet'!$A$1:$ZZ$1, 0))</f>
        <v>summary_large_image</v>
      </c>
      <c r="Y83" s="30" t="s">
        <v>62</v>
      </c>
      <c r="Z83" s="28" t="str">
        <f>VLOOKUP($A83,'raw-schema'!$A:$R,14,0)</f>
        <v>Organization</v>
      </c>
      <c r="AA83" s="28">
        <f>VLOOKUP($A83,'raw-schema'!$A:$R,15,0)</f>
        <v>0</v>
      </c>
      <c r="AB83" s="28">
        <f>VLOOKUP($A83,'raw-schema'!$A:$R,16,0)</f>
        <v>0</v>
      </c>
      <c r="AC83" s="28">
        <f>VLOOKUP($A83,'raw-schema'!$A:$R,17,0)</f>
        <v>0</v>
      </c>
      <c r="AD83" s="28">
        <f>VLOOKUP($A83,'raw-schema'!$A:$R,18,0)</f>
        <v>0</v>
      </c>
      <c r="AE83" s="30" t="s">
        <v>66</v>
      </c>
      <c r="AF83" t="s">
        <v>65</v>
      </c>
    </row>
    <row r="84" spans="1:32" x14ac:dyDescent="0.3">
      <c r="A84" s="28" t="str">
        <f t="array" ref="A84">INDEX('raw-sheet'!$A$2:$ZZ$1000, ROW(A83), MATCH(A$1, 'raw-sheet'!$A$1:$ZZ$1, 0))</f>
        <v>https://innisfree-taiwan.myshopify.com/collections/all?page=2</v>
      </c>
      <c r="B84" s="30" t="s">
        <v>11</v>
      </c>
      <c r="C84" s="28" t="str">
        <f t="array" ref="C84">INDEX('raw-sheet'!$A$2:$ZZ$1000, ROW(C83), MATCH(C$1, 'raw-sheet'!$A$1:$ZZ$1, 0))</f>
        <v>Product List</v>
      </c>
      <c r="D84" s="28">
        <f t="array" ref="D84">INDEX('raw-sheet'!$A$2:$ZZ$1000, ROW(D83), MATCH(D$1, 'raw-sheet'!$A$1:$ZZ$1, 0))</f>
        <v>200</v>
      </c>
      <c r="E84" s="30" t="str">
        <f t="shared" si="2"/>
        <v>Pass</v>
      </c>
      <c r="F84" s="28" t="str">
        <f t="array" ref="F84">INDEX('raw-sheet'!$A$2:$ZZ$1000, ROW(F83), MATCH(F$1, 'raw-sheet'!$A$1:$ZZ$1, 0))</f>
        <v>ALL_x000D_ – Page 2 | INNISFREE Taiwan</v>
      </c>
      <c r="G84" s="30" t="s">
        <v>11</v>
      </c>
      <c r="H84" s="28">
        <f t="array" ref="H84">INDEX('raw-sheet'!$A$2:$ZZ$1000, ROW(H83), MATCH(H$1, 'raw-sheet'!$A$1:$ZZ$1, 0))</f>
        <v>0</v>
      </c>
      <c r="I84" s="30" t="s">
        <v>61</v>
      </c>
      <c r="J84" s="28" t="str">
        <f t="array" ref="J84">INDEX('raw-sheet'!$A$2:$ZZ$1000, ROW(J83), MATCH(J$1, 'raw-sheet'!$A$1:$ZZ$1, 0))</f>
        <v>ALL</v>
      </c>
      <c r="K84" s="28" t="str">
        <f t="array" ref="K84">INDEX('raw-sheet'!$A$2:$ZZ$1000, ROW(K83), MATCH(K$1, 'raw-sheet'!$A$1:$ZZ$1, 0))</f>
        <v>1</v>
      </c>
      <c r="L84" s="30" t="s">
        <v>60</v>
      </c>
      <c r="M84" s="28" t="str">
        <f t="array" ref="M84">INDEX('raw-sheet'!$A$2:$ZZ$1000, ROW(M83), MATCH(M$1, 'raw-sheet'!$A$1:$ZZ$1, 0))</f>
        <v>https://innisfree-taiwan.myshopify.com/collections/all?page=2</v>
      </c>
      <c r="N84" s="30" t="str">
        <f t="shared" si="3"/>
        <v>Pass</v>
      </c>
      <c r="O84" s="28" t="str">
        <f t="array" ref="O84">INDEX('raw-sheet'!$A$2:$ZZ$1000, ROW(O83), MATCH(O$1, 'raw-sheet'!$A$1:$ZZ$1, 0))</f>
        <v>ALL | INNISFREE Taiwan</v>
      </c>
      <c r="P84" s="28" t="str">
        <f t="array" ref="P84">INDEX('raw-sheet'!$A$2:$ZZ$1000, ROW(P83),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4" s="28" t="str">
        <f t="array" ref="Q84">INDEX('raw-sheet'!$A$2:$ZZ$1000, ROW(Q83), MATCH(Q$1, 'raw-sheet'!$A$1:$ZZ$1, 0))</f>
        <v>website</v>
      </c>
      <c r="R84" s="28" t="str">
        <f t="array" ref="R84">INDEX('raw-sheet'!$A$2:$ZZ$1000, ROW(R83), MATCH(R$1, 'raw-sheet'!$A$1:$ZZ$1, 0))</f>
        <v>INNISFREE Taiwan</v>
      </c>
      <c r="S84" s="28" t="str">
        <f t="array" ref="S84">INDEX('raw-sheet'!$A$2:$ZZ$1000, ROW(S83), MATCH(S$1, 'raw-sheet'!$A$1:$ZZ$1, 0))</f>
        <v>http://innisfree-taiwan.myshopify.com/cdn/shop/files/logo.png?v=1767594135</v>
      </c>
      <c r="T84" s="28" t="str">
        <f t="array" ref="T84">INDEX('raw-sheet'!$A$2:$ZZ$1000, ROW(T83), MATCH(T$1, 'raw-sheet'!$A$1:$ZZ$1, 0))</f>
        <v>https://innisfree-taiwan.myshopify.com/cdn/shop/files/logo.png?v=1767594135</v>
      </c>
      <c r="U84" s="28" t="str">
        <f t="array" ref="U84">INDEX('raw-sheet'!$A$2:$ZZ$1000, ROW(U83), MATCH(U$1, 'raw-sheet'!$A$1:$ZZ$1, 0))</f>
        <v>https://innisfree-taiwan.myshopify.com/collections/all?page=2</v>
      </c>
      <c r="V84" s="28" t="str">
        <f t="array" ref="V84">INDEX('raw-sheet'!$A$2:$ZZ$1000, ROW(V83), MATCH(V$1, 'raw-sheet'!$A$1:$ZZ$1, 0))</f>
        <v>ALL | INNISFREE Taiwan</v>
      </c>
      <c r="W84" s="28" t="str">
        <f t="array" ref="W84">INDEX('raw-sheet'!$A$2:$ZZ$1000, ROW(W83),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4" s="28" t="str">
        <f t="array" ref="X84">INDEX('raw-sheet'!$A$2:$ZZ$1000, ROW(X83), MATCH(X$1, 'raw-sheet'!$A$1:$ZZ$1, 0))</f>
        <v>summary_large_image</v>
      </c>
      <c r="Y84" s="30" t="s">
        <v>62</v>
      </c>
      <c r="Z84" s="28" t="str">
        <f>VLOOKUP($A84,'raw-schema'!$A:$R,14,0)</f>
        <v>Organization</v>
      </c>
      <c r="AA84" s="28">
        <f>VLOOKUP($A84,'raw-schema'!$A:$R,15,0)</f>
        <v>0</v>
      </c>
      <c r="AB84" s="28">
        <f>VLOOKUP($A84,'raw-schema'!$A:$R,16,0)</f>
        <v>0</v>
      </c>
      <c r="AC84" s="28">
        <f>VLOOKUP($A84,'raw-schema'!$A:$R,17,0)</f>
        <v>0</v>
      </c>
      <c r="AD84" s="28">
        <f>VLOOKUP($A84,'raw-schema'!$A:$R,18,0)</f>
        <v>0</v>
      </c>
      <c r="AE84" s="30" t="s">
        <v>66</v>
      </c>
      <c r="AF84" t="s">
        <v>65</v>
      </c>
    </row>
    <row r="85" spans="1:32" x14ac:dyDescent="0.3">
      <c r="A85" s="28" t="str">
        <f t="array" ref="A85">INDEX('raw-sheet'!$A$2:$ZZ$1000, ROW(A84), MATCH(A$1, 'raw-sheet'!$A$1:$ZZ$1, 0))</f>
        <v>https://innisfree-taiwan.myshopify.com/collections/all?page=3</v>
      </c>
      <c r="B85" s="30" t="s">
        <v>11</v>
      </c>
      <c r="C85" s="28" t="str">
        <f t="array" ref="C85">INDEX('raw-sheet'!$A$2:$ZZ$1000, ROW(C84), MATCH(C$1, 'raw-sheet'!$A$1:$ZZ$1, 0))</f>
        <v>Product List</v>
      </c>
      <c r="D85" s="28">
        <f t="array" ref="D85">INDEX('raw-sheet'!$A$2:$ZZ$1000, ROW(D84), MATCH(D$1, 'raw-sheet'!$A$1:$ZZ$1, 0))</f>
        <v>200</v>
      </c>
      <c r="E85" s="30" t="str">
        <f t="shared" si="2"/>
        <v>Pass</v>
      </c>
      <c r="F85" s="28" t="str">
        <f t="array" ref="F85">INDEX('raw-sheet'!$A$2:$ZZ$1000, ROW(F84), MATCH(F$1, 'raw-sheet'!$A$1:$ZZ$1, 0))</f>
        <v>ALL_x000D_ – Page 3 | INNISFREE Taiwan</v>
      </c>
      <c r="G85" s="30" t="s">
        <v>11</v>
      </c>
      <c r="H85" s="28">
        <f t="array" ref="H85">INDEX('raw-sheet'!$A$2:$ZZ$1000, ROW(H84), MATCH(H$1, 'raw-sheet'!$A$1:$ZZ$1, 0))</f>
        <v>0</v>
      </c>
      <c r="I85" s="30" t="s">
        <v>61</v>
      </c>
      <c r="J85" s="28" t="str">
        <f t="array" ref="J85">INDEX('raw-sheet'!$A$2:$ZZ$1000, ROW(J84), MATCH(J$1, 'raw-sheet'!$A$1:$ZZ$1, 0))</f>
        <v>ALL</v>
      </c>
      <c r="K85" s="28" t="str">
        <f t="array" ref="K85">INDEX('raw-sheet'!$A$2:$ZZ$1000, ROW(K84), MATCH(K$1, 'raw-sheet'!$A$1:$ZZ$1, 0))</f>
        <v>1</v>
      </c>
      <c r="L85" s="30" t="s">
        <v>60</v>
      </c>
      <c r="M85" s="28" t="str">
        <f t="array" ref="M85">INDEX('raw-sheet'!$A$2:$ZZ$1000, ROW(M84), MATCH(M$1, 'raw-sheet'!$A$1:$ZZ$1, 0))</f>
        <v>https://innisfree-taiwan.myshopify.com/collections/all?page=3</v>
      </c>
      <c r="N85" s="30" t="str">
        <f t="shared" si="3"/>
        <v>Pass</v>
      </c>
      <c r="O85" s="28" t="str">
        <f t="array" ref="O85">INDEX('raw-sheet'!$A$2:$ZZ$1000, ROW(O84), MATCH(O$1, 'raw-sheet'!$A$1:$ZZ$1, 0))</f>
        <v>ALL | INNISFREE Taiwan</v>
      </c>
      <c r="P85" s="28" t="str">
        <f t="array" ref="P85">INDEX('raw-sheet'!$A$2:$ZZ$1000, ROW(P84),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5" s="28" t="str">
        <f t="array" ref="Q85">INDEX('raw-sheet'!$A$2:$ZZ$1000, ROW(Q84), MATCH(Q$1, 'raw-sheet'!$A$1:$ZZ$1, 0))</f>
        <v>website</v>
      </c>
      <c r="R85" s="28" t="str">
        <f t="array" ref="R85">INDEX('raw-sheet'!$A$2:$ZZ$1000, ROW(R84), MATCH(R$1, 'raw-sheet'!$A$1:$ZZ$1, 0))</f>
        <v>INNISFREE Taiwan</v>
      </c>
      <c r="S85" s="28" t="str">
        <f t="array" ref="S85">INDEX('raw-sheet'!$A$2:$ZZ$1000, ROW(S84), MATCH(S$1, 'raw-sheet'!$A$1:$ZZ$1, 0))</f>
        <v>http://innisfree-taiwan.myshopify.com/cdn/shop/files/logo.png?v=1767594135</v>
      </c>
      <c r="T85" s="28" t="str">
        <f t="array" ref="T85">INDEX('raw-sheet'!$A$2:$ZZ$1000, ROW(T84), MATCH(T$1, 'raw-sheet'!$A$1:$ZZ$1, 0))</f>
        <v>https://innisfree-taiwan.myshopify.com/cdn/shop/files/logo.png?v=1767594135</v>
      </c>
      <c r="U85" s="28" t="str">
        <f t="array" ref="U85">INDEX('raw-sheet'!$A$2:$ZZ$1000, ROW(U84), MATCH(U$1, 'raw-sheet'!$A$1:$ZZ$1, 0))</f>
        <v>https://innisfree-taiwan.myshopify.com/collections/all?page=3</v>
      </c>
      <c r="V85" s="28" t="str">
        <f t="array" ref="V85">INDEX('raw-sheet'!$A$2:$ZZ$1000, ROW(V84), MATCH(V$1, 'raw-sheet'!$A$1:$ZZ$1, 0))</f>
        <v>ALL | INNISFREE Taiwan</v>
      </c>
      <c r="W85" s="28" t="str">
        <f t="array" ref="W85">INDEX('raw-sheet'!$A$2:$ZZ$1000, ROW(W84),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5" s="28" t="str">
        <f t="array" ref="X85">INDEX('raw-sheet'!$A$2:$ZZ$1000, ROW(X84), MATCH(X$1, 'raw-sheet'!$A$1:$ZZ$1, 0))</f>
        <v>summary_large_image</v>
      </c>
      <c r="Y85" s="30" t="s">
        <v>62</v>
      </c>
      <c r="Z85" s="28" t="str">
        <f>VLOOKUP($A85,'raw-schema'!$A:$R,14,0)</f>
        <v>Organization</v>
      </c>
      <c r="AA85" s="28">
        <f>VLOOKUP($A85,'raw-schema'!$A:$R,15,0)</f>
        <v>0</v>
      </c>
      <c r="AB85" s="28">
        <f>VLOOKUP($A85,'raw-schema'!$A:$R,16,0)</f>
        <v>0</v>
      </c>
      <c r="AC85" s="28">
        <f>VLOOKUP($A85,'raw-schema'!$A:$R,17,0)</f>
        <v>0</v>
      </c>
      <c r="AD85" s="28">
        <f>VLOOKUP($A85,'raw-schema'!$A:$R,18,0)</f>
        <v>0</v>
      </c>
      <c r="AE85" s="30" t="s">
        <v>66</v>
      </c>
      <c r="AF85" t="s">
        <v>65</v>
      </c>
    </row>
    <row r="86" spans="1:32" x14ac:dyDescent="0.3">
      <c r="A86" s="28" t="str">
        <f t="array" ref="A86">INDEX('raw-sheet'!$A$2:$ZZ$1000, ROW(A85), MATCH(A$1, 'raw-sheet'!$A$1:$ZZ$1, 0))</f>
        <v>https://innisfree-taiwan.myshopify.com/collections/all?page=4</v>
      </c>
      <c r="B86" s="30" t="s">
        <v>11</v>
      </c>
      <c r="C86" s="28" t="str">
        <f t="array" ref="C86">INDEX('raw-sheet'!$A$2:$ZZ$1000, ROW(C85), MATCH(C$1, 'raw-sheet'!$A$1:$ZZ$1, 0))</f>
        <v>Product List</v>
      </c>
      <c r="D86" s="28">
        <f t="array" ref="D86">INDEX('raw-sheet'!$A$2:$ZZ$1000, ROW(D85), MATCH(D$1, 'raw-sheet'!$A$1:$ZZ$1, 0))</f>
        <v>200</v>
      </c>
      <c r="E86" s="30" t="str">
        <f t="shared" si="2"/>
        <v>Pass</v>
      </c>
      <c r="F86" s="28" t="str">
        <f t="array" ref="F86">INDEX('raw-sheet'!$A$2:$ZZ$1000, ROW(F85), MATCH(F$1, 'raw-sheet'!$A$1:$ZZ$1, 0))</f>
        <v>ALL_x000D_ – Page 4 | INNISFREE Taiwan</v>
      </c>
      <c r="G86" s="30" t="s">
        <v>11</v>
      </c>
      <c r="H86" s="28">
        <f t="array" ref="H86">INDEX('raw-sheet'!$A$2:$ZZ$1000, ROW(H85), MATCH(H$1, 'raw-sheet'!$A$1:$ZZ$1, 0))</f>
        <v>0</v>
      </c>
      <c r="I86" s="30" t="s">
        <v>61</v>
      </c>
      <c r="J86" s="28" t="str">
        <f t="array" ref="J86">INDEX('raw-sheet'!$A$2:$ZZ$1000, ROW(J85), MATCH(J$1, 'raw-sheet'!$A$1:$ZZ$1, 0))</f>
        <v>ALL</v>
      </c>
      <c r="K86" s="28" t="str">
        <f t="array" ref="K86">INDEX('raw-sheet'!$A$2:$ZZ$1000, ROW(K85), MATCH(K$1, 'raw-sheet'!$A$1:$ZZ$1, 0))</f>
        <v>1</v>
      </c>
      <c r="L86" s="30" t="s">
        <v>60</v>
      </c>
      <c r="M86" s="28" t="str">
        <f t="array" ref="M86">INDEX('raw-sheet'!$A$2:$ZZ$1000, ROW(M85), MATCH(M$1, 'raw-sheet'!$A$1:$ZZ$1, 0))</f>
        <v>https://innisfree-taiwan.myshopify.com/collections/all?page=4</v>
      </c>
      <c r="N86" s="30" t="str">
        <f t="shared" si="3"/>
        <v>Pass</v>
      </c>
      <c r="O86" s="28" t="str">
        <f t="array" ref="O86">INDEX('raw-sheet'!$A$2:$ZZ$1000, ROW(O85), MATCH(O$1, 'raw-sheet'!$A$1:$ZZ$1, 0))</f>
        <v>ALL | INNISFREE Taiwan</v>
      </c>
      <c r="P86" s="28" t="str">
        <f t="array" ref="P86">INDEX('raw-sheet'!$A$2:$ZZ$1000, ROW(P85),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6" s="28" t="str">
        <f t="array" ref="Q86">INDEX('raw-sheet'!$A$2:$ZZ$1000, ROW(Q85), MATCH(Q$1, 'raw-sheet'!$A$1:$ZZ$1, 0))</f>
        <v>website</v>
      </c>
      <c r="R86" s="28" t="str">
        <f t="array" ref="R86">INDEX('raw-sheet'!$A$2:$ZZ$1000, ROW(R85), MATCH(R$1, 'raw-sheet'!$A$1:$ZZ$1, 0))</f>
        <v>INNISFREE Taiwan</v>
      </c>
      <c r="S86" s="28" t="str">
        <f t="array" ref="S86">INDEX('raw-sheet'!$A$2:$ZZ$1000, ROW(S85), MATCH(S$1, 'raw-sheet'!$A$1:$ZZ$1, 0))</f>
        <v>http://innisfree-taiwan.myshopify.com/cdn/shop/files/logo.png?v=1767594135</v>
      </c>
      <c r="T86" s="28" t="str">
        <f t="array" ref="T86">INDEX('raw-sheet'!$A$2:$ZZ$1000, ROW(T85), MATCH(T$1, 'raw-sheet'!$A$1:$ZZ$1, 0))</f>
        <v>https://innisfree-taiwan.myshopify.com/cdn/shop/files/logo.png?v=1767594135</v>
      </c>
      <c r="U86" s="28" t="str">
        <f t="array" ref="U86">INDEX('raw-sheet'!$A$2:$ZZ$1000, ROW(U85), MATCH(U$1, 'raw-sheet'!$A$1:$ZZ$1, 0))</f>
        <v>https://innisfree-taiwan.myshopify.com/collections/all?page=4</v>
      </c>
      <c r="V86" s="28" t="str">
        <f t="array" ref="V86">INDEX('raw-sheet'!$A$2:$ZZ$1000, ROW(V85), MATCH(V$1, 'raw-sheet'!$A$1:$ZZ$1, 0))</f>
        <v>ALL | INNISFREE Taiwan</v>
      </c>
      <c r="W86" s="28" t="str">
        <f t="array" ref="W86">INDEX('raw-sheet'!$A$2:$ZZ$1000, ROW(W85),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6" s="28" t="str">
        <f t="array" ref="X86">INDEX('raw-sheet'!$A$2:$ZZ$1000, ROW(X85), MATCH(X$1, 'raw-sheet'!$A$1:$ZZ$1, 0))</f>
        <v>summary_large_image</v>
      </c>
      <c r="Y86" s="30" t="s">
        <v>62</v>
      </c>
      <c r="Z86" s="28" t="str">
        <f>VLOOKUP($A86,'raw-schema'!$A:$R,14,0)</f>
        <v>Organization</v>
      </c>
      <c r="AA86" s="28">
        <f>VLOOKUP($A86,'raw-schema'!$A:$R,15,0)</f>
        <v>0</v>
      </c>
      <c r="AB86" s="28">
        <f>VLOOKUP($A86,'raw-schema'!$A:$R,16,0)</f>
        <v>0</v>
      </c>
      <c r="AC86" s="28">
        <f>VLOOKUP($A86,'raw-schema'!$A:$R,17,0)</f>
        <v>0</v>
      </c>
      <c r="AD86" s="28">
        <f>VLOOKUP($A86,'raw-schema'!$A:$R,18,0)</f>
        <v>0</v>
      </c>
      <c r="AE86" s="30" t="s">
        <v>66</v>
      </c>
      <c r="AF86" t="s">
        <v>65</v>
      </c>
    </row>
    <row r="87" spans="1:32" x14ac:dyDescent="0.3">
      <c r="A87" s="28" t="str">
        <f t="array" ref="A87">INDEX('raw-sheet'!$A$2:$ZZ$1000, ROW(A86), MATCH(A$1, 'raw-sheet'!$A$1:$ZZ$1, 0))</f>
        <v>https://innisfree-taiwan.myshopify.com/collections/all?page=5</v>
      </c>
      <c r="B87" s="30" t="s">
        <v>11</v>
      </c>
      <c r="C87" s="28" t="str">
        <f t="array" ref="C87">INDEX('raw-sheet'!$A$2:$ZZ$1000, ROW(C86), MATCH(C$1, 'raw-sheet'!$A$1:$ZZ$1, 0))</f>
        <v>Product List</v>
      </c>
      <c r="D87" s="28">
        <f t="array" ref="D87">INDEX('raw-sheet'!$A$2:$ZZ$1000, ROW(D86), MATCH(D$1, 'raw-sheet'!$A$1:$ZZ$1, 0))</f>
        <v>200</v>
      </c>
      <c r="E87" s="30" t="str">
        <f t="shared" si="2"/>
        <v>Pass</v>
      </c>
      <c r="F87" s="28" t="str">
        <f t="array" ref="F87">INDEX('raw-sheet'!$A$2:$ZZ$1000, ROW(F86), MATCH(F$1, 'raw-sheet'!$A$1:$ZZ$1, 0))</f>
        <v>ALL_x000D_ – Page 5 | INNISFREE Taiwan</v>
      </c>
      <c r="G87" s="30" t="s">
        <v>11</v>
      </c>
      <c r="H87" s="28">
        <f t="array" ref="H87">INDEX('raw-sheet'!$A$2:$ZZ$1000, ROW(H86), MATCH(H$1, 'raw-sheet'!$A$1:$ZZ$1, 0))</f>
        <v>0</v>
      </c>
      <c r="I87" s="30" t="s">
        <v>61</v>
      </c>
      <c r="J87" s="28" t="str">
        <f t="array" ref="J87">INDEX('raw-sheet'!$A$2:$ZZ$1000, ROW(J86), MATCH(J$1, 'raw-sheet'!$A$1:$ZZ$1, 0))</f>
        <v>ALL</v>
      </c>
      <c r="K87" s="28" t="str">
        <f t="array" ref="K87">INDEX('raw-sheet'!$A$2:$ZZ$1000, ROW(K86), MATCH(K$1, 'raw-sheet'!$A$1:$ZZ$1, 0))</f>
        <v>1</v>
      </c>
      <c r="L87" s="30" t="s">
        <v>60</v>
      </c>
      <c r="M87" s="28" t="str">
        <f t="array" ref="M87">INDEX('raw-sheet'!$A$2:$ZZ$1000, ROW(M86), MATCH(M$1, 'raw-sheet'!$A$1:$ZZ$1, 0))</f>
        <v>https://innisfree-taiwan.myshopify.com/collections/all?page=5</v>
      </c>
      <c r="N87" s="30" t="str">
        <f t="shared" si="3"/>
        <v>Pass</v>
      </c>
      <c r="O87" s="28" t="str">
        <f t="array" ref="O87">INDEX('raw-sheet'!$A$2:$ZZ$1000, ROW(O86), MATCH(O$1, 'raw-sheet'!$A$1:$ZZ$1, 0))</f>
        <v>ALL | INNISFREE Taiwan</v>
      </c>
      <c r="P87" s="28" t="str">
        <f t="array" ref="P87">INDEX('raw-sheet'!$A$2:$ZZ$1000, ROW(P86),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7" s="28" t="str">
        <f t="array" ref="Q87">INDEX('raw-sheet'!$A$2:$ZZ$1000, ROW(Q86), MATCH(Q$1, 'raw-sheet'!$A$1:$ZZ$1, 0))</f>
        <v>website</v>
      </c>
      <c r="R87" s="28" t="str">
        <f t="array" ref="R87">INDEX('raw-sheet'!$A$2:$ZZ$1000, ROW(R86), MATCH(R$1, 'raw-sheet'!$A$1:$ZZ$1, 0))</f>
        <v>INNISFREE Taiwan</v>
      </c>
      <c r="S87" s="28" t="str">
        <f t="array" ref="S87">INDEX('raw-sheet'!$A$2:$ZZ$1000, ROW(S86), MATCH(S$1, 'raw-sheet'!$A$1:$ZZ$1, 0))</f>
        <v>http://innisfree-taiwan.myshopify.com/cdn/shop/files/logo.png?v=1767594135</v>
      </c>
      <c r="T87" s="28" t="str">
        <f t="array" ref="T87">INDEX('raw-sheet'!$A$2:$ZZ$1000, ROW(T86), MATCH(T$1, 'raw-sheet'!$A$1:$ZZ$1, 0))</f>
        <v>https://innisfree-taiwan.myshopify.com/cdn/shop/files/logo.png?v=1767594135</v>
      </c>
      <c r="U87" s="28" t="str">
        <f t="array" ref="U87">INDEX('raw-sheet'!$A$2:$ZZ$1000, ROW(U86), MATCH(U$1, 'raw-sheet'!$A$1:$ZZ$1, 0))</f>
        <v>https://innisfree-taiwan.myshopify.com/collections/all?page=5</v>
      </c>
      <c r="V87" s="28" t="str">
        <f t="array" ref="V87">INDEX('raw-sheet'!$A$2:$ZZ$1000, ROW(V86), MATCH(V$1, 'raw-sheet'!$A$1:$ZZ$1, 0))</f>
        <v>ALL | INNISFREE Taiwan</v>
      </c>
      <c r="W87" s="28" t="str">
        <f t="array" ref="W87">INDEX('raw-sheet'!$A$2:$ZZ$1000, ROW(W86),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7" s="28" t="str">
        <f t="array" ref="X87">INDEX('raw-sheet'!$A$2:$ZZ$1000, ROW(X86), MATCH(X$1, 'raw-sheet'!$A$1:$ZZ$1, 0))</f>
        <v>summary_large_image</v>
      </c>
      <c r="Y87" s="30" t="s">
        <v>62</v>
      </c>
      <c r="Z87" s="28" t="str">
        <f>VLOOKUP($A87,'raw-schema'!$A:$R,14,0)</f>
        <v>Organization</v>
      </c>
      <c r="AA87" s="28">
        <f>VLOOKUP($A87,'raw-schema'!$A:$R,15,0)</f>
        <v>0</v>
      </c>
      <c r="AB87" s="28">
        <f>VLOOKUP($A87,'raw-schema'!$A:$R,16,0)</f>
        <v>0</v>
      </c>
      <c r="AC87" s="28">
        <f>VLOOKUP($A87,'raw-schema'!$A:$R,17,0)</f>
        <v>0</v>
      </c>
      <c r="AD87" s="28">
        <f>VLOOKUP($A87,'raw-schema'!$A:$R,18,0)</f>
        <v>0</v>
      </c>
      <c r="AE87" s="30" t="s">
        <v>66</v>
      </c>
      <c r="AF87" t="s">
        <v>65</v>
      </c>
    </row>
    <row r="88" spans="1:32" x14ac:dyDescent="0.3">
      <c r="A88" s="28" t="str">
        <f t="array" ref="A88">INDEX('raw-sheet'!$A$2:$ZZ$1000, ROW(A87), MATCH(A$1, 'raw-sheet'!$A$1:$ZZ$1, 0))</f>
        <v>https://innisfree-taiwan.myshopify.com/collections/all?page=6</v>
      </c>
      <c r="B88" s="30" t="s">
        <v>11</v>
      </c>
      <c r="C88" s="28" t="str">
        <f t="array" ref="C88">INDEX('raw-sheet'!$A$2:$ZZ$1000, ROW(C87), MATCH(C$1, 'raw-sheet'!$A$1:$ZZ$1, 0))</f>
        <v>Product List</v>
      </c>
      <c r="D88" s="28">
        <f t="array" ref="D88">INDEX('raw-sheet'!$A$2:$ZZ$1000, ROW(D87), MATCH(D$1, 'raw-sheet'!$A$1:$ZZ$1, 0))</f>
        <v>200</v>
      </c>
      <c r="E88" s="30" t="str">
        <f t="shared" si="2"/>
        <v>Pass</v>
      </c>
      <c r="F88" s="28" t="str">
        <f t="array" ref="F88">INDEX('raw-sheet'!$A$2:$ZZ$1000, ROW(F87), MATCH(F$1, 'raw-sheet'!$A$1:$ZZ$1, 0))</f>
        <v>ALL_x000D_ – Page 6 | INNISFREE Taiwan</v>
      </c>
      <c r="G88" s="30" t="s">
        <v>11</v>
      </c>
      <c r="H88" s="28">
        <f t="array" ref="H88">INDEX('raw-sheet'!$A$2:$ZZ$1000, ROW(H87), MATCH(H$1, 'raw-sheet'!$A$1:$ZZ$1, 0))</f>
        <v>0</v>
      </c>
      <c r="I88" s="30" t="s">
        <v>61</v>
      </c>
      <c r="J88" s="28" t="str">
        <f t="array" ref="J88">INDEX('raw-sheet'!$A$2:$ZZ$1000, ROW(J87), MATCH(J$1, 'raw-sheet'!$A$1:$ZZ$1, 0))</f>
        <v>ALL</v>
      </c>
      <c r="K88" s="28" t="str">
        <f t="array" ref="K88">INDEX('raw-sheet'!$A$2:$ZZ$1000, ROW(K87), MATCH(K$1, 'raw-sheet'!$A$1:$ZZ$1, 0))</f>
        <v>1</v>
      </c>
      <c r="L88" s="30" t="s">
        <v>60</v>
      </c>
      <c r="M88" s="28" t="str">
        <f t="array" ref="M88">INDEX('raw-sheet'!$A$2:$ZZ$1000, ROW(M87), MATCH(M$1, 'raw-sheet'!$A$1:$ZZ$1, 0))</f>
        <v>https://innisfree-taiwan.myshopify.com/collections/all?page=6</v>
      </c>
      <c r="N88" s="30" t="str">
        <f t="shared" si="3"/>
        <v>Pass</v>
      </c>
      <c r="O88" s="28" t="str">
        <f t="array" ref="O88">INDEX('raw-sheet'!$A$2:$ZZ$1000, ROW(O87), MATCH(O$1, 'raw-sheet'!$A$1:$ZZ$1, 0))</f>
        <v>ALL | INNISFREE Taiwan</v>
      </c>
      <c r="P88" s="28" t="str">
        <f t="array" ref="P88">INDEX('raw-sheet'!$A$2:$ZZ$1000, ROW(P87),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8" s="28" t="str">
        <f t="array" ref="Q88">INDEX('raw-sheet'!$A$2:$ZZ$1000, ROW(Q87), MATCH(Q$1, 'raw-sheet'!$A$1:$ZZ$1, 0))</f>
        <v>website</v>
      </c>
      <c r="R88" s="28" t="str">
        <f t="array" ref="R88">INDEX('raw-sheet'!$A$2:$ZZ$1000, ROW(R87), MATCH(R$1, 'raw-sheet'!$A$1:$ZZ$1, 0))</f>
        <v>INNISFREE Taiwan</v>
      </c>
      <c r="S88" s="28" t="str">
        <f t="array" ref="S88">INDEX('raw-sheet'!$A$2:$ZZ$1000, ROW(S87), MATCH(S$1, 'raw-sheet'!$A$1:$ZZ$1, 0))</f>
        <v>http://innisfree-taiwan.myshopify.com/cdn/shop/files/logo.png?v=1767594135</v>
      </c>
      <c r="T88" s="28" t="str">
        <f t="array" ref="T88">INDEX('raw-sheet'!$A$2:$ZZ$1000, ROW(T87), MATCH(T$1, 'raw-sheet'!$A$1:$ZZ$1, 0))</f>
        <v>https://innisfree-taiwan.myshopify.com/cdn/shop/files/logo.png?v=1767594135</v>
      </c>
      <c r="U88" s="28" t="str">
        <f t="array" ref="U88">INDEX('raw-sheet'!$A$2:$ZZ$1000, ROW(U87), MATCH(U$1, 'raw-sheet'!$A$1:$ZZ$1, 0))</f>
        <v>https://innisfree-taiwan.myshopify.com/collections/all?page=6</v>
      </c>
      <c r="V88" s="28" t="str">
        <f t="array" ref="V88">INDEX('raw-sheet'!$A$2:$ZZ$1000, ROW(V87), MATCH(V$1, 'raw-sheet'!$A$1:$ZZ$1, 0))</f>
        <v>ALL | INNISFREE Taiwan</v>
      </c>
      <c r="W88" s="28" t="str">
        <f t="array" ref="W88">INDEX('raw-sheet'!$A$2:$ZZ$1000, ROW(W87),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8" s="28" t="str">
        <f t="array" ref="X88">INDEX('raw-sheet'!$A$2:$ZZ$1000, ROW(X87), MATCH(X$1, 'raw-sheet'!$A$1:$ZZ$1, 0))</f>
        <v>summary_large_image</v>
      </c>
      <c r="Y88" s="30" t="s">
        <v>62</v>
      </c>
      <c r="Z88" s="28" t="str">
        <f>VLOOKUP($A88,'raw-schema'!$A:$R,14,0)</f>
        <v>Organization</v>
      </c>
      <c r="AA88" s="28">
        <f>VLOOKUP($A88,'raw-schema'!$A:$R,15,0)</f>
        <v>0</v>
      </c>
      <c r="AB88" s="28">
        <f>VLOOKUP($A88,'raw-schema'!$A:$R,16,0)</f>
        <v>0</v>
      </c>
      <c r="AC88" s="28">
        <f>VLOOKUP($A88,'raw-schema'!$A:$R,17,0)</f>
        <v>0</v>
      </c>
      <c r="AD88" s="28">
        <f>VLOOKUP($A88,'raw-schema'!$A:$R,18,0)</f>
        <v>0</v>
      </c>
      <c r="AE88" s="30" t="s">
        <v>66</v>
      </c>
      <c r="AF88" t="s">
        <v>65</v>
      </c>
    </row>
    <row r="89" spans="1:32" x14ac:dyDescent="0.3">
      <c r="A89" s="28" t="str">
        <f t="array" ref="A89">INDEX('raw-sheet'!$A$2:$ZZ$1000, ROW(A88), MATCH(A$1, 'raw-sheet'!$A$1:$ZZ$1, 0))</f>
        <v>https://innisfree-taiwan.myshopify.com/collections/all?page=7</v>
      </c>
      <c r="B89" s="30" t="s">
        <v>11</v>
      </c>
      <c r="C89" s="28" t="str">
        <f t="array" ref="C89">INDEX('raw-sheet'!$A$2:$ZZ$1000, ROW(C88), MATCH(C$1, 'raw-sheet'!$A$1:$ZZ$1, 0))</f>
        <v>Product List</v>
      </c>
      <c r="D89" s="28">
        <f t="array" ref="D89">INDEX('raw-sheet'!$A$2:$ZZ$1000, ROW(D88), MATCH(D$1, 'raw-sheet'!$A$1:$ZZ$1, 0))</f>
        <v>200</v>
      </c>
      <c r="E89" s="30" t="str">
        <f t="shared" si="2"/>
        <v>Pass</v>
      </c>
      <c r="F89" s="28" t="str">
        <f t="array" ref="F89">INDEX('raw-sheet'!$A$2:$ZZ$1000, ROW(F88), MATCH(F$1, 'raw-sheet'!$A$1:$ZZ$1, 0))</f>
        <v>ALL_x000D_ – Page 7 | INNISFREE Taiwan</v>
      </c>
      <c r="G89" s="30" t="s">
        <v>11</v>
      </c>
      <c r="H89" s="28">
        <f t="array" ref="H89">INDEX('raw-sheet'!$A$2:$ZZ$1000, ROW(H88), MATCH(H$1, 'raw-sheet'!$A$1:$ZZ$1, 0))</f>
        <v>0</v>
      </c>
      <c r="I89" s="30" t="s">
        <v>61</v>
      </c>
      <c r="J89" s="28" t="str">
        <f t="array" ref="J89">INDEX('raw-sheet'!$A$2:$ZZ$1000, ROW(J88), MATCH(J$1, 'raw-sheet'!$A$1:$ZZ$1, 0))</f>
        <v>ALL</v>
      </c>
      <c r="K89" s="28" t="str">
        <f t="array" ref="K89">INDEX('raw-sheet'!$A$2:$ZZ$1000, ROW(K88), MATCH(K$1, 'raw-sheet'!$A$1:$ZZ$1, 0))</f>
        <v>1</v>
      </c>
      <c r="L89" s="30" t="s">
        <v>60</v>
      </c>
      <c r="M89" s="28" t="str">
        <f t="array" ref="M89">INDEX('raw-sheet'!$A$2:$ZZ$1000, ROW(M88), MATCH(M$1, 'raw-sheet'!$A$1:$ZZ$1, 0))</f>
        <v>https://innisfree-taiwan.myshopify.com/collections/all?page=7</v>
      </c>
      <c r="N89" s="30" t="str">
        <f t="shared" si="3"/>
        <v>Pass</v>
      </c>
      <c r="O89" s="28" t="str">
        <f t="array" ref="O89">INDEX('raw-sheet'!$A$2:$ZZ$1000, ROW(O88), MATCH(O$1, 'raw-sheet'!$A$1:$ZZ$1, 0))</f>
        <v>ALL | INNISFREE Taiwan</v>
      </c>
      <c r="P89" s="28" t="str">
        <f t="array" ref="P89">INDEX('raw-sheet'!$A$2:$ZZ$1000, ROW(P88),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89" s="28" t="str">
        <f t="array" ref="Q89">INDEX('raw-sheet'!$A$2:$ZZ$1000, ROW(Q88), MATCH(Q$1, 'raw-sheet'!$A$1:$ZZ$1, 0))</f>
        <v>website</v>
      </c>
      <c r="R89" s="28" t="str">
        <f t="array" ref="R89">INDEX('raw-sheet'!$A$2:$ZZ$1000, ROW(R88), MATCH(R$1, 'raw-sheet'!$A$1:$ZZ$1, 0))</f>
        <v>INNISFREE Taiwan</v>
      </c>
      <c r="S89" s="28" t="str">
        <f t="array" ref="S89">INDEX('raw-sheet'!$A$2:$ZZ$1000, ROW(S88), MATCH(S$1, 'raw-sheet'!$A$1:$ZZ$1, 0))</f>
        <v>http://innisfree-taiwan.myshopify.com/cdn/shop/files/logo.png?v=1767594135</v>
      </c>
      <c r="T89" s="28" t="str">
        <f t="array" ref="T89">INDEX('raw-sheet'!$A$2:$ZZ$1000, ROW(T88), MATCH(T$1, 'raw-sheet'!$A$1:$ZZ$1, 0))</f>
        <v>https://innisfree-taiwan.myshopify.com/cdn/shop/files/logo.png?v=1767594135</v>
      </c>
      <c r="U89" s="28" t="str">
        <f t="array" ref="U89">INDEX('raw-sheet'!$A$2:$ZZ$1000, ROW(U88), MATCH(U$1, 'raw-sheet'!$A$1:$ZZ$1, 0))</f>
        <v>https://innisfree-taiwan.myshopify.com/collections/all?page=7</v>
      </c>
      <c r="V89" s="28" t="str">
        <f t="array" ref="V89">INDEX('raw-sheet'!$A$2:$ZZ$1000, ROW(V88), MATCH(V$1, 'raw-sheet'!$A$1:$ZZ$1, 0))</f>
        <v>ALL | INNISFREE Taiwan</v>
      </c>
      <c r="W89" s="28" t="str">
        <f t="array" ref="W89">INDEX('raw-sheet'!$A$2:$ZZ$1000, ROW(W88),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89" s="28" t="str">
        <f t="array" ref="X89">INDEX('raw-sheet'!$A$2:$ZZ$1000, ROW(X88), MATCH(X$1, 'raw-sheet'!$A$1:$ZZ$1, 0))</f>
        <v>summary_large_image</v>
      </c>
      <c r="Y89" s="30" t="s">
        <v>62</v>
      </c>
      <c r="Z89" s="28" t="str">
        <f>VLOOKUP($A89,'raw-schema'!$A:$R,14,0)</f>
        <v>Organization</v>
      </c>
      <c r="AA89" s="28">
        <f>VLOOKUP($A89,'raw-schema'!$A:$R,15,0)</f>
        <v>0</v>
      </c>
      <c r="AB89" s="28">
        <f>VLOOKUP($A89,'raw-schema'!$A:$R,16,0)</f>
        <v>0</v>
      </c>
      <c r="AC89" s="28">
        <f>VLOOKUP($A89,'raw-schema'!$A:$R,17,0)</f>
        <v>0</v>
      </c>
      <c r="AD89" s="28">
        <f>VLOOKUP($A89,'raw-schema'!$A:$R,18,0)</f>
        <v>0</v>
      </c>
      <c r="AE89" s="30" t="s">
        <v>66</v>
      </c>
      <c r="AF89" t="s">
        <v>65</v>
      </c>
    </row>
    <row r="90" spans="1:32" x14ac:dyDescent="0.3">
      <c r="A90" s="28" t="str">
        <f t="array" ref="A90">INDEX('raw-sheet'!$A$2:$ZZ$1000, ROW(A89), MATCH(A$1, 'raw-sheet'!$A$1:$ZZ$1, 0))</f>
        <v>https://innisfree-taiwan.myshopify.com/collections/all?page=8</v>
      </c>
      <c r="B90" s="30" t="s">
        <v>11</v>
      </c>
      <c r="C90" s="28" t="str">
        <f t="array" ref="C90">INDEX('raw-sheet'!$A$2:$ZZ$1000, ROW(C89), MATCH(C$1, 'raw-sheet'!$A$1:$ZZ$1, 0))</f>
        <v>Product List</v>
      </c>
      <c r="D90" s="28">
        <f t="array" ref="D90">INDEX('raw-sheet'!$A$2:$ZZ$1000, ROW(D89), MATCH(D$1, 'raw-sheet'!$A$1:$ZZ$1, 0))</f>
        <v>200</v>
      </c>
      <c r="E90" s="30" t="str">
        <f t="shared" si="2"/>
        <v>Pass</v>
      </c>
      <c r="F90" s="28" t="str">
        <f t="array" ref="F90">INDEX('raw-sheet'!$A$2:$ZZ$1000, ROW(F89), MATCH(F$1, 'raw-sheet'!$A$1:$ZZ$1, 0))</f>
        <v>ALL_x000D_ – Page 8 | INNISFREE Taiwan</v>
      </c>
      <c r="G90" s="30" t="s">
        <v>11</v>
      </c>
      <c r="H90" s="28">
        <f t="array" ref="H90">INDEX('raw-sheet'!$A$2:$ZZ$1000, ROW(H89), MATCH(H$1, 'raw-sheet'!$A$1:$ZZ$1, 0))</f>
        <v>0</v>
      </c>
      <c r="I90" s="30" t="s">
        <v>61</v>
      </c>
      <c r="J90" s="28" t="str">
        <f t="array" ref="J90">INDEX('raw-sheet'!$A$2:$ZZ$1000, ROW(J89), MATCH(J$1, 'raw-sheet'!$A$1:$ZZ$1, 0))</f>
        <v>ALL</v>
      </c>
      <c r="K90" s="28" t="str">
        <f t="array" ref="K90">INDEX('raw-sheet'!$A$2:$ZZ$1000, ROW(K89), MATCH(K$1, 'raw-sheet'!$A$1:$ZZ$1, 0))</f>
        <v>1</v>
      </c>
      <c r="L90" s="30" t="s">
        <v>60</v>
      </c>
      <c r="M90" s="28" t="str">
        <f t="array" ref="M90">INDEX('raw-sheet'!$A$2:$ZZ$1000, ROW(M89), MATCH(M$1, 'raw-sheet'!$A$1:$ZZ$1, 0))</f>
        <v>https://innisfree-taiwan.myshopify.com/collections/all?page=8</v>
      </c>
      <c r="N90" s="30" t="str">
        <f t="shared" si="3"/>
        <v>Pass</v>
      </c>
      <c r="O90" s="28" t="str">
        <f t="array" ref="O90">INDEX('raw-sheet'!$A$2:$ZZ$1000, ROW(O89), MATCH(O$1, 'raw-sheet'!$A$1:$ZZ$1, 0))</f>
        <v>ALL | INNISFREE Taiwan</v>
      </c>
      <c r="P90" s="28" t="str">
        <f t="array" ref="P90">INDEX('raw-sheet'!$A$2:$ZZ$1000, ROW(P89),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0" s="28" t="str">
        <f t="array" ref="Q90">INDEX('raw-sheet'!$A$2:$ZZ$1000, ROW(Q89), MATCH(Q$1, 'raw-sheet'!$A$1:$ZZ$1, 0))</f>
        <v>website</v>
      </c>
      <c r="R90" s="28" t="str">
        <f t="array" ref="R90">INDEX('raw-sheet'!$A$2:$ZZ$1000, ROW(R89), MATCH(R$1, 'raw-sheet'!$A$1:$ZZ$1, 0))</f>
        <v>INNISFREE Taiwan</v>
      </c>
      <c r="S90" s="28" t="str">
        <f t="array" ref="S90">INDEX('raw-sheet'!$A$2:$ZZ$1000, ROW(S89), MATCH(S$1, 'raw-sheet'!$A$1:$ZZ$1, 0))</f>
        <v>http://innisfree-taiwan.myshopify.com/cdn/shop/files/logo.png?v=1767594135</v>
      </c>
      <c r="T90" s="28" t="str">
        <f t="array" ref="T90">INDEX('raw-sheet'!$A$2:$ZZ$1000, ROW(T89), MATCH(T$1, 'raw-sheet'!$A$1:$ZZ$1, 0))</f>
        <v>https://innisfree-taiwan.myshopify.com/cdn/shop/files/logo.png?v=1767594135</v>
      </c>
      <c r="U90" s="28" t="str">
        <f t="array" ref="U90">INDEX('raw-sheet'!$A$2:$ZZ$1000, ROW(U89), MATCH(U$1, 'raw-sheet'!$A$1:$ZZ$1, 0))</f>
        <v>https://innisfree-taiwan.myshopify.com/collections/all?page=8</v>
      </c>
      <c r="V90" s="28" t="str">
        <f t="array" ref="V90">INDEX('raw-sheet'!$A$2:$ZZ$1000, ROW(V89), MATCH(V$1, 'raw-sheet'!$A$1:$ZZ$1, 0))</f>
        <v>ALL | INNISFREE Taiwan</v>
      </c>
      <c r="W90" s="28" t="str">
        <f t="array" ref="W90">INDEX('raw-sheet'!$A$2:$ZZ$1000, ROW(W89),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0" s="28" t="str">
        <f t="array" ref="X90">INDEX('raw-sheet'!$A$2:$ZZ$1000, ROW(X89), MATCH(X$1, 'raw-sheet'!$A$1:$ZZ$1, 0))</f>
        <v>summary_large_image</v>
      </c>
      <c r="Y90" s="30" t="s">
        <v>62</v>
      </c>
      <c r="Z90" s="28" t="str">
        <f>VLOOKUP($A90,'raw-schema'!$A:$R,14,0)</f>
        <v>Organization</v>
      </c>
      <c r="AA90" s="28">
        <f>VLOOKUP($A90,'raw-schema'!$A:$R,15,0)</f>
        <v>0</v>
      </c>
      <c r="AB90" s="28">
        <f>VLOOKUP($A90,'raw-schema'!$A:$R,16,0)</f>
        <v>0</v>
      </c>
      <c r="AC90" s="28">
        <f>VLOOKUP($A90,'raw-schema'!$A:$R,17,0)</f>
        <v>0</v>
      </c>
      <c r="AD90" s="28">
        <f>VLOOKUP($A90,'raw-schema'!$A:$R,18,0)</f>
        <v>0</v>
      </c>
      <c r="AE90" s="30" t="s">
        <v>66</v>
      </c>
      <c r="AF90" t="s">
        <v>65</v>
      </c>
    </row>
    <row r="91" spans="1:32" x14ac:dyDescent="0.3">
      <c r="A91" s="28" t="str">
        <f t="array" ref="A91">INDEX('raw-sheet'!$A$2:$ZZ$1000, ROW(A90), MATCH(A$1, 'raw-sheet'!$A$1:$ZZ$1, 0))</f>
        <v>https://innisfree-taiwan.myshopify.com/collections/all?page=9</v>
      </c>
      <c r="B91" s="30" t="s">
        <v>11</v>
      </c>
      <c r="C91" s="28" t="str">
        <f t="array" ref="C91">INDEX('raw-sheet'!$A$2:$ZZ$1000, ROW(C90), MATCH(C$1, 'raw-sheet'!$A$1:$ZZ$1, 0))</f>
        <v>Product List</v>
      </c>
      <c r="D91" s="28">
        <f t="array" ref="D91">INDEX('raw-sheet'!$A$2:$ZZ$1000, ROW(D90), MATCH(D$1, 'raw-sheet'!$A$1:$ZZ$1, 0))</f>
        <v>200</v>
      </c>
      <c r="E91" s="30" t="str">
        <f t="shared" si="2"/>
        <v>Pass</v>
      </c>
      <c r="F91" s="28" t="str">
        <f t="array" ref="F91">INDEX('raw-sheet'!$A$2:$ZZ$1000, ROW(F90), MATCH(F$1, 'raw-sheet'!$A$1:$ZZ$1, 0))</f>
        <v>ALL_x000D_ – Page 9 | INNISFREE Taiwan</v>
      </c>
      <c r="G91" s="30" t="s">
        <v>11</v>
      </c>
      <c r="H91" s="28">
        <f t="array" ref="H91">INDEX('raw-sheet'!$A$2:$ZZ$1000, ROW(H90), MATCH(H$1, 'raw-sheet'!$A$1:$ZZ$1, 0))</f>
        <v>0</v>
      </c>
      <c r="I91" s="30" t="s">
        <v>61</v>
      </c>
      <c r="J91" s="28" t="str">
        <f t="array" ref="J91">INDEX('raw-sheet'!$A$2:$ZZ$1000, ROW(J90), MATCH(J$1, 'raw-sheet'!$A$1:$ZZ$1, 0))</f>
        <v>ALL</v>
      </c>
      <c r="K91" s="28" t="str">
        <f t="array" ref="K91">INDEX('raw-sheet'!$A$2:$ZZ$1000, ROW(K90), MATCH(K$1, 'raw-sheet'!$A$1:$ZZ$1, 0))</f>
        <v>1</v>
      </c>
      <c r="L91" s="30" t="s">
        <v>60</v>
      </c>
      <c r="M91" s="28" t="str">
        <f t="array" ref="M91">INDEX('raw-sheet'!$A$2:$ZZ$1000, ROW(M90), MATCH(M$1, 'raw-sheet'!$A$1:$ZZ$1, 0))</f>
        <v>https://innisfree-taiwan.myshopify.com/collections/all?page=9</v>
      </c>
      <c r="N91" s="30" t="str">
        <f t="shared" si="3"/>
        <v>Pass</v>
      </c>
      <c r="O91" s="28" t="str">
        <f t="array" ref="O91">INDEX('raw-sheet'!$A$2:$ZZ$1000, ROW(O90), MATCH(O$1, 'raw-sheet'!$A$1:$ZZ$1, 0))</f>
        <v>ALL | INNISFREE Taiwan</v>
      </c>
      <c r="P91" s="28" t="str">
        <f t="array" ref="P91">INDEX('raw-sheet'!$A$2:$ZZ$1000, ROW(P90),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1" s="28" t="str">
        <f t="array" ref="Q91">INDEX('raw-sheet'!$A$2:$ZZ$1000, ROW(Q90), MATCH(Q$1, 'raw-sheet'!$A$1:$ZZ$1, 0))</f>
        <v>website</v>
      </c>
      <c r="R91" s="28" t="str">
        <f t="array" ref="R91">INDEX('raw-sheet'!$A$2:$ZZ$1000, ROW(R90), MATCH(R$1, 'raw-sheet'!$A$1:$ZZ$1, 0))</f>
        <v>INNISFREE Taiwan</v>
      </c>
      <c r="S91" s="28" t="str">
        <f t="array" ref="S91">INDEX('raw-sheet'!$A$2:$ZZ$1000, ROW(S90), MATCH(S$1, 'raw-sheet'!$A$1:$ZZ$1, 0))</f>
        <v>http://innisfree-taiwan.myshopify.com/cdn/shop/files/logo.png?v=1767594135</v>
      </c>
      <c r="T91" s="28" t="str">
        <f t="array" ref="T91">INDEX('raw-sheet'!$A$2:$ZZ$1000, ROW(T90), MATCH(T$1, 'raw-sheet'!$A$1:$ZZ$1, 0))</f>
        <v>https://innisfree-taiwan.myshopify.com/cdn/shop/files/logo.png?v=1767594135</v>
      </c>
      <c r="U91" s="28" t="str">
        <f t="array" ref="U91">INDEX('raw-sheet'!$A$2:$ZZ$1000, ROW(U90), MATCH(U$1, 'raw-sheet'!$A$1:$ZZ$1, 0))</f>
        <v>https://innisfree-taiwan.myshopify.com/collections/all?page=9</v>
      </c>
      <c r="V91" s="28" t="str">
        <f t="array" ref="V91">INDEX('raw-sheet'!$A$2:$ZZ$1000, ROW(V90), MATCH(V$1, 'raw-sheet'!$A$1:$ZZ$1, 0))</f>
        <v>ALL | INNISFREE Taiwan</v>
      </c>
      <c r="W91" s="28" t="str">
        <f t="array" ref="W91">INDEX('raw-sheet'!$A$2:$ZZ$1000, ROW(W90),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1" s="28" t="str">
        <f t="array" ref="X91">INDEX('raw-sheet'!$A$2:$ZZ$1000, ROW(X90), MATCH(X$1, 'raw-sheet'!$A$1:$ZZ$1, 0))</f>
        <v>summary_large_image</v>
      </c>
      <c r="Y91" s="30" t="s">
        <v>62</v>
      </c>
      <c r="Z91" s="28" t="str">
        <f>VLOOKUP($A91,'raw-schema'!$A:$R,14,0)</f>
        <v>Organization</v>
      </c>
      <c r="AA91" s="28">
        <f>VLOOKUP($A91,'raw-schema'!$A:$R,15,0)</f>
        <v>0</v>
      </c>
      <c r="AB91" s="28">
        <f>VLOOKUP($A91,'raw-schema'!$A:$R,16,0)</f>
        <v>0</v>
      </c>
      <c r="AC91" s="28">
        <f>VLOOKUP($A91,'raw-schema'!$A:$R,17,0)</f>
        <v>0</v>
      </c>
      <c r="AD91" s="28">
        <f>VLOOKUP($A91,'raw-schema'!$A:$R,18,0)</f>
        <v>0</v>
      </c>
      <c r="AE91" s="30" t="s">
        <v>66</v>
      </c>
      <c r="AF91" t="s">
        <v>65</v>
      </c>
    </row>
    <row r="92" spans="1:32" x14ac:dyDescent="0.3">
      <c r="A92" s="28" t="str">
        <f t="array" ref="A92">INDEX('raw-sheet'!$A$2:$ZZ$1000, ROW(A91), MATCH(A$1, 'raw-sheet'!$A$1:$ZZ$1, 0))</f>
        <v>https://innisfree-taiwan.myshopify.com/collections/base-makeup-powder</v>
      </c>
      <c r="B92" s="30" t="s">
        <v>11</v>
      </c>
      <c r="C92" s="28" t="str">
        <f t="array" ref="C92">INDEX('raw-sheet'!$A$2:$ZZ$1000, ROW(C91), MATCH(C$1, 'raw-sheet'!$A$1:$ZZ$1, 0))</f>
        <v>Product List</v>
      </c>
      <c r="D92" s="28">
        <f t="array" ref="D92">INDEX('raw-sheet'!$A$2:$ZZ$1000, ROW(D91), MATCH(D$1, 'raw-sheet'!$A$1:$ZZ$1, 0))</f>
        <v>200</v>
      </c>
      <c r="E92" s="30" t="str">
        <f t="shared" si="2"/>
        <v>Pass</v>
      </c>
      <c r="F92" s="28" t="str">
        <f t="array" ref="F92">INDEX('raw-sheet'!$A$2:$ZZ$1000, ROW(F91), MATCH(F$1, 'raw-sheet'!$A$1:$ZZ$1, 0))</f>
        <v>底妝/蜜粉_x000D_ | INNISFREE Taiwan</v>
      </c>
      <c r="G92" s="30" t="s">
        <v>11</v>
      </c>
      <c r="H92" s="28">
        <f t="array" ref="H92">INDEX('raw-sheet'!$A$2:$ZZ$1000, ROW(H91), MATCH(H$1, 'raw-sheet'!$A$1:$ZZ$1, 0))</f>
        <v>0</v>
      </c>
      <c r="I92" s="30" t="s">
        <v>61</v>
      </c>
      <c r="J92" s="28" t="str">
        <f t="array" ref="J92">INDEX('raw-sheet'!$A$2:$ZZ$1000, ROW(J91), MATCH(J$1, 'raw-sheet'!$A$1:$ZZ$1, 0))</f>
        <v>底妝/蜜粉</v>
      </c>
      <c r="K92" s="28" t="str">
        <f t="array" ref="K92">INDEX('raw-sheet'!$A$2:$ZZ$1000, ROW(K91), MATCH(K$1, 'raw-sheet'!$A$1:$ZZ$1, 0))</f>
        <v>1</v>
      </c>
      <c r="L92" s="30" t="s">
        <v>11</v>
      </c>
      <c r="M92" s="28" t="str">
        <f t="array" ref="M92">INDEX('raw-sheet'!$A$2:$ZZ$1000, ROW(M91), MATCH(M$1, 'raw-sheet'!$A$1:$ZZ$1, 0))</f>
        <v>https://innisfree-taiwan.myshopify.com/collections/base-makeup-powder</v>
      </c>
      <c r="N92" s="30" t="str">
        <f t="shared" si="3"/>
        <v>Pass</v>
      </c>
      <c r="O92" s="28" t="str">
        <f t="array" ref="O92">INDEX('raw-sheet'!$A$2:$ZZ$1000, ROW(O91), MATCH(O$1, 'raw-sheet'!$A$1:$ZZ$1, 0))</f>
        <v>底妝/蜜粉 | INNISFREE Taiwan</v>
      </c>
      <c r="P92" s="28" t="str">
        <f t="array" ref="P92">INDEX('raw-sheet'!$A$2:$ZZ$1000, ROW(P91),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2" s="28" t="str">
        <f t="array" ref="Q92">INDEX('raw-sheet'!$A$2:$ZZ$1000, ROW(Q91), MATCH(Q$1, 'raw-sheet'!$A$1:$ZZ$1, 0))</f>
        <v>website</v>
      </c>
      <c r="R92" s="28" t="str">
        <f t="array" ref="R92">INDEX('raw-sheet'!$A$2:$ZZ$1000, ROW(R91), MATCH(R$1, 'raw-sheet'!$A$1:$ZZ$1, 0))</f>
        <v>INNISFREE Taiwan</v>
      </c>
      <c r="S92" s="28" t="str">
        <f t="array" ref="S92">INDEX('raw-sheet'!$A$2:$ZZ$1000, ROW(S91), MATCH(S$1, 'raw-sheet'!$A$1:$ZZ$1, 0))</f>
        <v>http://innisfree-taiwan.myshopify.com/cdn/shop/files/logo.png?v=1767594135</v>
      </c>
      <c r="T92" s="28" t="str">
        <f t="array" ref="T92">INDEX('raw-sheet'!$A$2:$ZZ$1000, ROW(T91), MATCH(T$1, 'raw-sheet'!$A$1:$ZZ$1, 0))</f>
        <v>https://innisfree-taiwan.myshopify.com/cdn/shop/files/logo.png?v=1767594135</v>
      </c>
      <c r="U92" s="28" t="str">
        <f t="array" ref="U92">INDEX('raw-sheet'!$A$2:$ZZ$1000, ROW(U91), MATCH(U$1, 'raw-sheet'!$A$1:$ZZ$1, 0))</f>
        <v>https://innisfree-taiwan.myshopify.com/collections/base-makeup-powder</v>
      </c>
      <c r="V92" s="28" t="str">
        <f t="array" ref="V92">INDEX('raw-sheet'!$A$2:$ZZ$1000, ROW(V91), MATCH(V$1, 'raw-sheet'!$A$1:$ZZ$1, 0))</f>
        <v>底妝/蜜粉 | INNISFREE Taiwan</v>
      </c>
      <c r="W92" s="28" t="str">
        <f t="array" ref="W92">INDEX('raw-sheet'!$A$2:$ZZ$1000, ROW(W91),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2" s="28" t="str">
        <f t="array" ref="X92">INDEX('raw-sheet'!$A$2:$ZZ$1000, ROW(X91), MATCH(X$1, 'raw-sheet'!$A$1:$ZZ$1, 0))</f>
        <v>summary_large_image</v>
      </c>
      <c r="Y92" s="30" t="s">
        <v>56</v>
      </c>
      <c r="Z92" s="28" t="str">
        <f>VLOOKUP($A92,'raw-schema'!$A:$R,14,0)</f>
        <v>Organization</v>
      </c>
      <c r="AA92" s="28">
        <f>VLOOKUP($A92,'raw-schema'!$A:$R,15,0)</f>
        <v>0</v>
      </c>
      <c r="AB92" s="28">
        <f>VLOOKUP($A92,'raw-schema'!$A:$R,16,0)</f>
        <v>0</v>
      </c>
      <c r="AC92" s="28">
        <f>VLOOKUP($A92,'raw-schema'!$A:$R,17,0)</f>
        <v>0</v>
      </c>
      <c r="AD92" s="28">
        <f>VLOOKUP($A92,'raw-schema'!$A:$R,18,0)</f>
        <v>0</v>
      </c>
      <c r="AE92" s="30" t="s">
        <v>66</v>
      </c>
    </row>
    <row r="93" spans="1:32" x14ac:dyDescent="0.3">
      <c r="A93" s="28" t="str">
        <f t="array" ref="A93">INDEX('raw-sheet'!$A$2:$ZZ$1000, ROW(A92), MATCH(A$1, 'raw-sheet'!$A$1:$ZZ$1, 0))</f>
        <v>https://innisfree-taiwan.myshopify.com/collections/best-sellers</v>
      </c>
      <c r="B93" s="30" t="s">
        <v>11</v>
      </c>
      <c r="C93" s="28" t="str">
        <f t="array" ref="C93">INDEX('raw-sheet'!$A$2:$ZZ$1000, ROW(C92), MATCH(C$1, 'raw-sheet'!$A$1:$ZZ$1, 0))</f>
        <v>Product List</v>
      </c>
      <c r="D93" s="28">
        <f t="array" ref="D93">INDEX('raw-sheet'!$A$2:$ZZ$1000, ROW(D92), MATCH(D$1, 'raw-sheet'!$A$1:$ZZ$1, 0))</f>
        <v>200</v>
      </c>
      <c r="E93" s="30" t="str">
        <f t="shared" si="2"/>
        <v>Pass</v>
      </c>
      <c r="F93" s="28" t="str">
        <f t="array" ref="F93">INDEX('raw-sheet'!$A$2:$ZZ$1000, ROW(F92), MATCH(F$1, 'raw-sheet'!$A$1:$ZZ$1, 0))</f>
        <v>熱銷推薦_x000D_ | INNISFREE Taiwan</v>
      </c>
      <c r="G93" s="30" t="s">
        <v>60</v>
      </c>
      <c r="H93" s="28">
        <f t="array" ref="H93">INDEX('raw-sheet'!$A$2:$ZZ$1000, ROW(H92), MATCH(H$1, 'raw-sheet'!$A$1:$ZZ$1, 0))</f>
        <v>0</v>
      </c>
      <c r="I93" s="30" t="s">
        <v>61</v>
      </c>
      <c r="J93" s="28" t="str">
        <f t="array" ref="J93">INDEX('raw-sheet'!$A$2:$ZZ$1000, ROW(J92), MATCH(J$1, 'raw-sheet'!$A$1:$ZZ$1, 0))</f>
        <v>熱銷推薦</v>
      </c>
      <c r="K93" s="28" t="str">
        <f t="array" ref="K93">INDEX('raw-sheet'!$A$2:$ZZ$1000, ROW(K92), MATCH(K$1, 'raw-sheet'!$A$1:$ZZ$1, 0))</f>
        <v>1</v>
      </c>
      <c r="L93" s="30" t="s">
        <v>60</v>
      </c>
      <c r="M93" s="28" t="str">
        <f t="array" ref="M93">INDEX('raw-sheet'!$A$2:$ZZ$1000, ROW(M92), MATCH(M$1, 'raw-sheet'!$A$1:$ZZ$1, 0))</f>
        <v>https://innisfree-taiwan.myshopify.com/collections/best-sellers</v>
      </c>
      <c r="N93" s="30" t="str">
        <f t="shared" si="3"/>
        <v>Pass</v>
      </c>
      <c r="O93" s="28" t="str">
        <f t="array" ref="O93">INDEX('raw-sheet'!$A$2:$ZZ$1000, ROW(O92), MATCH(O$1, 'raw-sheet'!$A$1:$ZZ$1, 0))</f>
        <v>熱銷推薦 | INNISFREE Taiwan</v>
      </c>
      <c r="P93" s="28" t="str">
        <f t="array" ref="P93">INDEX('raw-sheet'!$A$2:$ZZ$1000, ROW(P92),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3" s="28" t="str">
        <f t="array" ref="Q93">INDEX('raw-sheet'!$A$2:$ZZ$1000, ROW(Q92), MATCH(Q$1, 'raw-sheet'!$A$1:$ZZ$1, 0))</f>
        <v>website</v>
      </c>
      <c r="R93" s="28" t="str">
        <f t="array" ref="R93">INDEX('raw-sheet'!$A$2:$ZZ$1000, ROW(R92), MATCH(R$1, 'raw-sheet'!$A$1:$ZZ$1, 0))</f>
        <v>INNISFREE Taiwan</v>
      </c>
      <c r="S93" s="28" t="str">
        <f t="array" ref="S93">INDEX('raw-sheet'!$A$2:$ZZ$1000, ROW(S92), MATCH(S$1, 'raw-sheet'!$A$1:$ZZ$1, 0))</f>
        <v>http://innisfree-taiwan.myshopify.com/cdn/shop/files/logo.png?v=1767594135</v>
      </c>
      <c r="T93" s="28" t="str">
        <f t="array" ref="T93">INDEX('raw-sheet'!$A$2:$ZZ$1000, ROW(T92), MATCH(T$1, 'raw-sheet'!$A$1:$ZZ$1, 0))</f>
        <v>https://innisfree-taiwan.myshopify.com/cdn/shop/files/logo.png?v=1767594135</v>
      </c>
      <c r="U93" s="28" t="str">
        <f t="array" ref="U93">INDEX('raw-sheet'!$A$2:$ZZ$1000, ROW(U92), MATCH(U$1, 'raw-sheet'!$A$1:$ZZ$1, 0))</f>
        <v>https://innisfree-taiwan.myshopify.com/collections/best-sellers</v>
      </c>
      <c r="V93" s="28" t="str">
        <f t="array" ref="V93">INDEX('raw-sheet'!$A$2:$ZZ$1000, ROW(V92), MATCH(V$1, 'raw-sheet'!$A$1:$ZZ$1, 0))</f>
        <v>熱銷推薦 | INNISFREE Taiwan</v>
      </c>
      <c r="W93" s="28" t="str">
        <f t="array" ref="W93">INDEX('raw-sheet'!$A$2:$ZZ$1000, ROW(W92),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3" s="28" t="str">
        <f t="array" ref="X93">INDEX('raw-sheet'!$A$2:$ZZ$1000, ROW(X92), MATCH(X$1, 'raw-sheet'!$A$1:$ZZ$1, 0))</f>
        <v>summary_large_image</v>
      </c>
      <c r="Y93" s="30" t="s">
        <v>62</v>
      </c>
      <c r="Z93" s="28" t="str">
        <f>VLOOKUP($A93,'raw-schema'!$A:$R,14,0)</f>
        <v>Organization</v>
      </c>
      <c r="AA93" s="28">
        <f>VLOOKUP($A93,'raw-schema'!$A:$R,15,0)</f>
        <v>0</v>
      </c>
      <c r="AB93" s="28">
        <f>VLOOKUP($A93,'raw-schema'!$A:$R,16,0)</f>
        <v>0</v>
      </c>
      <c r="AC93" s="28">
        <f>VLOOKUP($A93,'raw-schema'!$A:$R,17,0)</f>
        <v>0</v>
      </c>
      <c r="AD93" s="28">
        <f>VLOOKUP($A93,'raw-schema'!$A:$R,18,0)</f>
        <v>0</v>
      </c>
      <c r="AE93" s="30" t="s">
        <v>66</v>
      </c>
    </row>
    <row r="94" spans="1:32" x14ac:dyDescent="0.3">
      <c r="A94" s="28" t="str">
        <f t="array" ref="A94">INDEX('raw-sheet'!$A$2:$ZZ$1000, ROW(A93), MATCH(A$1, 'raw-sheet'!$A$1:$ZZ$1, 0))</f>
        <v>https://innisfree-taiwan.myshopify.com/collections/best-sellers?page=1</v>
      </c>
      <c r="B94" s="30" t="s">
        <v>11</v>
      </c>
      <c r="C94" s="28" t="str">
        <f t="array" ref="C94">INDEX('raw-sheet'!$A$2:$ZZ$1000, ROW(C93), MATCH(C$1, 'raw-sheet'!$A$1:$ZZ$1, 0))</f>
        <v>Product List</v>
      </c>
      <c r="D94" s="28">
        <f t="array" ref="D94">INDEX('raw-sheet'!$A$2:$ZZ$1000, ROW(D93), MATCH(D$1, 'raw-sheet'!$A$1:$ZZ$1, 0))</f>
        <v>200</v>
      </c>
      <c r="E94" s="30" t="str">
        <f t="shared" si="2"/>
        <v>Pass</v>
      </c>
      <c r="F94" s="28" t="str">
        <f t="array" ref="F94">INDEX('raw-sheet'!$A$2:$ZZ$1000, ROW(F93), MATCH(F$1, 'raw-sheet'!$A$1:$ZZ$1, 0))</f>
        <v>熱銷推薦_x000D_ | INNISFREE Taiwan</v>
      </c>
      <c r="G94" s="30" t="s">
        <v>11</v>
      </c>
      <c r="H94" s="28">
        <f t="array" ref="H94">INDEX('raw-sheet'!$A$2:$ZZ$1000, ROW(H93), MATCH(H$1, 'raw-sheet'!$A$1:$ZZ$1, 0))</f>
        <v>0</v>
      </c>
      <c r="I94" s="30" t="s">
        <v>61</v>
      </c>
      <c r="J94" s="28" t="str">
        <f t="array" ref="J94">INDEX('raw-sheet'!$A$2:$ZZ$1000, ROW(J93), MATCH(J$1, 'raw-sheet'!$A$1:$ZZ$1, 0))</f>
        <v>熱銷推薦</v>
      </c>
      <c r="K94" s="28" t="str">
        <f t="array" ref="K94">INDEX('raw-sheet'!$A$2:$ZZ$1000, ROW(K93), MATCH(K$1, 'raw-sheet'!$A$1:$ZZ$1, 0))</f>
        <v>1</v>
      </c>
      <c r="L94" s="30" t="s">
        <v>60</v>
      </c>
      <c r="M94" s="28" t="str">
        <f t="array" ref="M94">INDEX('raw-sheet'!$A$2:$ZZ$1000, ROW(M93), MATCH(M$1, 'raw-sheet'!$A$1:$ZZ$1, 0))</f>
        <v>https://innisfree-taiwan.myshopify.com/collections/best-sellers</v>
      </c>
      <c r="N94" s="30" t="str">
        <f t="shared" si="3"/>
        <v>Not</v>
      </c>
      <c r="O94" s="28" t="str">
        <f t="array" ref="O94">INDEX('raw-sheet'!$A$2:$ZZ$1000, ROW(O93), MATCH(O$1, 'raw-sheet'!$A$1:$ZZ$1, 0))</f>
        <v>熱銷推薦 | INNISFREE Taiwan</v>
      </c>
      <c r="P94" s="28" t="str">
        <f t="array" ref="P94">INDEX('raw-sheet'!$A$2:$ZZ$1000, ROW(P93),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4" s="28" t="str">
        <f t="array" ref="Q94">INDEX('raw-sheet'!$A$2:$ZZ$1000, ROW(Q93), MATCH(Q$1, 'raw-sheet'!$A$1:$ZZ$1, 0))</f>
        <v>website</v>
      </c>
      <c r="R94" s="28" t="str">
        <f t="array" ref="R94">INDEX('raw-sheet'!$A$2:$ZZ$1000, ROW(R93), MATCH(R$1, 'raw-sheet'!$A$1:$ZZ$1, 0))</f>
        <v>INNISFREE Taiwan</v>
      </c>
      <c r="S94" s="28" t="str">
        <f t="array" ref="S94">INDEX('raw-sheet'!$A$2:$ZZ$1000, ROW(S93), MATCH(S$1, 'raw-sheet'!$A$1:$ZZ$1, 0))</f>
        <v>http://innisfree-taiwan.myshopify.com/cdn/shop/files/logo.png?v=1767594135</v>
      </c>
      <c r="T94" s="28" t="str">
        <f t="array" ref="T94">INDEX('raw-sheet'!$A$2:$ZZ$1000, ROW(T93), MATCH(T$1, 'raw-sheet'!$A$1:$ZZ$1, 0))</f>
        <v>https://innisfree-taiwan.myshopify.com/cdn/shop/files/logo.png?v=1767594135</v>
      </c>
      <c r="U94" s="28" t="str">
        <f t="array" ref="U94">INDEX('raw-sheet'!$A$2:$ZZ$1000, ROW(U93), MATCH(U$1, 'raw-sheet'!$A$1:$ZZ$1, 0))</f>
        <v>https://innisfree-taiwan.myshopify.com/collections/best-sellers</v>
      </c>
      <c r="V94" s="28" t="str">
        <f t="array" ref="V94">INDEX('raw-sheet'!$A$2:$ZZ$1000, ROW(V93), MATCH(V$1, 'raw-sheet'!$A$1:$ZZ$1, 0))</f>
        <v>熱銷推薦 | INNISFREE Taiwan</v>
      </c>
      <c r="W94" s="28" t="str">
        <f t="array" ref="W94">INDEX('raw-sheet'!$A$2:$ZZ$1000, ROW(W93),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4" s="28" t="str">
        <f t="array" ref="X94">INDEX('raw-sheet'!$A$2:$ZZ$1000, ROW(X93), MATCH(X$1, 'raw-sheet'!$A$1:$ZZ$1, 0))</f>
        <v>summary_large_image</v>
      </c>
      <c r="Y94" s="30" t="s">
        <v>62</v>
      </c>
      <c r="Z94" s="28" t="str">
        <f>VLOOKUP($A94,'raw-schema'!$A:$R,14,0)</f>
        <v>Organization</v>
      </c>
      <c r="AA94" s="28">
        <f>VLOOKUP($A94,'raw-schema'!$A:$R,15,0)</f>
        <v>0</v>
      </c>
      <c r="AB94" s="28">
        <f>VLOOKUP($A94,'raw-schema'!$A:$R,16,0)</f>
        <v>0</v>
      </c>
      <c r="AC94" s="28">
        <f>VLOOKUP($A94,'raw-schema'!$A:$R,17,0)</f>
        <v>0</v>
      </c>
      <c r="AD94" s="28">
        <f>VLOOKUP($A94,'raw-schema'!$A:$R,18,0)</f>
        <v>0</v>
      </c>
      <c r="AE94" s="30" t="s">
        <v>66</v>
      </c>
      <c r="AF94" t="s">
        <v>65</v>
      </c>
    </row>
    <row r="95" spans="1:32" x14ac:dyDescent="0.3">
      <c r="A95" s="28" t="str">
        <f t="array" ref="A95">INDEX('raw-sheet'!$A$2:$ZZ$1000, ROW(A94), MATCH(A$1, 'raw-sheet'!$A$1:$ZZ$1, 0))</f>
        <v>https://innisfree-taiwan.myshopify.com/collections/best-sellers?page=2</v>
      </c>
      <c r="B95" s="30" t="s">
        <v>11</v>
      </c>
      <c r="C95" s="28" t="str">
        <f t="array" ref="C95">INDEX('raw-sheet'!$A$2:$ZZ$1000, ROW(C94), MATCH(C$1, 'raw-sheet'!$A$1:$ZZ$1, 0))</f>
        <v>Product List</v>
      </c>
      <c r="D95" s="28">
        <f t="array" ref="D95">INDEX('raw-sheet'!$A$2:$ZZ$1000, ROW(D94), MATCH(D$1, 'raw-sheet'!$A$1:$ZZ$1, 0))</f>
        <v>200</v>
      </c>
      <c r="E95" s="30" t="str">
        <f t="shared" si="2"/>
        <v>Pass</v>
      </c>
      <c r="F95" s="28" t="str">
        <f t="array" ref="F95">INDEX('raw-sheet'!$A$2:$ZZ$1000, ROW(F94), MATCH(F$1, 'raw-sheet'!$A$1:$ZZ$1, 0))</f>
        <v>熱銷推薦_x000D_ – Page 2 | INNISFREE Taiwan</v>
      </c>
      <c r="G95" s="30" t="s">
        <v>11</v>
      </c>
      <c r="H95" s="28">
        <f t="array" ref="H95">INDEX('raw-sheet'!$A$2:$ZZ$1000, ROW(H94), MATCH(H$1, 'raw-sheet'!$A$1:$ZZ$1, 0))</f>
        <v>0</v>
      </c>
      <c r="I95" s="30" t="s">
        <v>61</v>
      </c>
      <c r="J95" s="28" t="str">
        <f t="array" ref="J95">INDEX('raw-sheet'!$A$2:$ZZ$1000, ROW(J94), MATCH(J$1, 'raw-sheet'!$A$1:$ZZ$1, 0))</f>
        <v>熱銷推薦</v>
      </c>
      <c r="K95" s="28" t="str">
        <f t="array" ref="K95">INDEX('raw-sheet'!$A$2:$ZZ$1000, ROW(K94), MATCH(K$1, 'raw-sheet'!$A$1:$ZZ$1, 0))</f>
        <v>1</v>
      </c>
      <c r="L95" s="30" t="s">
        <v>60</v>
      </c>
      <c r="M95" s="28" t="str">
        <f t="array" ref="M95">INDEX('raw-sheet'!$A$2:$ZZ$1000, ROW(M94), MATCH(M$1, 'raw-sheet'!$A$1:$ZZ$1, 0))</f>
        <v>https://innisfree-taiwan.myshopify.com/collections/best-sellers?page=2</v>
      </c>
      <c r="N95" s="30" t="str">
        <f t="shared" si="3"/>
        <v>Pass</v>
      </c>
      <c r="O95" s="28" t="str">
        <f t="array" ref="O95">INDEX('raw-sheet'!$A$2:$ZZ$1000, ROW(O94), MATCH(O$1, 'raw-sheet'!$A$1:$ZZ$1, 0))</f>
        <v>熱銷推薦 | INNISFREE Taiwan</v>
      </c>
      <c r="P95" s="28" t="str">
        <f t="array" ref="P95">INDEX('raw-sheet'!$A$2:$ZZ$1000, ROW(P94),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5" s="28" t="str">
        <f t="array" ref="Q95">INDEX('raw-sheet'!$A$2:$ZZ$1000, ROW(Q94), MATCH(Q$1, 'raw-sheet'!$A$1:$ZZ$1, 0))</f>
        <v>website</v>
      </c>
      <c r="R95" s="28" t="str">
        <f t="array" ref="R95">INDEX('raw-sheet'!$A$2:$ZZ$1000, ROW(R94), MATCH(R$1, 'raw-sheet'!$A$1:$ZZ$1, 0))</f>
        <v>INNISFREE Taiwan</v>
      </c>
      <c r="S95" s="28" t="str">
        <f t="array" ref="S95">INDEX('raw-sheet'!$A$2:$ZZ$1000, ROW(S94), MATCH(S$1, 'raw-sheet'!$A$1:$ZZ$1, 0))</f>
        <v>http://innisfree-taiwan.myshopify.com/cdn/shop/files/logo.png?v=1767594135</v>
      </c>
      <c r="T95" s="28" t="str">
        <f t="array" ref="T95">INDEX('raw-sheet'!$A$2:$ZZ$1000, ROW(T94), MATCH(T$1, 'raw-sheet'!$A$1:$ZZ$1, 0))</f>
        <v>https://innisfree-taiwan.myshopify.com/cdn/shop/files/logo.png?v=1767594135</v>
      </c>
      <c r="U95" s="28" t="str">
        <f t="array" ref="U95">INDEX('raw-sheet'!$A$2:$ZZ$1000, ROW(U94), MATCH(U$1, 'raw-sheet'!$A$1:$ZZ$1, 0))</f>
        <v>https://innisfree-taiwan.myshopify.com/collections/best-sellers?page=2</v>
      </c>
      <c r="V95" s="28" t="str">
        <f t="array" ref="V95">INDEX('raw-sheet'!$A$2:$ZZ$1000, ROW(V94), MATCH(V$1, 'raw-sheet'!$A$1:$ZZ$1, 0))</f>
        <v>熱銷推薦 | INNISFREE Taiwan</v>
      </c>
      <c r="W95" s="28" t="str">
        <f t="array" ref="W95">INDEX('raw-sheet'!$A$2:$ZZ$1000, ROW(W94),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5" s="28" t="str">
        <f t="array" ref="X95">INDEX('raw-sheet'!$A$2:$ZZ$1000, ROW(X94), MATCH(X$1, 'raw-sheet'!$A$1:$ZZ$1, 0))</f>
        <v>summary_large_image</v>
      </c>
      <c r="Y95" s="30" t="s">
        <v>62</v>
      </c>
      <c r="Z95" s="28" t="str">
        <f>VLOOKUP($A95,'raw-schema'!$A:$R,14,0)</f>
        <v>Organization</v>
      </c>
      <c r="AA95" s="28">
        <f>VLOOKUP($A95,'raw-schema'!$A:$R,15,0)</f>
        <v>0</v>
      </c>
      <c r="AB95" s="28">
        <f>VLOOKUP($A95,'raw-schema'!$A:$R,16,0)</f>
        <v>0</v>
      </c>
      <c r="AC95" s="28">
        <f>VLOOKUP($A95,'raw-schema'!$A:$R,17,0)</f>
        <v>0</v>
      </c>
      <c r="AD95" s="28">
        <f>VLOOKUP($A95,'raw-schema'!$A:$R,18,0)</f>
        <v>0</v>
      </c>
      <c r="AE95" s="30" t="s">
        <v>66</v>
      </c>
      <c r="AF95" t="s">
        <v>65</v>
      </c>
    </row>
    <row r="96" spans="1:32" x14ac:dyDescent="0.3">
      <c r="A96" s="28" t="str">
        <f t="array" ref="A96">INDEX('raw-sheet'!$A$2:$ZZ$1000, ROW(A95), MATCH(A$1, 'raw-sheet'!$A$1:$ZZ$1, 0))</f>
        <v>https://innisfree-taiwan.myshopify.com/collections/black-tea-repair-series</v>
      </c>
      <c r="B96" s="30" t="s">
        <v>11</v>
      </c>
      <c r="C96" s="28" t="str">
        <f t="array" ref="C96">INDEX('raw-sheet'!$A$2:$ZZ$1000, ROW(C95), MATCH(C$1, 'raw-sheet'!$A$1:$ZZ$1, 0))</f>
        <v>Product List</v>
      </c>
      <c r="D96" s="28">
        <f t="array" ref="D96">INDEX('raw-sheet'!$A$2:$ZZ$1000, ROW(D95), MATCH(D$1, 'raw-sheet'!$A$1:$ZZ$1, 0))</f>
        <v>200</v>
      </c>
      <c r="E96" s="30" t="str">
        <f t="shared" si="2"/>
        <v>Pass</v>
      </c>
      <c r="F96" s="28" t="str">
        <f t="array" ref="F96">INDEX('raw-sheet'!$A$2:$ZZ$1000, ROW(F95), MATCH(F$1, 'raw-sheet'!$A$1:$ZZ$1, 0))</f>
        <v>紅茶修護系列_x000D_ | INNISFREE Taiwan</v>
      </c>
      <c r="G96" s="30" t="s">
        <v>11</v>
      </c>
      <c r="H96" s="28">
        <f t="array" ref="H96">INDEX('raw-sheet'!$A$2:$ZZ$1000, ROW(H95), MATCH(H$1, 'raw-sheet'!$A$1:$ZZ$1, 0))</f>
        <v>0</v>
      </c>
      <c r="I96" s="30" t="s">
        <v>61</v>
      </c>
      <c r="J96" s="28" t="str">
        <f t="array" ref="J96">INDEX('raw-sheet'!$A$2:$ZZ$1000, ROW(J95), MATCH(J$1, 'raw-sheet'!$A$1:$ZZ$1, 0))</f>
        <v>紅茶修護系列</v>
      </c>
      <c r="K96" s="28" t="str">
        <f t="array" ref="K96">INDEX('raw-sheet'!$A$2:$ZZ$1000, ROW(K95), MATCH(K$1, 'raw-sheet'!$A$1:$ZZ$1, 0))</f>
        <v>1</v>
      </c>
      <c r="L96" s="30" t="s">
        <v>11</v>
      </c>
      <c r="M96" s="28" t="str">
        <f t="array" ref="M96">INDEX('raw-sheet'!$A$2:$ZZ$1000, ROW(M95), MATCH(M$1, 'raw-sheet'!$A$1:$ZZ$1, 0))</f>
        <v>https://innisfree-taiwan.myshopify.com/collections/black-tea-repair-series</v>
      </c>
      <c r="N96" s="30" t="str">
        <f t="shared" si="3"/>
        <v>Pass</v>
      </c>
      <c r="O96" s="28" t="str">
        <f t="array" ref="O96">INDEX('raw-sheet'!$A$2:$ZZ$1000, ROW(O95), MATCH(O$1, 'raw-sheet'!$A$1:$ZZ$1, 0))</f>
        <v>紅茶修護系列 | INNISFREE Taiwan</v>
      </c>
      <c r="P96" s="28" t="str">
        <f t="array" ref="P96">INDEX('raw-sheet'!$A$2:$ZZ$1000, ROW(P95),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6" s="28" t="str">
        <f t="array" ref="Q96">INDEX('raw-sheet'!$A$2:$ZZ$1000, ROW(Q95), MATCH(Q$1, 'raw-sheet'!$A$1:$ZZ$1, 0))</f>
        <v>website</v>
      </c>
      <c r="R96" s="28" t="str">
        <f t="array" ref="R96">INDEX('raw-sheet'!$A$2:$ZZ$1000, ROW(R95), MATCH(R$1, 'raw-sheet'!$A$1:$ZZ$1, 0))</f>
        <v>INNISFREE Taiwan</v>
      </c>
      <c r="S96" s="28" t="str">
        <f t="array" ref="S96">INDEX('raw-sheet'!$A$2:$ZZ$1000, ROW(S95), MATCH(S$1, 'raw-sheet'!$A$1:$ZZ$1, 0))</f>
        <v>http://innisfree-taiwan.myshopify.com/cdn/shop/files/logo.png?v=1767594135</v>
      </c>
      <c r="T96" s="28" t="str">
        <f t="array" ref="T96">INDEX('raw-sheet'!$A$2:$ZZ$1000, ROW(T95), MATCH(T$1, 'raw-sheet'!$A$1:$ZZ$1, 0))</f>
        <v>https://innisfree-taiwan.myshopify.com/cdn/shop/files/logo.png?v=1767594135</v>
      </c>
      <c r="U96" s="28" t="str">
        <f t="array" ref="U96">INDEX('raw-sheet'!$A$2:$ZZ$1000, ROW(U95), MATCH(U$1, 'raw-sheet'!$A$1:$ZZ$1, 0))</f>
        <v>https://innisfree-taiwan.myshopify.com/collections/black-tea-repair-series</v>
      </c>
      <c r="V96" s="28" t="str">
        <f t="array" ref="V96">INDEX('raw-sheet'!$A$2:$ZZ$1000, ROW(V95), MATCH(V$1, 'raw-sheet'!$A$1:$ZZ$1, 0))</f>
        <v>紅茶修護系列 | INNISFREE Taiwan</v>
      </c>
      <c r="W96" s="28" t="str">
        <f t="array" ref="W96">INDEX('raw-sheet'!$A$2:$ZZ$1000, ROW(W95),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6" s="28" t="str">
        <f t="array" ref="X96">INDEX('raw-sheet'!$A$2:$ZZ$1000, ROW(X95), MATCH(X$1, 'raw-sheet'!$A$1:$ZZ$1, 0))</f>
        <v>summary_large_image</v>
      </c>
      <c r="Y96" s="30" t="s">
        <v>56</v>
      </c>
      <c r="Z96" s="28" t="str">
        <f>VLOOKUP($A96,'raw-schema'!$A:$R,14,0)</f>
        <v>Organization</v>
      </c>
      <c r="AA96" s="28">
        <f>VLOOKUP($A96,'raw-schema'!$A:$R,15,0)</f>
        <v>0</v>
      </c>
      <c r="AB96" s="28">
        <f>VLOOKUP($A96,'raw-schema'!$A:$R,16,0)</f>
        <v>0</v>
      </c>
      <c r="AC96" s="28">
        <f>VLOOKUP($A96,'raw-schema'!$A:$R,17,0)</f>
        <v>0</v>
      </c>
      <c r="AD96" s="28">
        <f>VLOOKUP($A96,'raw-schema'!$A:$R,18,0)</f>
        <v>0</v>
      </c>
      <c r="AE96" s="30" t="s">
        <v>66</v>
      </c>
    </row>
    <row r="97" spans="1:32" x14ac:dyDescent="0.3">
      <c r="A97" s="28" t="str">
        <f t="array" ref="A97">INDEX('raw-sheet'!$A$2:$ZZ$1000, ROW(A96), MATCH(A$1, 'raw-sheet'!$A$1:$ZZ$1, 0))</f>
        <v>https://innisfree-taiwan.myshopify.com/collections/black-tea-ultimate-repair-series</v>
      </c>
      <c r="B97" s="30" t="s">
        <v>11</v>
      </c>
      <c r="C97" s="28" t="str">
        <f t="array" ref="C97">INDEX('raw-sheet'!$A$2:$ZZ$1000, ROW(C96), MATCH(C$1, 'raw-sheet'!$A$1:$ZZ$1, 0))</f>
        <v>Product List</v>
      </c>
      <c r="D97" s="28">
        <f t="array" ref="D97">INDEX('raw-sheet'!$A$2:$ZZ$1000, ROW(D96), MATCH(D$1, 'raw-sheet'!$A$1:$ZZ$1, 0))</f>
        <v>200</v>
      </c>
      <c r="E97" s="30" t="str">
        <f t="shared" si="2"/>
        <v>Pass</v>
      </c>
      <c r="F97" s="28" t="str">
        <f t="array" ref="F97">INDEX('raw-sheet'!$A$2:$ZZ$1000, ROW(F96), MATCH(F$1, 'raw-sheet'!$A$1:$ZZ$1, 0))</f>
        <v>紅茶極效修護系列_x000D_ | INNISFREE Taiwan</v>
      </c>
      <c r="G97" s="30" t="s">
        <v>11</v>
      </c>
      <c r="H97" s="28">
        <f t="array" ref="H97">INDEX('raw-sheet'!$A$2:$ZZ$1000, ROW(H96), MATCH(H$1, 'raw-sheet'!$A$1:$ZZ$1, 0))</f>
        <v>0</v>
      </c>
      <c r="I97" s="30" t="s">
        <v>61</v>
      </c>
      <c r="J97" s="28" t="str">
        <f t="array" ref="J97">INDEX('raw-sheet'!$A$2:$ZZ$1000, ROW(J96), MATCH(J$1, 'raw-sheet'!$A$1:$ZZ$1, 0))</f>
        <v>紅茶極效修護系列</v>
      </c>
      <c r="K97" s="28" t="str">
        <f t="array" ref="K97">INDEX('raw-sheet'!$A$2:$ZZ$1000, ROW(K96), MATCH(K$1, 'raw-sheet'!$A$1:$ZZ$1, 0))</f>
        <v>1</v>
      </c>
      <c r="L97" s="30" t="s">
        <v>11</v>
      </c>
      <c r="M97" s="28" t="str">
        <f t="array" ref="M97">INDEX('raw-sheet'!$A$2:$ZZ$1000, ROW(M96), MATCH(M$1, 'raw-sheet'!$A$1:$ZZ$1, 0))</f>
        <v>https://innisfree-taiwan.myshopify.com/collections/black-tea-ultimate-repair-series</v>
      </c>
      <c r="N97" s="30" t="str">
        <f t="shared" si="3"/>
        <v>Pass</v>
      </c>
      <c r="O97" s="28" t="str">
        <f t="array" ref="O97">INDEX('raw-sheet'!$A$2:$ZZ$1000, ROW(O96), MATCH(O$1, 'raw-sheet'!$A$1:$ZZ$1, 0))</f>
        <v>紅茶極效修護系列 | INNISFREE Taiwan</v>
      </c>
      <c r="P97" s="28" t="str">
        <f t="array" ref="P97">INDEX('raw-sheet'!$A$2:$ZZ$1000, ROW(P96),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7" s="28" t="str">
        <f t="array" ref="Q97">INDEX('raw-sheet'!$A$2:$ZZ$1000, ROW(Q96), MATCH(Q$1, 'raw-sheet'!$A$1:$ZZ$1, 0))</f>
        <v>website</v>
      </c>
      <c r="R97" s="28" t="str">
        <f t="array" ref="R97">INDEX('raw-sheet'!$A$2:$ZZ$1000, ROW(R96), MATCH(R$1, 'raw-sheet'!$A$1:$ZZ$1, 0))</f>
        <v>INNISFREE Taiwan</v>
      </c>
      <c r="S97" s="28" t="str">
        <f t="array" ref="S97">INDEX('raw-sheet'!$A$2:$ZZ$1000, ROW(S96), MATCH(S$1, 'raw-sheet'!$A$1:$ZZ$1, 0))</f>
        <v>http://innisfree-taiwan.myshopify.com/cdn/shop/files/logo.png?v=1767594135</v>
      </c>
      <c r="T97" s="28" t="str">
        <f t="array" ref="T97">INDEX('raw-sheet'!$A$2:$ZZ$1000, ROW(T96), MATCH(T$1, 'raw-sheet'!$A$1:$ZZ$1, 0))</f>
        <v>https://innisfree-taiwan.myshopify.com/cdn/shop/files/logo.png?v=1767594135</v>
      </c>
      <c r="U97" s="28" t="str">
        <f t="array" ref="U97">INDEX('raw-sheet'!$A$2:$ZZ$1000, ROW(U96), MATCH(U$1, 'raw-sheet'!$A$1:$ZZ$1, 0))</f>
        <v>https://innisfree-taiwan.myshopify.com/collections/black-tea-ultimate-repair-series</v>
      </c>
      <c r="V97" s="28" t="str">
        <f t="array" ref="V97">INDEX('raw-sheet'!$A$2:$ZZ$1000, ROW(V96), MATCH(V$1, 'raw-sheet'!$A$1:$ZZ$1, 0))</f>
        <v>紅茶極效修護系列 | INNISFREE Taiwan</v>
      </c>
      <c r="W97" s="28" t="str">
        <f t="array" ref="W97">INDEX('raw-sheet'!$A$2:$ZZ$1000, ROW(W96),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7" s="28" t="str">
        <f t="array" ref="X97">INDEX('raw-sheet'!$A$2:$ZZ$1000, ROW(X96), MATCH(X$1, 'raw-sheet'!$A$1:$ZZ$1, 0))</f>
        <v>summary_large_image</v>
      </c>
      <c r="Y97" s="30" t="s">
        <v>56</v>
      </c>
      <c r="Z97" s="28" t="str">
        <f>VLOOKUP($A97,'raw-schema'!$A:$R,14,0)</f>
        <v>Organization</v>
      </c>
      <c r="AA97" s="28">
        <f>VLOOKUP($A97,'raw-schema'!$A:$R,15,0)</f>
        <v>0</v>
      </c>
      <c r="AB97" s="28">
        <f>VLOOKUP($A97,'raw-schema'!$A:$R,16,0)</f>
        <v>0</v>
      </c>
      <c r="AC97" s="28">
        <f>VLOOKUP($A97,'raw-schema'!$A:$R,17,0)</f>
        <v>0</v>
      </c>
      <c r="AD97" s="28">
        <f>VLOOKUP($A97,'raw-schema'!$A:$R,18,0)</f>
        <v>0</v>
      </c>
      <c r="AE97" s="30" t="s">
        <v>66</v>
      </c>
    </row>
    <row r="98" spans="1:32" x14ac:dyDescent="0.3">
      <c r="A98" s="28" t="str">
        <f t="array" ref="A98">INDEX('raw-sheet'!$A$2:$ZZ$1000, ROW(A97), MATCH(A$1, 'raw-sheet'!$A$1:$ZZ$1, 0))</f>
        <v>https://innisfree-taiwan.myshopify.com/collections/body-care</v>
      </c>
      <c r="B98" s="30" t="s">
        <v>11</v>
      </c>
      <c r="C98" s="28" t="str">
        <f t="array" ref="C98">INDEX('raw-sheet'!$A$2:$ZZ$1000, ROW(C97), MATCH(C$1, 'raw-sheet'!$A$1:$ZZ$1, 0))</f>
        <v>Product List</v>
      </c>
      <c r="D98" s="28">
        <f t="array" ref="D98">INDEX('raw-sheet'!$A$2:$ZZ$1000, ROW(D97), MATCH(D$1, 'raw-sheet'!$A$1:$ZZ$1, 0))</f>
        <v>200</v>
      </c>
      <c r="E98" s="30" t="str">
        <f t="shared" si="2"/>
        <v>Pass</v>
      </c>
      <c r="F98" s="28" t="str">
        <f t="array" ref="F98">INDEX('raw-sheet'!$A$2:$ZZ$1000, ROW(F97), MATCH(F$1, 'raw-sheet'!$A$1:$ZZ$1, 0))</f>
        <v>身體護理_x000D_ | INNISFREE Taiwan</v>
      </c>
      <c r="G98" s="30" t="s">
        <v>60</v>
      </c>
      <c r="H98" s="28">
        <f t="array" ref="H98">INDEX('raw-sheet'!$A$2:$ZZ$1000, ROW(H97), MATCH(H$1, 'raw-sheet'!$A$1:$ZZ$1, 0))</f>
        <v>0</v>
      </c>
      <c r="I98" s="30" t="s">
        <v>61</v>
      </c>
      <c r="J98" s="28" t="str">
        <f t="array" ref="J98">INDEX('raw-sheet'!$A$2:$ZZ$1000, ROW(J97), MATCH(J$1, 'raw-sheet'!$A$1:$ZZ$1, 0))</f>
        <v>身體護理</v>
      </c>
      <c r="K98" s="28" t="str">
        <f t="array" ref="K98">INDEX('raw-sheet'!$A$2:$ZZ$1000, ROW(K97), MATCH(K$1, 'raw-sheet'!$A$1:$ZZ$1, 0))</f>
        <v>1</v>
      </c>
      <c r="L98" s="30" t="s">
        <v>60</v>
      </c>
      <c r="M98" s="28" t="str">
        <f t="array" ref="M98">INDEX('raw-sheet'!$A$2:$ZZ$1000, ROW(M97), MATCH(M$1, 'raw-sheet'!$A$1:$ZZ$1, 0))</f>
        <v>https://innisfree-taiwan.myshopify.com/collections/body-care</v>
      </c>
      <c r="N98" s="30" t="str">
        <f t="shared" si="3"/>
        <v>Pass</v>
      </c>
      <c r="O98" s="28" t="str">
        <f t="array" ref="O98">INDEX('raw-sheet'!$A$2:$ZZ$1000, ROW(O97), MATCH(O$1, 'raw-sheet'!$A$1:$ZZ$1, 0))</f>
        <v>身體護理 | INNISFREE Taiwan</v>
      </c>
      <c r="P98" s="28" t="str">
        <f t="array" ref="P98">INDEX('raw-sheet'!$A$2:$ZZ$1000, ROW(P97),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8" s="28" t="str">
        <f t="array" ref="Q98">INDEX('raw-sheet'!$A$2:$ZZ$1000, ROW(Q97), MATCH(Q$1, 'raw-sheet'!$A$1:$ZZ$1, 0))</f>
        <v>website</v>
      </c>
      <c r="R98" s="28" t="str">
        <f t="array" ref="R98">INDEX('raw-sheet'!$A$2:$ZZ$1000, ROW(R97), MATCH(R$1, 'raw-sheet'!$A$1:$ZZ$1, 0))</f>
        <v>INNISFREE Taiwan</v>
      </c>
      <c r="S98" s="28" t="str">
        <f t="array" ref="S98">INDEX('raw-sheet'!$A$2:$ZZ$1000, ROW(S97), MATCH(S$1, 'raw-sheet'!$A$1:$ZZ$1, 0))</f>
        <v>http://innisfree-taiwan.myshopify.com/cdn/shop/files/logo.png?v=1767594135</v>
      </c>
      <c r="T98" s="28" t="str">
        <f t="array" ref="T98">INDEX('raw-sheet'!$A$2:$ZZ$1000, ROW(T97), MATCH(T$1, 'raw-sheet'!$A$1:$ZZ$1, 0))</f>
        <v>https://innisfree-taiwan.myshopify.com/cdn/shop/files/logo.png?v=1767594135</v>
      </c>
      <c r="U98" s="28" t="str">
        <f t="array" ref="U98">INDEX('raw-sheet'!$A$2:$ZZ$1000, ROW(U97), MATCH(U$1, 'raw-sheet'!$A$1:$ZZ$1, 0))</f>
        <v>https://innisfree-taiwan.myshopify.com/collections/body-care</v>
      </c>
      <c r="V98" s="28" t="str">
        <f t="array" ref="V98">INDEX('raw-sheet'!$A$2:$ZZ$1000, ROW(V97), MATCH(V$1, 'raw-sheet'!$A$1:$ZZ$1, 0))</f>
        <v>身體護理 | INNISFREE Taiwan</v>
      </c>
      <c r="W98" s="28" t="str">
        <f t="array" ref="W98">INDEX('raw-sheet'!$A$2:$ZZ$1000, ROW(W97),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8" s="28" t="str">
        <f t="array" ref="X98">INDEX('raw-sheet'!$A$2:$ZZ$1000, ROW(X97), MATCH(X$1, 'raw-sheet'!$A$1:$ZZ$1, 0))</f>
        <v>summary_large_image</v>
      </c>
      <c r="Y98" s="30" t="s">
        <v>62</v>
      </c>
      <c r="Z98" s="28" t="str">
        <f>VLOOKUP($A98,'raw-schema'!$A:$R,14,0)</f>
        <v>Organization</v>
      </c>
      <c r="AA98" s="28">
        <f>VLOOKUP($A98,'raw-schema'!$A:$R,15,0)</f>
        <v>0</v>
      </c>
      <c r="AB98" s="28">
        <f>VLOOKUP($A98,'raw-schema'!$A:$R,16,0)</f>
        <v>0</v>
      </c>
      <c r="AC98" s="28">
        <f>VLOOKUP($A98,'raw-schema'!$A:$R,17,0)</f>
        <v>0</v>
      </c>
      <c r="AD98" s="28">
        <f>VLOOKUP($A98,'raw-schema'!$A:$R,18,0)</f>
        <v>0</v>
      </c>
      <c r="AE98" s="30" t="s">
        <v>66</v>
      </c>
    </row>
    <row r="99" spans="1:32" x14ac:dyDescent="0.3">
      <c r="A99" s="28" t="str">
        <f t="array" ref="A99">INDEX('raw-sheet'!$A$2:$ZZ$1000, ROW(A98), MATCH(A$1, 'raw-sheet'!$A$1:$ZZ$1, 0))</f>
        <v>https://innisfree-taiwan.myshopify.com/collections/body-care?page=1</v>
      </c>
      <c r="B99" s="30" t="s">
        <v>11</v>
      </c>
      <c r="C99" s="28" t="str">
        <f t="array" ref="C99">INDEX('raw-sheet'!$A$2:$ZZ$1000, ROW(C98), MATCH(C$1, 'raw-sheet'!$A$1:$ZZ$1, 0))</f>
        <v>Product List</v>
      </c>
      <c r="D99" s="28">
        <f t="array" ref="D99">INDEX('raw-sheet'!$A$2:$ZZ$1000, ROW(D98), MATCH(D$1, 'raw-sheet'!$A$1:$ZZ$1, 0))</f>
        <v>200</v>
      </c>
      <c r="E99" s="30" t="str">
        <f t="shared" si="2"/>
        <v>Pass</v>
      </c>
      <c r="F99" s="28" t="str">
        <f t="array" ref="F99">INDEX('raw-sheet'!$A$2:$ZZ$1000, ROW(F98), MATCH(F$1, 'raw-sheet'!$A$1:$ZZ$1, 0))</f>
        <v>身體護理_x000D_ | INNISFREE Taiwan</v>
      </c>
      <c r="G99" s="30" t="s">
        <v>11</v>
      </c>
      <c r="H99" s="28">
        <f t="array" ref="H99">INDEX('raw-sheet'!$A$2:$ZZ$1000, ROW(H98), MATCH(H$1, 'raw-sheet'!$A$1:$ZZ$1, 0))</f>
        <v>0</v>
      </c>
      <c r="I99" s="30" t="s">
        <v>61</v>
      </c>
      <c r="J99" s="28" t="str">
        <f t="array" ref="J99">INDEX('raw-sheet'!$A$2:$ZZ$1000, ROW(J98), MATCH(J$1, 'raw-sheet'!$A$1:$ZZ$1, 0))</f>
        <v>身體護理</v>
      </c>
      <c r="K99" s="28" t="str">
        <f t="array" ref="K99">INDEX('raw-sheet'!$A$2:$ZZ$1000, ROW(K98), MATCH(K$1, 'raw-sheet'!$A$1:$ZZ$1, 0))</f>
        <v>1</v>
      </c>
      <c r="L99" s="30" t="s">
        <v>60</v>
      </c>
      <c r="M99" s="28" t="str">
        <f t="array" ref="M99">INDEX('raw-sheet'!$A$2:$ZZ$1000, ROW(M98), MATCH(M$1, 'raw-sheet'!$A$1:$ZZ$1, 0))</f>
        <v>https://innisfree-taiwan.myshopify.com/collections/body-care</v>
      </c>
      <c r="N99" s="30" t="str">
        <f t="shared" si="3"/>
        <v>Not</v>
      </c>
      <c r="O99" s="28" t="str">
        <f t="array" ref="O99">INDEX('raw-sheet'!$A$2:$ZZ$1000, ROW(O98), MATCH(O$1, 'raw-sheet'!$A$1:$ZZ$1, 0))</f>
        <v>身體護理 | INNISFREE Taiwan</v>
      </c>
      <c r="P99" s="28" t="str">
        <f t="array" ref="P99">INDEX('raw-sheet'!$A$2:$ZZ$1000, ROW(P98),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99" s="28" t="str">
        <f t="array" ref="Q99">INDEX('raw-sheet'!$A$2:$ZZ$1000, ROW(Q98), MATCH(Q$1, 'raw-sheet'!$A$1:$ZZ$1, 0))</f>
        <v>website</v>
      </c>
      <c r="R99" s="28" t="str">
        <f t="array" ref="R99">INDEX('raw-sheet'!$A$2:$ZZ$1000, ROW(R98), MATCH(R$1, 'raw-sheet'!$A$1:$ZZ$1, 0))</f>
        <v>INNISFREE Taiwan</v>
      </c>
      <c r="S99" s="28" t="str">
        <f t="array" ref="S99">INDEX('raw-sheet'!$A$2:$ZZ$1000, ROW(S98), MATCH(S$1, 'raw-sheet'!$A$1:$ZZ$1, 0))</f>
        <v>http://innisfree-taiwan.myshopify.com/cdn/shop/files/logo.png?v=1767594135</v>
      </c>
      <c r="T99" s="28" t="str">
        <f t="array" ref="T99">INDEX('raw-sheet'!$A$2:$ZZ$1000, ROW(T98), MATCH(T$1, 'raw-sheet'!$A$1:$ZZ$1, 0))</f>
        <v>https://innisfree-taiwan.myshopify.com/cdn/shop/files/logo.png?v=1767594135</v>
      </c>
      <c r="U99" s="28" t="str">
        <f t="array" ref="U99">INDEX('raw-sheet'!$A$2:$ZZ$1000, ROW(U98), MATCH(U$1, 'raw-sheet'!$A$1:$ZZ$1, 0))</f>
        <v>https://innisfree-taiwan.myshopify.com/collections/body-care</v>
      </c>
      <c r="V99" s="28" t="str">
        <f t="array" ref="V99">INDEX('raw-sheet'!$A$2:$ZZ$1000, ROW(V98), MATCH(V$1, 'raw-sheet'!$A$1:$ZZ$1, 0))</f>
        <v>身體護理 | INNISFREE Taiwan</v>
      </c>
      <c r="W99" s="28" t="str">
        <f t="array" ref="W99">INDEX('raw-sheet'!$A$2:$ZZ$1000, ROW(W98),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99" s="28" t="str">
        <f t="array" ref="X99">INDEX('raw-sheet'!$A$2:$ZZ$1000, ROW(X98), MATCH(X$1, 'raw-sheet'!$A$1:$ZZ$1, 0))</f>
        <v>summary_large_image</v>
      </c>
      <c r="Y99" s="30" t="s">
        <v>62</v>
      </c>
      <c r="Z99" s="28" t="str">
        <f>VLOOKUP($A99,'raw-schema'!$A:$R,14,0)</f>
        <v>Organization</v>
      </c>
      <c r="AA99" s="28">
        <f>VLOOKUP($A99,'raw-schema'!$A:$R,15,0)</f>
        <v>0</v>
      </c>
      <c r="AB99" s="28">
        <f>VLOOKUP($A99,'raw-schema'!$A:$R,16,0)</f>
        <v>0</v>
      </c>
      <c r="AC99" s="28">
        <f>VLOOKUP($A99,'raw-schema'!$A:$R,17,0)</f>
        <v>0</v>
      </c>
      <c r="AD99" s="28">
        <f>VLOOKUP($A99,'raw-schema'!$A:$R,18,0)</f>
        <v>0</v>
      </c>
      <c r="AE99" s="30" t="s">
        <v>66</v>
      </c>
      <c r="AF99" t="s">
        <v>65</v>
      </c>
    </row>
    <row r="100" spans="1:32" x14ac:dyDescent="0.3">
      <c r="A100" s="28" t="str">
        <f t="array" ref="A100">INDEX('raw-sheet'!$A$2:$ZZ$1000, ROW(A99), MATCH(A$1, 'raw-sheet'!$A$1:$ZZ$1, 0))</f>
        <v>https://innisfree-taiwan.myshopify.com/collections/body-care?page=2</v>
      </c>
      <c r="B100" s="30" t="s">
        <v>11</v>
      </c>
      <c r="C100" s="28" t="str">
        <f t="array" ref="C100">INDEX('raw-sheet'!$A$2:$ZZ$1000, ROW(C99), MATCH(C$1, 'raw-sheet'!$A$1:$ZZ$1, 0))</f>
        <v>Product List</v>
      </c>
      <c r="D100" s="28">
        <f t="array" ref="D100">INDEX('raw-sheet'!$A$2:$ZZ$1000, ROW(D99), MATCH(D$1, 'raw-sheet'!$A$1:$ZZ$1, 0))</f>
        <v>200</v>
      </c>
      <c r="E100" s="30" t="str">
        <f t="shared" si="2"/>
        <v>Pass</v>
      </c>
      <c r="F100" s="28" t="str">
        <f t="array" ref="F100">INDEX('raw-sheet'!$A$2:$ZZ$1000, ROW(F99), MATCH(F$1, 'raw-sheet'!$A$1:$ZZ$1, 0))</f>
        <v>身體護理_x000D_ – Page 2 | INNISFREE Taiwan</v>
      </c>
      <c r="G100" s="30" t="s">
        <v>11</v>
      </c>
      <c r="H100" s="28">
        <f t="array" ref="H100">INDEX('raw-sheet'!$A$2:$ZZ$1000, ROW(H99), MATCH(H$1, 'raw-sheet'!$A$1:$ZZ$1, 0))</f>
        <v>0</v>
      </c>
      <c r="I100" s="30" t="s">
        <v>61</v>
      </c>
      <c r="J100" s="28" t="str">
        <f t="array" ref="J100">INDEX('raw-sheet'!$A$2:$ZZ$1000, ROW(J99), MATCH(J$1, 'raw-sheet'!$A$1:$ZZ$1, 0))</f>
        <v>身體護理</v>
      </c>
      <c r="K100" s="28" t="str">
        <f t="array" ref="K100">INDEX('raw-sheet'!$A$2:$ZZ$1000, ROW(K99), MATCH(K$1, 'raw-sheet'!$A$1:$ZZ$1, 0))</f>
        <v>1</v>
      </c>
      <c r="L100" s="30" t="s">
        <v>60</v>
      </c>
      <c r="M100" s="28" t="str">
        <f t="array" ref="M100">INDEX('raw-sheet'!$A$2:$ZZ$1000, ROW(M99), MATCH(M$1, 'raw-sheet'!$A$1:$ZZ$1, 0))</f>
        <v>https://innisfree-taiwan.myshopify.com/collections/body-care?page=2</v>
      </c>
      <c r="N100" s="30" t="str">
        <f t="shared" si="3"/>
        <v>Pass</v>
      </c>
      <c r="O100" s="28" t="str">
        <f t="array" ref="O100">INDEX('raw-sheet'!$A$2:$ZZ$1000, ROW(O99), MATCH(O$1, 'raw-sheet'!$A$1:$ZZ$1, 0))</f>
        <v>身體護理 | INNISFREE Taiwan</v>
      </c>
      <c r="P100" s="28" t="str">
        <f t="array" ref="P100">INDEX('raw-sheet'!$A$2:$ZZ$1000, ROW(P99),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0" s="28" t="str">
        <f t="array" ref="Q100">INDEX('raw-sheet'!$A$2:$ZZ$1000, ROW(Q99), MATCH(Q$1, 'raw-sheet'!$A$1:$ZZ$1, 0))</f>
        <v>website</v>
      </c>
      <c r="R100" s="28" t="str">
        <f t="array" ref="R100">INDEX('raw-sheet'!$A$2:$ZZ$1000, ROW(R99), MATCH(R$1, 'raw-sheet'!$A$1:$ZZ$1, 0))</f>
        <v>INNISFREE Taiwan</v>
      </c>
      <c r="S100" s="28" t="str">
        <f t="array" ref="S100">INDEX('raw-sheet'!$A$2:$ZZ$1000, ROW(S99), MATCH(S$1, 'raw-sheet'!$A$1:$ZZ$1, 0))</f>
        <v>http://innisfree-taiwan.myshopify.com/cdn/shop/files/logo.png?v=1767594135</v>
      </c>
      <c r="T100" s="28" t="str">
        <f t="array" ref="T100">INDEX('raw-sheet'!$A$2:$ZZ$1000, ROW(T99), MATCH(T$1, 'raw-sheet'!$A$1:$ZZ$1, 0))</f>
        <v>https://innisfree-taiwan.myshopify.com/cdn/shop/files/logo.png?v=1767594135</v>
      </c>
      <c r="U100" s="28" t="str">
        <f t="array" ref="U100">INDEX('raw-sheet'!$A$2:$ZZ$1000, ROW(U99), MATCH(U$1, 'raw-sheet'!$A$1:$ZZ$1, 0))</f>
        <v>https://innisfree-taiwan.myshopify.com/collections/body-care?page=2</v>
      </c>
      <c r="V100" s="28" t="str">
        <f t="array" ref="V100">INDEX('raw-sheet'!$A$2:$ZZ$1000, ROW(V99), MATCH(V$1, 'raw-sheet'!$A$1:$ZZ$1, 0))</f>
        <v>身體護理 | INNISFREE Taiwan</v>
      </c>
      <c r="W100" s="28" t="str">
        <f t="array" ref="W100">INDEX('raw-sheet'!$A$2:$ZZ$1000, ROW(W99),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0" s="28" t="str">
        <f t="array" ref="X100">INDEX('raw-sheet'!$A$2:$ZZ$1000, ROW(X99), MATCH(X$1, 'raw-sheet'!$A$1:$ZZ$1, 0))</f>
        <v>summary_large_image</v>
      </c>
      <c r="Y100" s="30" t="s">
        <v>62</v>
      </c>
      <c r="Z100" s="28" t="str">
        <f>VLOOKUP($A100,'raw-schema'!$A:$R,14,0)</f>
        <v>Organization</v>
      </c>
      <c r="AA100" s="28">
        <f>VLOOKUP($A100,'raw-schema'!$A:$R,15,0)</f>
        <v>0</v>
      </c>
      <c r="AB100" s="28">
        <f>VLOOKUP($A100,'raw-schema'!$A:$R,16,0)</f>
        <v>0</v>
      </c>
      <c r="AC100" s="28">
        <f>VLOOKUP($A100,'raw-schema'!$A:$R,17,0)</f>
        <v>0</v>
      </c>
      <c r="AD100" s="28">
        <f>VLOOKUP($A100,'raw-schema'!$A:$R,18,0)</f>
        <v>0</v>
      </c>
      <c r="AE100" s="30" t="s">
        <v>66</v>
      </c>
      <c r="AF100" t="s">
        <v>65</v>
      </c>
    </row>
    <row r="101" spans="1:32" x14ac:dyDescent="0.3">
      <c r="A101" s="28" t="str">
        <f t="array" ref="A101">INDEX('raw-sheet'!$A$2:$ZZ$1000, ROW(A100), MATCH(A$1, 'raw-sheet'!$A$1:$ZZ$1, 0))</f>
        <v>https://innisfree-taiwan.myshopify.com/collections/body-hair</v>
      </c>
      <c r="B101" s="30" t="s">
        <v>11</v>
      </c>
      <c r="C101" s="28" t="str">
        <f t="array" ref="C101">INDEX('raw-sheet'!$A$2:$ZZ$1000, ROW(C100), MATCH(C$1, 'raw-sheet'!$A$1:$ZZ$1, 0))</f>
        <v>Product List</v>
      </c>
      <c r="D101" s="28">
        <f t="array" ref="D101">INDEX('raw-sheet'!$A$2:$ZZ$1000, ROW(D100), MATCH(D$1, 'raw-sheet'!$A$1:$ZZ$1, 0))</f>
        <v>200</v>
      </c>
      <c r="E101" s="30" t="str">
        <f t="shared" si="2"/>
        <v>Pass</v>
      </c>
      <c r="F101" s="28" t="str">
        <f t="array" ref="F101">INDEX('raw-sheet'!$A$2:$ZZ$1000, ROW(F100), MATCH(F$1, 'raw-sheet'!$A$1:$ZZ$1, 0))</f>
        <v>身體髮品_x000D_ | INNISFREE Taiwan</v>
      </c>
      <c r="G101" s="30" t="s">
        <v>60</v>
      </c>
      <c r="H101" s="28">
        <f t="array" ref="H101">INDEX('raw-sheet'!$A$2:$ZZ$1000, ROW(H100), MATCH(H$1, 'raw-sheet'!$A$1:$ZZ$1, 0))</f>
        <v>0</v>
      </c>
      <c r="I101" s="30" t="s">
        <v>61</v>
      </c>
      <c r="J101" s="28" t="str">
        <f t="array" ref="J101">INDEX('raw-sheet'!$A$2:$ZZ$1000, ROW(J100), MATCH(J$1, 'raw-sheet'!$A$1:$ZZ$1, 0))</f>
        <v>身體髮品</v>
      </c>
      <c r="K101" s="28" t="str">
        <f t="array" ref="K101">INDEX('raw-sheet'!$A$2:$ZZ$1000, ROW(K100), MATCH(K$1, 'raw-sheet'!$A$1:$ZZ$1, 0))</f>
        <v>1</v>
      </c>
      <c r="L101" s="30" t="s">
        <v>60</v>
      </c>
      <c r="M101" s="28" t="str">
        <f t="array" ref="M101">INDEX('raw-sheet'!$A$2:$ZZ$1000, ROW(M100), MATCH(M$1, 'raw-sheet'!$A$1:$ZZ$1, 0))</f>
        <v>https://innisfree-taiwan.myshopify.com/collections/body-hair</v>
      </c>
      <c r="N101" s="30" t="str">
        <f t="shared" si="3"/>
        <v>Pass</v>
      </c>
      <c r="O101" s="28" t="str">
        <f t="array" ref="O101">INDEX('raw-sheet'!$A$2:$ZZ$1000, ROW(O100), MATCH(O$1, 'raw-sheet'!$A$1:$ZZ$1, 0))</f>
        <v>身體髮品 | INNISFREE Taiwan</v>
      </c>
      <c r="P101" s="28" t="str">
        <f t="array" ref="P101">INDEX('raw-sheet'!$A$2:$ZZ$1000, ROW(P100),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1" s="28" t="str">
        <f t="array" ref="Q101">INDEX('raw-sheet'!$A$2:$ZZ$1000, ROW(Q100), MATCH(Q$1, 'raw-sheet'!$A$1:$ZZ$1, 0))</f>
        <v>website</v>
      </c>
      <c r="R101" s="28" t="str">
        <f t="array" ref="R101">INDEX('raw-sheet'!$A$2:$ZZ$1000, ROW(R100), MATCH(R$1, 'raw-sheet'!$A$1:$ZZ$1, 0))</f>
        <v>INNISFREE Taiwan</v>
      </c>
      <c r="S101" s="28" t="str">
        <f t="array" ref="S101">INDEX('raw-sheet'!$A$2:$ZZ$1000, ROW(S100), MATCH(S$1, 'raw-sheet'!$A$1:$ZZ$1, 0))</f>
        <v>http://innisfree-taiwan.myshopify.com/cdn/shop/files/logo.png?v=1767594135</v>
      </c>
      <c r="T101" s="28" t="str">
        <f t="array" ref="T101">INDEX('raw-sheet'!$A$2:$ZZ$1000, ROW(T100), MATCH(T$1, 'raw-sheet'!$A$1:$ZZ$1, 0))</f>
        <v>https://innisfree-taiwan.myshopify.com/cdn/shop/files/logo.png?v=1767594135</v>
      </c>
      <c r="U101" s="28" t="str">
        <f t="array" ref="U101">INDEX('raw-sheet'!$A$2:$ZZ$1000, ROW(U100), MATCH(U$1, 'raw-sheet'!$A$1:$ZZ$1, 0))</f>
        <v>https://innisfree-taiwan.myshopify.com/collections/body-hair</v>
      </c>
      <c r="V101" s="28" t="str">
        <f t="array" ref="V101">INDEX('raw-sheet'!$A$2:$ZZ$1000, ROW(V100), MATCH(V$1, 'raw-sheet'!$A$1:$ZZ$1, 0))</f>
        <v>身體髮品 | INNISFREE Taiwan</v>
      </c>
      <c r="W101" s="28" t="str">
        <f t="array" ref="W101">INDEX('raw-sheet'!$A$2:$ZZ$1000, ROW(W100),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1" s="28" t="str">
        <f t="array" ref="X101">INDEX('raw-sheet'!$A$2:$ZZ$1000, ROW(X100), MATCH(X$1, 'raw-sheet'!$A$1:$ZZ$1, 0))</f>
        <v>summary_large_image</v>
      </c>
      <c r="Y101" s="30" t="s">
        <v>62</v>
      </c>
      <c r="Z101" s="28" t="str">
        <f>VLOOKUP($A101,'raw-schema'!$A:$R,14,0)</f>
        <v>Organization</v>
      </c>
      <c r="AA101" s="28">
        <f>VLOOKUP($A101,'raw-schema'!$A:$R,15,0)</f>
        <v>0</v>
      </c>
      <c r="AB101" s="28">
        <f>VLOOKUP($A101,'raw-schema'!$A:$R,16,0)</f>
        <v>0</v>
      </c>
      <c r="AC101" s="28">
        <f>VLOOKUP($A101,'raw-schema'!$A:$R,17,0)</f>
        <v>0</v>
      </c>
      <c r="AD101" s="28">
        <f>VLOOKUP($A101,'raw-schema'!$A:$R,18,0)</f>
        <v>0</v>
      </c>
      <c r="AE101" s="30" t="s">
        <v>66</v>
      </c>
    </row>
    <row r="102" spans="1:32" x14ac:dyDescent="0.3">
      <c r="A102" s="28" t="str">
        <f t="array" ref="A102">INDEX('raw-sheet'!$A$2:$ZZ$1000, ROW(A101), MATCH(A$1, 'raw-sheet'!$A$1:$ZZ$1, 0))</f>
        <v>https://innisfree-taiwan.myshopify.com/collections/body-hair?page=1</v>
      </c>
      <c r="B102" s="30" t="s">
        <v>11</v>
      </c>
      <c r="C102" s="28" t="str">
        <f t="array" ref="C102">INDEX('raw-sheet'!$A$2:$ZZ$1000, ROW(C101), MATCH(C$1, 'raw-sheet'!$A$1:$ZZ$1, 0))</f>
        <v>Product List</v>
      </c>
      <c r="D102" s="28">
        <f t="array" ref="D102">INDEX('raw-sheet'!$A$2:$ZZ$1000, ROW(D101), MATCH(D$1, 'raw-sheet'!$A$1:$ZZ$1, 0))</f>
        <v>200</v>
      </c>
      <c r="E102" s="30" t="str">
        <f t="shared" si="2"/>
        <v>Pass</v>
      </c>
      <c r="F102" s="28" t="str">
        <f t="array" ref="F102">INDEX('raw-sheet'!$A$2:$ZZ$1000, ROW(F101), MATCH(F$1, 'raw-sheet'!$A$1:$ZZ$1, 0))</f>
        <v>身體髮品_x000D_ | INNISFREE Taiwan</v>
      </c>
      <c r="G102" s="30" t="s">
        <v>11</v>
      </c>
      <c r="H102" s="28">
        <f t="array" ref="H102">INDEX('raw-sheet'!$A$2:$ZZ$1000, ROW(H101), MATCH(H$1, 'raw-sheet'!$A$1:$ZZ$1, 0))</f>
        <v>0</v>
      </c>
      <c r="I102" s="30" t="s">
        <v>61</v>
      </c>
      <c r="J102" s="28" t="str">
        <f t="array" ref="J102">INDEX('raw-sheet'!$A$2:$ZZ$1000, ROW(J101), MATCH(J$1, 'raw-sheet'!$A$1:$ZZ$1, 0))</f>
        <v>身體髮品</v>
      </c>
      <c r="K102" s="28" t="str">
        <f t="array" ref="K102">INDEX('raw-sheet'!$A$2:$ZZ$1000, ROW(K101), MATCH(K$1, 'raw-sheet'!$A$1:$ZZ$1, 0))</f>
        <v>1</v>
      </c>
      <c r="L102" s="30" t="s">
        <v>60</v>
      </c>
      <c r="M102" s="28" t="str">
        <f t="array" ref="M102">INDEX('raw-sheet'!$A$2:$ZZ$1000, ROW(M101), MATCH(M$1, 'raw-sheet'!$A$1:$ZZ$1, 0))</f>
        <v>https://innisfree-taiwan.myshopify.com/collections/body-hair</v>
      </c>
      <c r="N102" s="30" t="str">
        <f t="shared" si="3"/>
        <v>Not</v>
      </c>
      <c r="O102" s="28" t="str">
        <f t="array" ref="O102">INDEX('raw-sheet'!$A$2:$ZZ$1000, ROW(O101), MATCH(O$1, 'raw-sheet'!$A$1:$ZZ$1, 0))</f>
        <v>身體髮品 | INNISFREE Taiwan</v>
      </c>
      <c r="P102" s="28" t="str">
        <f t="array" ref="P102">INDEX('raw-sheet'!$A$2:$ZZ$1000, ROW(P101),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2" s="28" t="str">
        <f t="array" ref="Q102">INDEX('raw-sheet'!$A$2:$ZZ$1000, ROW(Q101), MATCH(Q$1, 'raw-sheet'!$A$1:$ZZ$1, 0))</f>
        <v>website</v>
      </c>
      <c r="R102" s="28" t="str">
        <f t="array" ref="R102">INDEX('raw-sheet'!$A$2:$ZZ$1000, ROW(R101), MATCH(R$1, 'raw-sheet'!$A$1:$ZZ$1, 0))</f>
        <v>INNISFREE Taiwan</v>
      </c>
      <c r="S102" s="28" t="str">
        <f t="array" ref="S102">INDEX('raw-sheet'!$A$2:$ZZ$1000, ROW(S101), MATCH(S$1, 'raw-sheet'!$A$1:$ZZ$1, 0))</f>
        <v>http://innisfree-taiwan.myshopify.com/cdn/shop/files/logo.png?v=1767594135</v>
      </c>
      <c r="T102" s="28" t="str">
        <f t="array" ref="T102">INDEX('raw-sheet'!$A$2:$ZZ$1000, ROW(T101), MATCH(T$1, 'raw-sheet'!$A$1:$ZZ$1, 0))</f>
        <v>https://innisfree-taiwan.myshopify.com/cdn/shop/files/logo.png?v=1767594135</v>
      </c>
      <c r="U102" s="28" t="str">
        <f t="array" ref="U102">INDEX('raw-sheet'!$A$2:$ZZ$1000, ROW(U101), MATCH(U$1, 'raw-sheet'!$A$1:$ZZ$1, 0))</f>
        <v>https://innisfree-taiwan.myshopify.com/collections/body-hair</v>
      </c>
      <c r="V102" s="28" t="str">
        <f t="array" ref="V102">INDEX('raw-sheet'!$A$2:$ZZ$1000, ROW(V101), MATCH(V$1, 'raw-sheet'!$A$1:$ZZ$1, 0))</f>
        <v>身體髮品 | INNISFREE Taiwan</v>
      </c>
      <c r="W102" s="28" t="str">
        <f t="array" ref="W102">INDEX('raw-sheet'!$A$2:$ZZ$1000, ROW(W101),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2" s="28" t="str">
        <f t="array" ref="X102">INDEX('raw-sheet'!$A$2:$ZZ$1000, ROW(X101), MATCH(X$1, 'raw-sheet'!$A$1:$ZZ$1, 0))</f>
        <v>summary_large_image</v>
      </c>
      <c r="Y102" s="30" t="s">
        <v>62</v>
      </c>
      <c r="Z102" s="28" t="str">
        <f>VLOOKUP($A102,'raw-schema'!$A:$R,14,0)</f>
        <v>Organization</v>
      </c>
      <c r="AA102" s="28">
        <f>VLOOKUP($A102,'raw-schema'!$A:$R,15,0)</f>
        <v>0</v>
      </c>
      <c r="AB102" s="28">
        <f>VLOOKUP($A102,'raw-schema'!$A:$R,16,0)</f>
        <v>0</v>
      </c>
      <c r="AC102" s="28">
        <f>VLOOKUP($A102,'raw-schema'!$A:$R,17,0)</f>
        <v>0</v>
      </c>
      <c r="AD102" s="28">
        <f>VLOOKUP($A102,'raw-schema'!$A:$R,18,0)</f>
        <v>0</v>
      </c>
      <c r="AE102" s="30" t="s">
        <v>66</v>
      </c>
      <c r="AF102" t="s">
        <v>65</v>
      </c>
    </row>
    <row r="103" spans="1:32" x14ac:dyDescent="0.3">
      <c r="A103" s="28" t="str">
        <f t="array" ref="A103">INDEX('raw-sheet'!$A$2:$ZZ$1000, ROW(A102), MATCH(A$1, 'raw-sheet'!$A$1:$ZZ$1, 0))</f>
        <v>https://innisfree-taiwan.myshopify.com/collections/body-hair?page=2</v>
      </c>
      <c r="B103" s="30" t="s">
        <v>11</v>
      </c>
      <c r="C103" s="28" t="str">
        <f t="array" ref="C103">INDEX('raw-sheet'!$A$2:$ZZ$1000, ROW(C102), MATCH(C$1, 'raw-sheet'!$A$1:$ZZ$1, 0))</f>
        <v>Product List</v>
      </c>
      <c r="D103" s="28">
        <f t="array" ref="D103">INDEX('raw-sheet'!$A$2:$ZZ$1000, ROW(D102), MATCH(D$1, 'raw-sheet'!$A$1:$ZZ$1, 0))</f>
        <v>200</v>
      </c>
      <c r="E103" s="30" t="str">
        <f t="shared" si="2"/>
        <v>Pass</v>
      </c>
      <c r="F103" s="28" t="str">
        <f t="array" ref="F103">INDEX('raw-sheet'!$A$2:$ZZ$1000, ROW(F102), MATCH(F$1, 'raw-sheet'!$A$1:$ZZ$1, 0))</f>
        <v>身體髮品_x000D_ – Page 2 | INNISFREE Taiwan</v>
      </c>
      <c r="G103" s="30" t="s">
        <v>11</v>
      </c>
      <c r="H103" s="28">
        <f t="array" ref="H103">INDEX('raw-sheet'!$A$2:$ZZ$1000, ROW(H102), MATCH(H$1, 'raw-sheet'!$A$1:$ZZ$1, 0))</f>
        <v>0</v>
      </c>
      <c r="I103" s="30" t="s">
        <v>61</v>
      </c>
      <c r="J103" s="28" t="str">
        <f t="array" ref="J103">INDEX('raw-sheet'!$A$2:$ZZ$1000, ROW(J102), MATCH(J$1, 'raw-sheet'!$A$1:$ZZ$1, 0))</f>
        <v>身體髮品</v>
      </c>
      <c r="K103" s="28" t="str">
        <f t="array" ref="K103">INDEX('raw-sheet'!$A$2:$ZZ$1000, ROW(K102), MATCH(K$1, 'raw-sheet'!$A$1:$ZZ$1, 0))</f>
        <v>1</v>
      </c>
      <c r="L103" s="30" t="s">
        <v>60</v>
      </c>
      <c r="M103" s="28" t="str">
        <f t="array" ref="M103">INDEX('raw-sheet'!$A$2:$ZZ$1000, ROW(M102), MATCH(M$1, 'raw-sheet'!$A$1:$ZZ$1, 0))</f>
        <v>https://innisfree-taiwan.myshopify.com/collections/body-hair?page=2</v>
      </c>
      <c r="N103" s="30" t="str">
        <f t="shared" si="3"/>
        <v>Pass</v>
      </c>
      <c r="O103" s="28" t="str">
        <f t="array" ref="O103">INDEX('raw-sheet'!$A$2:$ZZ$1000, ROW(O102), MATCH(O$1, 'raw-sheet'!$A$1:$ZZ$1, 0))</f>
        <v>身體髮品 | INNISFREE Taiwan</v>
      </c>
      <c r="P103" s="28" t="str">
        <f t="array" ref="P103">INDEX('raw-sheet'!$A$2:$ZZ$1000, ROW(P102),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3" s="28" t="str">
        <f t="array" ref="Q103">INDEX('raw-sheet'!$A$2:$ZZ$1000, ROW(Q102), MATCH(Q$1, 'raw-sheet'!$A$1:$ZZ$1, 0))</f>
        <v>website</v>
      </c>
      <c r="R103" s="28" t="str">
        <f t="array" ref="R103">INDEX('raw-sheet'!$A$2:$ZZ$1000, ROW(R102), MATCH(R$1, 'raw-sheet'!$A$1:$ZZ$1, 0))</f>
        <v>INNISFREE Taiwan</v>
      </c>
      <c r="S103" s="28" t="str">
        <f t="array" ref="S103">INDEX('raw-sheet'!$A$2:$ZZ$1000, ROW(S102), MATCH(S$1, 'raw-sheet'!$A$1:$ZZ$1, 0))</f>
        <v>http://innisfree-taiwan.myshopify.com/cdn/shop/files/logo.png?v=1767594135</v>
      </c>
      <c r="T103" s="28" t="str">
        <f t="array" ref="T103">INDEX('raw-sheet'!$A$2:$ZZ$1000, ROW(T102), MATCH(T$1, 'raw-sheet'!$A$1:$ZZ$1, 0))</f>
        <v>https://innisfree-taiwan.myshopify.com/cdn/shop/files/logo.png?v=1767594135</v>
      </c>
      <c r="U103" s="28" t="str">
        <f t="array" ref="U103">INDEX('raw-sheet'!$A$2:$ZZ$1000, ROW(U102), MATCH(U$1, 'raw-sheet'!$A$1:$ZZ$1, 0))</f>
        <v>https://innisfree-taiwan.myshopify.com/collections/body-hair?page=2</v>
      </c>
      <c r="V103" s="28" t="str">
        <f t="array" ref="V103">INDEX('raw-sheet'!$A$2:$ZZ$1000, ROW(V102), MATCH(V$1, 'raw-sheet'!$A$1:$ZZ$1, 0))</f>
        <v>身體髮品 | INNISFREE Taiwan</v>
      </c>
      <c r="W103" s="28" t="str">
        <f t="array" ref="W103">INDEX('raw-sheet'!$A$2:$ZZ$1000, ROW(W102),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3" s="28" t="str">
        <f t="array" ref="X103">INDEX('raw-sheet'!$A$2:$ZZ$1000, ROW(X102), MATCH(X$1, 'raw-sheet'!$A$1:$ZZ$1, 0))</f>
        <v>summary_large_image</v>
      </c>
      <c r="Y103" s="30" t="s">
        <v>62</v>
      </c>
      <c r="Z103" s="28" t="str">
        <f>VLOOKUP($A103,'raw-schema'!$A:$R,14,0)</f>
        <v>Organization</v>
      </c>
      <c r="AA103" s="28">
        <f>VLOOKUP($A103,'raw-schema'!$A:$R,15,0)</f>
        <v>0</v>
      </c>
      <c r="AB103" s="28">
        <f>VLOOKUP($A103,'raw-schema'!$A:$R,16,0)</f>
        <v>0</v>
      </c>
      <c r="AC103" s="28">
        <f>VLOOKUP($A103,'raw-schema'!$A:$R,17,0)</f>
        <v>0</v>
      </c>
      <c r="AD103" s="28">
        <f>VLOOKUP($A103,'raw-schema'!$A:$R,18,0)</f>
        <v>0</v>
      </c>
      <c r="AE103" s="30" t="s">
        <v>66</v>
      </c>
      <c r="AF103" t="s">
        <v>65</v>
      </c>
    </row>
    <row r="104" spans="1:32" x14ac:dyDescent="0.3">
      <c r="A104" s="28" t="str">
        <f t="array" ref="A104">INDEX('raw-sheet'!$A$2:$ZZ$1000, ROW(A103), MATCH(A$1, 'raw-sheet'!$A$1:$ZZ$1, 0))</f>
        <v>https://innisfree-taiwan.myshopify.com/collections/christmas</v>
      </c>
      <c r="B104" s="30" t="s">
        <v>11</v>
      </c>
      <c r="C104" s="28" t="str">
        <f t="array" ref="C104">INDEX('raw-sheet'!$A$2:$ZZ$1000, ROW(C103), MATCH(C$1, 'raw-sheet'!$A$1:$ZZ$1, 0))</f>
        <v>Product List</v>
      </c>
      <c r="D104" s="28">
        <f t="array" ref="D104">INDEX('raw-sheet'!$A$2:$ZZ$1000, ROW(D103), MATCH(D$1, 'raw-sheet'!$A$1:$ZZ$1, 0))</f>
        <v>200</v>
      </c>
      <c r="E104" s="30" t="str">
        <f t="shared" si="2"/>
        <v>Pass</v>
      </c>
      <c r="F104" s="28" t="str">
        <f t="array" ref="F104">INDEX('raw-sheet'!$A$2:$ZZ$1000, ROW(F103), MATCH(F$1, 'raw-sheet'!$A$1:$ZZ$1, 0))</f>
        <v>閃耀聖誕🎄💫 限定版禮盒新上市!_x000D_ | INNISFREE Taiwan</v>
      </c>
      <c r="G104" s="30" t="s">
        <v>11</v>
      </c>
      <c r="H104" s="28">
        <f t="array" ref="H104">INDEX('raw-sheet'!$A$2:$ZZ$1000, ROW(H103), MATCH(H$1, 'raw-sheet'!$A$1:$ZZ$1, 0))</f>
        <v>0</v>
      </c>
      <c r="I104" s="30" t="s">
        <v>61</v>
      </c>
      <c r="J104" s="28" t="str">
        <f t="array" ref="J104">INDEX('raw-sheet'!$A$2:$ZZ$1000, ROW(J103), MATCH(J$1, 'raw-sheet'!$A$1:$ZZ$1, 0))</f>
        <v>閃耀聖誕🎄💫 限定版禮盒新上市!</v>
      </c>
      <c r="K104" s="28" t="str">
        <f t="array" ref="K104">INDEX('raw-sheet'!$A$2:$ZZ$1000, ROW(K103), MATCH(K$1, 'raw-sheet'!$A$1:$ZZ$1, 0))</f>
        <v>1</v>
      </c>
      <c r="L104" s="30" t="s">
        <v>11</v>
      </c>
      <c r="M104" s="28" t="str">
        <f t="array" ref="M104">INDEX('raw-sheet'!$A$2:$ZZ$1000, ROW(M103), MATCH(M$1, 'raw-sheet'!$A$1:$ZZ$1, 0))</f>
        <v>https://innisfree-taiwan.myshopify.com/collections/christmas</v>
      </c>
      <c r="N104" s="30" t="str">
        <f t="shared" si="3"/>
        <v>Pass</v>
      </c>
      <c r="O104" s="28" t="str">
        <f t="array" ref="O104">INDEX('raw-sheet'!$A$2:$ZZ$1000, ROW(O103), MATCH(O$1, 'raw-sheet'!$A$1:$ZZ$1, 0))</f>
        <v>閃耀聖誕🎄💫 限定版禮盒新上市! | INNISFREE Taiwan</v>
      </c>
      <c r="P104" s="28" t="str">
        <f t="array" ref="P104">INDEX('raw-sheet'!$A$2:$ZZ$1000, ROW(P103),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4" s="28" t="str">
        <f t="array" ref="Q104">INDEX('raw-sheet'!$A$2:$ZZ$1000, ROW(Q103), MATCH(Q$1, 'raw-sheet'!$A$1:$ZZ$1, 0))</f>
        <v>website</v>
      </c>
      <c r="R104" s="28" t="str">
        <f t="array" ref="R104">INDEX('raw-sheet'!$A$2:$ZZ$1000, ROW(R103), MATCH(R$1, 'raw-sheet'!$A$1:$ZZ$1, 0))</f>
        <v>INNISFREE Taiwan</v>
      </c>
      <c r="S104" s="28" t="str">
        <f t="array" ref="S104">INDEX('raw-sheet'!$A$2:$ZZ$1000, ROW(S103), MATCH(S$1, 'raw-sheet'!$A$1:$ZZ$1, 0))</f>
        <v>http://innisfree-taiwan.myshopify.com/cdn/shop/files/logo.png?v=1767594135</v>
      </c>
      <c r="T104" s="28" t="str">
        <f t="array" ref="T104">INDEX('raw-sheet'!$A$2:$ZZ$1000, ROW(T103), MATCH(T$1, 'raw-sheet'!$A$1:$ZZ$1, 0))</f>
        <v>https://innisfree-taiwan.myshopify.com/cdn/shop/files/logo.png?v=1767594135</v>
      </c>
      <c r="U104" s="28" t="str">
        <f t="array" ref="U104">INDEX('raw-sheet'!$A$2:$ZZ$1000, ROW(U103), MATCH(U$1, 'raw-sheet'!$A$1:$ZZ$1, 0))</f>
        <v>https://innisfree-taiwan.myshopify.com/collections/christmas</v>
      </c>
      <c r="V104" s="28" t="str">
        <f t="array" ref="V104">INDEX('raw-sheet'!$A$2:$ZZ$1000, ROW(V103), MATCH(V$1, 'raw-sheet'!$A$1:$ZZ$1, 0))</f>
        <v>閃耀聖誕🎄💫 限定版禮盒新上市! | INNISFREE Taiwan</v>
      </c>
      <c r="W104" s="28" t="str">
        <f t="array" ref="W104">INDEX('raw-sheet'!$A$2:$ZZ$1000, ROW(W103),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4" s="28" t="str">
        <f t="array" ref="X104">INDEX('raw-sheet'!$A$2:$ZZ$1000, ROW(X103), MATCH(X$1, 'raw-sheet'!$A$1:$ZZ$1, 0))</f>
        <v>summary_large_image</v>
      </c>
      <c r="Y104" s="30" t="s">
        <v>56</v>
      </c>
      <c r="Z104" s="28" t="str">
        <f>VLOOKUP($A104,'raw-schema'!$A:$R,14,0)</f>
        <v>Organization</v>
      </c>
      <c r="AA104" s="28">
        <f>VLOOKUP($A104,'raw-schema'!$A:$R,15,0)</f>
        <v>0</v>
      </c>
      <c r="AB104" s="28">
        <f>VLOOKUP($A104,'raw-schema'!$A:$R,16,0)</f>
        <v>0</v>
      </c>
      <c r="AC104" s="28">
        <f>VLOOKUP($A104,'raw-schema'!$A:$R,17,0)</f>
        <v>0</v>
      </c>
      <c r="AD104" s="28">
        <f>VLOOKUP($A104,'raw-schema'!$A:$R,18,0)</f>
        <v>0</v>
      </c>
      <c r="AE104" s="30" t="s">
        <v>66</v>
      </c>
    </row>
    <row r="105" spans="1:32" x14ac:dyDescent="0.3">
      <c r="A105" s="28" t="str">
        <f t="array" ref="A105">INDEX('raw-sheet'!$A$2:$ZZ$1000, ROW(A104), MATCH(A$1, 'raw-sheet'!$A$1:$ZZ$1, 0))</f>
        <v>https://innisfree-taiwan.myshopify.com/collections/cold-orchid-complex-nourishing-series</v>
      </c>
      <c r="B105" s="30" t="s">
        <v>11</v>
      </c>
      <c r="C105" s="28" t="str">
        <f t="array" ref="C105">INDEX('raw-sheet'!$A$2:$ZZ$1000, ROW(C104), MATCH(C$1, 'raw-sheet'!$A$1:$ZZ$1, 0))</f>
        <v>Product List</v>
      </c>
      <c r="D105" s="28">
        <f t="array" ref="D105">INDEX('raw-sheet'!$A$2:$ZZ$1000, ROW(D104), MATCH(D$1, 'raw-sheet'!$A$1:$ZZ$1, 0))</f>
        <v>200</v>
      </c>
      <c r="E105" s="30" t="str">
        <f t="shared" si="2"/>
        <v>Pass</v>
      </c>
      <c r="F105" s="28" t="str">
        <f t="array" ref="F105">INDEX('raw-sheet'!$A$2:$ZZ$1000, ROW(F104), MATCH(F$1, 'raw-sheet'!$A$1:$ZZ$1, 0))</f>
        <v>寒蘭複合滋養系列_x000D_ | INNISFREE Taiwan</v>
      </c>
      <c r="G105" s="30" t="s">
        <v>11</v>
      </c>
      <c r="H105" s="28">
        <f t="array" ref="H105">INDEX('raw-sheet'!$A$2:$ZZ$1000, ROW(H104), MATCH(H$1, 'raw-sheet'!$A$1:$ZZ$1, 0))</f>
        <v>0</v>
      </c>
      <c r="I105" s="30" t="s">
        <v>61</v>
      </c>
      <c r="J105" s="28" t="str">
        <f t="array" ref="J105">INDEX('raw-sheet'!$A$2:$ZZ$1000, ROW(J104), MATCH(J$1, 'raw-sheet'!$A$1:$ZZ$1, 0))</f>
        <v>寒蘭複合滋養系列</v>
      </c>
      <c r="K105" s="28" t="str">
        <f t="array" ref="K105">INDEX('raw-sheet'!$A$2:$ZZ$1000, ROW(K104), MATCH(K$1, 'raw-sheet'!$A$1:$ZZ$1, 0))</f>
        <v>1</v>
      </c>
      <c r="L105" s="30" t="s">
        <v>11</v>
      </c>
      <c r="M105" s="28" t="str">
        <f t="array" ref="M105">INDEX('raw-sheet'!$A$2:$ZZ$1000, ROW(M104), MATCH(M$1, 'raw-sheet'!$A$1:$ZZ$1, 0))</f>
        <v>https://innisfree-taiwan.myshopify.com/collections/cold-orchid-complex-nourishing-series</v>
      </c>
      <c r="N105" s="30" t="str">
        <f t="shared" si="3"/>
        <v>Pass</v>
      </c>
      <c r="O105" s="28" t="str">
        <f t="array" ref="O105">INDEX('raw-sheet'!$A$2:$ZZ$1000, ROW(O104), MATCH(O$1, 'raw-sheet'!$A$1:$ZZ$1, 0))</f>
        <v>寒蘭複合滋養系列 | INNISFREE Taiwan</v>
      </c>
      <c r="P105" s="28" t="str">
        <f t="array" ref="P105">INDEX('raw-sheet'!$A$2:$ZZ$1000, ROW(P104),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5" s="28" t="str">
        <f t="array" ref="Q105">INDEX('raw-sheet'!$A$2:$ZZ$1000, ROW(Q104), MATCH(Q$1, 'raw-sheet'!$A$1:$ZZ$1, 0))</f>
        <v>website</v>
      </c>
      <c r="R105" s="28" t="str">
        <f t="array" ref="R105">INDEX('raw-sheet'!$A$2:$ZZ$1000, ROW(R104), MATCH(R$1, 'raw-sheet'!$A$1:$ZZ$1, 0))</f>
        <v>INNISFREE Taiwan</v>
      </c>
      <c r="S105" s="28" t="str">
        <f t="array" ref="S105">INDEX('raw-sheet'!$A$2:$ZZ$1000, ROW(S104), MATCH(S$1, 'raw-sheet'!$A$1:$ZZ$1, 0))</f>
        <v>http://innisfree-taiwan.myshopify.com/cdn/shop/files/logo.png?v=1767594135</v>
      </c>
      <c r="T105" s="28" t="str">
        <f t="array" ref="T105">INDEX('raw-sheet'!$A$2:$ZZ$1000, ROW(T104), MATCH(T$1, 'raw-sheet'!$A$1:$ZZ$1, 0))</f>
        <v>https://innisfree-taiwan.myshopify.com/cdn/shop/files/logo.png?v=1767594135</v>
      </c>
      <c r="U105" s="28" t="str">
        <f t="array" ref="U105">INDEX('raw-sheet'!$A$2:$ZZ$1000, ROW(U104), MATCH(U$1, 'raw-sheet'!$A$1:$ZZ$1, 0))</f>
        <v>https://innisfree-taiwan.myshopify.com/collections/cold-orchid-complex-nourishing-series</v>
      </c>
      <c r="V105" s="28" t="str">
        <f t="array" ref="V105">INDEX('raw-sheet'!$A$2:$ZZ$1000, ROW(V104), MATCH(V$1, 'raw-sheet'!$A$1:$ZZ$1, 0))</f>
        <v>寒蘭複合滋養系列 | INNISFREE Taiwan</v>
      </c>
      <c r="W105" s="28" t="str">
        <f t="array" ref="W105">INDEX('raw-sheet'!$A$2:$ZZ$1000, ROW(W104),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5" s="28" t="str">
        <f t="array" ref="X105">INDEX('raw-sheet'!$A$2:$ZZ$1000, ROW(X104), MATCH(X$1, 'raw-sheet'!$A$1:$ZZ$1, 0))</f>
        <v>summary_large_image</v>
      </c>
      <c r="Y105" s="30" t="s">
        <v>56</v>
      </c>
      <c r="Z105" s="28" t="str">
        <f>VLOOKUP($A105,'raw-schema'!$A:$R,14,0)</f>
        <v>Organization</v>
      </c>
      <c r="AA105" s="28">
        <f>VLOOKUP($A105,'raw-schema'!$A:$R,15,0)</f>
        <v>0</v>
      </c>
      <c r="AB105" s="28">
        <f>VLOOKUP($A105,'raw-schema'!$A:$R,16,0)</f>
        <v>0</v>
      </c>
      <c r="AC105" s="28">
        <f>VLOOKUP($A105,'raw-schema'!$A:$R,17,0)</f>
        <v>0</v>
      </c>
      <c r="AD105" s="28">
        <f>VLOOKUP($A105,'raw-schema'!$A:$R,18,0)</f>
        <v>0</v>
      </c>
      <c r="AE105" s="30" t="s">
        <v>66</v>
      </c>
    </row>
    <row r="106" spans="1:32" x14ac:dyDescent="0.3">
      <c r="A106" s="28" t="str">
        <f t="array" ref="A106">INDEX('raw-sheet'!$A$2:$ZZ$1000, ROW(A105), MATCH(A$1, 'raw-sheet'!$A$1:$ZZ$1, 0))</f>
        <v>https://innisfree-taiwan.myshopify.com/collections/essence</v>
      </c>
      <c r="B106" s="30" t="s">
        <v>11</v>
      </c>
      <c r="C106" s="28" t="str">
        <f t="array" ref="C106">INDEX('raw-sheet'!$A$2:$ZZ$1000, ROW(C105), MATCH(C$1, 'raw-sheet'!$A$1:$ZZ$1, 0))</f>
        <v>Product List</v>
      </c>
      <c r="D106" s="28">
        <f t="array" ref="D106">INDEX('raw-sheet'!$A$2:$ZZ$1000, ROW(D105), MATCH(D$1, 'raw-sheet'!$A$1:$ZZ$1, 0))</f>
        <v>200</v>
      </c>
      <c r="E106" s="30" t="str">
        <f t="shared" si="2"/>
        <v>Pass</v>
      </c>
      <c r="F106" s="28" t="str">
        <f t="array" ref="F106">INDEX('raw-sheet'!$A$2:$ZZ$1000, ROW(F105), MATCH(F$1, 'raw-sheet'!$A$1:$ZZ$1, 0))</f>
        <v>精華水/機能水_x000D_ | INNISFREE Taiwan</v>
      </c>
      <c r="G106" s="30" t="s">
        <v>11</v>
      </c>
      <c r="H106" s="28">
        <f t="array" ref="H106">INDEX('raw-sheet'!$A$2:$ZZ$1000, ROW(H105), MATCH(H$1, 'raw-sheet'!$A$1:$ZZ$1, 0))</f>
        <v>0</v>
      </c>
      <c r="I106" s="30" t="s">
        <v>61</v>
      </c>
      <c r="J106" s="28" t="str">
        <f t="array" ref="J106">INDEX('raw-sheet'!$A$2:$ZZ$1000, ROW(J105), MATCH(J$1, 'raw-sheet'!$A$1:$ZZ$1, 0))</f>
        <v>精華水/機能水</v>
      </c>
      <c r="K106" s="28" t="str">
        <f t="array" ref="K106">INDEX('raw-sheet'!$A$2:$ZZ$1000, ROW(K105), MATCH(K$1, 'raw-sheet'!$A$1:$ZZ$1, 0))</f>
        <v>1</v>
      </c>
      <c r="L106" s="30" t="s">
        <v>11</v>
      </c>
      <c r="M106" s="28" t="str">
        <f t="array" ref="M106">INDEX('raw-sheet'!$A$2:$ZZ$1000, ROW(M105), MATCH(M$1, 'raw-sheet'!$A$1:$ZZ$1, 0))</f>
        <v>https://innisfree-taiwan.myshopify.com/collections/essence</v>
      </c>
      <c r="N106" s="30" t="str">
        <f t="shared" si="3"/>
        <v>Pass</v>
      </c>
      <c r="O106" s="28" t="str">
        <f t="array" ref="O106">INDEX('raw-sheet'!$A$2:$ZZ$1000, ROW(O105), MATCH(O$1, 'raw-sheet'!$A$1:$ZZ$1, 0))</f>
        <v>精華水/機能水 | INNISFREE Taiwan</v>
      </c>
      <c r="P106" s="28" t="str">
        <f t="array" ref="P106">INDEX('raw-sheet'!$A$2:$ZZ$1000, ROW(P105),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6" s="28" t="str">
        <f t="array" ref="Q106">INDEX('raw-sheet'!$A$2:$ZZ$1000, ROW(Q105), MATCH(Q$1, 'raw-sheet'!$A$1:$ZZ$1, 0))</f>
        <v>website</v>
      </c>
      <c r="R106" s="28" t="str">
        <f t="array" ref="R106">INDEX('raw-sheet'!$A$2:$ZZ$1000, ROW(R105), MATCH(R$1, 'raw-sheet'!$A$1:$ZZ$1, 0))</f>
        <v>INNISFREE Taiwan</v>
      </c>
      <c r="S106" s="28" t="str">
        <f t="array" ref="S106">INDEX('raw-sheet'!$A$2:$ZZ$1000, ROW(S105), MATCH(S$1, 'raw-sheet'!$A$1:$ZZ$1, 0))</f>
        <v>http://innisfree-taiwan.myshopify.com/cdn/shop/files/logo.png?v=1767594135</v>
      </c>
      <c r="T106" s="28" t="str">
        <f t="array" ref="T106">INDEX('raw-sheet'!$A$2:$ZZ$1000, ROW(T105), MATCH(T$1, 'raw-sheet'!$A$1:$ZZ$1, 0))</f>
        <v>https://innisfree-taiwan.myshopify.com/cdn/shop/files/logo.png?v=1767594135</v>
      </c>
      <c r="U106" s="28" t="str">
        <f t="array" ref="U106">INDEX('raw-sheet'!$A$2:$ZZ$1000, ROW(U105), MATCH(U$1, 'raw-sheet'!$A$1:$ZZ$1, 0))</f>
        <v>https://innisfree-taiwan.myshopify.com/collections/essence</v>
      </c>
      <c r="V106" s="28" t="str">
        <f t="array" ref="V106">INDEX('raw-sheet'!$A$2:$ZZ$1000, ROW(V105), MATCH(V$1, 'raw-sheet'!$A$1:$ZZ$1, 0))</f>
        <v>精華水/機能水 | INNISFREE Taiwan</v>
      </c>
      <c r="W106" s="28" t="str">
        <f t="array" ref="W106">INDEX('raw-sheet'!$A$2:$ZZ$1000, ROW(W105),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6" s="28" t="str">
        <f t="array" ref="X106">INDEX('raw-sheet'!$A$2:$ZZ$1000, ROW(X105), MATCH(X$1, 'raw-sheet'!$A$1:$ZZ$1, 0))</f>
        <v>summary_large_image</v>
      </c>
      <c r="Y106" s="30" t="s">
        <v>56</v>
      </c>
      <c r="Z106" s="28" t="str">
        <f>VLOOKUP($A106,'raw-schema'!$A:$R,14,0)</f>
        <v>Organization</v>
      </c>
      <c r="AA106" s="28">
        <f>VLOOKUP($A106,'raw-schema'!$A:$R,15,0)</f>
        <v>0</v>
      </c>
      <c r="AB106" s="28">
        <f>VLOOKUP($A106,'raw-schema'!$A:$R,16,0)</f>
        <v>0</v>
      </c>
      <c r="AC106" s="28">
        <f>VLOOKUP($A106,'raw-schema'!$A:$R,17,0)</f>
        <v>0</v>
      </c>
      <c r="AD106" s="28">
        <f>VLOOKUP($A106,'raw-schema'!$A:$R,18,0)</f>
        <v>0</v>
      </c>
      <c r="AE106" s="30" t="s">
        <v>66</v>
      </c>
    </row>
    <row r="107" spans="1:32" x14ac:dyDescent="0.3">
      <c r="A107" s="28" t="str">
        <f t="array" ref="A107">INDEX('raw-sheet'!$A$2:$ZZ$1000, ROW(A106), MATCH(A$1, 'raw-sheet'!$A$1:$ZZ$1, 0))</f>
        <v>https://innisfree-taiwan.myshopify.com/collections/essence-ampoule</v>
      </c>
      <c r="B107" s="30" t="s">
        <v>11</v>
      </c>
      <c r="C107" s="28" t="str">
        <f t="array" ref="C107">INDEX('raw-sheet'!$A$2:$ZZ$1000, ROW(C106), MATCH(C$1, 'raw-sheet'!$A$1:$ZZ$1, 0))</f>
        <v>Product List</v>
      </c>
      <c r="D107" s="28">
        <f t="array" ref="D107">INDEX('raw-sheet'!$A$2:$ZZ$1000, ROW(D106), MATCH(D$1, 'raw-sheet'!$A$1:$ZZ$1, 0))</f>
        <v>200</v>
      </c>
      <c r="E107" s="30" t="str">
        <f t="shared" si="2"/>
        <v>Pass</v>
      </c>
      <c r="F107" s="28" t="str">
        <f t="array" ref="F107">INDEX('raw-sheet'!$A$2:$ZZ$1000, ROW(F106), MATCH(F$1, 'raw-sheet'!$A$1:$ZZ$1, 0))</f>
        <v>精華液/安瓶_x000D_ | INNISFREE Taiwan</v>
      </c>
      <c r="G107" s="30" t="s">
        <v>60</v>
      </c>
      <c r="H107" s="28">
        <f t="array" ref="H107">INDEX('raw-sheet'!$A$2:$ZZ$1000, ROW(H106), MATCH(H$1, 'raw-sheet'!$A$1:$ZZ$1, 0))</f>
        <v>0</v>
      </c>
      <c r="I107" s="30" t="s">
        <v>61</v>
      </c>
      <c r="J107" s="28" t="str">
        <f t="array" ref="J107">INDEX('raw-sheet'!$A$2:$ZZ$1000, ROW(J106), MATCH(J$1, 'raw-sheet'!$A$1:$ZZ$1, 0))</f>
        <v>精華液/安瓶</v>
      </c>
      <c r="K107" s="28" t="str">
        <f t="array" ref="K107">INDEX('raw-sheet'!$A$2:$ZZ$1000, ROW(K106), MATCH(K$1, 'raw-sheet'!$A$1:$ZZ$1, 0))</f>
        <v>1</v>
      </c>
      <c r="L107" s="30" t="s">
        <v>60</v>
      </c>
      <c r="M107" s="28" t="str">
        <f t="array" ref="M107">INDEX('raw-sheet'!$A$2:$ZZ$1000, ROW(M106), MATCH(M$1, 'raw-sheet'!$A$1:$ZZ$1, 0))</f>
        <v>https://innisfree-taiwan.myshopify.com/collections/essence-ampoule</v>
      </c>
      <c r="N107" s="30" t="str">
        <f t="shared" si="3"/>
        <v>Pass</v>
      </c>
      <c r="O107" s="28" t="str">
        <f t="array" ref="O107">INDEX('raw-sheet'!$A$2:$ZZ$1000, ROW(O106), MATCH(O$1, 'raw-sheet'!$A$1:$ZZ$1, 0))</f>
        <v>精華液/安瓶 | INNISFREE Taiwan</v>
      </c>
      <c r="P107" s="28" t="str">
        <f t="array" ref="P107">INDEX('raw-sheet'!$A$2:$ZZ$1000, ROW(P106),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7" s="28" t="str">
        <f t="array" ref="Q107">INDEX('raw-sheet'!$A$2:$ZZ$1000, ROW(Q106), MATCH(Q$1, 'raw-sheet'!$A$1:$ZZ$1, 0))</f>
        <v>website</v>
      </c>
      <c r="R107" s="28" t="str">
        <f t="array" ref="R107">INDEX('raw-sheet'!$A$2:$ZZ$1000, ROW(R106), MATCH(R$1, 'raw-sheet'!$A$1:$ZZ$1, 0))</f>
        <v>INNISFREE Taiwan</v>
      </c>
      <c r="S107" s="28" t="str">
        <f t="array" ref="S107">INDEX('raw-sheet'!$A$2:$ZZ$1000, ROW(S106), MATCH(S$1, 'raw-sheet'!$A$1:$ZZ$1, 0))</f>
        <v>http://innisfree-taiwan.myshopify.com/cdn/shop/files/logo.png?v=1767594135</v>
      </c>
      <c r="T107" s="28" t="str">
        <f t="array" ref="T107">INDEX('raw-sheet'!$A$2:$ZZ$1000, ROW(T106), MATCH(T$1, 'raw-sheet'!$A$1:$ZZ$1, 0))</f>
        <v>https://innisfree-taiwan.myshopify.com/cdn/shop/files/logo.png?v=1767594135</v>
      </c>
      <c r="U107" s="28" t="str">
        <f t="array" ref="U107">INDEX('raw-sheet'!$A$2:$ZZ$1000, ROW(U106), MATCH(U$1, 'raw-sheet'!$A$1:$ZZ$1, 0))</f>
        <v>https://innisfree-taiwan.myshopify.com/collections/essence-ampoule</v>
      </c>
      <c r="V107" s="28" t="str">
        <f t="array" ref="V107">INDEX('raw-sheet'!$A$2:$ZZ$1000, ROW(V106), MATCH(V$1, 'raw-sheet'!$A$1:$ZZ$1, 0))</f>
        <v>精華液/安瓶 | INNISFREE Taiwan</v>
      </c>
      <c r="W107" s="28" t="str">
        <f t="array" ref="W107">INDEX('raw-sheet'!$A$2:$ZZ$1000, ROW(W106),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7" s="28" t="str">
        <f t="array" ref="X107">INDEX('raw-sheet'!$A$2:$ZZ$1000, ROW(X106), MATCH(X$1, 'raw-sheet'!$A$1:$ZZ$1, 0))</f>
        <v>summary_large_image</v>
      </c>
      <c r="Y107" s="30" t="s">
        <v>62</v>
      </c>
      <c r="Z107" s="28" t="str">
        <f>VLOOKUP($A107,'raw-schema'!$A:$R,14,0)</f>
        <v>Organization</v>
      </c>
      <c r="AA107" s="28">
        <f>VLOOKUP($A107,'raw-schema'!$A:$R,15,0)</f>
        <v>0</v>
      </c>
      <c r="AB107" s="28">
        <f>VLOOKUP($A107,'raw-schema'!$A:$R,16,0)</f>
        <v>0</v>
      </c>
      <c r="AC107" s="28">
        <f>VLOOKUP($A107,'raw-schema'!$A:$R,17,0)</f>
        <v>0</v>
      </c>
      <c r="AD107" s="28">
        <f>VLOOKUP($A107,'raw-schema'!$A:$R,18,0)</f>
        <v>0</v>
      </c>
      <c r="AE107" s="30" t="s">
        <v>66</v>
      </c>
    </row>
    <row r="108" spans="1:32" x14ac:dyDescent="0.3">
      <c r="A108" s="28" t="str">
        <f t="array" ref="A108">INDEX('raw-sheet'!$A$2:$ZZ$1000, ROW(A107), MATCH(A$1, 'raw-sheet'!$A$1:$ZZ$1, 0))</f>
        <v>https://innisfree-taiwan.myshopify.com/collections/essence-ampoule?page=1</v>
      </c>
      <c r="B108" s="30" t="s">
        <v>11</v>
      </c>
      <c r="C108" s="28" t="str">
        <f t="array" ref="C108">INDEX('raw-sheet'!$A$2:$ZZ$1000, ROW(C107), MATCH(C$1, 'raw-sheet'!$A$1:$ZZ$1, 0))</f>
        <v>Product List</v>
      </c>
      <c r="D108" s="28">
        <f t="array" ref="D108">INDEX('raw-sheet'!$A$2:$ZZ$1000, ROW(D107), MATCH(D$1, 'raw-sheet'!$A$1:$ZZ$1, 0))</f>
        <v>200</v>
      </c>
      <c r="E108" s="30" t="str">
        <f t="shared" si="2"/>
        <v>Pass</v>
      </c>
      <c r="F108" s="28" t="str">
        <f t="array" ref="F108">INDEX('raw-sheet'!$A$2:$ZZ$1000, ROW(F107), MATCH(F$1, 'raw-sheet'!$A$1:$ZZ$1, 0))</f>
        <v>精華液/安瓶_x000D_ | INNISFREE Taiwan</v>
      </c>
      <c r="G108" s="30" t="s">
        <v>11</v>
      </c>
      <c r="H108" s="28">
        <f t="array" ref="H108">INDEX('raw-sheet'!$A$2:$ZZ$1000, ROW(H107), MATCH(H$1, 'raw-sheet'!$A$1:$ZZ$1, 0))</f>
        <v>0</v>
      </c>
      <c r="I108" s="30" t="s">
        <v>61</v>
      </c>
      <c r="J108" s="28" t="str">
        <f t="array" ref="J108">INDEX('raw-sheet'!$A$2:$ZZ$1000, ROW(J107), MATCH(J$1, 'raw-sheet'!$A$1:$ZZ$1, 0))</f>
        <v>精華液/安瓶</v>
      </c>
      <c r="K108" s="28" t="str">
        <f t="array" ref="K108">INDEX('raw-sheet'!$A$2:$ZZ$1000, ROW(K107), MATCH(K$1, 'raw-sheet'!$A$1:$ZZ$1, 0))</f>
        <v>1</v>
      </c>
      <c r="L108" s="30" t="s">
        <v>60</v>
      </c>
      <c r="M108" s="28" t="str">
        <f t="array" ref="M108">INDEX('raw-sheet'!$A$2:$ZZ$1000, ROW(M107), MATCH(M$1, 'raw-sheet'!$A$1:$ZZ$1, 0))</f>
        <v>https://innisfree-taiwan.myshopify.com/collections/essence-ampoule</v>
      </c>
      <c r="N108" s="30" t="str">
        <f t="shared" si="3"/>
        <v>Not</v>
      </c>
      <c r="O108" s="28" t="str">
        <f t="array" ref="O108">INDEX('raw-sheet'!$A$2:$ZZ$1000, ROW(O107), MATCH(O$1, 'raw-sheet'!$A$1:$ZZ$1, 0))</f>
        <v>精華液/安瓶 | INNISFREE Taiwan</v>
      </c>
      <c r="P108" s="28" t="str">
        <f t="array" ref="P108">INDEX('raw-sheet'!$A$2:$ZZ$1000, ROW(P107),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8" s="28" t="str">
        <f t="array" ref="Q108">INDEX('raw-sheet'!$A$2:$ZZ$1000, ROW(Q107), MATCH(Q$1, 'raw-sheet'!$A$1:$ZZ$1, 0))</f>
        <v>website</v>
      </c>
      <c r="R108" s="28" t="str">
        <f t="array" ref="R108">INDEX('raw-sheet'!$A$2:$ZZ$1000, ROW(R107), MATCH(R$1, 'raw-sheet'!$A$1:$ZZ$1, 0))</f>
        <v>INNISFREE Taiwan</v>
      </c>
      <c r="S108" s="28" t="str">
        <f t="array" ref="S108">INDEX('raw-sheet'!$A$2:$ZZ$1000, ROW(S107), MATCH(S$1, 'raw-sheet'!$A$1:$ZZ$1, 0))</f>
        <v>http://innisfree-taiwan.myshopify.com/cdn/shop/files/logo.png?v=1767594135</v>
      </c>
      <c r="T108" s="28" t="str">
        <f t="array" ref="T108">INDEX('raw-sheet'!$A$2:$ZZ$1000, ROW(T107), MATCH(T$1, 'raw-sheet'!$A$1:$ZZ$1, 0))</f>
        <v>https://innisfree-taiwan.myshopify.com/cdn/shop/files/logo.png?v=1767594135</v>
      </c>
      <c r="U108" s="28" t="str">
        <f t="array" ref="U108">INDEX('raw-sheet'!$A$2:$ZZ$1000, ROW(U107), MATCH(U$1, 'raw-sheet'!$A$1:$ZZ$1, 0))</f>
        <v>https://innisfree-taiwan.myshopify.com/collections/essence-ampoule</v>
      </c>
      <c r="V108" s="28" t="str">
        <f t="array" ref="V108">INDEX('raw-sheet'!$A$2:$ZZ$1000, ROW(V107), MATCH(V$1, 'raw-sheet'!$A$1:$ZZ$1, 0))</f>
        <v>精華液/安瓶 | INNISFREE Taiwan</v>
      </c>
      <c r="W108" s="28" t="str">
        <f t="array" ref="W108">INDEX('raw-sheet'!$A$2:$ZZ$1000, ROW(W107),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8" s="28" t="str">
        <f t="array" ref="X108">INDEX('raw-sheet'!$A$2:$ZZ$1000, ROW(X107), MATCH(X$1, 'raw-sheet'!$A$1:$ZZ$1, 0))</f>
        <v>summary_large_image</v>
      </c>
      <c r="Y108" s="30" t="s">
        <v>62</v>
      </c>
      <c r="Z108" s="28" t="str">
        <f>VLOOKUP($A108,'raw-schema'!$A:$R,14,0)</f>
        <v>Organization</v>
      </c>
      <c r="AA108" s="28">
        <f>VLOOKUP($A108,'raw-schema'!$A:$R,15,0)</f>
        <v>0</v>
      </c>
      <c r="AB108" s="28">
        <f>VLOOKUP($A108,'raw-schema'!$A:$R,16,0)</f>
        <v>0</v>
      </c>
      <c r="AC108" s="28">
        <f>VLOOKUP($A108,'raw-schema'!$A:$R,17,0)</f>
        <v>0</v>
      </c>
      <c r="AD108" s="28">
        <f>VLOOKUP($A108,'raw-schema'!$A:$R,18,0)</f>
        <v>0</v>
      </c>
      <c r="AE108" s="30" t="s">
        <v>66</v>
      </c>
      <c r="AF108" t="s">
        <v>65</v>
      </c>
    </row>
    <row r="109" spans="1:32" x14ac:dyDescent="0.3">
      <c r="A109" s="28" t="str">
        <f t="array" ref="A109">INDEX('raw-sheet'!$A$2:$ZZ$1000, ROW(A108), MATCH(A$1, 'raw-sheet'!$A$1:$ZZ$1, 0))</f>
        <v>https://innisfree-taiwan.myshopify.com/collections/essence-ampoule?page=2</v>
      </c>
      <c r="B109" s="30" t="s">
        <v>11</v>
      </c>
      <c r="C109" s="28" t="str">
        <f t="array" ref="C109">INDEX('raw-sheet'!$A$2:$ZZ$1000, ROW(C108), MATCH(C$1, 'raw-sheet'!$A$1:$ZZ$1, 0))</f>
        <v>Product List</v>
      </c>
      <c r="D109" s="28">
        <f t="array" ref="D109">INDEX('raw-sheet'!$A$2:$ZZ$1000, ROW(D108), MATCH(D$1, 'raw-sheet'!$A$1:$ZZ$1, 0))</f>
        <v>200</v>
      </c>
      <c r="E109" s="30" t="str">
        <f t="shared" si="2"/>
        <v>Pass</v>
      </c>
      <c r="F109" s="28" t="str">
        <f t="array" ref="F109">INDEX('raw-sheet'!$A$2:$ZZ$1000, ROW(F108), MATCH(F$1, 'raw-sheet'!$A$1:$ZZ$1, 0))</f>
        <v>精華液/安瓶_x000D_ – Page 2 | INNISFREE Taiwan</v>
      </c>
      <c r="G109" s="30" t="s">
        <v>11</v>
      </c>
      <c r="H109" s="28">
        <f t="array" ref="H109">INDEX('raw-sheet'!$A$2:$ZZ$1000, ROW(H108), MATCH(H$1, 'raw-sheet'!$A$1:$ZZ$1, 0))</f>
        <v>0</v>
      </c>
      <c r="I109" s="30" t="s">
        <v>61</v>
      </c>
      <c r="J109" s="28" t="str">
        <f t="array" ref="J109">INDEX('raw-sheet'!$A$2:$ZZ$1000, ROW(J108), MATCH(J$1, 'raw-sheet'!$A$1:$ZZ$1, 0))</f>
        <v>精華液/安瓶</v>
      </c>
      <c r="K109" s="28" t="str">
        <f t="array" ref="K109">INDEX('raw-sheet'!$A$2:$ZZ$1000, ROW(K108), MATCH(K$1, 'raw-sheet'!$A$1:$ZZ$1, 0))</f>
        <v>1</v>
      </c>
      <c r="L109" s="30" t="s">
        <v>60</v>
      </c>
      <c r="M109" s="28" t="str">
        <f t="array" ref="M109">INDEX('raw-sheet'!$A$2:$ZZ$1000, ROW(M108), MATCH(M$1, 'raw-sheet'!$A$1:$ZZ$1, 0))</f>
        <v>https://innisfree-taiwan.myshopify.com/collections/essence-ampoule?page=2</v>
      </c>
      <c r="N109" s="30" t="str">
        <f t="shared" si="3"/>
        <v>Pass</v>
      </c>
      <c r="O109" s="28" t="str">
        <f t="array" ref="O109">INDEX('raw-sheet'!$A$2:$ZZ$1000, ROW(O108), MATCH(O$1, 'raw-sheet'!$A$1:$ZZ$1, 0))</f>
        <v>精華液/安瓶 | INNISFREE Taiwan</v>
      </c>
      <c r="P109" s="28" t="str">
        <f t="array" ref="P109">INDEX('raw-sheet'!$A$2:$ZZ$1000, ROW(P108),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09" s="28" t="str">
        <f t="array" ref="Q109">INDEX('raw-sheet'!$A$2:$ZZ$1000, ROW(Q108), MATCH(Q$1, 'raw-sheet'!$A$1:$ZZ$1, 0))</f>
        <v>website</v>
      </c>
      <c r="R109" s="28" t="str">
        <f t="array" ref="R109">INDEX('raw-sheet'!$A$2:$ZZ$1000, ROW(R108), MATCH(R$1, 'raw-sheet'!$A$1:$ZZ$1, 0))</f>
        <v>INNISFREE Taiwan</v>
      </c>
      <c r="S109" s="28" t="str">
        <f t="array" ref="S109">INDEX('raw-sheet'!$A$2:$ZZ$1000, ROW(S108), MATCH(S$1, 'raw-sheet'!$A$1:$ZZ$1, 0))</f>
        <v>http://innisfree-taiwan.myshopify.com/cdn/shop/files/logo.png?v=1767594135</v>
      </c>
      <c r="T109" s="28" t="str">
        <f t="array" ref="T109">INDEX('raw-sheet'!$A$2:$ZZ$1000, ROW(T108), MATCH(T$1, 'raw-sheet'!$A$1:$ZZ$1, 0))</f>
        <v>https://innisfree-taiwan.myshopify.com/cdn/shop/files/logo.png?v=1767594135</v>
      </c>
      <c r="U109" s="28" t="str">
        <f t="array" ref="U109">INDEX('raw-sheet'!$A$2:$ZZ$1000, ROW(U108), MATCH(U$1, 'raw-sheet'!$A$1:$ZZ$1, 0))</f>
        <v>https://innisfree-taiwan.myshopify.com/collections/essence-ampoule?page=2</v>
      </c>
      <c r="V109" s="28" t="str">
        <f t="array" ref="V109">INDEX('raw-sheet'!$A$2:$ZZ$1000, ROW(V108), MATCH(V$1, 'raw-sheet'!$A$1:$ZZ$1, 0))</f>
        <v>精華液/安瓶 | INNISFREE Taiwan</v>
      </c>
      <c r="W109" s="28" t="str">
        <f t="array" ref="W109">INDEX('raw-sheet'!$A$2:$ZZ$1000, ROW(W108),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09" s="28" t="str">
        <f t="array" ref="X109">INDEX('raw-sheet'!$A$2:$ZZ$1000, ROW(X108), MATCH(X$1, 'raw-sheet'!$A$1:$ZZ$1, 0))</f>
        <v>summary_large_image</v>
      </c>
      <c r="Y109" s="30" t="s">
        <v>62</v>
      </c>
      <c r="Z109" s="28" t="str">
        <f>VLOOKUP($A109,'raw-schema'!$A:$R,14,0)</f>
        <v>Organization</v>
      </c>
      <c r="AA109" s="28">
        <f>VLOOKUP($A109,'raw-schema'!$A:$R,15,0)</f>
        <v>0</v>
      </c>
      <c r="AB109" s="28">
        <f>VLOOKUP($A109,'raw-schema'!$A:$R,16,0)</f>
        <v>0</v>
      </c>
      <c r="AC109" s="28">
        <f>VLOOKUP($A109,'raw-schema'!$A:$R,17,0)</f>
        <v>0</v>
      </c>
      <c r="AD109" s="28">
        <f>VLOOKUP($A109,'raw-schema'!$A:$R,18,0)</f>
        <v>0</v>
      </c>
      <c r="AE109" s="30" t="s">
        <v>66</v>
      </c>
      <c r="AF109" t="s">
        <v>65</v>
      </c>
    </row>
    <row r="110" spans="1:32" x14ac:dyDescent="0.3">
      <c r="A110" s="28" t="str">
        <f t="array" ref="A110">INDEX('raw-sheet'!$A$2:$ZZ$1000, ROW(A109), MATCH(A$1, 'raw-sheet'!$A$1:$ZZ$1, 0))</f>
        <v>https://innisfree-taiwan.myshopify.com/collections/essence-ampoule?page=3</v>
      </c>
      <c r="B110" s="30" t="s">
        <v>11</v>
      </c>
      <c r="C110" s="28" t="str">
        <f t="array" ref="C110">INDEX('raw-sheet'!$A$2:$ZZ$1000, ROW(C109), MATCH(C$1, 'raw-sheet'!$A$1:$ZZ$1, 0))</f>
        <v>Product List</v>
      </c>
      <c r="D110" s="28">
        <f t="array" ref="D110">INDEX('raw-sheet'!$A$2:$ZZ$1000, ROW(D109), MATCH(D$1, 'raw-sheet'!$A$1:$ZZ$1, 0))</f>
        <v>200</v>
      </c>
      <c r="E110" s="30" t="str">
        <f t="shared" si="2"/>
        <v>Pass</v>
      </c>
      <c r="F110" s="28" t="str">
        <f t="array" ref="F110">INDEX('raw-sheet'!$A$2:$ZZ$1000, ROW(F109), MATCH(F$1, 'raw-sheet'!$A$1:$ZZ$1, 0))</f>
        <v>精華液/安瓶_x000D_ – Page 3 | INNISFREE Taiwan</v>
      </c>
      <c r="G110" s="30" t="s">
        <v>11</v>
      </c>
      <c r="H110" s="28">
        <f t="array" ref="H110">INDEX('raw-sheet'!$A$2:$ZZ$1000, ROW(H109), MATCH(H$1, 'raw-sheet'!$A$1:$ZZ$1, 0))</f>
        <v>0</v>
      </c>
      <c r="I110" s="30" t="s">
        <v>61</v>
      </c>
      <c r="J110" s="28" t="str">
        <f t="array" ref="J110">INDEX('raw-sheet'!$A$2:$ZZ$1000, ROW(J109), MATCH(J$1, 'raw-sheet'!$A$1:$ZZ$1, 0))</f>
        <v>精華液/安瓶</v>
      </c>
      <c r="K110" s="28" t="str">
        <f t="array" ref="K110">INDEX('raw-sheet'!$A$2:$ZZ$1000, ROW(K109), MATCH(K$1, 'raw-sheet'!$A$1:$ZZ$1, 0))</f>
        <v>1</v>
      </c>
      <c r="L110" s="30" t="s">
        <v>60</v>
      </c>
      <c r="M110" s="28" t="str">
        <f t="array" ref="M110">INDEX('raw-sheet'!$A$2:$ZZ$1000, ROW(M109), MATCH(M$1, 'raw-sheet'!$A$1:$ZZ$1, 0))</f>
        <v>https://innisfree-taiwan.myshopify.com/collections/essence-ampoule?page=3</v>
      </c>
      <c r="N110" s="30" t="str">
        <f t="shared" si="3"/>
        <v>Pass</v>
      </c>
      <c r="O110" s="28" t="str">
        <f t="array" ref="O110">INDEX('raw-sheet'!$A$2:$ZZ$1000, ROW(O109), MATCH(O$1, 'raw-sheet'!$A$1:$ZZ$1, 0))</f>
        <v>精華液/安瓶 | INNISFREE Taiwan</v>
      </c>
      <c r="P110" s="28" t="str">
        <f t="array" ref="P110">INDEX('raw-sheet'!$A$2:$ZZ$1000, ROW(P109),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0" s="28" t="str">
        <f t="array" ref="Q110">INDEX('raw-sheet'!$A$2:$ZZ$1000, ROW(Q109), MATCH(Q$1, 'raw-sheet'!$A$1:$ZZ$1, 0))</f>
        <v>website</v>
      </c>
      <c r="R110" s="28" t="str">
        <f t="array" ref="R110">INDEX('raw-sheet'!$A$2:$ZZ$1000, ROW(R109), MATCH(R$1, 'raw-sheet'!$A$1:$ZZ$1, 0))</f>
        <v>INNISFREE Taiwan</v>
      </c>
      <c r="S110" s="28" t="str">
        <f t="array" ref="S110">INDEX('raw-sheet'!$A$2:$ZZ$1000, ROW(S109), MATCH(S$1, 'raw-sheet'!$A$1:$ZZ$1, 0))</f>
        <v>http://innisfree-taiwan.myshopify.com/cdn/shop/files/logo.png?v=1767594135</v>
      </c>
      <c r="T110" s="28" t="str">
        <f t="array" ref="T110">INDEX('raw-sheet'!$A$2:$ZZ$1000, ROW(T109), MATCH(T$1, 'raw-sheet'!$A$1:$ZZ$1, 0))</f>
        <v>https://innisfree-taiwan.myshopify.com/cdn/shop/files/logo.png?v=1767594135</v>
      </c>
      <c r="U110" s="28" t="str">
        <f t="array" ref="U110">INDEX('raw-sheet'!$A$2:$ZZ$1000, ROW(U109), MATCH(U$1, 'raw-sheet'!$A$1:$ZZ$1, 0))</f>
        <v>https://innisfree-taiwan.myshopify.com/collections/essence-ampoule?page=3</v>
      </c>
      <c r="V110" s="28" t="str">
        <f t="array" ref="V110">INDEX('raw-sheet'!$A$2:$ZZ$1000, ROW(V109), MATCH(V$1, 'raw-sheet'!$A$1:$ZZ$1, 0))</f>
        <v>精華液/安瓶 | INNISFREE Taiwan</v>
      </c>
      <c r="W110" s="28" t="str">
        <f t="array" ref="W110">INDEX('raw-sheet'!$A$2:$ZZ$1000, ROW(W109),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0" s="28" t="str">
        <f t="array" ref="X110">INDEX('raw-sheet'!$A$2:$ZZ$1000, ROW(X109), MATCH(X$1, 'raw-sheet'!$A$1:$ZZ$1, 0))</f>
        <v>summary_large_image</v>
      </c>
      <c r="Y110" s="30" t="s">
        <v>62</v>
      </c>
      <c r="Z110" s="28" t="str">
        <f>VLOOKUP($A110,'raw-schema'!$A:$R,14,0)</f>
        <v>Organization</v>
      </c>
      <c r="AA110" s="28">
        <f>VLOOKUP($A110,'raw-schema'!$A:$R,15,0)</f>
        <v>0</v>
      </c>
      <c r="AB110" s="28">
        <f>VLOOKUP($A110,'raw-schema'!$A:$R,16,0)</f>
        <v>0</v>
      </c>
      <c r="AC110" s="28">
        <f>VLOOKUP($A110,'raw-schema'!$A:$R,17,0)</f>
        <v>0</v>
      </c>
      <c r="AD110" s="28">
        <f>VLOOKUP($A110,'raw-schema'!$A:$R,18,0)</f>
        <v>0</v>
      </c>
      <c r="AE110" s="30" t="s">
        <v>66</v>
      </c>
      <c r="AF110" t="s">
        <v>65</v>
      </c>
    </row>
    <row r="111" spans="1:32" x14ac:dyDescent="0.3">
      <c r="A111" s="28" t="str">
        <f t="array" ref="A111">INDEX('raw-sheet'!$A$2:$ZZ$1000, ROW(A110), MATCH(A$1, 'raw-sheet'!$A$1:$ZZ$1, 0))</f>
        <v>https://innisfree-taiwan.myshopify.com/collections/exclusive-online</v>
      </c>
      <c r="B111" s="30"/>
      <c r="C111" s="28" t="str">
        <f t="array" ref="C111">INDEX('raw-sheet'!$A$2:$ZZ$1000, ROW(C110), MATCH(C$1, 'raw-sheet'!$A$1:$ZZ$1, 0))</f>
        <v>Product List</v>
      </c>
      <c r="D111" s="28">
        <f t="array" ref="D111">INDEX('raw-sheet'!$A$2:$ZZ$1000, ROW(D110), MATCH(D$1, 'raw-sheet'!$A$1:$ZZ$1, 0))</f>
        <v>404</v>
      </c>
      <c r="E111" s="30" t="str">
        <f t="shared" si="2"/>
        <v>Not</v>
      </c>
      <c r="F111" s="28">
        <f t="array" ref="F111">INDEX('raw-sheet'!$A$2:$ZZ$1000, ROW(F110), MATCH(F$1, 'raw-sheet'!$A$1:$ZZ$1, 0))</f>
        <v>0</v>
      </c>
      <c r="G111" s="30"/>
      <c r="H111" s="28">
        <f t="array" ref="H111">INDEX('raw-sheet'!$A$2:$ZZ$1000, ROW(H110), MATCH(H$1, 'raw-sheet'!$A$1:$ZZ$1, 0))</f>
        <v>0</v>
      </c>
      <c r="I111" s="30"/>
      <c r="J111" s="28">
        <f t="array" ref="J111">INDEX('raw-sheet'!$A$2:$ZZ$1000, ROW(J110), MATCH(J$1, 'raw-sheet'!$A$1:$ZZ$1, 0))</f>
        <v>0</v>
      </c>
      <c r="K111" s="28">
        <f t="array" ref="K111">INDEX('raw-sheet'!$A$2:$ZZ$1000, ROW(K110), MATCH(K$1, 'raw-sheet'!$A$1:$ZZ$1, 0))</f>
        <v>0</v>
      </c>
      <c r="L111" s="30"/>
      <c r="M111" s="28">
        <f t="array" ref="M111">INDEX('raw-sheet'!$A$2:$ZZ$1000, ROW(M110), MATCH(M$1, 'raw-sheet'!$A$1:$ZZ$1, 0))</f>
        <v>0</v>
      </c>
      <c r="N111" s="30" t="str">
        <f t="shared" si="3"/>
        <v>Not</v>
      </c>
      <c r="O111" s="28">
        <f t="array" ref="O111">INDEX('raw-sheet'!$A$2:$ZZ$1000, ROW(O110), MATCH(O$1, 'raw-sheet'!$A$1:$ZZ$1, 0))</f>
        <v>0</v>
      </c>
      <c r="P111" s="28">
        <f t="array" ref="P111">INDEX('raw-sheet'!$A$2:$ZZ$1000, ROW(P110), MATCH(P$1, 'raw-sheet'!$A$1:$ZZ$1, 0))</f>
        <v>0</v>
      </c>
      <c r="Q111" s="28">
        <f t="array" ref="Q111">INDEX('raw-sheet'!$A$2:$ZZ$1000, ROW(Q110), MATCH(Q$1, 'raw-sheet'!$A$1:$ZZ$1, 0))</f>
        <v>0</v>
      </c>
      <c r="R111" s="28">
        <f t="array" ref="R111">INDEX('raw-sheet'!$A$2:$ZZ$1000, ROW(R110), MATCH(R$1, 'raw-sheet'!$A$1:$ZZ$1, 0))</f>
        <v>0</v>
      </c>
      <c r="S111" s="28">
        <f t="array" ref="S111">INDEX('raw-sheet'!$A$2:$ZZ$1000, ROW(S110), MATCH(S$1, 'raw-sheet'!$A$1:$ZZ$1, 0))</f>
        <v>0</v>
      </c>
      <c r="T111" s="28">
        <f t="array" ref="T111">INDEX('raw-sheet'!$A$2:$ZZ$1000, ROW(T110), MATCH(T$1, 'raw-sheet'!$A$1:$ZZ$1, 0))</f>
        <v>0</v>
      </c>
      <c r="U111" s="28">
        <f t="array" ref="U111">INDEX('raw-sheet'!$A$2:$ZZ$1000, ROW(U110), MATCH(U$1, 'raw-sheet'!$A$1:$ZZ$1, 0))</f>
        <v>0</v>
      </c>
      <c r="V111" s="28">
        <f t="array" ref="V111">INDEX('raw-sheet'!$A$2:$ZZ$1000, ROW(V110), MATCH(V$1, 'raw-sheet'!$A$1:$ZZ$1, 0))</f>
        <v>0</v>
      </c>
      <c r="W111" s="28">
        <f t="array" ref="W111">INDEX('raw-sheet'!$A$2:$ZZ$1000, ROW(W110), MATCH(W$1, 'raw-sheet'!$A$1:$ZZ$1, 0))</f>
        <v>0</v>
      </c>
      <c r="X111" s="28">
        <f t="array" ref="X111">INDEX('raw-sheet'!$A$2:$ZZ$1000, ROW(X110), MATCH(X$1, 'raw-sheet'!$A$1:$ZZ$1, 0))</f>
        <v>0</v>
      </c>
      <c r="Y111" s="30"/>
      <c r="Z111" s="28" t="str">
        <f>VLOOKUP($A111,'raw-schema'!$A:$R,14,0)</f>
        <v>Organization</v>
      </c>
      <c r="AA111" s="28">
        <f>VLOOKUP($A111,'raw-schema'!$A:$R,15,0)</f>
        <v>0</v>
      </c>
      <c r="AB111" s="28">
        <f>VLOOKUP($A111,'raw-schema'!$A:$R,16,0)</f>
        <v>0</v>
      </c>
      <c r="AC111" s="28">
        <f>VLOOKUP($A111,'raw-schema'!$A:$R,17,0)</f>
        <v>0</v>
      </c>
      <c r="AD111" s="28">
        <f>VLOOKUP($A111,'raw-schema'!$A:$R,18,0)</f>
        <v>0</v>
      </c>
      <c r="AE111" s="30"/>
      <c r="AF111" t="s">
        <v>58</v>
      </c>
    </row>
    <row r="112" spans="1:32" x14ac:dyDescent="0.3">
      <c r="A112" s="28" t="str">
        <f t="array" ref="A112">INDEX('raw-sheet'!$A$2:$ZZ$1000, ROW(A111), MATCH(A$1, 'raw-sheet'!$A$1:$ZZ$1, 0))</f>
        <v>https://innisfree-taiwan.myshopify.com/collections/eye-cream</v>
      </c>
      <c r="B112" s="30" t="s">
        <v>11</v>
      </c>
      <c r="C112" s="28" t="str">
        <f t="array" ref="C112">INDEX('raw-sheet'!$A$2:$ZZ$1000, ROW(C111), MATCH(C$1, 'raw-sheet'!$A$1:$ZZ$1, 0))</f>
        <v>Product List</v>
      </c>
      <c r="D112" s="28">
        <f t="array" ref="D112">INDEX('raw-sheet'!$A$2:$ZZ$1000, ROW(D111), MATCH(D$1, 'raw-sheet'!$A$1:$ZZ$1, 0))</f>
        <v>200</v>
      </c>
      <c r="E112" s="30" t="str">
        <f t="shared" si="2"/>
        <v>Pass</v>
      </c>
      <c r="F112" s="28" t="str">
        <f t="array" ref="F112">INDEX('raw-sheet'!$A$2:$ZZ$1000, ROW(F111), MATCH(F$1, 'raw-sheet'!$A$1:$ZZ$1, 0))</f>
        <v>眼霜/眼部精華_x000D_ | INNISFREE Taiwan</v>
      </c>
      <c r="G112" s="30" t="s">
        <v>11</v>
      </c>
      <c r="H112" s="28">
        <f t="array" ref="H112">INDEX('raw-sheet'!$A$2:$ZZ$1000, ROW(H111), MATCH(H$1, 'raw-sheet'!$A$1:$ZZ$1, 0))</f>
        <v>0</v>
      </c>
      <c r="I112" s="30" t="s">
        <v>61</v>
      </c>
      <c r="J112" s="28" t="str">
        <f t="array" ref="J112">INDEX('raw-sheet'!$A$2:$ZZ$1000, ROW(J111), MATCH(J$1, 'raw-sheet'!$A$1:$ZZ$1, 0))</f>
        <v>眼霜/眼部精華</v>
      </c>
      <c r="K112" s="28" t="str">
        <f t="array" ref="K112">INDEX('raw-sheet'!$A$2:$ZZ$1000, ROW(K111), MATCH(K$1, 'raw-sheet'!$A$1:$ZZ$1, 0))</f>
        <v>1</v>
      </c>
      <c r="L112" s="30" t="s">
        <v>11</v>
      </c>
      <c r="M112" s="28" t="str">
        <f t="array" ref="M112">INDEX('raw-sheet'!$A$2:$ZZ$1000, ROW(M111), MATCH(M$1, 'raw-sheet'!$A$1:$ZZ$1, 0))</f>
        <v>https://innisfree-taiwan.myshopify.com/collections/eye-cream</v>
      </c>
      <c r="N112" s="30" t="str">
        <f t="shared" si="3"/>
        <v>Pass</v>
      </c>
      <c r="O112" s="28" t="str">
        <f t="array" ref="O112">INDEX('raw-sheet'!$A$2:$ZZ$1000, ROW(O111), MATCH(O$1, 'raw-sheet'!$A$1:$ZZ$1, 0))</f>
        <v>眼霜/眼部精華 | INNISFREE Taiwan</v>
      </c>
      <c r="P112" s="28" t="str">
        <f t="array" ref="P112">INDEX('raw-sheet'!$A$2:$ZZ$1000, ROW(P111),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2" s="28" t="str">
        <f t="array" ref="Q112">INDEX('raw-sheet'!$A$2:$ZZ$1000, ROW(Q111), MATCH(Q$1, 'raw-sheet'!$A$1:$ZZ$1, 0))</f>
        <v>website</v>
      </c>
      <c r="R112" s="28" t="str">
        <f t="array" ref="R112">INDEX('raw-sheet'!$A$2:$ZZ$1000, ROW(R111), MATCH(R$1, 'raw-sheet'!$A$1:$ZZ$1, 0))</f>
        <v>INNISFREE Taiwan</v>
      </c>
      <c r="S112" s="28" t="str">
        <f t="array" ref="S112">INDEX('raw-sheet'!$A$2:$ZZ$1000, ROW(S111), MATCH(S$1, 'raw-sheet'!$A$1:$ZZ$1, 0))</f>
        <v>http://innisfree-taiwan.myshopify.com/cdn/shop/files/logo.png?v=1767594135</v>
      </c>
      <c r="T112" s="28" t="str">
        <f t="array" ref="T112">INDEX('raw-sheet'!$A$2:$ZZ$1000, ROW(T111), MATCH(T$1, 'raw-sheet'!$A$1:$ZZ$1, 0))</f>
        <v>https://innisfree-taiwan.myshopify.com/cdn/shop/files/logo.png?v=1767594135</v>
      </c>
      <c r="U112" s="28" t="str">
        <f t="array" ref="U112">INDEX('raw-sheet'!$A$2:$ZZ$1000, ROW(U111), MATCH(U$1, 'raw-sheet'!$A$1:$ZZ$1, 0))</f>
        <v>https://innisfree-taiwan.myshopify.com/collections/eye-cream</v>
      </c>
      <c r="V112" s="28" t="str">
        <f t="array" ref="V112">INDEX('raw-sheet'!$A$2:$ZZ$1000, ROW(V111), MATCH(V$1, 'raw-sheet'!$A$1:$ZZ$1, 0))</f>
        <v>眼霜/眼部精華 | INNISFREE Taiwan</v>
      </c>
      <c r="W112" s="28" t="str">
        <f t="array" ref="W112">INDEX('raw-sheet'!$A$2:$ZZ$1000, ROW(W111),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2" s="28" t="str">
        <f t="array" ref="X112">INDEX('raw-sheet'!$A$2:$ZZ$1000, ROW(X111), MATCH(X$1, 'raw-sheet'!$A$1:$ZZ$1, 0))</f>
        <v>summary_large_image</v>
      </c>
      <c r="Y112" s="30" t="s">
        <v>56</v>
      </c>
      <c r="Z112" s="28" t="str">
        <f>VLOOKUP($A112,'raw-schema'!$A:$R,14,0)</f>
        <v>Organization</v>
      </c>
      <c r="AA112" s="28">
        <f>VLOOKUP($A112,'raw-schema'!$A:$R,15,0)</f>
        <v>0</v>
      </c>
      <c r="AB112" s="28">
        <f>VLOOKUP($A112,'raw-schema'!$A:$R,16,0)</f>
        <v>0</v>
      </c>
      <c r="AC112" s="28">
        <f>VLOOKUP($A112,'raw-schema'!$A:$R,17,0)</f>
        <v>0</v>
      </c>
      <c r="AD112" s="28">
        <f>VLOOKUP($A112,'raw-schema'!$A:$R,18,0)</f>
        <v>0</v>
      </c>
      <c r="AE112" s="30" t="s">
        <v>66</v>
      </c>
    </row>
    <row r="113" spans="1:32" x14ac:dyDescent="0.3">
      <c r="A113" s="28" t="str">
        <f t="array" ref="A113">INDEX('raw-sheet'!$A$2:$ZZ$1000, ROW(A112), MATCH(A$1, 'raw-sheet'!$A$1:$ZZ$1, 0))</f>
        <v>https://innisfree-taiwan.myshopify.com/collections/eye-gloss</v>
      </c>
      <c r="B113" s="30" t="s">
        <v>11</v>
      </c>
      <c r="C113" s="28" t="str">
        <f t="array" ref="C113">INDEX('raw-sheet'!$A$2:$ZZ$1000, ROW(C112), MATCH(C$1, 'raw-sheet'!$A$1:$ZZ$1, 0))</f>
        <v>Product List</v>
      </c>
      <c r="D113" s="28">
        <f t="array" ref="D113">INDEX('raw-sheet'!$A$2:$ZZ$1000, ROW(D112), MATCH(D$1, 'raw-sheet'!$A$1:$ZZ$1, 0))</f>
        <v>200</v>
      </c>
      <c r="E113" s="30" t="str">
        <f t="shared" si="2"/>
        <v>Pass</v>
      </c>
      <c r="F113" s="28" t="str">
        <f t="array" ref="F113">INDEX('raw-sheet'!$A$2:$ZZ$1000, ROW(F112), MATCH(F$1, 'raw-sheet'!$A$1:$ZZ$1, 0))</f>
        <v>眼彩_x000D_ | INNISFREE Taiwan</v>
      </c>
      <c r="G113" s="30" t="s">
        <v>11</v>
      </c>
      <c r="H113" s="28">
        <f t="array" ref="H113">INDEX('raw-sheet'!$A$2:$ZZ$1000, ROW(H112), MATCH(H$1, 'raw-sheet'!$A$1:$ZZ$1, 0))</f>
        <v>0</v>
      </c>
      <c r="I113" s="30" t="s">
        <v>61</v>
      </c>
      <c r="J113" s="28" t="str">
        <f t="array" ref="J113">INDEX('raw-sheet'!$A$2:$ZZ$1000, ROW(J112), MATCH(J$1, 'raw-sheet'!$A$1:$ZZ$1, 0))</f>
        <v>眼彩</v>
      </c>
      <c r="K113" s="28" t="str">
        <f t="array" ref="K113">INDEX('raw-sheet'!$A$2:$ZZ$1000, ROW(K112), MATCH(K$1, 'raw-sheet'!$A$1:$ZZ$1, 0))</f>
        <v>1</v>
      </c>
      <c r="L113" s="30" t="s">
        <v>11</v>
      </c>
      <c r="M113" s="28" t="str">
        <f t="array" ref="M113">INDEX('raw-sheet'!$A$2:$ZZ$1000, ROW(M112), MATCH(M$1, 'raw-sheet'!$A$1:$ZZ$1, 0))</f>
        <v>https://innisfree-taiwan.myshopify.com/collections/eye-gloss</v>
      </c>
      <c r="N113" s="30" t="str">
        <f t="shared" si="3"/>
        <v>Pass</v>
      </c>
      <c r="O113" s="28" t="str">
        <f t="array" ref="O113">INDEX('raw-sheet'!$A$2:$ZZ$1000, ROW(O112), MATCH(O$1, 'raw-sheet'!$A$1:$ZZ$1, 0))</f>
        <v>眼彩 | INNISFREE Taiwan</v>
      </c>
      <c r="P113" s="28" t="str">
        <f t="array" ref="P113">INDEX('raw-sheet'!$A$2:$ZZ$1000, ROW(P112),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3" s="28" t="str">
        <f t="array" ref="Q113">INDEX('raw-sheet'!$A$2:$ZZ$1000, ROW(Q112), MATCH(Q$1, 'raw-sheet'!$A$1:$ZZ$1, 0))</f>
        <v>website</v>
      </c>
      <c r="R113" s="28" t="str">
        <f t="array" ref="R113">INDEX('raw-sheet'!$A$2:$ZZ$1000, ROW(R112), MATCH(R$1, 'raw-sheet'!$A$1:$ZZ$1, 0))</f>
        <v>INNISFREE Taiwan</v>
      </c>
      <c r="S113" s="28" t="str">
        <f t="array" ref="S113">INDEX('raw-sheet'!$A$2:$ZZ$1000, ROW(S112), MATCH(S$1, 'raw-sheet'!$A$1:$ZZ$1, 0))</f>
        <v>http://innisfree-taiwan.myshopify.com/cdn/shop/files/logo.png?v=1767594135</v>
      </c>
      <c r="T113" s="28" t="str">
        <f t="array" ref="T113">INDEX('raw-sheet'!$A$2:$ZZ$1000, ROW(T112), MATCH(T$1, 'raw-sheet'!$A$1:$ZZ$1, 0))</f>
        <v>https://innisfree-taiwan.myshopify.com/cdn/shop/files/logo.png?v=1767594135</v>
      </c>
      <c r="U113" s="28" t="str">
        <f t="array" ref="U113">INDEX('raw-sheet'!$A$2:$ZZ$1000, ROW(U112), MATCH(U$1, 'raw-sheet'!$A$1:$ZZ$1, 0))</f>
        <v>https://innisfree-taiwan.myshopify.com/collections/eye-gloss</v>
      </c>
      <c r="V113" s="28" t="str">
        <f t="array" ref="V113">INDEX('raw-sheet'!$A$2:$ZZ$1000, ROW(V112), MATCH(V$1, 'raw-sheet'!$A$1:$ZZ$1, 0))</f>
        <v>眼彩 | INNISFREE Taiwan</v>
      </c>
      <c r="W113" s="28" t="str">
        <f t="array" ref="W113">INDEX('raw-sheet'!$A$2:$ZZ$1000, ROW(W112),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3" s="28" t="str">
        <f t="array" ref="X113">INDEX('raw-sheet'!$A$2:$ZZ$1000, ROW(X112), MATCH(X$1, 'raw-sheet'!$A$1:$ZZ$1, 0))</f>
        <v>summary_large_image</v>
      </c>
      <c r="Y113" s="30" t="s">
        <v>56</v>
      </c>
      <c r="Z113" s="28" t="str">
        <f>VLOOKUP($A113,'raw-schema'!$A:$R,14,0)</f>
        <v>Organization</v>
      </c>
      <c r="AA113" s="28">
        <f>VLOOKUP($A113,'raw-schema'!$A:$R,15,0)</f>
        <v>0</v>
      </c>
      <c r="AB113" s="28">
        <f>VLOOKUP($A113,'raw-schema'!$A:$R,16,0)</f>
        <v>0</v>
      </c>
      <c r="AC113" s="28">
        <f>VLOOKUP($A113,'raw-schema'!$A:$R,17,0)</f>
        <v>0</v>
      </c>
      <c r="AD113" s="28">
        <f>VLOOKUP($A113,'raw-schema'!$A:$R,18,0)</f>
        <v>0</v>
      </c>
      <c r="AE113" s="30" t="s">
        <v>66</v>
      </c>
    </row>
    <row r="114" spans="1:32" x14ac:dyDescent="0.3">
      <c r="A114" s="28" t="str">
        <f t="array" ref="A114">INDEX('raw-sheet'!$A$2:$ZZ$1000, ROW(A113), MATCH(A$1, 'raw-sheet'!$A$1:$ZZ$1, 0))</f>
        <v>https://innisfree-taiwan.myshopify.com/collections/face-cream</v>
      </c>
      <c r="B114" s="30" t="s">
        <v>11</v>
      </c>
      <c r="C114" s="28" t="str">
        <f t="array" ref="C114">INDEX('raw-sheet'!$A$2:$ZZ$1000, ROW(C113), MATCH(C$1, 'raw-sheet'!$A$1:$ZZ$1, 0))</f>
        <v>Product List</v>
      </c>
      <c r="D114" s="28">
        <f t="array" ref="D114">INDEX('raw-sheet'!$A$2:$ZZ$1000, ROW(D113), MATCH(D$1, 'raw-sheet'!$A$1:$ZZ$1, 0))</f>
        <v>200</v>
      </c>
      <c r="E114" s="30" t="str">
        <f t="shared" si="2"/>
        <v>Pass</v>
      </c>
      <c r="F114" s="28" t="str">
        <f t="array" ref="F114">INDEX('raw-sheet'!$A$2:$ZZ$1000, ROW(F113), MATCH(F$1, 'raw-sheet'!$A$1:$ZZ$1, 0))</f>
        <v>面霜_x000D_ | INNISFREE Taiwan</v>
      </c>
      <c r="G114" s="30" t="s">
        <v>60</v>
      </c>
      <c r="H114" s="28">
        <f t="array" ref="H114">INDEX('raw-sheet'!$A$2:$ZZ$1000, ROW(H113), MATCH(H$1, 'raw-sheet'!$A$1:$ZZ$1, 0))</f>
        <v>0</v>
      </c>
      <c r="I114" s="30" t="s">
        <v>61</v>
      </c>
      <c r="J114" s="28" t="str">
        <f t="array" ref="J114">INDEX('raw-sheet'!$A$2:$ZZ$1000, ROW(J113), MATCH(J$1, 'raw-sheet'!$A$1:$ZZ$1, 0))</f>
        <v>面霜</v>
      </c>
      <c r="K114" s="28" t="str">
        <f t="array" ref="K114">INDEX('raw-sheet'!$A$2:$ZZ$1000, ROW(K113), MATCH(K$1, 'raw-sheet'!$A$1:$ZZ$1, 0))</f>
        <v>1</v>
      </c>
      <c r="L114" s="30" t="s">
        <v>60</v>
      </c>
      <c r="M114" s="28" t="str">
        <f t="array" ref="M114">INDEX('raw-sheet'!$A$2:$ZZ$1000, ROW(M113), MATCH(M$1, 'raw-sheet'!$A$1:$ZZ$1, 0))</f>
        <v>https://innisfree-taiwan.myshopify.com/collections/face-cream</v>
      </c>
      <c r="N114" s="30" t="str">
        <f t="shared" si="3"/>
        <v>Pass</v>
      </c>
      <c r="O114" s="28" t="str">
        <f t="array" ref="O114">INDEX('raw-sheet'!$A$2:$ZZ$1000, ROW(O113), MATCH(O$1, 'raw-sheet'!$A$1:$ZZ$1, 0))</f>
        <v>面霜 | INNISFREE Taiwan</v>
      </c>
      <c r="P114" s="28" t="str">
        <f t="array" ref="P114">INDEX('raw-sheet'!$A$2:$ZZ$1000, ROW(P113),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4" s="28" t="str">
        <f t="array" ref="Q114">INDEX('raw-sheet'!$A$2:$ZZ$1000, ROW(Q113), MATCH(Q$1, 'raw-sheet'!$A$1:$ZZ$1, 0))</f>
        <v>website</v>
      </c>
      <c r="R114" s="28" t="str">
        <f t="array" ref="R114">INDEX('raw-sheet'!$A$2:$ZZ$1000, ROW(R113), MATCH(R$1, 'raw-sheet'!$A$1:$ZZ$1, 0))</f>
        <v>INNISFREE Taiwan</v>
      </c>
      <c r="S114" s="28" t="str">
        <f t="array" ref="S114">INDEX('raw-sheet'!$A$2:$ZZ$1000, ROW(S113), MATCH(S$1, 'raw-sheet'!$A$1:$ZZ$1, 0))</f>
        <v>http://innisfree-taiwan.myshopify.com/cdn/shop/files/logo.png?v=1767594135</v>
      </c>
      <c r="T114" s="28" t="str">
        <f t="array" ref="T114">INDEX('raw-sheet'!$A$2:$ZZ$1000, ROW(T113), MATCH(T$1, 'raw-sheet'!$A$1:$ZZ$1, 0))</f>
        <v>https://innisfree-taiwan.myshopify.com/cdn/shop/files/logo.png?v=1767594135</v>
      </c>
      <c r="U114" s="28" t="str">
        <f t="array" ref="U114">INDEX('raw-sheet'!$A$2:$ZZ$1000, ROW(U113), MATCH(U$1, 'raw-sheet'!$A$1:$ZZ$1, 0))</f>
        <v>https://innisfree-taiwan.myshopify.com/collections/face-cream</v>
      </c>
      <c r="V114" s="28" t="str">
        <f t="array" ref="V114">INDEX('raw-sheet'!$A$2:$ZZ$1000, ROW(V113), MATCH(V$1, 'raw-sheet'!$A$1:$ZZ$1, 0))</f>
        <v>面霜 | INNISFREE Taiwan</v>
      </c>
      <c r="W114" s="28" t="str">
        <f t="array" ref="W114">INDEX('raw-sheet'!$A$2:$ZZ$1000, ROW(W113),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4" s="28" t="str">
        <f t="array" ref="X114">INDEX('raw-sheet'!$A$2:$ZZ$1000, ROW(X113), MATCH(X$1, 'raw-sheet'!$A$1:$ZZ$1, 0))</f>
        <v>summary_large_image</v>
      </c>
      <c r="Y114" s="30" t="s">
        <v>62</v>
      </c>
      <c r="Z114" s="28" t="str">
        <f>VLOOKUP($A114,'raw-schema'!$A:$R,14,0)</f>
        <v>Organization</v>
      </c>
      <c r="AA114" s="28">
        <f>VLOOKUP($A114,'raw-schema'!$A:$R,15,0)</f>
        <v>0</v>
      </c>
      <c r="AB114" s="28">
        <f>VLOOKUP($A114,'raw-schema'!$A:$R,16,0)</f>
        <v>0</v>
      </c>
      <c r="AC114" s="28">
        <f>VLOOKUP($A114,'raw-schema'!$A:$R,17,0)</f>
        <v>0</v>
      </c>
      <c r="AD114" s="28">
        <f>VLOOKUP($A114,'raw-schema'!$A:$R,18,0)</f>
        <v>0</v>
      </c>
      <c r="AE114" s="30" t="s">
        <v>66</v>
      </c>
    </row>
    <row r="115" spans="1:32" x14ac:dyDescent="0.3">
      <c r="A115" s="28" t="str">
        <f t="array" ref="A115">INDEX('raw-sheet'!$A$2:$ZZ$1000, ROW(A114), MATCH(A$1, 'raw-sheet'!$A$1:$ZZ$1, 0))</f>
        <v>https://innisfree-taiwan.myshopify.com/collections/face-cream?page=1</v>
      </c>
      <c r="B115" s="30" t="s">
        <v>11</v>
      </c>
      <c r="C115" s="28" t="str">
        <f t="array" ref="C115">INDEX('raw-sheet'!$A$2:$ZZ$1000, ROW(C114), MATCH(C$1, 'raw-sheet'!$A$1:$ZZ$1, 0))</f>
        <v>Product List</v>
      </c>
      <c r="D115" s="28">
        <f t="array" ref="D115">INDEX('raw-sheet'!$A$2:$ZZ$1000, ROW(D114), MATCH(D$1, 'raw-sheet'!$A$1:$ZZ$1, 0))</f>
        <v>200</v>
      </c>
      <c r="E115" s="30" t="str">
        <f t="shared" si="2"/>
        <v>Pass</v>
      </c>
      <c r="F115" s="28" t="str">
        <f t="array" ref="F115">INDEX('raw-sheet'!$A$2:$ZZ$1000, ROW(F114), MATCH(F$1, 'raw-sheet'!$A$1:$ZZ$1, 0))</f>
        <v>面霜_x000D_ | INNISFREE Taiwan</v>
      </c>
      <c r="G115" s="30" t="s">
        <v>11</v>
      </c>
      <c r="H115" s="28">
        <f t="array" ref="H115">INDEX('raw-sheet'!$A$2:$ZZ$1000, ROW(H114), MATCH(H$1, 'raw-sheet'!$A$1:$ZZ$1, 0))</f>
        <v>0</v>
      </c>
      <c r="I115" s="30" t="s">
        <v>61</v>
      </c>
      <c r="J115" s="28" t="str">
        <f t="array" ref="J115">INDEX('raw-sheet'!$A$2:$ZZ$1000, ROW(J114), MATCH(J$1, 'raw-sheet'!$A$1:$ZZ$1, 0))</f>
        <v>面霜</v>
      </c>
      <c r="K115" s="28" t="str">
        <f t="array" ref="K115">INDEX('raw-sheet'!$A$2:$ZZ$1000, ROW(K114), MATCH(K$1, 'raw-sheet'!$A$1:$ZZ$1, 0))</f>
        <v>1</v>
      </c>
      <c r="L115" s="30" t="s">
        <v>60</v>
      </c>
      <c r="M115" s="28" t="str">
        <f t="array" ref="M115">INDEX('raw-sheet'!$A$2:$ZZ$1000, ROW(M114), MATCH(M$1, 'raw-sheet'!$A$1:$ZZ$1, 0))</f>
        <v>https://innisfree-taiwan.myshopify.com/collections/face-cream</v>
      </c>
      <c r="N115" s="30" t="str">
        <f t="shared" si="3"/>
        <v>Not</v>
      </c>
      <c r="O115" s="28" t="str">
        <f t="array" ref="O115">INDEX('raw-sheet'!$A$2:$ZZ$1000, ROW(O114), MATCH(O$1, 'raw-sheet'!$A$1:$ZZ$1, 0))</f>
        <v>面霜 | INNISFREE Taiwan</v>
      </c>
      <c r="P115" s="28" t="str">
        <f t="array" ref="P115">INDEX('raw-sheet'!$A$2:$ZZ$1000, ROW(P114),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5" s="28" t="str">
        <f t="array" ref="Q115">INDEX('raw-sheet'!$A$2:$ZZ$1000, ROW(Q114), MATCH(Q$1, 'raw-sheet'!$A$1:$ZZ$1, 0))</f>
        <v>website</v>
      </c>
      <c r="R115" s="28" t="str">
        <f t="array" ref="R115">INDEX('raw-sheet'!$A$2:$ZZ$1000, ROW(R114), MATCH(R$1, 'raw-sheet'!$A$1:$ZZ$1, 0))</f>
        <v>INNISFREE Taiwan</v>
      </c>
      <c r="S115" s="28" t="str">
        <f t="array" ref="S115">INDEX('raw-sheet'!$A$2:$ZZ$1000, ROW(S114), MATCH(S$1, 'raw-sheet'!$A$1:$ZZ$1, 0))</f>
        <v>http://innisfree-taiwan.myshopify.com/cdn/shop/files/logo.png?v=1767594135</v>
      </c>
      <c r="T115" s="28" t="str">
        <f t="array" ref="T115">INDEX('raw-sheet'!$A$2:$ZZ$1000, ROW(T114), MATCH(T$1, 'raw-sheet'!$A$1:$ZZ$1, 0))</f>
        <v>https://innisfree-taiwan.myshopify.com/cdn/shop/files/logo.png?v=1767594135</v>
      </c>
      <c r="U115" s="28" t="str">
        <f t="array" ref="U115">INDEX('raw-sheet'!$A$2:$ZZ$1000, ROW(U114), MATCH(U$1, 'raw-sheet'!$A$1:$ZZ$1, 0))</f>
        <v>https://innisfree-taiwan.myshopify.com/collections/face-cream</v>
      </c>
      <c r="V115" s="28" t="str">
        <f t="array" ref="V115">INDEX('raw-sheet'!$A$2:$ZZ$1000, ROW(V114), MATCH(V$1, 'raw-sheet'!$A$1:$ZZ$1, 0))</f>
        <v>面霜 | INNISFREE Taiwan</v>
      </c>
      <c r="W115" s="28" t="str">
        <f t="array" ref="W115">INDEX('raw-sheet'!$A$2:$ZZ$1000, ROW(W114),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5" s="28" t="str">
        <f t="array" ref="X115">INDEX('raw-sheet'!$A$2:$ZZ$1000, ROW(X114), MATCH(X$1, 'raw-sheet'!$A$1:$ZZ$1, 0))</f>
        <v>summary_large_image</v>
      </c>
      <c r="Y115" s="30" t="s">
        <v>62</v>
      </c>
      <c r="Z115" s="28" t="str">
        <f>VLOOKUP($A115,'raw-schema'!$A:$R,14,0)</f>
        <v>Organization</v>
      </c>
      <c r="AA115" s="28">
        <f>VLOOKUP($A115,'raw-schema'!$A:$R,15,0)</f>
        <v>0</v>
      </c>
      <c r="AB115" s="28">
        <f>VLOOKUP($A115,'raw-schema'!$A:$R,16,0)</f>
        <v>0</v>
      </c>
      <c r="AC115" s="28">
        <f>VLOOKUP($A115,'raw-schema'!$A:$R,17,0)</f>
        <v>0</v>
      </c>
      <c r="AD115" s="28">
        <f>VLOOKUP($A115,'raw-schema'!$A:$R,18,0)</f>
        <v>0</v>
      </c>
      <c r="AE115" s="30" t="s">
        <v>66</v>
      </c>
      <c r="AF115" t="s">
        <v>65</v>
      </c>
    </row>
    <row r="116" spans="1:32" x14ac:dyDescent="0.3">
      <c r="A116" s="28" t="str">
        <f t="array" ref="A116">INDEX('raw-sheet'!$A$2:$ZZ$1000, ROW(A115), MATCH(A$1, 'raw-sheet'!$A$1:$ZZ$1, 0))</f>
        <v>https://innisfree-taiwan.myshopify.com/collections/face-cream?page=2</v>
      </c>
      <c r="B116" s="30" t="s">
        <v>11</v>
      </c>
      <c r="C116" s="28" t="str">
        <f t="array" ref="C116">INDEX('raw-sheet'!$A$2:$ZZ$1000, ROW(C115), MATCH(C$1, 'raw-sheet'!$A$1:$ZZ$1, 0))</f>
        <v>Product List</v>
      </c>
      <c r="D116" s="28">
        <f t="array" ref="D116">INDEX('raw-sheet'!$A$2:$ZZ$1000, ROW(D115), MATCH(D$1, 'raw-sheet'!$A$1:$ZZ$1, 0))</f>
        <v>200</v>
      </c>
      <c r="E116" s="30" t="str">
        <f t="shared" si="2"/>
        <v>Pass</v>
      </c>
      <c r="F116" s="28" t="str">
        <f t="array" ref="F116">INDEX('raw-sheet'!$A$2:$ZZ$1000, ROW(F115), MATCH(F$1, 'raw-sheet'!$A$1:$ZZ$1, 0))</f>
        <v>面霜_x000D_ – Page 2 | INNISFREE Taiwan</v>
      </c>
      <c r="G116" s="30" t="s">
        <v>11</v>
      </c>
      <c r="H116" s="28">
        <f t="array" ref="H116">INDEX('raw-sheet'!$A$2:$ZZ$1000, ROW(H115), MATCH(H$1, 'raw-sheet'!$A$1:$ZZ$1, 0))</f>
        <v>0</v>
      </c>
      <c r="I116" s="30" t="s">
        <v>61</v>
      </c>
      <c r="J116" s="28" t="str">
        <f t="array" ref="J116">INDEX('raw-sheet'!$A$2:$ZZ$1000, ROW(J115), MATCH(J$1, 'raw-sheet'!$A$1:$ZZ$1, 0))</f>
        <v>面霜</v>
      </c>
      <c r="K116" s="28" t="str">
        <f t="array" ref="K116">INDEX('raw-sheet'!$A$2:$ZZ$1000, ROW(K115), MATCH(K$1, 'raw-sheet'!$A$1:$ZZ$1, 0))</f>
        <v>1</v>
      </c>
      <c r="L116" s="30" t="s">
        <v>60</v>
      </c>
      <c r="M116" s="28" t="str">
        <f t="array" ref="M116">INDEX('raw-sheet'!$A$2:$ZZ$1000, ROW(M115), MATCH(M$1, 'raw-sheet'!$A$1:$ZZ$1, 0))</f>
        <v>https://innisfree-taiwan.myshopify.com/collections/face-cream?page=2</v>
      </c>
      <c r="N116" s="30" t="str">
        <f t="shared" si="3"/>
        <v>Pass</v>
      </c>
      <c r="O116" s="28" t="str">
        <f t="array" ref="O116">INDEX('raw-sheet'!$A$2:$ZZ$1000, ROW(O115), MATCH(O$1, 'raw-sheet'!$A$1:$ZZ$1, 0))</f>
        <v>面霜 | INNISFREE Taiwan</v>
      </c>
      <c r="P116" s="28" t="str">
        <f t="array" ref="P116">INDEX('raw-sheet'!$A$2:$ZZ$1000, ROW(P115),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6" s="28" t="str">
        <f t="array" ref="Q116">INDEX('raw-sheet'!$A$2:$ZZ$1000, ROW(Q115), MATCH(Q$1, 'raw-sheet'!$A$1:$ZZ$1, 0))</f>
        <v>website</v>
      </c>
      <c r="R116" s="28" t="str">
        <f t="array" ref="R116">INDEX('raw-sheet'!$A$2:$ZZ$1000, ROW(R115), MATCH(R$1, 'raw-sheet'!$A$1:$ZZ$1, 0))</f>
        <v>INNISFREE Taiwan</v>
      </c>
      <c r="S116" s="28" t="str">
        <f t="array" ref="S116">INDEX('raw-sheet'!$A$2:$ZZ$1000, ROW(S115), MATCH(S$1, 'raw-sheet'!$A$1:$ZZ$1, 0))</f>
        <v>http://innisfree-taiwan.myshopify.com/cdn/shop/files/logo.png?v=1767594135</v>
      </c>
      <c r="T116" s="28" t="str">
        <f t="array" ref="T116">INDEX('raw-sheet'!$A$2:$ZZ$1000, ROW(T115), MATCH(T$1, 'raw-sheet'!$A$1:$ZZ$1, 0))</f>
        <v>https://innisfree-taiwan.myshopify.com/cdn/shop/files/logo.png?v=1767594135</v>
      </c>
      <c r="U116" s="28" t="str">
        <f t="array" ref="U116">INDEX('raw-sheet'!$A$2:$ZZ$1000, ROW(U115), MATCH(U$1, 'raw-sheet'!$A$1:$ZZ$1, 0))</f>
        <v>https://innisfree-taiwan.myshopify.com/collections/face-cream?page=2</v>
      </c>
      <c r="V116" s="28" t="str">
        <f t="array" ref="V116">INDEX('raw-sheet'!$A$2:$ZZ$1000, ROW(V115), MATCH(V$1, 'raw-sheet'!$A$1:$ZZ$1, 0))</f>
        <v>面霜 | INNISFREE Taiwan</v>
      </c>
      <c r="W116" s="28" t="str">
        <f t="array" ref="W116">INDEX('raw-sheet'!$A$2:$ZZ$1000, ROW(W115),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6" s="28" t="str">
        <f t="array" ref="X116">INDEX('raw-sheet'!$A$2:$ZZ$1000, ROW(X115), MATCH(X$1, 'raw-sheet'!$A$1:$ZZ$1, 0))</f>
        <v>summary_large_image</v>
      </c>
      <c r="Y116" s="30" t="s">
        <v>62</v>
      </c>
      <c r="Z116" s="28" t="str">
        <f>VLOOKUP($A116,'raw-schema'!$A:$R,14,0)</f>
        <v>Organization</v>
      </c>
      <c r="AA116" s="28">
        <f>VLOOKUP($A116,'raw-schema'!$A:$R,15,0)</f>
        <v>0</v>
      </c>
      <c r="AB116" s="28">
        <f>VLOOKUP($A116,'raw-schema'!$A:$R,16,0)</f>
        <v>0</v>
      </c>
      <c r="AC116" s="28">
        <f>VLOOKUP($A116,'raw-schema'!$A:$R,17,0)</f>
        <v>0</v>
      </c>
      <c r="AD116" s="28">
        <f>VLOOKUP($A116,'raw-schema'!$A:$R,18,0)</f>
        <v>0</v>
      </c>
      <c r="AE116" s="30" t="s">
        <v>66</v>
      </c>
      <c r="AF116" t="s">
        <v>65</v>
      </c>
    </row>
    <row r="117" spans="1:32" x14ac:dyDescent="0.3">
      <c r="A117" s="28" t="str">
        <f t="array" ref="A117">INDEX('raw-sheet'!$A$2:$ZZ$1000, ROW(A116), MATCH(A$1, 'raw-sheet'!$A$1:$ZZ$1, 0))</f>
        <v>https://innisfree-taiwan.myshopify.com/collections/face-makeup</v>
      </c>
      <c r="B117" s="30" t="s">
        <v>11</v>
      </c>
      <c r="C117" s="28" t="str">
        <f t="array" ref="C117">INDEX('raw-sheet'!$A$2:$ZZ$1000, ROW(C116), MATCH(C$1, 'raw-sheet'!$A$1:$ZZ$1, 0))</f>
        <v>Product List</v>
      </c>
      <c r="D117" s="28">
        <f t="array" ref="D117">INDEX('raw-sheet'!$A$2:$ZZ$1000, ROW(D116), MATCH(D$1, 'raw-sheet'!$A$1:$ZZ$1, 0))</f>
        <v>200</v>
      </c>
      <c r="E117" s="30" t="str">
        <f t="shared" si="2"/>
        <v>Pass</v>
      </c>
      <c r="F117" s="28" t="str">
        <f t="array" ref="F117">INDEX('raw-sheet'!$A$2:$ZZ$1000, ROW(F116), MATCH(F$1, 'raw-sheet'!$A$1:$ZZ$1, 0))</f>
        <v>臉部彩妝_x000D_ | INNISFREE Taiwan</v>
      </c>
      <c r="G117" s="30" t="s">
        <v>60</v>
      </c>
      <c r="H117" s="28">
        <f t="array" ref="H117">INDEX('raw-sheet'!$A$2:$ZZ$1000, ROW(H116), MATCH(H$1, 'raw-sheet'!$A$1:$ZZ$1, 0))</f>
        <v>0</v>
      </c>
      <c r="I117" s="30" t="s">
        <v>61</v>
      </c>
      <c r="J117" s="28" t="str">
        <f t="array" ref="J117">INDEX('raw-sheet'!$A$2:$ZZ$1000, ROW(J116), MATCH(J$1, 'raw-sheet'!$A$1:$ZZ$1, 0))</f>
        <v>臉部彩妝</v>
      </c>
      <c r="K117" s="28" t="str">
        <f t="array" ref="K117">INDEX('raw-sheet'!$A$2:$ZZ$1000, ROW(K116), MATCH(K$1, 'raw-sheet'!$A$1:$ZZ$1, 0))</f>
        <v>1</v>
      </c>
      <c r="L117" s="30" t="s">
        <v>60</v>
      </c>
      <c r="M117" s="28" t="str">
        <f t="array" ref="M117">INDEX('raw-sheet'!$A$2:$ZZ$1000, ROW(M116), MATCH(M$1, 'raw-sheet'!$A$1:$ZZ$1, 0))</f>
        <v>https://innisfree-taiwan.myshopify.com/collections/face-makeup</v>
      </c>
      <c r="N117" s="30" t="str">
        <f t="shared" si="3"/>
        <v>Pass</v>
      </c>
      <c r="O117" s="28" t="str">
        <f t="array" ref="O117">INDEX('raw-sheet'!$A$2:$ZZ$1000, ROW(O116), MATCH(O$1, 'raw-sheet'!$A$1:$ZZ$1, 0))</f>
        <v>臉部彩妝 | INNISFREE Taiwan</v>
      </c>
      <c r="P117" s="28" t="str">
        <f t="array" ref="P117">INDEX('raw-sheet'!$A$2:$ZZ$1000, ROW(P116),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7" s="28" t="str">
        <f t="array" ref="Q117">INDEX('raw-sheet'!$A$2:$ZZ$1000, ROW(Q116), MATCH(Q$1, 'raw-sheet'!$A$1:$ZZ$1, 0))</f>
        <v>website</v>
      </c>
      <c r="R117" s="28" t="str">
        <f t="array" ref="R117">INDEX('raw-sheet'!$A$2:$ZZ$1000, ROW(R116), MATCH(R$1, 'raw-sheet'!$A$1:$ZZ$1, 0))</f>
        <v>INNISFREE Taiwan</v>
      </c>
      <c r="S117" s="28" t="str">
        <f t="array" ref="S117">INDEX('raw-sheet'!$A$2:$ZZ$1000, ROW(S116), MATCH(S$1, 'raw-sheet'!$A$1:$ZZ$1, 0))</f>
        <v>http://innisfree-taiwan.myshopify.com/cdn/shop/files/logo.png?v=1767594135</v>
      </c>
      <c r="T117" s="28" t="str">
        <f t="array" ref="T117">INDEX('raw-sheet'!$A$2:$ZZ$1000, ROW(T116), MATCH(T$1, 'raw-sheet'!$A$1:$ZZ$1, 0))</f>
        <v>https://innisfree-taiwan.myshopify.com/cdn/shop/files/logo.png?v=1767594135</v>
      </c>
      <c r="U117" s="28" t="str">
        <f t="array" ref="U117">INDEX('raw-sheet'!$A$2:$ZZ$1000, ROW(U116), MATCH(U$1, 'raw-sheet'!$A$1:$ZZ$1, 0))</f>
        <v>https://innisfree-taiwan.myshopify.com/collections/face-makeup</v>
      </c>
      <c r="V117" s="28" t="str">
        <f t="array" ref="V117">INDEX('raw-sheet'!$A$2:$ZZ$1000, ROW(V116), MATCH(V$1, 'raw-sheet'!$A$1:$ZZ$1, 0))</f>
        <v>臉部彩妝 | INNISFREE Taiwan</v>
      </c>
      <c r="W117" s="28" t="str">
        <f t="array" ref="W117">INDEX('raw-sheet'!$A$2:$ZZ$1000, ROW(W116),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7" s="28" t="str">
        <f t="array" ref="X117">INDEX('raw-sheet'!$A$2:$ZZ$1000, ROW(X116), MATCH(X$1, 'raw-sheet'!$A$1:$ZZ$1, 0))</f>
        <v>summary_large_image</v>
      </c>
      <c r="Y117" s="30" t="s">
        <v>62</v>
      </c>
      <c r="Z117" s="28" t="str">
        <f>VLOOKUP($A117,'raw-schema'!$A:$R,14,0)</f>
        <v>Organization</v>
      </c>
      <c r="AA117" s="28">
        <f>VLOOKUP($A117,'raw-schema'!$A:$R,15,0)</f>
        <v>0</v>
      </c>
      <c r="AB117" s="28">
        <f>VLOOKUP($A117,'raw-schema'!$A:$R,16,0)</f>
        <v>0</v>
      </c>
      <c r="AC117" s="28">
        <f>VLOOKUP($A117,'raw-schema'!$A:$R,17,0)</f>
        <v>0</v>
      </c>
      <c r="AD117" s="28">
        <f>VLOOKUP($A117,'raw-schema'!$A:$R,18,0)</f>
        <v>0</v>
      </c>
      <c r="AE117" s="30" t="s">
        <v>66</v>
      </c>
    </row>
    <row r="118" spans="1:32" x14ac:dyDescent="0.3">
      <c r="A118" s="28" t="str">
        <f t="array" ref="A118">INDEX('raw-sheet'!$A$2:$ZZ$1000, ROW(A117), MATCH(A$1, 'raw-sheet'!$A$1:$ZZ$1, 0))</f>
        <v>https://innisfree-taiwan.myshopify.com/collections/face-makeup?page=1</v>
      </c>
      <c r="B118" s="30" t="s">
        <v>11</v>
      </c>
      <c r="C118" s="28" t="str">
        <f t="array" ref="C118">INDEX('raw-sheet'!$A$2:$ZZ$1000, ROW(C117), MATCH(C$1, 'raw-sheet'!$A$1:$ZZ$1, 0))</f>
        <v>Product List</v>
      </c>
      <c r="D118" s="28">
        <f t="array" ref="D118">INDEX('raw-sheet'!$A$2:$ZZ$1000, ROW(D117), MATCH(D$1, 'raw-sheet'!$A$1:$ZZ$1, 0))</f>
        <v>200</v>
      </c>
      <c r="E118" s="30" t="str">
        <f t="shared" si="2"/>
        <v>Pass</v>
      </c>
      <c r="F118" s="28" t="str">
        <f t="array" ref="F118">INDEX('raw-sheet'!$A$2:$ZZ$1000, ROW(F117), MATCH(F$1, 'raw-sheet'!$A$1:$ZZ$1, 0))</f>
        <v>臉部彩妝_x000D_ | INNISFREE Taiwan</v>
      </c>
      <c r="G118" s="30" t="s">
        <v>11</v>
      </c>
      <c r="H118" s="28">
        <f t="array" ref="H118">INDEX('raw-sheet'!$A$2:$ZZ$1000, ROW(H117), MATCH(H$1, 'raw-sheet'!$A$1:$ZZ$1, 0))</f>
        <v>0</v>
      </c>
      <c r="I118" s="30" t="s">
        <v>61</v>
      </c>
      <c r="J118" s="28" t="str">
        <f t="array" ref="J118">INDEX('raw-sheet'!$A$2:$ZZ$1000, ROW(J117), MATCH(J$1, 'raw-sheet'!$A$1:$ZZ$1, 0))</f>
        <v>臉部彩妝</v>
      </c>
      <c r="K118" s="28" t="str">
        <f t="array" ref="K118">INDEX('raw-sheet'!$A$2:$ZZ$1000, ROW(K117), MATCH(K$1, 'raw-sheet'!$A$1:$ZZ$1, 0))</f>
        <v>1</v>
      </c>
      <c r="L118" s="30" t="s">
        <v>60</v>
      </c>
      <c r="M118" s="28" t="str">
        <f t="array" ref="M118">INDEX('raw-sheet'!$A$2:$ZZ$1000, ROW(M117), MATCH(M$1, 'raw-sheet'!$A$1:$ZZ$1, 0))</f>
        <v>https://innisfree-taiwan.myshopify.com/collections/face-makeup</v>
      </c>
      <c r="N118" s="30" t="str">
        <f t="shared" si="3"/>
        <v>Not</v>
      </c>
      <c r="O118" s="28" t="str">
        <f t="array" ref="O118">INDEX('raw-sheet'!$A$2:$ZZ$1000, ROW(O117), MATCH(O$1, 'raw-sheet'!$A$1:$ZZ$1, 0))</f>
        <v>臉部彩妝 | INNISFREE Taiwan</v>
      </c>
      <c r="P118" s="28" t="str">
        <f t="array" ref="P118">INDEX('raw-sheet'!$A$2:$ZZ$1000, ROW(P117),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8" s="28" t="str">
        <f t="array" ref="Q118">INDEX('raw-sheet'!$A$2:$ZZ$1000, ROW(Q117), MATCH(Q$1, 'raw-sheet'!$A$1:$ZZ$1, 0))</f>
        <v>website</v>
      </c>
      <c r="R118" s="28" t="str">
        <f t="array" ref="R118">INDEX('raw-sheet'!$A$2:$ZZ$1000, ROW(R117), MATCH(R$1, 'raw-sheet'!$A$1:$ZZ$1, 0))</f>
        <v>INNISFREE Taiwan</v>
      </c>
      <c r="S118" s="28" t="str">
        <f t="array" ref="S118">INDEX('raw-sheet'!$A$2:$ZZ$1000, ROW(S117), MATCH(S$1, 'raw-sheet'!$A$1:$ZZ$1, 0))</f>
        <v>http://innisfree-taiwan.myshopify.com/cdn/shop/files/logo.png?v=1767594135</v>
      </c>
      <c r="T118" s="28" t="str">
        <f t="array" ref="T118">INDEX('raw-sheet'!$A$2:$ZZ$1000, ROW(T117), MATCH(T$1, 'raw-sheet'!$A$1:$ZZ$1, 0))</f>
        <v>https://innisfree-taiwan.myshopify.com/cdn/shop/files/logo.png?v=1767594135</v>
      </c>
      <c r="U118" s="28" t="str">
        <f t="array" ref="U118">INDEX('raw-sheet'!$A$2:$ZZ$1000, ROW(U117), MATCH(U$1, 'raw-sheet'!$A$1:$ZZ$1, 0))</f>
        <v>https://innisfree-taiwan.myshopify.com/collections/face-makeup</v>
      </c>
      <c r="V118" s="28" t="str">
        <f t="array" ref="V118">INDEX('raw-sheet'!$A$2:$ZZ$1000, ROW(V117), MATCH(V$1, 'raw-sheet'!$A$1:$ZZ$1, 0))</f>
        <v>臉部彩妝 | INNISFREE Taiwan</v>
      </c>
      <c r="W118" s="28" t="str">
        <f t="array" ref="W118">INDEX('raw-sheet'!$A$2:$ZZ$1000, ROW(W117),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8" s="28" t="str">
        <f t="array" ref="X118">INDEX('raw-sheet'!$A$2:$ZZ$1000, ROW(X117), MATCH(X$1, 'raw-sheet'!$A$1:$ZZ$1, 0))</f>
        <v>summary_large_image</v>
      </c>
      <c r="Y118" s="30" t="s">
        <v>62</v>
      </c>
      <c r="Z118" s="28" t="str">
        <f>VLOOKUP($A118,'raw-schema'!$A:$R,14,0)</f>
        <v>Organization</v>
      </c>
      <c r="AA118" s="28">
        <f>VLOOKUP($A118,'raw-schema'!$A:$R,15,0)</f>
        <v>0</v>
      </c>
      <c r="AB118" s="28">
        <f>VLOOKUP($A118,'raw-schema'!$A:$R,16,0)</f>
        <v>0</v>
      </c>
      <c r="AC118" s="28">
        <f>VLOOKUP($A118,'raw-schema'!$A:$R,17,0)</f>
        <v>0</v>
      </c>
      <c r="AD118" s="28">
        <f>VLOOKUP($A118,'raw-schema'!$A:$R,18,0)</f>
        <v>0</v>
      </c>
      <c r="AE118" s="30" t="s">
        <v>66</v>
      </c>
      <c r="AF118" t="s">
        <v>65</v>
      </c>
    </row>
    <row r="119" spans="1:32" x14ac:dyDescent="0.3">
      <c r="A119" s="28" t="str">
        <f t="array" ref="A119">INDEX('raw-sheet'!$A$2:$ZZ$1000, ROW(A118), MATCH(A$1, 'raw-sheet'!$A$1:$ZZ$1, 0))</f>
        <v>https://innisfree-taiwan.myshopify.com/collections/face-makeup?page=2</v>
      </c>
      <c r="B119" s="30" t="s">
        <v>11</v>
      </c>
      <c r="C119" s="28" t="str">
        <f t="array" ref="C119">INDEX('raw-sheet'!$A$2:$ZZ$1000, ROW(C118), MATCH(C$1, 'raw-sheet'!$A$1:$ZZ$1, 0))</f>
        <v>Product List</v>
      </c>
      <c r="D119" s="28">
        <f t="array" ref="D119">INDEX('raw-sheet'!$A$2:$ZZ$1000, ROW(D118), MATCH(D$1, 'raw-sheet'!$A$1:$ZZ$1, 0))</f>
        <v>200</v>
      </c>
      <c r="E119" s="30" t="str">
        <f t="shared" si="2"/>
        <v>Pass</v>
      </c>
      <c r="F119" s="28" t="str">
        <f t="array" ref="F119">INDEX('raw-sheet'!$A$2:$ZZ$1000, ROW(F118), MATCH(F$1, 'raw-sheet'!$A$1:$ZZ$1, 0))</f>
        <v>臉部彩妝_x000D_ – Page 2 | INNISFREE Taiwan</v>
      </c>
      <c r="G119" s="30" t="s">
        <v>11</v>
      </c>
      <c r="H119" s="28">
        <f t="array" ref="H119">INDEX('raw-sheet'!$A$2:$ZZ$1000, ROW(H118), MATCH(H$1, 'raw-sheet'!$A$1:$ZZ$1, 0))</f>
        <v>0</v>
      </c>
      <c r="I119" s="30" t="s">
        <v>61</v>
      </c>
      <c r="J119" s="28" t="str">
        <f t="array" ref="J119">INDEX('raw-sheet'!$A$2:$ZZ$1000, ROW(J118), MATCH(J$1, 'raw-sheet'!$A$1:$ZZ$1, 0))</f>
        <v>臉部彩妝</v>
      </c>
      <c r="K119" s="28" t="str">
        <f t="array" ref="K119">INDEX('raw-sheet'!$A$2:$ZZ$1000, ROW(K118), MATCH(K$1, 'raw-sheet'!$A$1:$ZZ$1, 0))</f>
        <v>1</v>
      </c>
      <c r="L119" s="30" t="s">
        <v>60</v>
      </c>
      <c r="M119" s="28" t="str">
        <f t="array" ref="M119">INDEX('raw-sheet'!$A$2:$ZZ$1000, ROW(M118), MATCH(M$1, 'raw-sheet'!$A$1:$ZZ$1, 0))</f>
        <v>https://innisfree-taiwan.myshopify.com/collections/face-makeup?page=2</v>
      </c>
      <c r="N119" s="30" t="str">
        <f t="shared" si="3"/>
        <v>Pass</v>
      </c>
      <c r="O119" s="28" t="str">
        <f t="array" ref="O119">INDEX('raw-sheet'!$A$2:$ZZ$1000, ROW(O118), MATCH(O$1, 'raw-sheet'!$A$1:$ZZ$1, 0))</f>
        <v>臉部彩妝 | INNISFREE Taiwan</v>
      </c>
      <c r="P119" s="28" t="str">
        <f t="array" ref="P119">INDEX('raw-sheet'!$A$2:$ZZ$1000, ROW(P118),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19" s="28" t="str">
        <f t="array" ref="Q119">INDEX('raw-sheet'!$A$2:$ZZ$1000, ROW(Q118), MATCH(Q$1, 'raw-sheet'!$A$1:$ZZ$1, 0))</f>
        <v>website</v>
      </c>
      <c r="R119" s="28" t="str">
        <f t="array" ref="R119">INDEX('raw-sheet'!$A$2:$ZZ$1000, ROW(R118), MATCH(R$1, 'raw-sheet'!$A$1:$ZZ$1, 0))</f>
        <v>INNISFREE Taiwan</v>
      </c>
      <c r="S119" s="28" t="str">
        <f t="array" ref="S119">INDEX('raw-sheet'!$A$2:$ZZ$1000, ROW(S118), MATCH(S$1, 'raw-sheet'!$A$1:$ZZ$1, 0))</f>
        <v>http://innisfree-taiwan.myshopify.com/cdn/shop/files/logo.png?v=1767594135</v>
      </c>
      <c r="T119" s="28" t="str">
        <f t="array" ref="T119">INDEX('raw-sheet'!$A$2:$ZZ$1000, ROW(T118), MATCH(T$1, 'raw-sheet'!$A$1:$ZZ$1, 0))</f>
        <v>https://innisfree-taiwan.myshopify.com/cdn/shop/files/logo.png?v=1767594135</v>
      </c>
      <c r="U119" s="28" t="str">
        <f t="array" ref="U119">INDEX('raw-sheet'!$A$2:$ZZ$1000, ROW(U118), MATCH(U$1, 'raw-sheet'!$A$1:$ZZ$1, 0))</f>
        <v>https://innisfree-taiwan.myshopify.com/collections/face-makeup?page=2</v>
      </c>
      <c r="V119" s="28" t="str">
        <f t="array" ref="V119">INDEX('raw-sheet'!$A$2:$ZZ$1000, ROW(V118), MATCH(V$1, 'raw-sheet'!$A$1:$ZZ$1, 0))</f>
        <v>臉部彩妝 | INNISFREE Taiwan</v>
      </c>
      <c r="W119" s="28" t="str">
        <f t="array" ref="W119">INDEX('raw-sheet'!$A$2:$ZZ$1000, ROW(W118),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19" s="28" t="str">
        <f t="array" ref="X119">INDEX('raw-sheet'!$A$2:$ZZ$1000, ROW(X118), MATCH(X$1, 'raw-sheet'!$A$1:$ZZ$1, 0))</f>
        <v>summary_large_image</v>
      </c>
      <c r="Y119" s="30" t="s">
        <v>62</v>
      </c>
      <c r="Z119" s="28" t="str">
        <f>VLOOKUP($A119,'raw-schema'!$A:$R,14,0)</f>
        <v>Organization</v>
      </c>
      <c r="AA119" s="28">
        <f>VLOOKUP($A119,'raw-schema'!$A:$R,15,0)</f>
        <v>0</v>
      </c>
      <c r="AB119" s="28">
        <f>VLOOKUP($A119,'raw-schema'!$A:$R,16,0)</f>
        <v>0</v>
      </c>
      <c r="AC119" s="28">
        <f>VLOOKUP($A119,'raw-schema'!$A:$R,17,0)</f>
        <v>0</v>
      </c>
      <c r="AD119" s="28">
        <f>VLOOKUP($A119,'raw-schema'!$A:$R,18,0)</f>
        <v>0</v>
      </c>
      <c r="AE119" s="30" t="s">
        <v>66</v>
      </c>
      <c r="AF119" t="s">
        <v>65</v>
      </c>
    </row>
    <row r="120" spans="1:32" x14ac:dyDescent="0.3">
      <c r="A120" s="28" t="str">
        <f t="array" ref="A120">INDEX('raw-sheet'!$A$2:$ZZ$1000, ROW(A119), MATCH(A$1, 'raw-sheet'!$A$1:$ZZ$1, 0))</f>
        <v>https://innisfree-taiwan.myshopify.com/collections/facial-care</v>
      </c>
      <c r="B120" s="30" t="s">
        <v>11</v>
      </c>
      <c r="C120" s="28" t="str">
        <f t="array" ref="C120">INDEX('raw-sheet'!$A$2:$ZZ$1000, ROW(C119), MATCH(C$1, 'raw-sheet'!$A$1:$ZZ$1, 0))</f>
        <v>Product List</v>
      </c>
      <c r="D120" s="28">
        <f t="array" ref="D120">INDEX('raw-sheet'!$A$2:$ZZ$1000, ROW(D119), MATCH(D$1, 'raw-sheet'!$A$1:$ZZ$1, 0))</f>
        <v>200</v>
      </c>
      <c r="E120" s="30" t="str">
        <f t="shared" si="2"/>
        <v>Pass</v>
      </c>
      <c r="F120" s="28" t="str">
        <f t="array" ref="F120">INDEX('raw-sheet'!$A$2:$ZZ$1000, ROW(F119), MATCH(F$1, 'raw-sheet'!$A$1:$ZZ$1, 0))</f>
        <v>臉部保養_x000D_ | INNISFREE Taiwan</v>
      </c>
      <c r="G120" s="30" t="s">
        <v>60</v>
      </c>
      <c r="H120" s="28">
        <f t="array" ref="H120">INDEX('raw-sheet'!$A$2:$ZZ$1000, ROW(H119), MATCH(H$1, 'raw-sheet'!$A$1:$ZZ$1, 0))</f>
        <v>0</v>
      </c>
      <c r="I120" s="30" t="s">
        <v>61</v>
      </c>
      <c r="J120" s="28" t="str">
        <f t="array" ref="J120">INDEX('raw-sheet'!$A$2:$ZZ$1000, ROW(J119), MATCH(J$1, 'raw-sheet'!$A$1:$ZZ$1, 0))</f>
        <v>臉部保養</v>
      </c>
      <c r="K120" s="28" t="str">
        <f t="array" ref="K120">INDEX('raw-sheet'!$A$2:$ZZ$1000, ROW(K119), MATCH(K$1, 'raw-sheet'!$A$1:$ZZ$1, 0))</f>
        <v>1</v>
      </c>
      <c r="L120" s="30" t="s">
        <v>60</v>
      </c>
      <c r="M120" s="28" t="str">
        <f t="array" ref="M120">INDEX('raw-sheet'!$A$2:$ZZ$1000, ROW(M119), MATCH(M$1, 'raw-sheet'!$A$1:$ZZ$1, 0))</f>
        <v>https://innisfree-taiwan.myshopify.com/collections/facial-care</v>
      </c>
      <c r="N120" s="30" t="str">
        <f t="shared" si="3"/>
        <v>Pass</v>
      </c>
      <c r="O120" s="28" t="str">
        <f t="array" ref="O120">INDEX('raw-sheet'!$A$2:$ZZ$1000, ROW(O119), MATCH(O$1, 'raw-sheet'!$A$1:$ZZ$1, 0))</f>
        <v>臉部保養 | INNISFREE Taiwan</v>
      </c>
      <c r="P120" s="28" t="str">
        <f t="array" ref="P120">INDEX('raw-sheet'!$A$2:$ZZ$1000, ROW(P119),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0" s="28" t="str">
        <f t="array" ref="Q120">INDEX('raw-sheet'!$A$2:$ZZ$1000, ROW(Q119), MATCH(Q$1, 'raw-sheet'!$A$1:$ZZ$1, 0))</f>
        <v>website</v>
      </c>
      <c r="R120" s="28" t="str">
        <f t="array" ref="R120">INDEX('raw-sheet'!$A$2:$ZZ$1000, ROW(R119), MATCH(R$1, 'raw-sheet'!$A$1:$ZZ$1, 0))</f>
        <v>INNISFREE Taiwan</v>
      </c>
      <c r="S120" s="28" t="str">
        <f t="array" ref="S120">INDEX('raw-sheet'!$A$2:$ZZ$1000, ROW(S119), MATCH(S$1, 'raw-sheet'!$A$1:$ZZ$1, 0))</f>
        <v>http://innisfree-taiwan.myshopify.com/cdn/shop/files/logo.png?v=1767594135</v>
      </c>
      <c r="T120" s="28" t="str">
        <f t="array" ref="T120">INDEX('raw-sheet'!$A$2:$ZZ$1000, ROW(T119), MATCH(T$1, 'raw-sheet'!$A$1:$ZZ$1, 0))</f>
        <v>https://innisfree-taiwan.myshopify.com/cdn/shop/files/logo.png?v=1767594135</v>
      </c>
      <c r="U120" s="28" t="str">
        <f t="array" ref="U120">INDEX('raw-sheet'!$A$2:$ZZ$1000, ROW(U119), MATCH(U$1, 'raw-sheet'!$A$1:$ZZ$1, 0))</f>
        <v>https://innisfree-taiwan.myshopify.com/collections/facial-care</v>
      </c>
      <c r="V120" s="28" t="str">
        <f t="array" ref="V120">INDEX('raw-sheet'!$A$2:$ZZ$1000, ROW(V119), MATCH(V$1, 'raw-sheet'!$A$1:$ZZ$1, 0))</f>
        <v>臉部保養 | INNISFREE Taiwan</v>
      </c>
      <c r="W120" s="28" t="str">
        <f t="array" ref="W120">INDEX('raw-sheet'!$A$2:$ZZ$1000, ROW(W119),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0" s="28" t="str">
        <f t="array" ref="X120">INDEX('raw-sheet'!$A$2:$ZZ$1000, ROW(X119), MATCH(X$1, 'raw-sheet'!$A$1:$ZZ$1, 0))</f>
        <v>summary_large_image</v>
      </c>
      <c r="Y120" s="30" t="s">
        <v>62</v>
      </c>
      <c r="Z120" s="28" t="str">
        <f>VLOOKUP($A120,'raw-schema'!$A:$R,14,0)</f>
        <v>Organization</v>
      </c>
      <c r="AA120" s="28">
        <f>VLOOKUP($A120,'raw-schema'!$A:$R,15,0)</f>
        <v>0</v>
      </c>
      <c r="AB120" s="28">
        <f>VLOOKUP($A120,'raw-schema'!$A:$R,16,0)</f>
        <v>0</v>
      </c>
      <c r="AC120" s="28">
        <f>VLOOKUP($A120,'raw-schema'!$A:$R,17,0)</f>
        <v>0</v>
      </c>
      <c r="AD120" s="28">
        <f>VLOOKUP($A120,'raw-schema'!$A:$R,18,0)</f>
        <v>0</v>
      </c>
      <c r="AE120" s="30" t="s">
        <v>66</v>
      </c>
    </row>
    <row r="121" spans="1:32" x14ac:dyDescent="0.3">
      <c r="A121" s="28" t="str">
        <f t="array" ref="A121">INDEX('raw-sheet'!$A$2:$ZZ$1000, ROW(A120), MATCH(A$1, 'raw-sheet'!$A$1:$ZZ$1, 0))</f>
        <v>https://innisfree-taiwan.myshopify.com/collections/facial-care?page=1</v>
      </c>
      <c r="B121" s="30" t="s">
        <v>11</v>
      </c>
      <c r="C121" s="28" t="str">
        <f t="array" ref="C121">INDEX('raw-sheet'!$A$2:$ZZ$1000, ROW(C120), MATCH(C$1, 'raw-sheet'!$A$1:$ZZ$1, 0))</f>
        <v>Product List</v>
      </c>
      <c r="D121" s="28">
        <f t="array" ref="D121">INDEX('raw-sheet'!$A$2:$ZZ$1000, ROW(D120), MATCH(D$1, 'raw-sheet'!$A$1:$ZZ$1, 0))</f>
        <v>200</v>
      </c>
      <c r="E121" s="30" t="str">
        <f t="shared" si="2"/>
        <v>Pass</v>
      </c>
      <c r="F121" s="28" t="str">
        <f t="array" ref="F121">INDEX('raw-sheet'!$A$2:$ZZ$1000, ROW(F120), MATCH(F$1, 'raw-sheet'!$A$1:$ZZ$1, 0))</f>
        <v>臉部保養_x000D_ | INNISFREE Taiwan</v>
      </c>
      <c r="G121" s="30" t="s">
        <v>11</v>
      </c>
      <c r="H121" s="28">
        <f t="array" ref="H121">INDEX('raw-sheet'!$A$2:$ZZ$1000, ROW(H120), MATCH(H$1, 'raw-sheet'!$A$1:$ZZ$1, 0))</f>
        <v>0</v>
      </c>
      <c r="I121" s="30" t="s">
        <v>61</v>
      </c>
      <c r="J121" s="28" t="str">
        <f t="array" ref="J121">INDEX('raw-sheet'!$A$2:$ZZ$1000, ROW(J120), MATCH(J$1, 'raw-sheet'!$A$1:$ZZ$1, 0))</f>
        <v>臉部保養</v>
      </c>
      <c r="K121" s="28" t="str">
        <f t="array" ref="K121">INDEX('raw-sheet'!$A$2:$ZZ$1000, ROW(K120), MATCH(K$1, 'raw-sheet'!$A$1:$ZZ$1, 0))</f>
        <v>1</v>
      </c>
      <c r="L121" s="30" t="s">
        <v>60</v>
      </c>
      <c r="M121" s="28" t="str">
        <f t="array" ref="M121">INDEX('raw-sheet'!$A$2:$ZZ$1000, ROW(M120), MATCH(M$1, 'raw-sheet'!$A$1:$ZZ$1, 0))</f>
        <v>https://innisfree-taiwan.myshopify.com/collections/facial-care</v>
      </c>
      <c r="N121" s="30" t="str">
        <f t="shared" si="3"/>
        <v>Not</v>
      </c>
      <c r="O121" s="28" t="str">
        <f t="array" ref="O121">INDEX('raw-sheet'!$A$2:$ZZ$1000, ROW(O120), MATCH(O$1, 'raw-sheet'!$A$1:$ZZ$1, 0))</f>
        <v>臉部保養 | INNISFREE Taiwan</v>
      </c>
      <c r="P121" s="28" t="str">
        <f t="array" ref="P121">INDEX('raw-sheet'!$A$2:$ZZ$1000, ROW(P120),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1" s="28" t="str">
        <f t="array" ref="Q121">INDEX('raw-sheet'!$A$2:$ZZ$1000, ROW(Q120), MATCH(Q$1, 'raw-sheet'!$A$1:$ZZ$1, 0))</f>
        <v>website</v>
      </c>
      <c r="R121" s="28" t="str">
        <f t="array" ref="R121">INDEX('raw-sheet'!$A$2:$ZZ$1000, ROW(R120), MATCH(R$1, 'raw-sheet'!$A$1:$ZZ$1, 0))</f>
        <v>INNISFREE Taiwan</v>
      </c>
      <c r="S121" s="28" t="str">
        <f t="array" ref="S121">INDEX('raw-sheet'!$A$2:$ZZ$1000, ROW(S120), MATCH(S$1, 'raw-sheet'!$A$1:$ZZ$1, 0))</f>
        <v>http://innisfree-taiwan.myshopify.com/cdn/shop/files/logo.png?v=1767594135</v>
      </c>
      <c r="T121" s="28" t="str">
        <f t="array" ref="T121">INDEX('raw-sheet'!$A$2:$ZZ$1000, ROW(T120), MATCH(T$1, 'raw-sheet'!$A$1:$ZZ$1, 0))</f>
        <v>https://innisfree-taiwan.myshopify.com/cdn/shop/files/logo.png?v=1767594135</v>
      </c>
      <c r="U121" s="28" t="str">
        <f t="array" ref="U121">INDEX('raw-sheet'!$A$2:$ZZ$1000, ROW(U120), MATCH(U$1, 'raw-sheet'!$A$1:$ZZ$1, 0))</f>
        <v>https://innisfree-taiwan.myshopify.com/collections/facial-care</v>
      </c>
      <c r="V121" s="28" t="str">
        <f t="array" ref="V121">INDEX('raw-sheet'!$A$2:$ZZ$1000, ROW(V120), MATCH(V$1, 'raw-sheet'!$A$1:$ZZ$1, 0))</f>
        <v>臉部保養 | INNISFREE Taiwan</v>
      </c>
      <c r="W121" s="28" t="str">
        <f t="array" ref="W121">INDEX('raw-sheet'!$A$2:$ZZ$1000, ROW(W120),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1" s="28" t="str">
        <f t="array" ref="X121">INDEX('raw-sheet'!$A$2:$ZZ$1000, ROW(X120), MATCH(X$1, 'raw-sheet'!$A$1:$ZZ$1, 0))</f>
        <v>summary_large_image</v>
      </c>
      <c r="Y121" s="30" t="s">
        <v>62</v>
      </c>
      <c r="Z121" s="28" t="str">
        <f>VLOOKUP($A121,'raw-schema'!$A:$R,14,0)</f>
        <v>Organization</v>
      </c>
      <c r="AA121" s="28">
        <f>VLOOKUP($A121,'raw-schema'!$A:$R,15,0)</f>
        <v>0</v>
      </c>
      <c r="AB121" s="28">
        <f>VLOOKUP($A121,'raw-schema'!$A:$R,16,0)</f>
        <v>0</v>
      </c>
      <c r="AC121" s="28">
        <f>VLOOKUP($A121,'raw-schema'!$A:$R,17,0)</f>
        <v>0</v>
      </c>
      <c r="AD121" s="28">
        <f>VLOOKUP($A121,'raw-schema'!$A:$R,18,0)</f>
        <v>0</v>
      </c>
      <c r="AE121" s="30" t="s">
        <v>66</v>
      </c>
      <c r="AF121" t="s">
        <v>65</v>
      </c>
    </row>
    <row r="122" spans="1:32" x14ac:dyDescent="0.3">
      <c r="A122" s="28" t="str">
        <f t="array" ref="A122">INDEX('raw-sheet'!$A$2:$ZZ$1000, ROW(A121), MATCH(A$1, 'raw-sheet'!$A$1:$ZZ$1, 0))</f>
        <v>https://innisfree-taiwan.myshopify.com/collections/facial-care?page=10</v>
      </c>
      <c r="B122" s="30" t="s">
        <v>11</v>
      </c>
      <c r="C122" s="28" t="str">
        <f t="array" ref="C122">INDEX('raw-sheet'!$A$2:$ZZ$1000, ROW(C121), MATCH(C$1, 'raw-sheet'!$A$1:$ZZ$1, 0))</f>
        <v>Product List</v>
      </c>
      <c r="D122" s="28">
        <f t="array" ref="D122">INDEX('raw-sheet'!$A$2:$ZZ$1000, ROW(D121), MATCH(D$1, 'raw-sheet'!$A$1:$ZZ$1, 0))</f>
        <v>200</v>
      </c>
      <c r="E122" s="30" t="str">
        <f t="shared" si="2"/>
        <v>Pass</v>
      </c>
      <c r="F122" s="28" t="str">
        <f t="array" ref="F122">INDEX('raw-sheet'!$A$2:$ZZ$1000, ROW(F121), MATCH(F$1, 'raw-sheet'!$A$1:$ZZ$1, 0))</f>
        <v>臉部保養_x000D_ – Page 10 | INNISFREE Taiwan</v>
      </c>
      <c r="G122" s="30" t="s">
        <v>11</v>
      </c>
      <c r="H122" s="28">
        <f t="array" ref="H122">INDEX('raw-sheet'!$A$2:$ZZ$1000, ROW(H121), MATCH(H$1, 'raw-sheet'!$A$1:$ZZ$1, 0))</f>
        <v>0</v>
      </c>
      <c r="I122" s="30" t="s">
        <v>61</v>
      </c>
      <c r="J122" s="28" t="str">
        <f t="array" ref="J122">INDEX('raw-sheet'!$A$2:$ZZ$1000, ROW(J121), MATCH(J$1, 'raw-sheet'!$A$1:$ZZ$1, 0))</f>
        <v>臉部保養</v>
      </c>
      <c r="K122" s="28" t="str">
        <f t="array" ref="K122">INDEX('raw-sheet'!$A$2:$ZZ$1000, ROW(K121), MATCH(K$1, 'raw-sheet'!$A$1:$ZZ$1, 0))</f>
        <v>1</v>
      </c>
      <c r="L122" s="30" t="s">
        <v>60</v>
      </c>
      <c r="M122" s="28" t="str">
        <f t="array" ref="M122">INDEX('raw-sheet'!$A$2:$ZZ$1000, ROW(M121), MATCH(M$1, 'raw-sheet'!$A$1:$ZZ$1, 0))</f>
        <v>https://innisfree-taiwan.myshopify.com/collections/facial-care?page=10</v>
      </c>
      <c r="N122" s="30" t="str">
        <f t="shared" si="3"/>
        <v>Pass</v>
      </c>
      <c r="O122" s="28" t="str">
        <f t="array" ref="O122">INDEX('raw-sheet'!$A$2:$ZZ$1000, ROW(O121), MATCH(O$1, 'raw-sheet'!$A$1:$ZZ$1, 0))</f>
        <v>臉部保養 | INNISFREE Taiwan</v>
      </c>
      <c r="P122" s="28" t="str">
        <f t="array" ref="P122">INDEX('raw-sheet'!$A$2:$ZZ$1000, ROW(P121),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2" s="28" t="str">
        <f t="array" ref="Q122">INDEX('raw-sheet'!$A$2:$ZZ$1000, ROW(Q121), MATCH(Q$1, 'raw-sheet'!$A$1:$ZZ$1, 0))</f>
        <v>website</v>
      </c>
      <c r="R122" s="28" t="str">
        <f t="array" ref="R122">INDEX('raw-sheet'!$A$2:$ZZ$1000, ROW(R121), MATCH(R$1, 'raw-sheet'!$A$1:$ZZ$1, 0))</f>
        <v>INNISFREE Taiwan</v>
      </c>
      <c r="S122" s="28" t="str">
        <f t="array" ref="S122">INDEX('raw-sheet'!$A$2:$ZZ$1000, ROW(S121), MATCH(S$1, 'raw-sheet'!$A$1:$ZZ$1, 0))</f>
        <v>http://innisfree-taiwan.myshopify.com/cdn/shop/files/logo.png?v=1767594135</v>
      </c>
      <c r="T122" s="28" t="str">
        <f t="array" ref="T122">INDEX('raw-sheet'!$A$2:$ZZ$1000, ROW(T121), MATCH(T$1, 'raw-sheet'!$A$1:$ZZ$1, 0))</f>
        <v>https://innisfree-taiwan.myshopify.com/cdn/shop/files/logo.png?v=1767594135</v>
      </c>
      <c r="U122" s="28" t="str">
        <f t="array" ref="U122">INDEX('raw-sheet'!$A$2:$ZZ$1000, ROW(U121), MATCH(U$1, 'raw-sheet'!$A$1:$ZZ$1, 0))</f>
        <v>https://innisfree-taiwan.myshopify.com/collections/facial-care?page=10</v>
      </c>
      <c r="V122" s="28" t="str">
        <f t="array" ref="V122">INDEX('raw-sheet'!$A$2:$ZZ$1000, ROW(V121), MATCH(V$1, 'raw-sheet'!$A$1:$ZZ$1, 0))</f>
        <v>臉部保養 | INNISFREE Taiwan</v>
      </c>
      <c r="W122" s="28" t="str">
        <f t="array" ref="W122">INDEX('raw-sheet'!$A$2:$ZZ$1000, ROW(W121),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2" s="28" t="str">
        <f t="array" ref="X122">INDEX('raw-sheet'!$A$2:$ZZ$1000, ROW(X121), MATCH(X$1, 'raw-sheet'!$A$1:$ZZ$1, 0))</f>
        <v>summary_large_image</v>
      </c>
      <c r="Y122" s="30" t="s">
        <v>62</v>
      </c>
      <c r="Z122" s="28" t="str">
        <f>VLOOKUP($A122,'raw-schema'!$A:$R,14,0)</f>
        <v>Organization</v>
      </c>
      <c r="AA122" s="28">
        <f>VLOOKUP($A122,'raw-schema'!$A:$R,15,0)</f>
        <v>0</v>
      </c>
      <c r="AB122" s="28">
        <f>VLOOKUP($A122,'raw-schema'!$A:$R,16,0)</f>
        <v>0</v>
      </c>
      <c r="AC122" s="28">
        <f>VLOOKUP($A122,'raw-schema'!$A:$R,17,0)</f>
        <v>0</v>
      </c>
      <c r="AD122" s="28">
        <f>VLOOKUP($A122,'raw-schema'!$A:$R,18,0)</f>
        <v>0</v>
      </c>
      <c r="AE122" s="30" t="s">
        <v>66</v>
      </c>
      <c r="AF122" t="s">
        <v>65</v>
      </c>
    </row>
    <row r="123" spans="1:32" x14ac:dyDescent="0.3">
      <c r="A123" s="28" t="str">
        <f t="array" ref="A123">INDEX('raw-sheet'!$A$2:$ZZ$1000, ROW(A122), MATCH(A$1, 'raw-sheet'!$A$1:$ZZ$1, 0))</f>
        <v>https://innisfree-taiwan.myshopify.com/collections/facial-care?page=2</v>
      </c>
      <c r="B123" s="30" t="s">
        <v>11</v>
      </c>
      <c r="C123" s="28" t="str">
        <f t="array" ref="C123">INDEX('raw-sheet'!$A$2:$ZZ$1000, ROW(C122), MATCH(C$1, 'raw-sheet'!$A$1:$ZZ$1, 0))</f>
        <v>Product List</v>
      </c>
      <c r="D123" s="28">
        <f t="array" ref="D123">INDEX('raw-sheet'!$A$2:$ZZ$1000, ROW(D122), MATCH(D$1, 'raw-sheet'!$A$1:$ZZ$1, 0))</f>
        <v>200</v>
      </c>
      <c r="E123" s="30" t="str">
        <f t="shared" si="2"/>
        <v>Pass</v>
      </c>
      <c r="F123" s="28" t="str">
        <f t="array" ref="F123">INDEX('raw-sheet'!$A$2:$ZZ$1000, ROW(F122), MATCH(F$1, 'raw-sheet'!$A$1:$ZZ$1, 0))</f>
        <v>臉部保養_x000D_ – Page 2 | INNISFREE Taiwan</v>
      </c>
      <c r="G123" s="30" t="s">
        <v>11</v>
      </c>
      <c r="H123" s="28">
        <f t="array" ref="H123">INDEX('raw-sheet'!$A$2:$ZZ$1000, ROW(H122), MATCH(H$1, 'raw-sheet'!$A$1:$ZZ$1, 0))</f>
        <v>0</v>
      </c>
      <c r="I123" s="30" t="s">
        <v>61</v>
      </c>
      <c r="J123" s="28" t="str">
        <f t="array" ref="J123">INDEX('raw-sheet'!$A$2:$ZZ$1000, ROW(J122), MATCH(J$1, 'raw-sheet'!$A$1:$ZZ$1, 0))</f>
        <v>臉部保養</v>
      </c>
      <c r="K123" s="28" t="str">
        <f t="array" ref="K123">INDEX('raw-sheet'!$A$2:$ZZ$1000, ROW(K122), MATCH(K$1, 'raw-sheet'!$A$1:$ZZ$1, 0))</f>
        <v>1</v>
      </c>
      <c r="L123" s="30" t="s">
        <v>60</v>
      </c>
      <c r="M123" s="28" t="str">
        <f t="array" ref="M123">INDEX('raw-sheet'!$A$2:$ZZ$1000, ROW(M122), MATCH(M$1, 'raw-sheet'!$A$1:$ZZ$1, 0))</f>
        <v>https://innisfree-taiwan.myshopify.com/collections/facial-care?page=2</v>
      </c>
      <c r="N123" s="30" t="str">
        <f t="shared" si="3"/>
        <v>Pass</v>
      </c>
      <c r="O123" s="28" t="str">
        <f t="array" ref="O123">INDEX('raw-sheet'!$A$2:$ZZ$1000, ROW(O122), MATCH(O$1, 'raw-sheet'!$A$1:$ZZ$1, 0))</f>
        <v>臉部保養 | INNISFREE Taiwan</v>
      </c>
      <c r="P123" s="28" t="str">
        <f t="array" ref="P123">INDEX('raw-sheet'!$A$2:$ZZ$1000, ROW(P122),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3" s="28" t="str">
        <f t="array" ref="Q123">INDEX('raw-sheet'!$A$2:$ZZ$1000, ROW(Q122), MATCH(Q$1, 'raw-sheet'!$A$1:$ZZ$1, 0))</f>
        <v>website</v>
      </c>
      <c r="R123" s="28" t="str">
        <f t="array" ref="R123">INDEX('raw-sheet'!$A$2:$ZZ$1000, ROW(R122), MATCH(R$1, 'raw-sheet'!$A$1:$ZZ$1, 0))</f>
        <v>INNISFREE Taiwan</v>
      </c>
      <c r="S123" s="28" t="str">
        <f t="array" ref="S123">INDEX('raw-sheet'!$A$2:$ZZ$1000, ROW(S122), MATCH(S$1, 'raw-sheet'!$A$1:$ZZ$1, 0))</f>
        <v>http://innisfree-taiwan.myshopify.com/cdn/shop/files/logo.png?v=1767594135</v>
      </c>
      <c r="T123" s="28" t="str">
        <f t="array" ref="T123">INDEX('raw-sheet'!$A$2:$ZZ$1000, ROW(T122), MATCH(T$1, 'raw-sheet'!$A$1:$ZZ$1, 0))</f>
        <v>https://innisfree-taiwan.myshopify.com/cdn/shop/files/logo.png?v=1767594135</v>
      </c>
      <c r="U123" s="28" t="str">
        <f t="array" ref="U123">INDEX('raw-sheet'!$A$2:$ZZ$1000, ROW(U122), MATCH(U$1, 'raw-sheet'!$A$1:$ZZ$1, 0))</f>
        <v>https://innisfree-taiwan.myshopify.com/collections/facial-care?page=2</v>
      </c>
      <c r="V123" s="28" t="str">
        <f t="array" ref="V123">INDEX('raw-sheet'!$A$2:$ZZ$1000, ROW(V122), MATCH(V$1, 'raw-sheet'!$A$1:$ZZ$1, 0))</f>
        <v>臉部保養 | INNISFREE Taiwan</v>
      </c>
      <c r="W123" s="28" t="str">
        <f t="array" ref="W123">INDEX('raw-sheet'!$A$2:$ZZ$1000, ROW(W122),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3" s="28" t="str">
        <f t="array" ref="X123">INDEX('raw-sheet'!$A$2:$ZZ$1000, ROW(X122), MATCH(X$1, 'raw-sheet'!$A$1:$ZZ$1, 0))</f>
        <v>summary_large_image</v>
      </c>
      <c r="Y123" s="30" t="s">
        <v>62</v>
      </c>
      <c r="Z123" s="28" t="str">
        <f>VLOOKUP($A123,'raw-schema'!$A:$R,14,0)</f>
        <v>Organization</v>
      </c>
      <c r="AA123" s="28">
        <f>VLOOKUP($A123,'raw-schema'!$A:$R,15,0)</f>
        <v>0</v>
      </c>
      <c r="AB123" s="28">
        <f>VLOOKUP($A123,'raw-schema'!$A:$R,16,0)</f>
        <v>0</v>
      </c>
      <c r="AC123" s="28">
        <f>VLOOKUP($A123,'raw-schema'!$A:$R,17,0)</f>
        <v>0</v>
      </c>
      <c r="AD123" s="28">
        <f>VLOOKUP($A123,'raw-schema'!$A:$R,18,0)</f>
        <v>0</v>
      </c>
      <c r="AE123" s="30" t="s">
        <v>66</v>
      </c>
      <c r="AF123" t="s">
        <v>65</v>
      </c>
    </row>
    <row r="124" spans="1:32" x14ac:dyDescent="0.3">
      <c r="A124" s="28" t="str">
        <f t="array" ref="A124">INDEX('raw-sheet'!$A$2:$ZZ$1000, ROW(A123), MATCH(A$1, 'raw-sheet'!$A$1:$ZZ$1, 0))</f>
        <v>https://innisfree-taiwan.myshopify.com/collections/facial-care?page=3</v>
      </c>
      <c r="B124" s="30" t="s">
        <v>11</v>
      </c>
      <c r="C124" s="28" t="str">
        <f t="array" ref="C124">INDEX('raw-sheet'!$A$2:$ZZ$1000, ROW(C123), MATCH(C$1, 'raw-sheet'!$A$1:$ZZ$1, 0))</f>
        <v>Product List</v>
      </c>
      <c r="D124" s="28">
        <f t="array" ref="D124">INDEX('raw-sheet'!$A$2:$ZZ$1000, ROW(D123), MATCH(D$1, 'raw-sheet'!$A$1:$ZZ$1, 0))</f>
        <v>200</v>
      </c>
      <c r="E124" s="30" t="str">
        <f t="shared" si="2"/>
        <v>Pass</v>
      </c>
      <c r="F124" s="28" t="str">
        <f t="array" ref="F124">INDEX('raw-sheet'!$A$2:$ZZ$1000, ROW(F123), MATCH(F$1, 'raw-sheet'!$A$1:$ZZ$1, 0))</f>
        <v>臉部保養_x000D_ – Page 3 | INNISFREE Taiwan</v>
      </c>
      <c r="G124" s="30" t="s">
        <v>11</v>
      </c>
      <c r="H124" s="28">
        <f t="array" ref="H124">INDEX('raw-sheet'!$A$2:$ZZ$1000, ROW(H123), MATCH(H$1, 'raw-sheet'!$A$1:$ZZ$1, 0))</f>
        <v>0</v>
      </c>
      <c r="I124" s="30" t="s">
        <v>61</v>
      </c>
      <c r="J124" s="28" t="str">
        <f t="array" ref="J124">INDEX('raw-sheet'!$A$2:$ZZ$1000, ROW(J123), MATCH(J$1, 'raw-sheet'!$A$1:$ZZ$1, 0))</f>
        <v>臉部保養</v>
      </c>
      <c r="K124" s="28" t="str">
        <f t="array" ref="K124">INDEX('raw-sheet'!$A$2:$ZZ$1000, ROW(K123), MATCH(K$1, 'raw-sheet'!$A$1:$ZZ$1, 0))</f>
        <v>1</v>
      </c>
      <c r="L124" s="30" t="s">
        <v>60</v>
      </c>
      <c r="M124" s="28" t="str">
        <f t="array" ref="M124">INDEX('raw-sheet'!$A$2:$ZZ$1000, ROW(M123), MATCH(M$1, 'raw-sheet'!$A$1:$ZZ$1, 0))</f>
        <v>https://innisfree-taiwan.myshopify.com/collections/facial-care?page=3</v>
      </c>
      <c r="N124" s="30" t="str">
        <f t="shared" si="3"/>
        <v>Pass</v>
      </c>
      <c r="O124" s="28" t="str">
        <f t="array" ref="O124">INDEX('raw-sheet'!$A$2:$ZZ$1000, ROW(O123), MATCH(O$1, 'raw-sheet'!$A$1:$ZZ$1, 0))</f>
        <v>臉部保養 | INNISFREE Taiwan</v>
      </c>
      <c r="P124" s="28" t="str">
        <f t="array" ref="P124">INDEX('raw-sheet'!$A$2:$ZZ$1000, ROW(P123),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4" s="28" t="str">
        <f t="array" ref="Q124">INDEX('raw-sheet'!$A$2:$ZZ$1000, ROW(Q123), MATCH(Q$1, 'raw-sheet'!$A$1:$ZZ$1, 0))</f>
        <v>website</v>
      </c>
      <c r="R124" s="28" t="str">
        <f t="array" ref="R124">INDEX('raw-sheet'!$A$2:$ZZ$1000, ROW(R123), MATCH(R$1, 'raw-sheet'!$A$1:$ZZ$1, 0))</f>
        <v>INNISFREE Taiwan</v>
      </c>
      <c r="S124" s="28" t="str">
        <f t="array" ref="S124">INDEX('raw-sheet'!$A$2:$ZZ$1000, ROW(S123), MATCH(S$1, 'raw-sheet'!$A$1:$ZZ$1, 0))</f>
        <v>http://innisfree-taiwan.myshopify.com/cdn/shop/files/logo.png?v=1767594135</v>
      </c>
      <c r="T124" s="28" t="str">
        <f t="array" ref="T124">INDEX('raw-sheet'!$A$2:$ZZ$1000, ROW(T123), MATCH(T$1, 'raw-sheet'!$A$1:$ZZ$1, 0))</f>
        <v>https://innisfree-taiwan.myshopify.com/cdn/shop/files/logo.png?v=1767594135</v>
      </c>
      <c r="U124" s="28" t="str">
        <f t="array" ref="U124">INDEX('raw-sheet'!$A$2:$ZZ$1000, ROW(U123), MATCH(U$1, 'raw-sheet'!$A$1:$ZZ$1, 0))</f>
        <v>https://innisfree-taiwan.myshopify.com/collections/facial-care?page=3</v>
      </c>
      <c r="V124" s="28" t="str">
        <f t="array" ref="V124">INDEX('raw-sheet'!$A$2:$ZZ$1000, ROW(V123), MATCH(V$1, 'raw-sheet'!$A$1:$ZZ$1, 0))</f>
        <v>臉部保養 | INNISFREE Taiwan</v>
      </c>
      <c r="W124" s="28" t="str">
        <f t="array" ref="W124">INDEX('raw-sheet'!$A$2:$ZZ$1000, ROW(W123),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4" s="28" t="str">
        <f t="array" ref="X124">INDEX('raw-sheet'!$A$2:$ZZ$1000, ROW(X123), MATCH(X$1, 'raw-sheet'!$A$1:$ZZ$1, 0))</f>
        <v>summary_large_image</v>
      </c>
      <c r="Y124" s="30" t="s">
        <v>62</v>
      </c>
      <c r="Z124" s="28" t="str">
        <f>VLOOKUP($A124,'raw-schema'!$A:$R,14,0)</f>
        <v>Organization</v>
      </c>
      <c r="AA124" s="28">
        <f>VLOOKUP($A124,'raw-schema'!$A:$R,15,0)</f>
        <v>0</v>
      </c>
      <c r="AB124" s="28">
        <f>VLOOKUP($A124,'raw-schema'!$A:$R,16,0)</f>
        <v>0</v>
      </c>
      <c r="AC124" s="28">
        <f>VLOOKUP($A124,'raw-schema'!$A:$R,17,0)</f>
        <v>0</v>
      </c>
      <c r="AD124" s="28">
        <f>VLOOKUP($A124,'raw-schema'!$A:$R,18,0)</f>
        <v>0</v>
      </c>
      <c r="AE124" s="30" t="s">
        <v>66</v>
      </c>
      <c r="AF124" t="s">
        <v>65</v>
      </c>
    </row>
    <row r="125" spans="1:32" x14ac:dyDescent="0.3">
      <c r="A125" s="28" t="str">
        <f t="array" ref="A125">INDEX('raw-sheet'!$A$2:$ZZ$1000, ROW(A124), MATCH(A$1, 'raw-sheet'!$A$1:$ZZ$1, 0))</f>
        <v>https://innisfree-taiwan.myshopify.com/collections/facial-care?page=4</v>
      </c>
      <c r="B125" s="30" t="s">
        <v>11</v>
      </c>
      <c r="C125" s="28" t="str">
        <f t="array" ref="C125">INDEX('raw-sheet'!$A$2:$ZZ$1000, ROW(C124), MATCH(C$1, 'raw-sheet'!$A$1:$ZZ$1, 0))</f>
        <v>Product List</v>
      </c>
      <c r="D125" s="28">
        <f t="array" ref="D125">INDEX('raw-sheet'!$A$2:$ZZ$1000, ROW(D124), MATCH(D$1, 'raw-sheet'!$A$1:$ZZ$1, 0))</f>
        <v>200</v>
      </c>
      <c r="E125" s="30" t="str">
        <f t="shared" si="2"/>
        <v>Pass</v>
      </c>
      <c r="F125" s="28" t="str">
        <f t="array" ref="F125">INDEX('raw-sheet'!$A$2:$ZZ$1000, ROW(F124), MATCH(F$1, 'raw-sheet'!$A$1:$ZZ$1, 0))</f>
        <v>臉部保養_x000D_ – Page 4 | INNISFREE Taiwan</v>
      </c>
      <c r="G125" s="30" t="s">
        <v>11</v>
      </c>
      <c r="H125" s="28">
        <f t="array" ref="H125">INDEX('raw-sheet'!$A$2:$ZZ$1000, ROW(H124), MATCH(H$1, 'raw-sheet'!$A$1:$ZZ$1, 0))</f>
        <v>0</v>
      </c>
      <c r="I125" s="30" t="s">
        <v>61</v>
      </c>
      <c r="J125" s="28" t="str">
        <f t="array" ref="J125">INDEX('raw-sheet'!$A$2:$ZZ$1000, ROW(J124), MATCH(J$1, 'raw-sheet'!$A$1:$ZZ$1, 0))</f>
        <v>臉部保養</v>
      </c>
      <c r="K125" s="28" t="str">
        <f t="array" ref="K125">INDEX('raw-sheet'!$A$2:$ZZ$1000, ROW(K124), MATCH(K$1, 'raw-sheet'!$A$1:$ZZ$1, 0))</f>
        <v>1</v>
      </c>
      <c r="L125" s="30" t="s">
        <v>60</v>
      </c>
      <c r="M125" s="28" t="str">
        <f t="array" ref="M125">INDEX('raw-sheet'!$A$2:$ZZ$1000, ROW(M124), MATCH(M$1, 'raw-sheet'!$A$1:$ZZ$1, 0))</f>
        <v>https://innisfree-taiwan.myshopify.com/collections/facial-care?page=4</v>
      </c>
      <c r="N125" s="30" t="str">
        <f t="shared" si="3"/>
        <v>Pass</v>
      </c>
      <c r="O125" s="28" t="str">
        <f t="array" ref="O125">INDEX('raw-sheet'!$A$2:$ZZ$1000, ROW(O124), MATCH(O$1, 'raw-sheet'!$A$1:$ZZ$1, 0))</f>
        <v>臉部保養 | INNISFREE Taiwan</v>
      </c>
      <c r="P125" s="28" t="str">
        <f t="array" ref="P125">INDEX('raw-sheet'!$A$2:$ZZ$1000, ROW(P124),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5" s="28" t="str">
        <f t="array" ref="Q125">INDEX('raw-sheet'!$A$2:$ZZ$1000, ROW(Q124), MATCH(Q$1, 'raw-sheet'!$A$1:$ZZ$1, 0))</f>
        <v>website</v>
      </c>
      <c r="R125" s="28" t="str">
        <f t="array" ref="R125">INDEX('raw-sheet'!$A$2:$ZZ$1000, ROW(R124), MATCH(R$1, 'raw-sheet'!$A$1:$ZZ$1, 0))</f>
        <v>INNISFREE Taiwan</v>
      </c>
      <c r="S125" s="28" t="str">
        <f t="array" ref="S125">INDEX('raw-sheet'!$A$2:$ZZ$1000, ROW(S124), MATCH(S$1, 'raw-sheet'!$A$1:$ZZ$1, 0))</f>
        <v>http://innisfree-taiwan.myshopify.com/cdn/shop/files/logo.png?v=1767594135</v>
      </c>
      <c r="T125" s="28" t="str">
        <f t="array" ref="T125">INDEX('raw-sheet'!$A$2:$ZZ$1000, ROW(T124), MATCH(T$1, 'raw-sheet'!$A$1:$ZZ$1, 0))</f>
        <v>https://innisfree-taiwan.myshopify.com/cdn/shop/files/logo.png?v=1767594135</v>
      </c>
      <c r="U125" s="28" t="str">
        <f t="array" ref="U125">INDEX('raw-sheet'!$A$2:$ZZ$1000, ROW(U124), MATCH(U$1, 'raw-sheet'!$A$1:$ZZ$1, 0))</f>
        <v>https://innisfree-taiwan.myshopify.com/collections/facial-care?page=4</v>
      </c>
      <c r="V125" s="28" t="str">
        <f t="array" ref="V125">INDEX('raw-sheet'!$A$2:$ZZ$1000, ROW(V124), MATCH(V$1, 'raw-sheet'!$A$1:$ZZ$1, 0))</f>
        <v>臉部保養 | INNISFREE Taiwan</v>
      </c>
      <c r="W125" s="28" t="str">
        <f t="array" ref="W125">INDEX('raw-sheet'!$A$2:$ZZ$1000, ROW(W124),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5" s="28" t="str">
        <f t="array" ref="X125">INDEX('raw-sheet'!$A$2:$ZZ$1000, ROW(X124), MATCH(X$1, 'raw-sheet'!$A$1:$ZZ$1, 0))</f>
        <v>summary_large_image</v>
      </c>
      <c r="Y125" s="30" t="s">
        <v>62</v>
      </c>
      <c r="Z125" s="28" t="str">
        <f>VLOOKUP($A125,'raw-schema'!$A:$R,14,0)</f>
        <v>Organization</v>
      </c>
      <c r="AA125" s="28">
        <f>VLOOKUP($A125,'raw-schema'!$A:$R,15,0)</f>
        <v>0</v>
      </c>
      <c r="AB125" s="28">
        <f>VLOOKUP($A125,'raw-schema'!$A:$R,16,0)</f>
        <v>0</v>
      </c>
      <c r="AC125" s="28">
        <f>VLOOKUP($A125,'raw-schema'!$A:$R,17,0)</f>
        <v>0</v>
      </c>
      <c r="AD125" s="28">
        <f>VLOOKUP($A125,'raw-schema'!$A:$R,18,0)</f>
        <v>0</v>
      </c>
      <c r="AE125" s="30" t="s">
        <v>66</v>
      </c>
      <c r="AF125" t="s">
        <v>65</v>
      </c>
    </row>
    <row r="126" spans="1:32" x14ac:dyDescent="0.3">
      <c r="A126" s="28" t="str">
        <f t="array" ref="A126">INDEX('raw-sheet'!$A$2:$ZZ$1000, ROW(A125), MATCH(A$1, 'raw-sheet'!$A$1:$ZZ$1, 0))</f>
        <v>https://innisfree-taiwan.myshopify.com/collections/facial-care?page=5</v>
      </c>
      <c r="B126" s="30" t="s">
        <v>11</v>
      </c>
      <c r="C126" s="28" t="str">
        <f t="array" ref="C126">INDEX('raw-sheet'!$A$2:$ZZ$1000, ROW(C125), MATCH(C$1, 'raw-sheet'!$A$1:$ZZ$1, 0))</f>
        <v>Product List</v>
      </c>
      <c r="D126" s="28">
        <f t="array" ref="D126">INDEX('raw-sheet'!$A$2:$ZZ$1000, ROW(D125), MATCH(D$1, 'raw-sheet'!$A$1:$ZZ$1, 0))</f>
        <v>200</v>
      </c>
      <c r="E126" s="30" t="str">
        <f t="shared" si="2"/>
        <v>Pass</v>
      </c>
      <c r="F126" s="28" t="str">
        <f t="array" ref="F126">INDEX('raw-sheet'!$A$2:$ZZ$1000, ROW(F125), MATCH(F$1, 'raw-sheet'!$A$1:$ZZ$1, 0))</f>
        <v>臉部保養_x000D_ – Page 5 | INNISFREE Taiwan</v>
      </c>
      <c r="G126" s="30" t="s">
        <v>11</v>
      </c>
      <c r="H126" s="28">
        <f t="array" ref="H126">INDEX('raw-sheet'!$A$2:$ZZ$1000, ROW(H125), MATCH(H$1, 'raw-sheet'!$A$1:$ZZ$1, 0))</f>
        <v>0</v>
      </c>
      <c r="I126" s="30" t="s">
        <v>61</v>
      </c>
      <c r="J126" s="28" t="str">
        <f t="array" ref="J126">INDEX('raw-sheet'!$A$2:$ZZ$1000, ROW(J125), MATCH(J$1, 'raw-sheet'!$A$1:$ZZ$1, 0))</f>
        <v>臉部保養</v>
      </c>
      <c r="K126" s="28" t="str">
        <f t="array" ref="K126">INDEX('raw-sheet'!$A$2:$ZZ$1000, ROW(K125), MATCH(K$1, 'raw-sheet'!$A$1:$ZZ$1, 0))</f>
        <v>1</v>
      </c>
      <c r="L126" s="30" t="s">
        <v>60</v>
      </c>
      <c r="M126" s="28" t="str">
        <f t="array" ref="M126">INDEX('raw-sheet'!$A$2:$ZZ$1000, ROW(M125), MATCH(M$1, 'raw-sheet'!$A$1:$ZZ$1, 0))</f>
        <v>https://innisfree-taiwan.myshopify.com/collections/facial-care?page=5</v>
      </c>
      <c r="N126" s="30" t="str">
        <f t="shared" si="3"/>
        <v>Pass</v>
      </c>
      <c r="O126" s="28" t="str">
        <f t="array" ref="O126">INDEX('raw-sheet'!$A$2:$ZZ$1000, ROW(O125), MATCH(O$1, 'raw-sheet'!$A$1:$ZZ$1, 0))</f>
        <v>臉部保養 | INNISFREE Taiwan</v>
      </c>
      <c r="P126" s="28" t="str">
        <f t="array" ref="P126">INDEX('raw-sheet'!$A$2:$ZZ$1000, ROW(P125),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6" s="28" t="str">
        <f t="array" ref="Q126">INDEX('raw-sheet'!$A$2:$ZZ$1000, ROW(Q125), MATCH(Q$1, 'raw-sheet'!$A$1:$ZZ$1, 0))</f>
        <v>website</v>
      </c>
      <c r="R126" s="28" t="str">
        <f t="array" ref="R126">INDEX('raw-sheet'!$A$2:$ZZ$1000, ROW(R125), MATCH(R$1, 'raw-sheet'!$A$1:$ZZ$1, 0))</f>
        <v>INNISFREE Taiwan</v>
      </c>
      <c r="S126" s="28" t="str">
        <f t="array" ref="S126">INDEX('raw-sheet'!$A$2:$ZZ$1000, ROW(S125), MATCH(S$1, 'raw-sheet'!$A$1:$ZZ$1, 0))</f>
        <v>http://innisfree-taiwan.myshopify.com/cdn/shop/files/logo.png?v=1767594135</v>
      </c>
      <c r="T126" s="28" t="str">
        <f t="array" ref="T126">INDEX('raw-sheet'!$A$2:$ZZ$1000, ROW(T125), MATCH(T$1, 'raw-sheet'!$A$1:$ZZ$1, 0))</f>
        <v>https://innisfree-taiwan.myshopify.com/cdn/shop/files/logo.png?v=1767594135</v>
      </c>
      <c r="U126" s="28" t="str">
        <f t="array" ref="U126">INDEX('raw-sheet'!$A$2:$ZZ$1000, ROW(U125), MATCH(U$1, 'raw-sheet'!$A$1:$ZZ$1, 0))</f>
        <v>https://innisfree-taiwan.myshopify.com/collections/facial-care?page=5</v>
      </c>
      <c r="V126" s="28" t="str">
        <f t="array" ref="V126">INDEX('raw-sheet'!$A$2:$ZZ$1000, ROW(V125), MATCH(V$1, 'raw-sheet'!$A$1:$ZZ$1, 0))</f>
        <v>臉部保養 | INNISFREE Taiwan</v>
      </c>
      <c r="W126" s="28" t="str">
        <f t="array" ref="W126">INDEX('raw-sheet'!$A$2:$ZZ$1000, ROW(W125),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6" s="28" t="str">
        <f t="array" ref="X126">INDEX('raw-sheet'!$A$2:$ZZ$1000, ROW(X125), MATCH(X$1, 'raw-sheet'!$A$1:$ZZ$1, 0))</f>
        <v>summary_large_image</v>
      </c>
      <c r="Y126" s="30" t="s">
        <v>62</v>
      </c>
      <c r="Z126" s="28" t="str">
        <f>VLOOKUP($A126,'raw-schema'!$A:$R,14,0)</f>
        <v>Organization</v>
      </c>
      <c r="AA126" s="28">
        <f>VLOOKUP($A126,'raw-schema'!$A:$R,15,0)</f>
        <v>0</v>
      </c>
      <c r="AB126" s="28">
        <f>VLOOKUP($A126,'raw-schema'!$A:$R,16,0)</f>
        <v>0</v>
      </c>
      <c r="AC126" s="28">
        <f>VLOOKUP($A126,'raw-schema'!$A:$R,17,0)</f>
        <v>0</v>
      </c>
      <c r="AD126" s="28">
        <f>VLOOKUP($A126,'raw-schema'!$A:$R,18,0)</f>
        <v>0</v>
      </c>
      <c r="AE126" s="30" t="s">
        <v>66</v>
      </c>
      <c r="AF126" t="s">
        <v>65</v>
      </c>
    </row>
    <row r="127" spans="1:32" x14ac:dyDescent="0.3">
      <c r="A127" s="28" t="str">
        <f t="array" ref="A127">INDEX('raw-sheet'!$A$2:$ZZ$1000, ROW(A126), MATCH(A$1, 'raw-sheet'!$A$1:$ZZ$1, 0))</f>
        <v>https://innisfree-taiwan.myshopify.com/collections/facial-care?page=6</v>
      </c>
      <c r="B127" s="30" t="s">
        <v>11</v>
      </c>
      <c r="C127" s="28" t="str">
        <f t="array" ref="C127">INDEX('raw-sheet'!$A$2:$ZZ$1000, ROW(C126), MATCH(C$1, 'raw-sheet'!$A$1:$ZZ$1, 0))</f>
        <v>Product List</v>
      </c>
      <c r="D127" s="28">
        <f t="array" ref="D127">INDEX('raw-sheet'!$A$2:$ZZ$1000, ROW(D126), MATCH(D$1, 'raw-sheet'!$A$1:$ZZ$1, 0))</f>
        <v>200</v>
      </c>
      <c r="E127" s="30" t="str">
        <f t="shared" si="2"/>
        <v>Pass</v>
      </c>
      <c r="F127" s="28" t="str">
        <f t="array" ref="F127">INDEX('raw-sheet'!$A$2:$ZZ$1000, ROW(F126), MATCH(F$1, 'raw-sheet'!$A$1:$ZZ$1, 0))</f>
        <v>臉部保養_x000D_ – Page 6 | INNISFREE Taiwan</v>
      </c>
      <c r="G127" s="30" t="s">
        <v>11</v>
      </c>
      <c r="H127" s="28">
        <f t="array" ref="H127">INDEX('raw-sheet'!$A$2:$ZZ$1000, ROW(H126), MATCH(H$1, 'raw-sheet'!$A$1:$ZZ$1, 0))</f>
        <v>0</v>
      </c>
      <c r="I127" s="30" t="s">
        <v>61</v>
      </c>
      <c r="J127" s="28" t="str">
        <f t="array" ref="J127">INDEX('raw-sheet'!$A$2:$ZZ$1000, ROW(J126), MATCH(J$1, 'raw-sheet'!$A$1:$ZZ$1, 0))</f>
        <v>臉部保養</v>
      </c>
      <c r="K127" s="28" t="str">
        <f t="array" ref="K127">INDEX('raw-sheet'!$A$2:$ZZ$1000, ROW(K126), MATCH(K$1, 'raw-sheet'!$A$1:$ZZ$1, 0))</f>
        <v>1</v>
      </c>
      <c r="L127" s="30" t="s">
        <v>60</v>
      </c>
      <c r="M127" s="28" t="str">
        <f t="array" ref="M127">INDEX('raw-sheet'!$A$2:$ZZ$1000, ROW(M126), MATCH(M$1, 'raw-sheet'!$A$1:$ZZ$1, 0))</f>
        <v>https://innisfree-taiwan.myshopify.com/collections/facial-care?page=6</v>
      </c>
      <c r="N127" s="30" t="str">
        <f t="shared" si="3"/>
        <v>Pass</v>
      </c>
      <c r="O127" s="28" t="str">
        <f t="array" ref="O127">INDEX('raw-sheet'!$A$2:$ZZ$1000, ROW(O126), MATCH(O$1, 'raw-sheet'!$A$1:$ZZ$1, 0))</f>
        <v>臉部保養 | INNISFREE Taiwan</v>
      </c>
      <c r="P127" s="28" t="str">
        <f t="array" ref="P127">INDEX('raw-sheet'!$A$2:$ZZ$1000, ROW(P126),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7" s="28" t="str">
        <f t="array" ref="Q127">INDEX('raw-sheet'!$A$2:$ZZ$1000, ROW(Q126), MATCH(Q$1, 'raw-sheet'!$A$1:$ZZ$1, 0))</f>
        <v>website</v>
      </c>
      <c r="R127" s="28" t="str">
        <f t="array" ref="R127">INDEX('raw-sheet'!$A$2:$ZZ$1000, ROW(R126), MATCH(R$1, 'raw-sheet'!$A$1:$ZZ$1, 0))</f>
        <v>INNISFREE Taiwan</v>
      </c>
      <c r="S127" s="28" t="str">
        <f t="array" ref="S127">INDEX('raw-sheet'!$A$2:$ZZ$1000, ROW(S126), MATCH(S$1, 'raw-sheet'!$A$1:$ZZ$1, 0))</f>
        <v>http://innisfree-taiwan.myshopify.com/cdn/shop/files/logo.png?v=1767594135</v>
      </c>
      <c r="T127" s="28" t="str">
        <f t="array" ref="T127">INDEX('raw-sheet'!$A$2:$ZZ$1000, ROW(T126), MATCH(T$1, 'raw-sheet'!$A$1:$ZZ$1, 0))</f>
        <v>https://innisfree-taiwan.myshopify.com/cdn/shop/files/logo.png?v=1767594135</v>
      </c>
      <c r="U127" s="28" t="str">
        <f t="array" ref="U127">INDEX('raw-sheet'!$A$2:$ZZ$1000, ROW(U126), MATCH(U$1, 'raw-sheet'!$A$1:$ZZ$1, 0))</f>
        <v>https://innisfree-taiwan.myshopify.com/collections/facial-care?page=6</v>
      </c>
      <c r="V127" s="28" t="str">
        <f t="array" ref="V127">INDEX('raw-sheet'!$A$2:$ZZ$1000, ROW(V126), MATCH(V$1, 'raw-sheet'!$A$1:$ZZ$1, 0))</f>
        <v>臉部保養 | INNISFREE Taiwan</v>
      </c>
      <c r="W127" s="28" t="str">
        <f t="array" ref="W127">INDEX('raw-sheet'!$A$2:$ZZ$1000, ROW(W126),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7" s="28" t="str">
        <f t="array" ref="X127">INDEX('raw-sheet'!$A$2:$ZZ$1000, ROW(X126), MATCH(X$1, 'raw-sheet'!$A$1:$ZZ$1, 0))</f>
        <v>summary_large_image</v>
      </c>
      <c r="Y127" s="30" t="s">
        <v>62</v>
      </c>
      <c r="Z127" s="28" t="str">
        <f>VLOOKUP($A127,'raw-schema'!$A:$R,14,0)</f>
        <v>Organization</v>
      </c>
      <c r="AA127" s="28">
        <f>VLOOKUP($A127,'raw-schema'!$A:$R,15,0)</f>
        <v>0</v>
      </c>
      <c r="AB127" s="28">
        <f>VLOOKUP($A127,'raw-schema'!$A:$R,16,0)</f>
        <v>0</v>
      </c>
      <c r="AC127" s="28">
        <f>VLOOKUP($A127,'raw-schema'!$A:$R,17,0)</f>
        <v>0</v>
      </c>
      <c r="AD127" s="28">
        <f>VLOOKUP($A127,'raw-schema'!$A:$R,18,0)</f>
        <v>0</v>
      </c>
      <c r="AE127" s="30" t="s">
        <v>66</v>
      </c>
      <c r="AF127" t="s">
        <v>65</v>
      </c>
    </row>
    <row r="128" spans="1:32" x14ac:dyDescent="0.3">
      <c r="A128" s="28" t="str">
        <f t="array" ref="A128">INDEX('raw-sheet'!$A$2:$ZZ$1000, ROW(A127), MATCH(A$1, 'raw-sheet'!$A$1:$ZZ$1, 0))</f>
        <v>https://innisfree-taiwan.myshopify.com/collections/facial-care?page=7</v>
      </c>
      <c r="B128" s="30" t="s">
        <v>11</v>
      </c>
      <c r="C128" s="28" t="str">
        <f t="array" ref="C128">INDEX('raw-sheet'!$A$2:$ZZ$1000, ROW(C127), MATCH(C$1, 'raw-sheet'!$A$1:$ZZ$1, 0))</f>
        <v>Product List</v>
      </c>
      <c r="D128" s="28">
        <f t="array" ref="D128">INDEX('raw-sheet'!$A$2:$ZZ$1000, ROW(D127), MATCH(D$1, 'raw-sheet'!$A$1:$ZZ$1, 0))</f>
        <v>200</v>
      </c>
      <c r="E128" s="30" t="str">
        <f t="shared" si="2"/>
        <v>Pass</v>
      </c>
      <c r="F128" s="28" t="str">
        <f t="array" ref="F128">INDEX('raw-sheet'!$A$2:$ZZ$1000, ROW(F127), MATCH(F$1, 'raw-sheet'!$A$1:$ZZ$1, 0))</f>
        <v>臉部保養_x000D_ – Page 7 | INNISFREE Taiwan</v>
      </c>
      <c r="G128" s="30" t="s">
        <v>11</v>
      </c>
      <c r="H128" s="28">
        <f t="array" ref="H128">INDEX('raw-sheet'!$A$2:$ZZ$1000, ROW(H127), MATCH(H$1, 'raw-sheet'!$A$1:$ZZ$1, 0))</f>
        <v>0</v>
      </c>
      <c r="I128" s="30" t="s">
        <v>61</v>
      </c>
      <c r="J128" s="28" t="str">
        <f t="array" ref="J128">INDEX('raw-sheet'!$A$2:$ZZ$1000, ROW(J127), MATCH(J$1, 'raw-sheet'!$A$1:$ZZ$1, 0))</f>
        <v>臉部保養</v>
      </c>
      <c r="K128" s="28" t="str">
        <f t="array" ref="K128">INDEX('raw-sheet'!$A$2:$ZZ$1000, ROW(K127), MATCH(K$1, 'raw-sheet'!$A$1:$ZZ$1, 0))</f>
        <v>1</v>
      </c>
      <c r="L128" s="30" t="s">
        <v>60</v>
      </c>
      <c r="M128" s="28" t="str">
        <f t="array" ref="M128">INDEX('raw-sheet'!$A$2:$ZZ$1000, ROW(M127), MATCH(M$1, 'raw-sheet'!$A$1:$ZZ$1, 0))</f>
        <v>https://innisfree-taiwan.myshopify.com/collections/facial-care?page=7</v>
      </c>
      <c r="N128" s="30" t="str">
        <f t="shared" si="3"/>
        <v>Pass</v>
      </c>
      <c r="O128" s="28" t="str">
        <f t="array" ref="O128">INDEX('raw-sheet'!$A$2:$ZZ$1000, ROW(O127), MATCH(O$1, 'raw-sheet'!$A$1:$ZZ$1, 0))</f>
        <v>臉部保養 | INNISFREE Taiwan</v>
      </c>
      <c r="P128" s="28" t="str">
        <f t="array" ref="P128">INDEX('raw-sheet'!$A$2:$ZZ$1000, ROW(P127),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8" s="28" t="str">
        <f t="array" ref="Q128">INDEX('raw-sheet'!$A$2:$ZZ$1000, ROW(Q127), MATCH(Q$1, 'raw-sheet'!$A$1:$ZZ$1, 0))</f>
        <v>website</v>
      </c>
      <c r="R128" s="28" t="str">
        <f t="array" ref="R128">INDEX('raw-sheet'!$A$2:$ZZ$1000, ROW(R127), MATCH(R$1, 'raw-sheet'!$A$1:$ZZ$1, 0))</f>
        <v>INNISFREE Taiwan</v>
      </c>
      <c r="S128" s="28" t="str">
        <f t="array" ref="S128">INDEX('raw-sheet'!$A$2:$ZZ$1000, ROW(S127), MATCH(S$1, 'raw-sheet'!$A$1:$ZZ$1, 0))</f>
        <v>http://innisfree-taiwan.myshopify.com/cdn/shop/files/logo.png?v=1767594135</v>
      </c>
      <c r="T128" s="28" t="str">
        <f t="array" ref="T128">INDEX('raw-sheet'!$A$2:$ZZ$1000, ROW(T127), MATCH(T$1, 'raw-sheet'!$A$1:$ZZ$1, 0))</f>
        <v>https://innisfree-taiwan.myshopify.com/cdn/shop/files/logo.png?v=1767594135</v>
      </c>
      <c r="U128" s="28" t="str">
        <f t="array" ref="U128">INDEX('raw-sheet'!$A$2:$ZZ$1000, ROW(U127), MATCH(U$1, 'raw-sheet'!$A$1:$ZZ$1, 0))</f>
        <v>https://innisfree-taiwan.myshopify.com/collections/facial-care?page=7</v>
      </c>
      <c r="V128" s="28" t="str">
        <f t="array" ref="V128">INDEX('raw-sheet'!$A$2:$ZZ$1000, ROW(V127), MATCH(V$1, 'raw-sheet'!$A$1:$ZZ$1, 0))</f>
        <v>臉部保養 | INNISFREE Taiwan</v>
      </c>
      <c r="W128" s="28" t="str">
        <f t="array" ref="W128">INDEX('raw-sheet'!$A$2:$ZZ$1000, ROW(W127),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8" s="28" t="str">
        <f t="array" ref="X128">INDEX('raw-sheet'!$A$2:$ZZ$1000, ROW(X127), MATCH(X$1, 'raw-sheet'!$A$1:$ZZ$1, 0))</f>
        <v>summary_large_image</v>
      </c>
      <c r="Y128" s="30" t="s">
        <v>62</v>
      </c>
      <c r="Z128" s="28" t="str">
        <f>VLOOKUP($A128,'raw-schema'!$A:$R,14,0)</f>
        <v>Organization</v>
      </c>
      <c r="AA128" s="28">
        <f>VLOOKUP($A128,'raw-schema'!$A:$R,15,0)</f>
        <v>0</v>
      </c>
      <c r="AB128" s="28">
        <f>VLOOKUP($A128,'raw-schema'!$A:$R,16,0)</f>
        <v>0</v>
      </c>
      <c r="AC128" s="28">
        <f>VLOOKUP($A128,'raw-schema'!$A:$R,17,0)</f>
        <v>0</v>
      </c>
      <c r="AD128" s="28">
        <f>VLOOKUP($A128,'raw-schema'!$A:$R,18,0)</f>
        <v>0</v>
      </c>
      <c r="AE128" s="30" t="s">
        <v>66</v>
      </c>
      <c r="AF128" t="s">
        <v>65</v>
      </c>
    </row>
    <row r="129" spans="1:32" x14ac:dyDescent="0.3">
      <c r="A129" s="28" t="str">
        <f t="array" ref="A129">INDEX('raw-sheet'!$A$2:$ZZ$1000, ROW(A128), MATCH(A$1, 'raw-sheet'!$A$1:$ZZ$1, 0))</f>
        <v>https://innisfree-taiwan.myshopify.com/collections/facial-care?page=8</v>
      </c>
      <c r="B129" s="30" t="s">
        <v>11</v>
      </c>
      <c r="C129" s="28" t="str">
        <f t="array" ref="C129">INDEX('raw-sheet'!$A$2:$ZZ$1000, ROW(C128), MATCH(C$1, 'raw-sheet'!$A$1:$ZZ$1, 0))</f>
        <v>Product List</v>
      </c>
      <c r="D129" s="28">
        <f t="array" ref="D129">INDEX('raw-sheet'!$A$2:$ZZ$1000, ROW(D128), MATCH(D$1, 'raw-sheet'!$A$1:$ZZ$1, 0))</f>
        <v>200</v>
      </c>
      <c r="E129" s="30" t="str">
        <f t="shared" si="2"/>
        <v>Pass</v>
      </c>
      <c r="F129" s="28" t="str">
        <f t="array" ref="F129">INDEX('raw-sheet'!$A$2:$ZZ$1000, ROW(F128), MATCH(F$1, 'raw-sheet'!$A$1:$ZZ$1, 0))</f>
        <v>臉部保養_x000D_ – Page 8 | INNISFREE Taiwan</v>
      </c>
      <c r="G129" s="30" t="s">
        <v>11</v>
      </c>
      <c r="H129" s="28">
        <f t="array" ref="H129">INDEX('raw-sheet'!$A$2:$ZZ$1000, ROW(H128), MATCH(H$1, 'raw-sheet'!$A$1:$ZZ$1, 0))</f>
        <v>0</v>
      </c>
      <c r="I129" s="30" t="s">
        <v>61</v>
      </c>
      <c r="J129" s="28" t="str">
        <f t="array" ref="J129">INDEX('raw-sheet'!$A$2:$ZZ$1000, ROW(J128), MATCH(J$1, 'raw-sheet'!$A$1:$ZZ$1, 0))</f>
        <v>臉部保養</v>
      </c>
      <c r="K129" s="28" t="str">
        <f t="array" ref="K129">INDEX('raw-sheet'!$A$2:$ZZ$1000, ROW(K128), MATCH(K$1, 'raw-sheet'!$A$1:$ZZ$1, 0))</f>
        <v>1</v>
      </c>
      <c r="L129" s="30" t="s">
        <v>60</v>
      </c>
      <c r="M129" s="28" t="str">
        <f t="array" ref="M129">INDEX('raw-sheet'!$A$2:$ZZ$1000, ROW(M128), MATCH(M$1, 'raw-sheet'!$A$1:$ZZ$1, 0))</f>
        <v>https://innisfree-taiwan.myshopify.com/collections/facial-care?page=8</v>
      </c>
      <c r="N129" s="30" t="str">
        <f t="shared" si="3"/>
        <v>Pass</v>
      </c>
      <c r="O129" s="28" t="str">
        <f t="array" ref="O129">INDEX('raw-sheet'!$A$2:$ZZ$1000, ROW(O128), MATCH(O$1, 'raw-sheet'!$A$1:$ZZ$1, 0))</f>
        <v>臉部保養 | INNISFREE Taiwan</v>
      </c>
      <c r="P129" s="28" t="str">
        <f t="array" ref="P129">INDEX('raw-sheet'!$A$2:$ZZ$1000, ROW(P128),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29" s="28" t="str">
        <f t="array" ref="Q129">INDEX('raw-sheet'!$A$2:$ZZ$1000, ROW(Q128), MATCH(Q$1, 'raw-sheet'!$A$1:$ZZ$1, 0))</f>
        <v>website</v>
      </c>
      <c r="R129" s="28" t="str">
        <f t="array" ref="R129">INDEX('raw-sheet'!$A$2:$ZZ$1000, ROW(R128), MATCH(R$1, 'raw-sheet'!$A$1:$ZZ$1, 0))</f>
        <v>INNISFREE Taiwan</v>
      </c>
      <c r="S129" s="28" t="str">
        <f t="array" ref="S129">INDEX('raw-sheet'!$A$2:$ZZ$1000, ROW(S128), MATCH(S$1, 'raw-sheet'!$A$1:$ZZ$1, 0))</f>
        <v>http://innisfree-taiwan.myshopify.com/cdn/shop/files/logo.png?v=1767594135</v>
      </c>
      <c r="T129" s="28" t="str">
        <f t="array" ref="T129">INDEX('raw-sheet'!$A$2:$ZZ$1000, ROW(T128), MATCH(T$1, 'raw-sheet'!$A$1:$ZZ$1, 0))</f>
        <v>https://innisfree-taiwan.myshopify.com/cdn/shop/files/logo.png?v=1767594135</v>
      </c>
      <c r="U129" s="28" t="str">
        <f t="array" ref="U129">INDEX('raw-sheet'!$A$2:$ZZ$1000, ROW(U128), MATCH(U$1, 'raw-sheet'!$A$1:$ZZ$1, 0))</f>
        <v>https://innisfree-taiwan.myshopify.com/collections/facial-care?page=8</v>
      </c>
      <c r="V129" s="28" t="str">
        <f t="array" ref="V129">INDEX('raw-sheet'!$A$2:$ZZ$1000, ROW(V128), MATCH(V$1, 'raw-sheet'!$A$1:$ZZ$1, 0))</f>
        <v>臉部保養 | INNISFREE Taiwan</v>
      </c>
      <c r="W129" s="28" t="str">
        <f t="array" ref="W129">INDEX('raw-sheet'!$A$2:$ZZ$1000, ROW(W128),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29" s="28" t="str">
        <f t="array" ref="X129">INDEX('raw-sheet'!$A$2:$ZZ$1000, ROW(X128), MATCH(X$1, 'raw-sheet'!$A$1:$ZZ$1, 0))</f>
        <v>summary_large_image</v>
      </c>
      <c r="Y129" s="30" t="s">
        <v>62</v>
      </c>
      <c r="Z129" s="28" t="str">
        <f>VLOOKUP($A129,'raw-schema'!$A:$R,14,0)</f>
        <v>Organization</v>
      </c>
      <c r="AA129" s="28">
        <f>VLOOKUP($A129,'raw-schema'!$A:$R,15,0)</f>
        <v>0</v>
      </c>
      <c r="AB129" s="28">
        <f>VLOOKUP($A129,'raw-schema'!$A:$R,16,0)</f>
        <v>0</v>
      </c>
      <c r="AC129" s="28">
        <f>VLOOKUP($A129,'raw-schema'!$A:$R,17,0)</f>
        <v>0</v>
      </c>
      <c r="AD129" s="28">
        <f>VLOOKUP($A129,'raw-schema'!$A:$R,18,0)</f>
        <v>0</v>
      </c>
      <c r="AE129" s="30" t="s">
        <v>66</v>
      </c>
      <c r="AF129" t="s">
        <v>65</v>
      </c>
    </row>
    <row r="130" spans="1:32" x14ac:dyDescent="0.3">
      <c r="A130" s="28" t="str">
        <f t="array" ref="A130">INDEX('raw-sheet'!$A$2:$ZZ$1000, ROW(A129), MATCH(A$1, 'raw-sheet'!$A$1:$ZZ$1, 0))</f>
        <v>https://innisfree-taiwan.myshopify.com/collections/facial-care?page=9</v>
      </c>
      <c r="B130" s="30" t="s">
        <v>11</v>
      </c>
      <c r="C130" s="28" t="str">
        <f t="array" ref="C130">INDEX('raw-sheet'!$A$2:$ZZ$1000, ROW(C129), MATCH(C$1, 'raw-sheet'!$A$1:$ZZ$1, 0))</f>
        <v>Product List</v>
      </c>
      <c r="D130" s="28">
        <f t="array" ref="D130">INDEX('raw-sheet'!$A$2:$ZZ$1000, ROW(D129), MATCH(D$1, 'raw-sheet'!$A$1:$ZZ$1, 0))</f>
        <v>200</v>
      </c>
      <c r="E130" s="30" t="str">
        <f t="shared" ref="E130:E193" si="4">IF(D130=200,"Pass","Not")</f>
        <v>Pass</v>
      </c>
      <c r="F130" s="28" t="str">
        <f t="array" ref="F130">INDEX('raw-sheet'!$A$2:$ZZ$1000, ROW(F129), MATCH(F$1, 'raw-sheet'!$A$1:$ZZ$1, 0))</f>
        <v>臉部保養_x000D_ – Page 9 | INNISFREE Taiwan</v>
      </c>
      <c r="G130" s="30" t="s">
        <v>11</v>
      </c>
      <c r="H130" s="28">
        <f t="array" ref="H130">INDEX('raw-sheet'!$A$2:$ZZ$1000, ROW(H129), MATCH(H$1, 'raw-sheet'!$A$1:$ZZ$1, 0))</f>
        <v>0</v>
      </c>
      <c r="I130" s="30" t="s">
        <v>61</v>
      </c>
      <c r="J130" s="28" t="str">
        <f t="array" ref="J130">INDEX('raw-sheet'!$A$2:$ZZ$1000, ROW(J129), MATCH(J$1, 'raw-sheet'!$A$1:$ZZ$1, 0))</f>
        <v>臉部保養</v>
      </c>
      <c r="K130" s="28" t="str">
        <f t="array" ref="K130">INDEX('raw-sheet'!$A$2:$ZZ$1000, ROW(K129), MATCH(K$1, 'raw-sheet'!$A$1:$ZZ$1, 0))</f>
        <v>1</v>
      </c>
      <c r="L130" s="30" t="s">
        <v>60</v>
      </c>
      <c r="M130" s="28" t="str">
        <f t="array" ref="M130">INDEX('raw-sheet'!$A$2:$ZZ$1000, ROW(M129), MATCH(M$1, 'raw-sheet'!$A$1:$ZZ$1, 0))</f>
        <v>https://innisfree-taiwan.myshopify.com/collections/facial-care?page=9</v>
      </c>
      <c r="N130" s="30" t="str">
        <f t="shared" ref="N130:N193" si="5">IF(A130=M130,"Pass","Not")</f>
        <v>Pass</v>
      </c>
      <c r="O130" s="28" t="str">
        <f t="array" ref="O130">INDEX('raw-sheet'!$A$2:$ZZ$1000, ROW(O129), MATCH(O$1, 'raw-sheet'!$A$1:$ZZ$1, 0))</f>
        <v>臉部保養 | INNISFREE Taiwan</v>
      </c>
      <c r="P130" s="28" t="str">
        <f t="array" ref="P130">INDEX('raw-sheet'!$A$2:$ZZ$1000, ROW(P129),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0" s="28" t="str">
        <f t="array" ref="Q130">INDEX('raw-sheet'!$A$2:$ZZ$1000, ROW(Q129), MATCH(Q$1, 'raw-sheet'!$A$1:$ZZ$1, 0))</f>
        <v>website</v>
      </c>
      <c r="R130" s="28" t="str">
        <f t="array" ref="R130">INDEX('raw-sheet'!$A$2:$ZZ$1000, ROW(R129), MATCH(R$1, 'raw-sheet'!$A$1:$ZZ$1, 0))</f>
        <v>INNISFREE Taiwan</v>
      </c>
      <c r="S130" s="28" t="str">
        <f t="array" ref="S130">INDEX('raw-sheet'!$A$2:$ZZ$1000, ROW(S129), MATCH(S$1, 'raw-sheet'!$A$1:$ZZ$1, 0))</f>
        <v>http://innisfree-taiwan.myshopify.com/cdn/shop/files/logo.png?v=1767594135</v>
      </c>
      <c r="T130" s="28" t="str">
        <f t="array" ref="T130">INDEX('raw-sheet'!$A$2:$ZZ$1000, ROW(T129), MATCH(T$1, 'raw-sheet'!$A$1:$ZZ$1, 0))</f>
        <v>https://innisfree-taiwan.myshopify.com/cdn/shop/files/logo.png?v=1767594135</v>
      </c>
      <c r="U130" s="28" t="str">
        <f t="array" ref="U130">INDEX('raw-sheet'!$A$2:$ZZ$1000, ROW(U129), MATCH(U$1, 'raw-sheet'!$A$1:$ZZ$1, 0))</f>
        <v>https://innisfree-taiwan.myshopify.com/collections/facial-care?page=9</v>
      </c>
      <c r="V130" s="28" t="str">
        <f t="array" ref="V130">INDEX('raw-sheet'!$A$2:$ZZ$1000, ROW(V129), MATCH(V$1, 'raw-sheet'!$A$1:$ZZ$1, 0))</f>
        <v>臉部保養 | INNISFREE Taiwan</v>
      </c>
      <c r="W130" s="28" t="str">
        <f t="array" ref="W130">INDEX('raw-sheet'!$A$2:$ZZ$1000, ROW(W129),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0" s="28" t="str">
        <f t="array" ref="X130">INDEX('raw-sheet'!$A$2:$ZZ$1000, ROW(X129), MATCH(X$1, 'raw-sheet'!$A$1:$ZZ$1, 0))</f>
        <v>summary_large_image</v>
      </c>
      <c r="Y130" s="30" t="s">
        <v>62</v>
      </c>
      <c r="Z130" s="28" t="str">
        <f>VLOOKUP($A130,'raw-schema'!$A:$R,14,0)</f>
        <v>Organization</v>
      </c>
      <c r="AA130" s="28">
        <f>VLOOKUP($A130,'raw-schema'!$A:$R,15,0)</f>
        <v>0</v>
      </c>
      <c r="AB130" s="28">
        <f>VLOOKUP($A130,'raw-schema'!$A:$R,16,0)</f>
        <v>0</v>
      </c>
      <c r="AC130" s="28">
        <f>VLOOKUP($A130,'raw-schema'!$A:$R,17,0)</f>
        <v>0</v>
      </c>
      <c r="AD130" s="28">
        <f>VLOOKUP($A130,'raw-schema'!$A:$R,18,0)</f>
        <v>0</v>
      </c>
      <c r="AE130" s="30" t="s">
        <v>66</v>
      </c>
      <c r="AF130" t="s">
        <v>65</v>
      </c>
    </row>
    <row r="131" spans="1:32" x14ac:dyDescent="0.3">
      <c r="A131" s="28" t="str">
        <f t="array" ref="A131">INDEX('raw-sheet'!$A$2:$ZZ$1000, ROW(A130), MATCH(A$1, 'raw-sheet'!$A$1:$ZZ$1, 0))</f>
        <v>https://innisfree-taiwan.myshopify.com/collections/facial-cleanser</v>
      </c>
      <c r="B131" s="30" t="s">
        <v>11</v>
      </c>
      <c r="C131" s="28" t="str">
        <f t="array" ref="C131">INDEX('raw-sheet'!$A$2:$ZZ$1000, ROW(C130), MATCH(C$1, 'raw-sheet'!$A$1:$ZZ$1, 0))</f>
        <v>Product List</v>
      </c>
      <c r="D131" s="28">
        <f t="array" ref="D131">INDEX('raw-sheet'!$A$2:$ZZ$1000, ROW(D130), MATCH(D$1, 'raw-sheet'!$A$1:$ZZ$1, 0))</f>
        <v>200</v>
      </c>
      <c r="E131" s="30" t="str">
        <f t="shared" si="4"/>
        <v>Pass</v>
      </c>
      <c r="F131" s="28" t="str">
        <f t="array" ref="F131">INDEX('raw-sheet'!$A$2:$ZZ$1000, ROW(F130), MATCH(F$1, 'raw-sheet'!$A$1:$ZZ$1, 0))</f>
        <v>洗面乳/卸妝_x000D_ | INNISFREE Taiwan</v>
      </c>
      <c r="G131" s="30" t="s">
        <v>11</v>
      </c>
      <c r="H131" s="28">
        <f t="array" ref="H131">INDEX('raw-sheet'!$A$2:$ZZ$1000, ROW(H130), MATCH(H$1, 'raw-sheet'!$A$1:$ZZ$1, 0))</f>
        <v>0</v>
      </c>
      <c r="I131" s="30" t="s">
        <v>61</v>
      </c>
      <c r="J131" s="28" t="str">
        <f t="array" ref="J131">INDEX('raw-sheet'!$A$2:$ZZ$1000, ROW(J130), MATCH(J$1, 'raw-sheet'!$A$1:$ZZ$1, 0))</f>
        <v>洗面乳/卸妝</v>
      </c>
      <c r="K131" s="28" t="str">
        <f t="array" ref="K131">INDEX('raw-sheet'!$A$2:$ZZ$1000, ROW(K130), MATCH(K$1, 'raw-sheet'!$A$1:$ZZ$1, 0))</f>
        <v>1</v>
      </c>
      <c r="L131" s="30" t="s">
        <v>11</v>
      </c>
      <c r="M131" s="28" t="str">
        <f t="array" ref="M131">INDEX('raw-sheet'!$A$2:$ZZ$1000, ROW(M130), MATCH(M$1, 'raw-sheet'!$A$1:$ZZ$1, 0))</f>
        <v>https://innisfree-taiwan.myshopify.com/collections/facial-cleanser</v>
      </c>
      <c r="N131" s="30" t="str">
        <f t="shared" si="5"/>
        <v>Pass</v>
      </c>
      <c r="O131" s="28" t="str">
        <f t="array" ref="O131">INDEX('raw-sheet'!$A$2:$ZZ$1000, ROW(O130), MATCH(O$1, 'raw-sheet'!$A$1:$ZZ$1, 0))</f>
        <v>洗面乳/卸妝 | INNISFREE Taiwan</v>
      </c>
      <c r="P131" s="28" t="str">
        <f t="array" ref="P131">INDEX('raw-sheet'!$A$2:$ZZ$1000, ROW(P130),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1" s="28" t="str">
        <f t="array" ref="Q131">INDEX('raw-sheet'!$A$2:$ZZ$1000, ROW(Q130), MATCH(Q$1, 'raw-sheet'!$A$1:$ZZ$1, 0))</f>
        <v>website</v>
      </c>
      <c r="R131" s="28" t="str">
        <f t="array" ref="R131">INDEX('raw-sheet'!$A$2:$ZZ$1000, ROW(R130), MATCH(R$1, 'raw-sheet'!$A$1:$ZZ$1, 0))</f>
        <v>INNISFREE Taiwan</v>
      </c>
      <c r="S131" s="28" t="str">
        <f t="array" ref="S131">INDEX('raw-sheet'!$A$2:$ZZ$1000, ROW(S130), MATCH(S$1, 'raw-sheet'!$A$1:$ZZ$1, 0))</f>
        <v>http://innisfree-taiwan.myshopify.com/cdn/shop/files/logo.png?v=1767594135</v>
      </c>
      <c r="T131" s="28" t="str">
        <f t="array" ref="T131">INDEX('raw-sheet'!$A$2:$ZZ$1000, ROW(T130), MATCH(T$1, 'raw-sheet'!$A$1:$ZZ$1, 0))</f>
        <v>https://innisfree-taiwan.myshopify.com/cdn/shop/files/logo.png?v=1767594135</v>
      </c>
      <c r="U131" s="28" t="str">
        <f t="array" ref="U131">INDEX('raw-sheet'!$A$2:$ZZ$1000, ROW(U130), MATCH(U$1, 'raw-sheet'!$A$1:$ZZ$1, 0))</f>
        <v>https://innisfree-taiwan.myshopify.com/collections/facial-cleanser</v>
      </c>
      <c r="V131" s="28" t="str">
        <f t="array" ref="V131">INDEX('raw-sheet'!$A$2:$ZZ$1000, ROW(V130), MATCH(V$1, 'raw-sheet'!$A$1:$ZZ$1, 0))</f>
        <v>洗面乳/卸妝 | INNISFREE Taiwan</v>
      </c>
      <c r="W131" s="28" t="str">
        <f t="array" ref="W131">INDEX('raw-sheet'!$A$2:$ZZ$1000, ROW(W130),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1" s="28" t="str">
        <f t="array" ref="X131">INDEX('raw-sheet'!$A$2:$ZZ$1000, ROW(X130), MATCH(X$1, 'raw-sheet'!$A$1:$ZZ$1, 0))</f>
        <v>summary_large_image</v>
      </c>
      <c r="Y131" s="30" t="s">
        <v>56</v>
      </c>
      <c r="Z131" s="28" t="str">
        <f>VLOOKUP($A131,'raw-schema'!$A:$R,14,0)</f>
        <v>Organization</v>
      </c>
      <c r="AA131" s="28">
        <f>VLOOKUP($A131,'raw-schema'!$A:$R,15,0)</f>
        <v>0</v>
      </c>
      <c r="AB131" s="28">
        <f>VLOOKUP($A131,'raw-schema'!$A:$R,16,0)</f>
        <v>0</v>
      </c>
      <c r="AC131" s="28">
        <f>VLOOKUP($A131,'raw-schema'!$A:$R,17,0)</f>
        <v>0</v>
      </c>
      <c r="AD131" s="28">
        <f>VLOOKUP($A131,'raw-schema'!$A:$R,18,0)</f>
        <v>0</v>
      </c>
      <c r="AE131" s="30" t="s">
        <v>66</v>
      </c>
    </row>
    <row r="132" spans="1:32" x14ac:dyDescent="0.3">
      <c r="A132" s="28" t="str">
        <f t="array" ref="A132">INDEX('raw-sheet'!$A$2:$ZZ$1000, ROW(A131), MATCH(A$1, 'raw-sheet'!$A$1:$ZZ$1, 0))</f>
        <v>https://innisfree-taiwan.myshopify.com/collections/facial-mask</v>
      </c>
      <c r="B132" s="30" t="s">
        <v>11</v>
      </c>
      <c r="C132" s="28" t="str">
        <f t="array" ref="C132">INDEX('raw-sheet'!$A$2:$ZZ$1000, ROW(C131), MATCH(C$1, 'raw-sheet'!$A$1:$ZZ$1, 0))</f>
        <v>Product List</v>
      </c>
      <c r="D132" s="28">
        <f t="array" ref="D132">INDEX('raw-sheet'!$A$2:$ZZ$1000, ROW(D131), MATCH(D$1, 'raw-sheet'!$A$1:$ZZ$1, 0))</f>
        <v>200</v>
      </c>
      <c r="E132" s="30" t="str">
        <f t="shared" si="4"/>
        <v>Pass</v>
      </c>
      <c r="F132" s="28" t="str">
        <f t="array" ref="F132">INDEX('raw-sheet'!$A$2:$ZZ$1000, ROW(F131), MATCH(F$1, 'raw-sheet'!$A$1:$ZZ$1, 0))</f>
        <v>面膜_x000D_ | INNISFREE Taiwan</v>
      </c>
      <c r="G132" s="30" t="s">
        <v>11</v>
      </c>
      <c r="H132" s="28">
        <f t="array" ref="H132">INDEX('raw-sheet'!$A$2:$ZZ$1000, ROW(H131), MATCH(H$1, 'raw-sheet'!$A$1:$ZZ$1, 0))</f>
        <v>0</v>
      </c>
      <c r="I132" s="30" t="s">
        <v>61</v>
      </c>
      <c r="J132" s="28" t="str">
        <f t="array" ref="J132">INDEX('raw-sheet'!$A$2:$ZZ$1000, ROW(J131), MATCH(J$1, 'raw-sheet'!$A$1:$ZZ$1, 0))</f>
        <v>面膜</v>
      </c>
      <c r="K132" s="28" t="str">
        <f t="array" ref="K132">INDEX('raw-sheet'!$A$2:$ZZ$1000, ROW(K131), MATCH(K$1, 'raw-sheet'!$A$1:$ZZ$1, 0))</f>
        <v>1</v>
      </c>
      <c r="L132" s="30" t="s">
        <v>11</v>
      </c>
      <c r="M132" s="28" t="str">
        <f t="array" ref="M132">INDEX('raw-sheet'!$A$2:$ZZ$1000, ROW(M131), MATCH(M$1, 'raw-sheet'!$A$1:$ZZ$1, 0))</f>
        <v>https://innisfree-taiwan.myshopify.com/collections/facial-mask</v>
      </c>
      <c r="N132" s="30" t="str">
        <f t="shared" si="5"/>
        <v>Pass</v>
      </c>
      <c r="O132" s="28" t="str">
        <f t="array" ref="O132">INDEX('raw-sheet'!$A$2:$ZZ$1000, ROW(O131), MATCH(O$1, 'raw-sheet'!$A$1:$ZZ$1, 0))</f>
        <v>面膜 | INNISFREE Taiwan</v>
      </c>
      <c r="P132" s="28" t="str">
        <f t="array" ref="P132">INDEX('raw-sheet'!$A$2:$ZZ$1000, ROW(P131),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2" s="28" t="str">
        <f t="array" ref="Q132">INDEX('raw-sheet'!$A$2:$ZZ$1000, ROW(Q131), MATCH(Q$1, 'raw-sheet'!$A$1:$ZZ$1, 0))</f>
        <v>website</v>
      </c>
      <c r="R132" s="28" t="str">
        <f t="array" ref="R132">INDEX('raw-sheet'!$A$2:$ZZ$1000, ROW(R131), MATCH(R$1, 'raw-sheet'!$A$1:$ZZ$1, 0))</f>
        <v>INNISFREE Taiwan</v>
      </c>
      <c r="S132" s="28" t="str">
        <f t="array" ref="S132">INDEX('raw-sheet'!$A$2:$ZZ$1000, ROW(S131), MATCH(S$1, 'raw-sheet'!$A$1:$ZZ$1, 0))</f>
        <v>http://innisfree-taiwan.myshopify.com/cdn/shop/files/logo.png?v=1767594135</v>
      </c>
      <c r="T132" s="28" t="str">
        <f t="array" ref="T132">INDEX('raw-sheet'!$A$2:$ZZ$1000, ROW(T131), MATCH(T$1, 'raw-sheet'!$A$1:$ZZ$1, 0))</f>
        <v>https://innisfree-taiwan.myshopify.com/cdn/shop/files/logo.png?v=1767594135</v>
      </c>
      <c r="U132" s="28" t="str">
        <f t="array" ref="U132">INDEX('raw-sheet'!$A$2:$ZZ$1000, ROW(U131), MATCH(U$1, 'raw-sheet'!$A$1:$ZZ$1, 0))</f>
        <v>https://innisfree-taiwan.myshopify.com/collections/facial-mask</v>
      </c>
      <c r="V132" s="28" t="str">
        <f t="array" ref="V132">INDEX('raw-sheet'!$A$2:$ZZ$1000, ROW(V131), MATCH(V$1, 'raw-sheet'!$A$1:$ZZ$1, 0))</f>
        <v>面膜 | INNISFREE Taiwan</v>
      </c>
      <c r="W132" s="28" t="str">
        <f t="array" ref="W132">INDEX('raw-sheet'!$A$2:$ZZ$1000, ROW(W131),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2" s="28" t="str">
        <f t="array" ref="X132">INDEX('raw-sheet'!$A$2:$ZZ$1000, ROW(X131), MATCH(X$1, 'raw-sheet'!$A$1:$ZZ$1, 0))</f>
        <v>summary_large_image</v>
      </c>
      <c r="Y132" s="30" t="s">
        <v>56</v>
      </c>
      <c r="Z132" s="28" t="str">
        <f>VLOOKUP($A132,'raw-schema'!$A:$R,14,0)</f>
        <v>Organization</v>
      </c>
      <c r="AA132" s="28">
        <f>VLOOKUP($A132,'raw-schema'!$A:$R,15,0)</f>
        <v>0</v>
      </c>
      <c r="AB132" s="28">
        <f>VLOOKUP($A132,'raw-schema'!$A:$R,16,0)</f>
        <v>0</v>
      </c>
      <c r="AC132" s="28">
        <f>VLOOKUP($A132,'raw-schema'!$A:$R,17,0)</f>
        <v>0</v>
      </c>
      <c r="AD132" s="28">
        <f>VLOOKUP($A132,'raw-schema'!$A:$R,18,0)</f>
        <v>0</v>
      </c>
      <c r="AE132" s="30" t="s">
        <v>66</v>
      </c>
    </row>
    <row r="133" spans="1:32" x14ac:dyDescent="0.3">
      <c r="A133" s="28" t="str">
        <f t="array" ref="A133">INDEX('raw-sheet'!$A$2:$ZZ$1000, ROW(A132), MATCH(A$1, 'raw-sheet'!$A$1:$ZZ$1, 0))</f>
        <v>https://innisfree-taiwan.myshopify.com/collections/for-men</v>
      </c>
      <c r="B133" s="30" t="s">
        <v>11</v>
      </c>
      <c r="C133" s="28" t="str">
        <f t="array" ref="C133">INDEX('raw-sheet'!$A$2:$ZZ$1000, ROW(C132), MATCH(C$1, 'raw-sheet'!$A$1:$ZZ$1, 0))</f>
        <v>Product List</v>
      </c>
      <c r="D133" s="28">
        <f t="array" ref="D133">INDEX('raw-sheet'!$A$2:$ZZ$1000, ROW(D132), MATCH(D$1, 'raw-sheet'!$A$1:$ZZ$1, 0))</f>
        <v>200</v>
      </c>
      <c r="E133" s="30" t="str">
        <f t="shared" si="4"/>
        <v>Pass</v>
      </c>
      <c r="F133" s="28" t="str">
        <f t="array" ref="F133">INDEX('raw-sheet'!$A$2:$ZZ$1000, ROW(F132), MATCH(F$1, 'raw-sheet'!$A$1:$ZZ$1, 0))</f>
        <v>男士保養_x000D_ | INNISFREE Taiwan</v>
      </c>
      <c r="G133" s="30" t="s">
        <v>11</v>
      </c>
      <c r="H133" s="28">
        <f t="array" ref="H133">INDEX('raw-sheet'!$A$2:$ZZ$1000, ROW(H132), MATCH(H$1, 'raw-sheet'!$A$1:$ZZ$1, 0))</f>
        <v>0</v>
      </c>
      <c r="I133" s="30" t="s">
        <v>61</v>
      </c>
      <c r="J133" s="28" t="str">
        <f t="array" ref="J133">INDEX('raw-sheet'!$A$2:$ZZ$1000, ROW(J132), MATCH(J$1, 'raw-sheet'!$A$1:$ZZ$1, 0))</f>
        <v>男士保養</v>
      </c>
      <c r="K133" s="28" t="str">
        <f t="array" ref="K133">INDEX('raw-sheet'!$A$2:$ZZ$1000, ROW(K132), MATCH(K$1, 'raw-sheet'!$A$1:$ZZ$1, 0))</f>
        <v>1</v>
      </c>
      <c r="L133" s="30" t="s">
        <v>11</v>
      </c>
      <c r="M133" s="28" t="str">
        <f t="array" ref="M133">INDEX('raw-sheet'!$A$2:$ZZ$1000, ROW(M132), MATCH(M$1, 'raw-sheet'!$A$1:$ZZ$1, 0))</f>
        <v>https://innisfree-taiwan.myshopify.com/collections/for-men</v>
      </c>
      <c r="N133" s="30" t="str">
        <f t="shared" si="5"/>
        <v>Pass</v>
      </c>
      <c r="O133" s="28" t="str">
        <f t="array" ref="O133">INDEX('raw-sheet'!$A$2:$ZZ$1000, ROW(O132), MATCH(O$1, 'raw-sheet'!$A$1:$ZZ$1, 0))</f>
        <v>男士保養 | INNISFREE Taiwan</v>
      </c>
      <c r="P133" s="28" t="str">
        <f t="array" ref="P133">INDEX('raw-sheet'!$A$2:$ZZ$1000, ROW(P132),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3" s="28" t="str">
        <f t="array" ref="Q133">INDEX('raw-sheet'!$A$2:$ZZ$1000, ROW(Q132), MATCH(Q$1, 'raw-sheet'!$A$1:$ZZ$1, 0))</f>
        <v>website</v>
      </c>
      <c r="R133" s="28" t="str">
        <f t="array" ref="R133">INDEX('raw-sheet'!$A$2:$ZZ$1000, ROW(R132), MATCH(R$1, 'raw-sheet'!$A$1:$ZZ$1, 0))</f>
        <v>INNISFREE Taiwan</v>
      </c>
      <c r="S133" s="28" t="str">
        <f t="array" ref="S133">INDEX('raw-sheet'!$A$2:$ZZ$1000, ROW(S132), MATCH(S$1, 'raw-sheet'!$A$1:$ZZ$1, 0))</f>
        <v>http://innisfree-taiwan.myshopify.com/cdn/shop/files/logo.png?v=1767594135</v>
      </c>
      <c r="T133" s="28" t="str">
        <f t="array" ref="T133">INDEX('raw-sheet'!$A$2:$ZZ$1000, ROW(T132), MATCH(T$1, 'raw-sheet'!$A$1:$ZZ$1, 0))</f>
        <v>https://innisfree-taiwan.myshopify.com/cdn/shop/files/logo.png?v=1767594135</v>
      </c>
      <c r="U133" s="28" t="str">
        <f t="array" ref="U133">INDEX('raw-sheet'!$A$2:$ZZ$1000, ROW(U132), MATCH(U$1, 'raw-sheet'!$A$1:$ZZ$1, 0))</f>
        <v>https://innisfree-taiwan.myshopify.com/collections/for-men</v>
      </c>
      <c r="V133" s="28" t="str">
        <f t="array" ref="V133">INDEX('raw-sheet'!$A$2:$ZZ$1000, ROW(V132), MATCH(V$1, 'raw-sheet'!$A$1:$ZZ$1, 0))</f>
        <v>男士保養 | INNISFREE Taiwan</v>
      </c>
      <c r="W133" s="28" t="str">
        <f t="array" ref="W133">INDEX('raw-sheet'!$A$2:$ZZ$1000, ROW(W132),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3" s="28" t="str">
        <f t="array" ref="X133">INDEX('raw-sheet'!$A$2:$ZZ$1000, ROW(X132), MATCH(X$1, 'raw-sheet'!$A$1:$ZZ$1, 0))</f>
        <v>summary_large_image</v>
      </c>
      <c r="Y133" s="30" t="s">
        <v>56</v>
      </c>
      <c r="Z133" s="28" t="str">
        <f>VLOOKUP($A133,'raw-schema'!$A:$R,14,0)</f>
        <v>Organization</v>
      </c>
      <c r="AA133" s="28">
        <f>VLOOKUP($A133,'raw-schema'!$A:$R,15,0)</f>
        <v>0</v>
      </c>
      <c r="AB133" s="28">
        <f>VLOOKUP($A133,'raw-schema'!$A:$R,16,0)</f>
        <v>0</v>
      </c>
      <c r="AC133" s="28">
        <f>VLOOKUP($A133,'raw-schema'!$A:$R,17,0)</f>
        <v>0</v>
      </c>
      <c r="AD133" s="28">
        <f>VLOOKUP($A133,'raw-schema'!$A:$R,18,0)</f>
        <v>0</v>
      </c>
      <c r="AE133" s="30" t="s">
        <v>66</v>
      </c>
    </row>
    <row r="134" spans="1:32" x14ac:dyDescent="0.3">
      <c r="A134" s="28" t="str">
        <f t="array" ref="A134">INDEX('raw-sheet'!$A$2:$ZZ$1000, ROW(A133), MATCH(A$1, 'raw-sheet'!$A$1:$ZZ$1, 0))</f>
        <v>https://innisfree-taiwan.myshopify.com/collections/for-new-members</v>
      </c>
      <c r="B134" s="30" t="s">
        <v>11</v>
      </c>
      <c r="C134" s="28" t="str">
        <f t="array" ref="C134">INDEX('raw-sheet'!$A$2:$ZZ$1000, ROW(C133), MATCH(C$1, 'raw-sheet'!$A$1:$ZZ$1, 0))</f>
        <v>Product List</v>
      </c>
      <c r="D134" s="28">
        <f t="array" ref="D134">INDEX('raw-sheet'!$A$2:$ZZ$1000, ROW(D133), MATCH(D$1, 'raw-sheet'!$A$1:$ZZ$1, 0))</f>
        <v>200</v>
      </c>
      <c r="E134" s="30" t="str">
        <f t="shared" si="4"/>
        <v>Pass</v>
      </c>
      <c r="F134" s="28" t="str">
        <f t="array" ref="F134">INDEX('raw-sheet'!$A$2:$ZZ$1000, ROW(F133), MATCH(F$1, 'raw-sheet'!$A$1:$ZZ$1, 0))</f>
        <v>月 新客保養$_x000D_ | INNISFREE Taiwan</v>
      </c>
      <c r="G134" s="30" t="s">
        <v>11</v>
      </c>
      <c r="H134" s="28">
        <f t="array" ref="H134">INDEX('raw-sheet'!$A$2:$ZZ$1000, ROW(H133), MATCH(H$1, 'raw-sheet'!$A$1:$ZZ$1, 0))</f>
        <v>0</v>
      </c>
      <c r="I134" s="30" t="s">
        <v>61</v>
      </c>
      <c r="J134" s="28" t="str">
        <f t="array" ref="J134">INDEX('raw-sheet'!$A$2:$ZZ$1000, ROW(J133), MATCH(J$1, 'raw-sheet'!$A$1:$ZZ$1, 0))</f>
        <v>月 新客保養$</v>
      </c>
      <c r="K134" s="28" t="str">
        <f t="array" ref="K134">INDEX('raw-sheet'!$A$2:$ZZ$1000, ROW(K133), MATCH(K$1, 'raw-sheet'!$A$1:$ZZ$1, 0))</f>
        <v>1</v>
      </c>
      <c r="L134" s="30" t="s">
        <v>11</v>
      </c>
      <c r="M134" s="28" t="str">
        <f t="array" ref="M134">INDEX('raw-sheet'!$A$2:$ZZ$1000, ROW(M133), MATCH(M$1, 'raw-sheet'!$A$1:$ZZ$1, 0))</f>
        <v>https://innisfree-taiwan.myshopify.com/collections/for-new-members</v>
      </c>
      <c r="N134" s="30" t="str">
        <f t="shared" si="5"/>
        <v>Pass</v>
      </c>
      <c r="O134" s="28" t="str">
        <f t="array" ref="O134">INDEX('raw-sheet'!$A$2:$ZZ$1000, ROW(O133), MATCH(O$1, 'raw-sheet'!$A$1:$ZZ$1, 0))</f>
        <v>月 新客保養$ | INNISFREE Taiwan</v>
      </c>
      <c r="P134" s="28" t="str">
        <f t="array" ref="P134">INDEX('raw-sheet'!$A$2:$ZZ$1000, ROW(P133),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4" s="28" t="str">
        <f t="array" ref="Q134">INDEX('raw-sheet'!$A$2:$ZZ$1000, ROW(Q133), MATCH(Q$1, 'raw-sheet'!$A$1:$ZZ$1, 0))</f>
        <v>website</v>
      </c>
      <c r="R134" s="28" t="str">
        <f t="array" ref="R134">INDEX('raw-sheet'!$A$2:$ZZ$1000, ROW(R133), MATCH(R$1, 'raw-sheet'!$A$1:$ZZ$1, 0))</f>
        <v>INNISFREE Taiwan</v>
      </c>
      <c r="S134" s="28" t="str">
        <f t="array" ref="S134">INDEX('raw-sheet'!$A$2:$ZZ$1000, ROW(S133), MATCH(S$1, 'raw-sheet'!$A$1:$ZZ$1, 0))</f>
        <v>http://innisfree-taiwan.myshopify.com/cdn/shop/files/logo.png?v=1767594135</v>
      </c>
      <c r="T134" s="28" t="str">
        <f t="array" ref="T134">INDEX('raw-sheet'!$A$2:$ZZ$1000, ROW(T133), MATCH(T$1, 'raw-sheet'!$A$1:$ZZ$1, 0))</f>
        <v>https://innisfree-taiwan.myshopify.com/cdn/shop/files/logo.png?v=1767594135</v>
      </c>
      <c r="U134" s="28" t="str">
        <f t="array" ref="U134">INDEX('raw-sheet'!$A$2:$ZZ$1000, ROW(U133), MATCH(U$1, 'raw-sheet'!$A$1:$ZZ$1, 0))</f>
        <v>https://innisfree-taiwan.myshopify.com/collections/for-new-members</v>
      </c>
      <c r="V134" s="28" t="str">
        <f t="array" ref="V134">INDEX('raw-sheet'!$A$2:$ZZ$1000, ROW(V133), MATCH(V$1, 'raw-sheet'!$A$1:$ZZ$1, 0))</f>
        <v>月 新客保養$ | INNISFREE Taiwan</v>
      </c>
      <c r="W134" s="28" t="str">
        <f t="array" ref="W134">INDEX('raw-sheet'!$A$2:$ZZ$1000, ROW(W133),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4" s="28" t="str">
        <f t="array" ref="X134">INDEX('raw-sheet'!$A$2:$ZZ$1000, ROW(X133), MATCH(X$1, 'raw-sheet'!$A$1:$ZZ$1, 0))</f>
        <v>summary_large_image</v>
      </c>
      <c r="Y134" s="30" t="s">
        <v>56</v>
      </c>
      <c r="Z134" s="28" t="str">
        <f>VLOOKUP($A134,'raw-schema'!$A:$R,14,0)</f>
        <v>Organization</v>
      </c>
      <c r="AA134" s="28">
        <f>VLOOKUP($A134,'raw-schema'!$A:$R,15,0)</f>
        <v>0</v>
      </c>
      <c r="AB134" s="28">
        <f>VLOOKUP($A134,'raw-schema'!$A:$R,16,0)</f>
        <v>0</v>
      </c>
      <c r="AC134" s="28">
        <f>VLOOKUP($A134,'raw-schema'!$A:$R,17,0)</f>
        <v>0</v>
      </c>
      <c r="AD134" s="28">
        <f>VLOOKUP($A134,'raw-schema'!$A:$R,18,0)</f>
        <v>0</v>
      </c>
      <c r="AE134" s="30" t="s">
        <v>66</v>
      </c>
    </row>
    <row r="135" spans="1:32" x14ac:dyDescent="0.3">
      <c r="A135" s="28" t="str">
        <f t="array" ref="A135">INDEX('raw-sheet'!$A$2:$ZZ$1000, ROW(A134), MATCH(A$1, 'raw-sheet'!$A$1:$ZZ$1, 0))</f>
        <v>https://innisfree-taiwan.myshopify.com/collections/green-tea-ceramide</v>
      </c>
      <c r="B135" s="30" t="s">
        <v>11</v>
      </c>
      <c r="C135" s="28" t="str">
        <f t="array" ref="C135">INDEX('raw-sheet'!$A$2:$ZZ$1000, ROW(C134), MATCH(C$1, 'raw-sheet'!$A$1:$ZZ$1, 0))</f>
        <v>Product List</v>
      </c>
      <c r="D135" s="28">
        <f t="array" ref="D135">INDEX('raw-sheet'!$A$2:$ZZ$1000, ROW(D134), MATCH(D$1, 'raw-sheet'!$A$1:$ZZ$1, 0))</f>
        <v>200</v>
      </c>
      <c r="E135" s="30" t="str">
        <f t="shared" si="4"/>
        <v>Pass</v>
      </c>
      <c r="F135" s="28" t="str">
        <f t="array" ref="F135">INDEX('raw-sheet'!$A$2:$ZZ$1000, ROW(F134), MATCH(F$1, 'raw-sheet'!$A$1:$ZZ$1, 0))</f>
        <v>綠茶神經醯胺 新品上市!_x000D_ | INNISFREE Taiwan</v>
      </c>
      <c r="G135" s="30" t="s">
        <v>11</v>
      </c>
      <c r="H135" s="28">
        <f t="array" ref="H135">INDEX('raw-sheet'!$A$2:$ZZ$1000, ROW(H134), MATCH(H$1, 'raw-sheet'!$A$1:$ZZ$1, 0))</f>
        <v>0</v>
      </c>
      <c r="I135" s="30" t="s">
        <v>61</v>
      </c>
      <c r="J135" s="28" t="str">
        <f t="array" ref="J135">INDEX('raw-sheet'!$A$2:$ZZ$1000, ROW(J134), MATCH(J$1, 'raw-sheet'!$A$1:$ZZ$1, 0))</f>
        <v>綠茶神經醯胺 新品上市!</v>
      </c>
      <c r="K135" s="28" t="str">
        <f t="array" ref="K135">INDEX('raw-sheet'!$A$2:$ZZ$1000, ROW(K134), MATCH(K$1, 'raw-sheet'!$A$1:$ZZ$1, 0))</f>
        <v>1</v>
      </c>
      <c r="L135" s="30" t="s">
        <v>11</v>
      </c>
      <c r="M135" s="28" t="str">
        <f t="array" ref="M135">INDEX('raw-sheet'!$A$2:$ZZ$1000, ROW(M134), MATCH(M$1, 'raw-sheet'!$A$1:$ZZ$1, 0))</f>
        <v>https://innisfree-taiwan.myshopify.com/collections/green-tea-ceramide</v>
      </c>
      <c r="N135" s="30" t="str">
        <f t="shared" si="5"/>
        <v>Pass</v>
      </c>
      <c r="O135" s="28" t="str">
        <f t="array" ref="O135">INDEX('raw-sheet'!$A$2:$ZZ$1000, ROW(O134), MATCH(O$1, 'raw-sheet'!$A$1:$ZZ$1, 0))</f>
        <v>綠茶神經醯胺 新品上市! | INNISFREE Taiwan</v>
      </c>
      <c r="P135" s="28" t="str">
        <f t="array" ref="P135">INDEX('raw-sheet'!$A$2:$ZZ$1000, ROW(P134),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5" s="28" t="str">
        <f t="array" ref="Q135">INDEX('raw-sheet'!$A$2:$ZZ$1000, ROW(Q134), MATCH(Q$1, 'raw-sheet'!$A$1:$ZZ$1, 0))</f>
        <v>website</v>
      </c>
      <c r="R135" s="28" t="str">
        <f t="array" ref="R135">INDEX('raw-sheet'!$A$2:$ZZ$1000, ROW(R134), MATCH(R$1, 'raw-sheet'!$A$1:$ZZ$1, 0))</f>
        <v>INNISFREE Taiwan</v>
      </c>
      <c r="S135" s="28" t="str">
        <f t="array" ref="S135">INDEX('raw-sheet'!$A$2:$ZZ$1000, ROW(S134), MATCH(S$1, 'raw-sheet'!$A$1:$ZZ$1, 0))</f>
        <v>http://innisfree-taiwan.myshopify.com/cdn/shop/files/logo.png?v=1767594135</v>
      </c>
      <c r="T135" s="28" t="str">
        <f t="array" ref="T135">INDEX('raw-sheet'!$A$2:$ZZ$1000, ROW(T134), MATCH(T$1, 'raw-sheet'!$A$1:$ZZ$1, 0))</f>
        <v>https://innisfree-taiwan.myshopify.com/cdn/shop/files/logo.png?v=1767594135</v>
      </c>
      <c r="U135" s="28" t="str">
        <f t="array" ref="U135">INDEX('raw-sheet'!$A$2:$ZZ$1000, ROW(U134), MATCH(U$1, 'raw-sheet'!$A$1:$ZZ$1, 0))</f>
        <v>https://innisfree-taiwan.myshopify.com/collections/green-tea-ceramide</v>
      </c>
      <c r="V135" s="28" t="str">
        <f t="array" ref="V135">INDEX('raw-sheet'!$A$2:$ZZ$1000, ROW(V134), MATCH(V$1, 'raw-sheet'!$A$1:$ZZ$1, 0))</f>
        <v>綠茶神經醯胺 新品上市! | INNISFREE Taiwan</v>
      </c>
      <c r="W135" s="28" t="str">
        <f t="array" ref="W135">INDEX('raw-sheet'!$A$2:$ZZ$1000, ROW(W134),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5" s="28" t="str">
        <f t="array" ref="X135">INDEX('raw-sheet'!$A$2:$ZZ$1000, ROW(X134), MATCH(X$1, 'raw-sheet'!$A$1:$ZZ$1, 0))</f>
        <v>summary_large_image</v>
      </c>
      <c r="Y135" s="30" t="s">
        <v>56</v>
      </c>
      <c r="Z135" s="28" t="str">
        <f>VLOOKUP($A135,'raw-schema'!$A:$R,14,0)</f>
        <v>Organization</v>
      </c>
      <c r="AA135" s="28">
        <f>VLOOKUP($A135,'raw-schema'!$A:$R,15,0)</f>
        <v>0</v>
      </c>
      <c r="AB135" s="28">
        <f>VLOOKUP($A135,'raw-schema'!$A:$R,16,0)</f>
        <v>0</v>
      </c>
      <c r="AC135" s="28">
        <f>VLOOKUP($A135,'raw-schema'!$A:$R,17,0)</f>
        <v>0</v>
      </c>
      <c r="AD135" s="28">
        <f>VLOOKUP($A135,'raw-schema'!$A:$R,18,0)</f>
        <v>0</v>
      </c>
      <c r="AE135" s="30" t="s">
        <v>66</v>
      </c>
    </row>
    <row r="136" spans="1:32" x14ac:dyDescent="0.3">
      <c r="A136" s="28" t="str">
        <f t="array" ref="A136">INDEX('raw-sheet'!$A$2:$ZZ$1000, ROW(A135), MATCH(A$1, 'raw-sheet'!$A$1:$ZZ$1, 0))</f>
        <v>https://innisfree-taiwan.myshopify.com/collections/green-tea-hyaluronic-acid-moisturizing-series</v>
      </c>
      <c r="B136" s="30" t="s">
        <v>11</v>
      </c>
      <c r="C136" s="28" t="str">
        <f t="array" ref="C136">INDEX('raw-sheet'!$A$2:$ZZ$1000, ROW(C135), MATCH(C$1, 'raw-sheet'!$A$1:$ZZ$1, 0))</f>
        <v>Product List</v>
      </c>
      <c r="D136" s="28">
        <f t="array" ref="D136">INDEX('raw-sheet'!$A$2:$ZZ$1000, ROW(D135), MATCH(D$1, 'raw-sheet'!$A$1:$ZZ$1, 0))</f>
        <v>200</v>
      </c>
      <c r="E136" s="30" t="str">
        <f t="shared" si="4"/>
        <v>Pass</v>
      </c>
      <c r="F136" s="28" t="str">
        <f t="array" ref="F136">INDEX('raw-sheet'!$A$2:$ZZ$1000, ROW(F135), MATCH(F$1, 'raw-sheet'!$A$1:$ZZ$1, 0))</f>
        <v>綠茶玻尿酸保濕系列_x000D_ | INNISFREE Taiwan</v>
      </c>
      <c r="G136" s="30" t="s">
        <v>60</v>
      </c>
      <c r="H136" s="28">
        <f t="array" ref="H136">INDEX('raw-sheet'!$A$2:$ZZ$1000, ROW(H135), MATCH(H$1, 'raw-sheet'!$A$1:$ZZ$1, 0))</f>
        <v>0</v>
      </c>
      <c r="I136" s="30" t="s">
        <v>61</v>
      </c>
      <c r="J136" s="28" t="str">
        <f t="array" ref="J136">INDEX('raw-sheet'!$A$2:$ZZ$1000, ROW(J135), MATCH(J$1, 'raw-sheet'!$A$1:$ZZ$1, 0))</f>
        <v>綠茶玻尿酸保濕系列</v>
      </c>
      <c r="K136" s="28" t="str">
        <f t="array" ref="K136">INDEX('raw-sheet'!$A$2:$ZZ$1000, ROW(K135), MATCH(K$1, 'raw-sheet'!$A$1:$ZZ$1, 0))</f>
        <v>1</v>
      </c>
      <c r="L136" s="30" t="s">
        <v>60</v>
      </c>
      <c r="M136" s="28" t="str">
        <f t="array" ref="M136">INDEX('raw-sheet'!$A$2:$ZZ$1000, ROW(M135), MATCH(M$1, 'raw-sheet'!$A$1:$ZZ$1, 0))</f>
        <v>https://innisfree-taiwan.myshopify.com/collections/green-tea-hyaluronic-acid-moisturizing-series</v>
      </c>
      <c r="N136" s="30" t="str">
        <f t="shared" si="5"/>
        <v>Pass</v>
      </c>
      <c r="O136" s="28" t="str">
        <f t="array" ref="O136">INDEX('raw-sheet'!$A$2:$ZZ$1000, ROW(O135), MATCH(O$1, 'raw-sheet'!$A$1:$ZZ$1, 0))</f>
        <v>綠茶玻尿酸保濕系列 | INNISFREE Taiwan</v>
      </c>
      <c r="P136" s="28" t="str">
        <f t="array" ref="P136">INDEX('raw-sheet'!$A$2:$ZZ$1000, ROW(P135),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6" s="28" t="str">
        <f t="array" ref="Q136">INDEX('raw-sheet'!$A$2:$ZZ$1000, ROW(Q135), MATCH(Q$1, 'raw-sheet'!$A$1:$ZZ$1, 0))</f>
        <v>website</v>
      </c>
      <c r="R136" s="28" t="str">
        <f t="array" ref="R136">INDEX('raw-sheet'!$A$2:$ZZ$1000, ROW(R135), MATCH(R$1, 'raw-sheet'!$A$1:$ZZ$1, 0))</f>
        <v>INNISFREE Taiwan</v>
      </c>
      <c r="S136" s="28" t="str">
        <f t="array" ref="S136">INDEX('raw-sheet'!$A$2:$ZZ$1000, ROW(S135), MATCH(S$1, 'raw-sheet'!$A$1:$ZZ$1, 0))</f>
        <v>http://innisfree-taiwan.myshopify.com/cdn/shop/files/logo.png?v=1767594135</v>
      </c>
      <c r="T136" s="28" t="str">
        <f t="array" ref="T136">INDEX('raw-sheet'!$A$2:$ZZ$1000, ROW(T135), MATCH(T$1, 'raw-sheet'!$A$1:$ZZ$1, 0))</f>
        <v>https://innisfree-taiwan.myshopify.com/cdn/shop/files/logo.png?v=1767594135</v>
      </c>
      <c r="U136" s="28" t="str">
        <f t="array" ref="U136">INDEX('raw-sheet'!$A$2:$ZZ$1000, ROW(U135), MATCH(U$1, 'raw-sheet'!$A$1:$ZZ$1, 0))</f>
        <v>https://innisfree-taiwan.myshopify.com/collections/green-tea-hyaluronic-acid-moisturizing-series</v>
      </c>
      <c r="V136" s="28" t="str">
        <f t="array" ref="V136">INDEX('raw-sheet'!$A$2:$ZZ$1000, ROW(V135), MATCH(V$1, 'raw-sheet'!$A$1:$ZZ$1, 0))</f>
        <v>綠茶玻尿酸保濕系列 | INNISFREE Taiwan</v>
      </c>
      <c r="W136" s="28" t="str">
        <f t="array" ref="W136">INDEX('raw-sheet'!$A$2:$ZZ$1000, ROW(W135),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6" s="28" t="str">
        <f t="array" ref="X136">INDEX('raw-sheet'!$A$2:$ZZ$1000, ROW(X135), MATCH(X$1, 'raw-sheet'!$A$1:$ZZ$1, 0))</f>
        <v>summary_large_image</v>
      </c>
      <c r="Y136" s="30" t="s">
        <v>62</v>
      </c>
      <c r="Z136" s="28" t="str">
        <f>VLOOKUP($A136,'raw-schema'!$A:$R,14,0)</f>
        <v>Organization</v>
      </c>
      <c r="AA136" s="28">
        <f>VLOOKUP($A136,'raw-schema'!$A:$R,15,0)</f>
        <v>0</v>
      </c>
      <c r="AB136" s="28">
        <f>VLOOKUP($A136,'raw-schema'!$A:$R,16,0)</f>
        <v>0</v>
      </c>
      <c r="AC136" s="28">
        <f>VLOOKUP($A136,'raw-schema'!$A:$R,17,0)</f>
        <v>0</v>
      </c>
      <c r="AD136" s="28">
        <f>VLOOKUP($A136,'raw-schema'!$A:$R,18,0)</f>
        <v>0</v>
      </c>
      <c r="AE136" s="30" t="s">
        <v>66</v>
      </c>
    </row>
    <row r="137" spans="1:32" x14ac:dyDescent="0.3">
      <c r="A137" s="28" t="str">
        <f t="array" ref="A137">INDEX('raw-sheet'!$A$2:$ZZ$1000, ROW(A136), MATCH(A$1, 'raw-sheet'!$A$1:$ZZ$1, 0))</f>
        <v>https://innisfree-taiwan.myshopify.com/collections/green-tea-hyaluronic-acid-moisturizing-series?page=1</v>
      </c>
      <c r="B137" s="30" t="s">
        <v>11</v>
      </c>
      <c r="C137" s="28" t="str">
        <f t="array" ref="C137">INDEX('raw-sheet'!$A$2:$ZZ$1000, ROW(C136), MATCH(C$1, 'raw-sheet'!$A$1:$ZZ$1, 0))</f>
        <v>Product List</v>
      </c>
      <c r="D137" s="28">
        <f t="array" ref="D137">INDEX('raw-sheet'!$A$2:$ZZ$1000, ROW(D136), MATCH(D$1, 'raw-sheet'!$A$1:$ZZ$1, 0))</f>
        <v>200</v>
      </c>
      <c r="E137" s="30" t="str">
        <f t="shared" si="4"/>
        <v>Pass</v>
      </c>
      <c r="F137" s="28" t="str">
        <f t="array" ref="F137">INDEX('raw-sheet'!$A$2:$ZZ$1000, ROW(F136), MATCH(F$1, 'raw-sheet'!$A$1:$ZZ$1, 0))</f>
        <v>綠茶玻尿酸保濕系列_x000D_ | INNISFREE Taiwan</v>
      </c>
      <c r="G137" s="30" t="s">
        <v>11</v>
      </c>
      <c r="H137" s="28">
        <f t="array" ref="H137">INDEX('raw-sheet'!$A$2:$ZZ$1000, ROW(H136), MATCH(H$1, 'raw-sheet'!$A$1:$ZZ$1, 0))</f>
        <v>0</v>
      </c>
      <c r="I137" s="30" t="s">
        <v>61</v>
      </c>
      <c r="J137" s="28" t="str">
        <f t="array" ref="J137">INDEX('raw-sheet'!$A$2:$ZZ$1000, ROW(J136), MATCH(J$1, 'raw-sheet'!$A$1:$ZZ$1, 0))</f>
        <v>綠茶玻尿酸保濕系列</v>
      </c>
      <c r="K137" s="28" t="str">
        <f t="array" ref="K137">INDEX('raw-sheet'!$A$2:$ZZ$1000, ROW(K136), MATCH(K$1, 'raw-sheet'!$A$1:$ZZ$1, 0))</f>
        <v>1</v>
      </c>
      <c r="L137" s="30" t="s">
        <v>60</v>
      </c>
      <c r="M137" s="28" t="str">
        <f t="array" ref="M137">INDEX('raw-sheet'!$A$2:$ZZ$1000, ROW(M136), MATCH(M$1, 'raw-sheet'!$A$1:$ZZ$1, 0))</f>
        <v>https://innisfree-taiwan.myshopify.com/collections/green-tea-hyaluronic-acid-moisturizing-series</v>
      </c>
      <c r="N137" s="30" t="str">
        <f t="shared" si="5"/>
        <v>Not</v>
      </c>
      <c r="O137" s="28" t="str">
        <f t="array" ref="O137">INDEX('raw-sheet'!$A$2:$ZZ$1000, ROW(O136), MATCH(O$1, 'raw-sheet'!$A$1:$ZZ$1, 0))</f>
        <v>綠茶玻尿酸保濕系列 | INNISFREE Taiwan</v>
      </c>
      <c r="P137" s="28" t="str">
        <f t="array" ref="P137">INDEX('raw-sheet'!$A$2:$ZZ$1000, ROW(P136),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7" s="28" t="str">
        <f t="array" ref="Q137">INDEX('raw-sheet'!$A$2:$ZZ$1000, ROW(Q136), MATCH(Q$1, 'raw-sheet'!$A$1:$ZZ$1, 0))</f>
        <v>website</v>
      </c>
      <c r="R137" s="28" t="str">
        <f t="array" ref="R137">INDEX('raw-sheet'!$A$2:$ZZ$1000, ROW(R136), MATCH(R$1, 'raw-sheet'!$A$1:$ZZ$1, 0))</f>
        <v>INNISFREE Taiwan</v>
      </c>
      <c r="S137" s="28" t="str">
        <f t="array" ref="S137">INDEX('raw-sheet'!$A$2:$ZZ$1000, ROW(S136), MATCH(S$1, 'raw-sheet'!$A$1:$ZZ$1, 0))</f>
        <v>http://innisfree-taiwan.myshopify.com/cdn/shop/files/logo.png?v=1767594135</v>
      </c>
      <c r="T137" s="28" t="str">
        <f t="array" ref="T137">INDEX('raw-sheet'!$A$2:$ZZ$1000, ROW(T136), MATCH(T$1, 'raw-sheet'!$A$1:$ZZ$1, 0))</f>
        <v>https://innisfree-taiwan.myshopify.com/cdn/shop/files/logo.png?v=1767594135</v>
      </c>
      <c r="U137" s="28" t="str">
        <f t="array" ref="U137">INDEX('raw-sheet'!$A$2:$ZZ$1000, ROW(U136), MATCH(U$1, 'raw-sheet'!$A$1:$ZZ$1, 0))</f>
        <v>https://innisfree-taiwan.myshopify.com/collections/green-tea-hyaluronic-acid-moisturizing-series</v>
      </c>
      <c r="V137" s="28" t="str">
        <f t="array" ref="V137">INDEX('raw-sheet'!$A$2:$ZZ$1000, ROW(V136), MATCH(V$1, 'raw-sheet'!$A$1:$ZZ$1, 0))</f>
        <v>綠茶玻尿酸保濕系列 | INNISFREE Taiwan</v>
      </c>
      <c r="W137" s="28" t="str">
        <f t="array" ref="W137">INDEX('raw-sheet'!$A$2:$ZZ$1000, ROW(W136),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7" s="28" t="str">
        <f t="array" ref="X137">INDEX('raw-sheet'!$A$2:$ZZ$1000, ROW(X136), MATCH(X$1, 'raw-sheet'!$A$1:$ZZ$1, 0))</f>
        <v>summary_large_image</v>
      </c>
      <c r="Y137" s="30" t="s">
        <v>62</v>
      </c>
      <c r="Z137" s="28" t="str">
        <f>VLOOKUP($A137,'raw-schema'!$A:$R,14,0)</f>
        <v>Organization</v>
      </c>
      <c r="AA137" s="28">
        <f>VLOOKUP($A137,'raw-schema'!$A:$R,15,0)</f>
        <v>0</v>
      </c>
      <c r="AB137" s="28">
        <f>VLOOKUP($A137,'raw-schema'!$A:$R,16,0)</f>
        <v>0</v>
      </c>
      <c r="AC137" s="28">
        <f>VLOOKUP($A137,'raw-schema'!$A:$R,17,0)</f>
        <v>0</v>
      </c>
      <c r="AD137" s="28">
        <f>VLOOKUP($A137,'raw-schema'!$A:$R,18,0)</f>
        <v>0</v>
      </c>
      <c r="AE137" s="30" t="s">
        <v>66</v>
      </c>
      <c r="AF137" t="s">
        <v>65</v>
      </c>
    </row>
    <row r="138" spans="1:32" x14ac:dyDescent="0.3">
      <c r="A138" s="28" t="str">
        <f t="array" ref="A138">INDEX('raw-sheet'!$A$2:$ZZ$1000, ROW(A137), MATCH(A$1, 'raw-sheet'!$A$1:$ZZ$1, 0))</f>
        <v>https://innisfree-taiwan.myshopify.com/collections/green-tea-hyaluronic-acid-moisturizing-series?page=2</v>
      </c>
      <c r="B138" s="30" t="s">
        <v>11</v>
      </c>
      <c r="C138" s="28" t="str">
        <f t="array" ref="C138">INDEX('raw-sheet'!$A$2:$ZZ$1000, ROW(C137), MATCH(C$1, 'raw-sheet'!$A$1:$ZZ$1, 0))</f>
        <v>Product List</v>
      </c>
      <c r="D138" s="28">
        <f t="array" ref="D138">INDEX('raw-sheet'!$A$2:$ZZ$1000, ROW(D137), MATCH(D$1, 'raw-sheet'!$A$1:$ZZ$1, 0))</f>
        <v>200</v>
      </c>
      <c r="E138" s="30" t="str">
        <f t="shared" si="4"/>
        <v>Pass</v>
      </c>
      <c r="F138" s="28" t="str">
        <f t="array" ref="F138">INDEX('raw-sheet'!$A$2:$ZZ$1000, ROW(F137), MATCH(F$1, 'raw-sheet'!$A$1:$ZZ$1, 0))</f>
        <v>綠茶玻尿酸保濕系列_x000D_ – Page 2 | INNISFREE Taiwan</v>
      </c>
      <c r="G138" s="30" t="s">
        <v>11</v>
      </c>
      <c r="H138" s="28">
        <f t="array" ref="H138">INDEX('raw-sheet'!$A$2:$ZZ$1000, ROW(H137), MATCH(H$1, 'raw-sheet'!$A$1:$ZZ$1, 0))</f>
        <v>0</v>
      </c>
      <c r="I138" s="30" t="s">
        <v>61</v>
      </c>
      <c r="J138" s="28" t="str">
        <f t="array" ref="J138">INDEX('raw-sheet'!$A$2:$ZZ$1000, ROW(J137), MATCH(J$1, 'raw-sheet'!$A$1:$ZZ$1, 0))</f>
        <v>綠茶玻尿酸保濕系列</v>
      </c>
      <c r="K138" s="28" t="str">
        <f t="array" ref="K138">INDEX('raw-sheet'!$A$2:$ZZ$1000, ROW(K137), MATCH(K$1, 'raw-sheet'!$A$1:$ZZ$1, 0))</f>
        <v>1</v>
      </c>
      <c r="L138" s="30" t="s">
        <v>60</v>
      </c>
      <c r="M138" s="28" t="str">
        <f t="array" ref="M138">INDEX('raw-sheet'!$A$2:$ZZ$1000, ROW(M137), MATCH(M$1, 'raw-sheet'!$A$1:$ZZ$1, 0))</f>
        <v>https://innisfree-taiwan.myshopify.com/collections/green-tea-hyaluronic-acid-moisturizing-series?page=2</v>
      </c>
      <c r="N138" s="30" t="str">
        <f t="shared" si="5"/>
        <v>Pass</v>
      </c>
      <c r="O138" s="28" t="str">
        <f t="array" ref="O138">INDEX('raw-sheet'!$A$2:$ZZ$1000, ROW(O137), MATCH(O$1, 'raw-sheet'!$A$1:$ZZ$1, 0))</f>
        <v>綠茶玻尿酸保濕系列 | INNISFREE Taiwan</v>
      </c>
      <c r="P138" s="28" t="str">
        <f t="array" ref="P138">INDEX('raw-sheet'!$A$2:$ZZ$1000, ROW(P137),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8" s="28" t="str">
        <f t="array" ref="Q138">INDEX('raw-sheet'!$A$2:$ZZ$1000, ROW(Q137), MATCH(Q$1, 'raw-sheet'!$A$1:$ZZ$1, 0))</f>
        <v>website</v>
      </c>
      <c r="R138" s="28" t="str">
        <f t="array" ref="R138">INDEX('raw-sheet'!$A$2:$ZZ$1000, ROW(R137), MATCH(R$1, 'raw-sheet'!$A$1:$ZZ$1, 0))</f>
        <v>INNISFREE Taiwan</v>
      </c>
      <c r="S138" s="28" t="str">
        <f t="array" ref="S138">INDEX('raw-sheet'!$A$2:$ZZ$1000, ROW(S137), MATCH(S$1, 'raw-sheet'!$A$1:$ZZ$1, 0))</f>
        <v>http://innisfree-taiwan.myshopify.com/cdn/shop/files/logo.png?v=1767594135</v>
      </c>
      <c r="T138" s="28" t="str">
        <f t="array" ref="T138">INDEX('raw-sheet'!$A$2:$ZZ$1000, ROW(T137), MATCH(T$1, 'raw-sheet'!$A$1:$ZZ$1, 0))</f>
        <v>https://innisfree-taiwan.myshopify.com/cdn/shop/files/logo.png?v=1767594135</v>
      </c>
      <c r="U138" s="28" t="str">
        <f t="array" ref="U138">INDEX('raw-sheet'!$A$2:$ZZ$1000, ROW(U137), MATCH(U$1, 'raw-sheet'!$A$1:$ZZ$1, 0))</f>
        <v>https://innisfree-taiwan.myshopify.com/collections/green-tea-hyaluronic-acid-moisturizing-series?page=2</v>
      </c>
      <c r="V138" s="28" t="str">
        <f t="array" ref="V138">INDEX('raw-sheet'!$A$2:$ZZ$1000, ROW(V137), MATCH(V$1, 'raw-sheet'!$A$1:$ZZ$1, 0))</f>
        <v>綠茶玻尿酸保濕系列 | INNISFREE Taiwan</v>
      </c>
      <c r="W138" s="28" t="str">
        <f t="array" ref="W138">INDEX('raw-sheet'!$A$2:$ZZ$1000, ROW(W137),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8" s="28" t="str">
        <f t="array" ref="X138">INDEX('raw-sheet'!$A$2:$ZZ$1000, ROW(X137), MATCH(X$1, 'raw-sheet'!$A$1:$ZZ$1, 0))</f>
        <v>summary_large_image</v>
      </c>
      <c r="Y138" s="30" t="s">
        <v>62</v>
      </c>
      <c r="Z138" s="28" t="str">
        <f>VLOOKUP($A138,'raw-schema'!$A:$R,14,0)</f>
        <v>Organization</v>
      </c>
      <c r="AA138" s="28">
        <f>VLOOKUP($A138,'raw-schema'!$A:$R,15,0)</f>
        <v>0</v>
      </c>
      <c r="AB138" s="28">
        <f>VLOOKUP($A138,'raw-schema'!$A:$R,16,0)</f>
        <v>0</v>
      </c>
      <c r="AC138" s="28">
        <f>VLOOKUP($A138,'raw-schema'!$A:$R,17,0)</f>
        <v>0</v>
      </c>
      <c r="AD138" s="28">
        <f>VLOOKUP($A138,'raw-schema'!$A:$R,18,0)</f>
        <v>0</v>
      </c>
      <c r="AE138" s="30" t="s">
        <v>66</v>
      </c>
      <c r="AF138" t="s">
        <v>65</v>
      </c>
    </row>
    <row r="139" spans="1:32" x14ac:dyDescent="0.3">
      <c r="A139" s="28" t="str">
        <f t="array" ref="A139">INDEX('raw-sheet'!$A$2:$ZZ$1000, ROW(A138), MATCH(A$1, 'raw-sheet'!$A$1:$ZZ$1, 0))</f>
        <v>https://innisfree-taiwan.myshopify.com/collections/green-tea-hyaluronic-acid-moisturizing-series?page=3</v>
      </c>
      <c r="B139" s="30" t="s">
        <v>11</v>
      </c>
      <c r="C139" s="28" t="str">
        <f t="array" ref="C139">INDEX('raw-sheet'!$A$2:$ZZ$1000, ROW(C138), MATCH(C$1, 'raw-sheet'!$A$1:$ZZ$1, 0))</f>
        <v>Product List</v>
      </c>
      <c r="D139" s="28">
        <f t="array" ref="D139">INDEX('raw-sheet'!$A$2:$ZZ$1000, ROW(D138), MATCH(D$1, 'raw-sheet'!$A$1:$ZZ$1, 0))</f>
        <v>200</v>
      </c>
      <c r="E139" s="30" t="str">
        <f t="shared" si="4"/>
        <v>Pass</v>
      </c>
      <c r="F139" s="28" t="str">
        <f t="array" ref="F139">INDEX('raw-sheet'!$A$2:$ZZ$1000, ROW(F138), MATCH(F$1, 'raw-sheet'!$A$1:$ZZ$1, 0))</f>
        <v>綠茶玻尿酸保濕系列_x000D_ – Page 3 | INNISFREE Taiwan</v>
      </c>
      <c r="G139" s="30" t="s">
        <v>11</v>
      </c>
      <c r="H139" s="28">
        <f t="array" ref="H139">INDEX('raw-sheet'!$A$2:$ZZ$1000, ROW(H138), MATCH(H$1, 'raw-sheet'!$A$1:$ZZ$1, 0))</f>
        <v>0</v>
      </c>
      <c r="I139" s="30" t="s">
        <v>61</v>
      </c>
      <c r="J139" s="28" t="str">
        <f t="array" ref="J139">INDEX('raw-sheet'!$A$2:$ZZ$1000, ROW(J138), MATCH(J$1, 'raw-sheet'!$A$1:$ZZ$1, 0))</f>
        <v>綠茶玻尿酸保濕系列</v>
      </c>
      <c r="K139" s="28" t="str">
        <f t="array" ref="K139">INDEX('raw-sheet'!$A$2:$ZZ$1000, ROW(K138), MATCH(K$1, 'raw-sheet'!$A$1:$ZZ$1, 0))</f>
        <v>1</v>
      </c>
      <c r="L139" s="30" t="s">
        <v>60</v>
      </c>
      <c r="M139" s="28" t="str">
        <f t="array" ref="M139">INDEX('raw-sheet'!$A$2:$ZZ$1000, ROW(M138), MATCH(M$1, 'raw-sheet'!$A$1:$ZZ$1, 0))</f>
        <v>https://innisfree-taiwan.myshopify.com/collections/green-tea-hyaluronic-acid-moisturizing-series?page=3</v>
      </c>
      <c r="N139" s="30" t="str">
        <f t="shared" si="5"/>
        <v>Pass</v>
      </c>
      <c r="O139" s="28" t="str">
        <f t="array" ref="O139">INDEX('raw-sheet'!$A$2:$ZZ$1000, ROW(O138), MATCH(O$1, 'raw-sheet'!$A$1:$ZZ$1, 0))</f>
        <v>綠茶玻尿酸保濕系列 | INNISFREE Taiwan</v>
      </c>
      <c r="P139" s="28" t="str">
        <f t="array" ref="P139">INDEX('raw-sheet'!$A$2:$ZZ$1000, ROW(P138),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39" s="28" t="str">
        <f t="array" ref="Q139">INDEX('raw-sheet'!$A$2:$ZZ$1000, ROW(Q138), MATCH(Q$1, 'raw-sheet'!$A$1:$ZZ$1, 0))</f>
        <v>website</v>
      </c>
      <c r="R139" s="28" t="str">
        <f t="array" ref="R139">INDEX('raw-sheet'!$A$2:$ZZ$1000, ROW(R138), MATCH(R$1, 'raw-sheet'!$A$1:$ZZ$1, 0))</f>
        <v>INNISFREE Taiwan</v>
      </c>
      <c r="S139" s="28" t="str">
        <f t="array" ref="S139">INDEX('raw-sheet'!$A$2:$ZZ$1000, ROW(S138), MATCH(S$1, 'raw-sheet'!$A$1:$ZZ$1, 0))</f>
        <v>http://innisfree-taiwan.myshopify.com/cdn/shop/files/logo.png?v=1767594135</v>
      </c>
      <c r="T139" s="28" t="str">
        <f t="array" ref="T139">INDEX('raw-sheet'!$A$2:$ZZ$1000, ROW(T138), MATCH(T$1, 'raw-sheet'!$A$1:$ZZ$1, 0))</f>
        <v>https://innisfree-taiwan.myshopify.com/cdn/shop/files/logo.png?v=1767594135</v>
      </c>
      <c r="U139" s="28" t="str">
        <f t="array" ref="U139">INDEX('raw-sheet'!$A$2:$ZZ$1000, ROW(U138), MATCH(U$1, 'raw-sheet'!$A$1:$ZZ$1, 0))</f>
        <v>https://innisfree-taiwan.myshopify.com/collections/green-tea-hyaluronic-acid-moisturizing-series?page=3</v>
      </c>
      <c r="V139" s="28" t="str">
        <f t="array" ref="V139">INDEX('raw-sheet'!$A$2:$ZZ$1000, ROW(V138), MATCH(V$1, 'raw-sheet'!$A$1:$ZZ$1, 0))</f>
        <v>綠茶玻尿酸保濕系列 | INNISFREE Taiwan</v>
      </c>
      <c r="W139" s="28" t="str">
        <f t="array" ref="W139">INDEX('raw-sheet'!$A$2:$ZZ$1000, ROW(W138),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39" s="28" t="str">
        <f t="array" ref="X139">INDEX('raw-sheet'!$A$2:$ZZ$1000, ROW(X138), MATCH(X$1, 'raw-sheet'!$A$1:$ZZ$1, 0))</f>
        <v>summary_large_image</v>
      </c>
      <c r="Y139" s="30" t="s">
        <v>62</v>
      </c>
      <c r="Z139" s="28" t="str">
        <f>VLOOKUP($A139,'raw-schema'!$A:$R,14,0)</f>
        <v>Organization</v>
      </c>
      <c r="AA139" s="28">
        <f>VLOOKUP($A139,'raw-schema'!$A:$R,15,0)</f>
        <v>0</v>
      </c>
      <c r="AB139" s="28">
        <f>VLOOKUP($A139,'raw-schema'!$A:$R,16,0)</f>
        <v>0</v>
      </c>
      <c r="AC139" s="28">
        <f>VLOOKUP($A139,'raw-schema'!$A:$R,17,0)</f>
        <v>0</v>
      </c>
      <c r="AD139" s="28">
        <f>VLOOKUP($A139,'raw-schema'!$A:$R,18,0)</f>
        <v>0</v>
      </c>
      <c r="AE139" s="30" t="s">
        <v>66</v>
      </c>
      <c r="AF139" t="s">
        <v>65</v>
      </c>
    </row>
    <row r="140" spans="1:32" x14ac:dyDescent="0.3">
      <c r="A140" s="28" t="str">
        <f t="array" ref="A140">INDEX('raw-sheet'!$A$2:$ZZ$1000, ROW(A139), MATCH(A$1, 'raw-sheet'!$A$1:$ZZ$1, 0))</f>
        <v>https://innisfree-taiwan.myshopify.com/collections/hair-care</v>
      </c>
      <c r="B140" s="30" t="s">
        <v>11</v>
      </c>
      <c r="C140" s="28" t="str">
        <f t="array" ref="C140">INDEX('raw-sheet'!$A$2:$ZZ$1000, ROW(C139), MATCH(C$1, 'raw-sheet'!$A$1:$ZZ$1, 0))</f>
        <v>Product List</v>
      </c>
      <c r="D140" s="28">
        <f t="array" ref="D140">INDEX('raw-sheet'!$A$2:$ZZ$1000, ROW(D139), MATCH(D$1, 'raw-sheet'!$A$1:$ZZ$1, 0))</f>
        <v>200</v>
      </c>
      <c r="E140" s="30" t="str">
        <f t="shared" si="4"/>
        <v>Pass</v>
      </c>
      <c r="F140" s="28" t="str">
        <f t="array" ref="F140">INDEX('raw-sheet'!$A$2:$ZZ$1000, ROW(F139), MATCH(F$1, 'raw-sheet'!$A$1:$ZZ$1, 0))</f>
        <v>頭髮護理_x000D_ | INNISFREE Taiwan</v>
      </c>
      <c r="G140" s="30" t="s">
        <v>11</v>
      </c>
      <c r="H140" s="28">
        <f t="array" ref="H140">INDEX('raw-sheet'!$A$2:$ZZ$1000, ROW(H139), MATCH(H$1, 'raw-sheet'!$A$1:$ZZ$1, 0))</f>
        <v>0</v>
      </c>
      <c r="I140" s="30" t="s">
        <v>61</v>
      </c>
      <c r="J140" s="28" t="str">
        <f t="array" ref="J140">INDEX('raw-sheet'!$A$2:$ZZ$1000, ROW(J139), MATCH(J$1, 'raw-sheet'!$A$1:$ZZ$1, 0))</f>
        <v>頭髮護理</v>
      </c>
      <c r="K140" s="28" t="str">
        <f t="array" ref="K140">INDEX('raw-sheet'!$A$2:$ZZ$1000, ROW(K139), MATCH(K$1, 'raw-sheet'!$A$1:$ZZ$1, 0))</f>
        <v>1</v>
      </c>
      <c r="L140" s="30" t="s">
        <v>11</v>
      </c>
      <c r="M140" s="28" t="str">
        <f t="array" ref="M140">INDEX('raw-sheet'!$A$2:$ZZ$1000, ROW(M139), MATCH(M$1, 'raw-sheet'!$A$1:$ZZ$1, 0))</f>
        <v>https://innisfree-taiwan.myshopify.com/collections/hair-care</v>
      </c>
      <c r="N140" s="30" t="str">
        <f t="shared" si="5"/>
        <v>Pass</v>
      </c>
      <c r="O140" s="28" t="str">
        <f t="array" ref="O140">INDEX('raw-sheet'!$A$2:$ZZ$1000, ROW(O139), MATCH(O$1, 'raw-sheet'!$A$1:$ZZ$1, 0))</f>
        <v>頭髮護理 | INNISFREE Taiwan</v>
      </c>
      <c r="P140" s="28" t="str">
        <f t="array" ref="P140">INDEX('raw-sheet'!$A$2:$ZZ$1000, ROW(P139),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0" s="28" t="str">
        <f t="array" ref="Q140">INDEX('raw-sheet'!$A$2:$ZZ$1000, ROW(Q139), MATCH(Q$1, 'raw-sheet'!$A$1:$ZZ$1, 0))</f>
        <v>website</v>
      </c>
      <c r="R140" s="28" t="str">
        <f t="array" ref="R140">INDEX('raw-sheet'!$A$2:$ZZ$1000, ROW(R139), MATCH(R$1, 'raw-sheet'!$A$1:$ZZ$1, 0))</f>
        <v>INNISFREE Taiwan</v>
      </c>
      <c r="S140" s="28" t="str">
        <f t="array" ref="S140">INDEX('raw-sheet'!$A$2:$ZZ$1000, ROW(S139), MATCH(S$1, 'raw-sheet'!$A$1:$ZZ$1, 0))</f>
        <v>http://innisfree-taiwan.myshopify.com/cdn/shop/files/logo.png?v=1767594135</v>
      </c>
      <c r="T140" s="28" t="str">
        <f t="array" ref="T140">INDEX('raw-sheet'!$A$2:$ZZ$1000, ROW(T139), MATCH(T$1, 'raw-sheet'!$A$1:$ZZ$1, 0))</f>
        <v>https://innisfree-taiwan.myshopify.com/cdn/shop/files/logo.png?v=1767594135</v>
      </c>
      <c r="U140" s="28" t="str">
        <f t="array" ref="U140">INDEX('raw-sheet'!$A$2:$ZZ$1000, ROW(U139), MATCH(U$1, 'raw-sheet'!$A$1:$ZZ$1, 0))</f>
        <v>https://innisfree-taiwan.myshopify.com/collections/hair-care</v>
      </c>
      <c r="V140" s="28" t="str">
        <f t="array" ref="V140">INDEX('raw-sheet'!$A$2:$ZZ$1000, ROW(V139), MATCH(V$1, 'raw-sheet'!$A$1:$ZZ$1, 0))</f>
        <v>頭髮護理 | INNISFREE Taiwan</v>
      </c>
      <c r="W140" s="28" t="str">
        <f t="array" ref="W140">INDEX('raw-sheet'!$A$2:$ZZ$1000, ROW(W139),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0" s="28" t="str">
        <f t="array" ref="X140">INDEX('raw-sheet'!$A$2:$ZZ$1000, ROW(X139), MATCH(X$1, 'raw-sheet'!$A$1:$ZZ$1, 0))</f>
        <v>summary_large_image</v>
      </c>
      <c r="Y140" s="30" t="s">
        <v>56</v>
      </c>
      <c r="Z140" s="28" t="str">
        <f>VLOOKUP($A140,'raw-schema'!$A:$R,14,0)</f>
        <v>Organization</v>
      </c>
      <c r="AA140" s="28">
        <f>VLOOKUP($A140,'raw-schema'!$A:$R,15,0)</f>
        <v>0</v>
      </c>
      <c r="AB140" s="28">
        <f>VLOOKUP($A140,'raw-schema'!$A:$R,16,0)</f>
        <v>0</v>
      </c>
      <c r="AC140" s="28">
        <f>VLOOKUP($A140,'raw-schema'!$A:$R,17,0)</f>
        <v>0</v>
      </c>
      <c r="AD140" s="28">
        <f>VLOOKUP($A140,'raw-schema'!$A:$R,18,0)</f>
        <v>0</v>
      </c>
      <c r="AE140" s="30" t="s">
        <v>66</v>
      </c>
    </row>
    <row r="141" spans="1:32" x14ac:dyDescent="0.3">
      <c r="A141" s="28" t="str">
        <f t="array" ref="A141">INDEX('raw-sheet'!$A$2:$ZZ$1000, ROW(A140), MATCH(A$1, 'raw-sheet'!$A$1:$ZZ$1, 0))</f>
        <v>https://innisfree-taiwan.myshopify.com/collections/hand-foot-care</v>
      </c>
      <c r="B141" s="30" t="s">
        <v>11</v>
      </c>
      <c r="C141" s="28" t="str">
        <f t="array" ref="C141">INDEX('raw-sheet'!$A$2:$ZZ$1000, ROW(C140), MATCH(C$1, 'raw-sheet'!$A$1:$ZZ$1, 0))</f>
        <v>Product List</v>
      </c>
      <c r="D141" s="28">
        <f t="array" ref="D141">INDEX('raw-sheet'!$A$2:$ZZ$1000, ROW(D140), MATCH(D$1, 'raw-sheet'!$A$1:$ZZ$1, 0))</f>
        <v>200</v>
      </c>
      <c r="E141" s="30" t="str">
        <f t="shared" si="4"/>
        <v>Pass</v>
      </c>
      <c r="F141" s="28" t="str">
        <f t="array" ref="F141">INDEX('raw-sheet'!$A$2:$ZZ$1000, ROW(F140), MATCH(F$1, 'raw-sheet'!$A$1:$ZZ$1, 0))</f>
        <v>手部/足部護理_x000D_ | INNISFREE Taiwan</v>
      </c>
      <c r="G141" s="30" t="s">
        <v>11</v>
      </c>
      <c r="H141" s="28">
        <f t="array" ref="H141">INDEX('raw-sheet'!$A$2:$ZZ$1000, ROW(H140), MATCH(H$1, 'raw-sheet'!$A$1:$ZZ$1, 0))</f>
        <v>0</v>
      </c>
      <c r="I141" s="30" t="s">
        <v>61</v>
      </c>
      <c r="J141" s="28" t="str">
        <f t="array" ref="J141">INDEX('raw-sheet'!$A$2:$ZZ$1000, ROW(J140), MATCH(J$1, 'raw-sheet'!$A$1:$ZZ$1, 0))</f>
        <v>手部/足部護理</v>
      </c>
      <c r="K141" s="28" t="str">
        <f t="array" ref="K141">INDEX('raw-sheet'!$A$2:$ZZ$1000, ROW(K140), MATCH(K$1, 'raw-sheet'!$A$1:$ZZ$1, 0))</f>
        <v>1</v>
      </c>
      <c r="L141" s="30" t="s">
        <v>11</v>
      </c>
      <c r="M141" s="28" t="str">
        <f t="array" ref="M141">INDEX('raw-sheet'!$A$2:$ZZ$1000, ROW(M140), MATCH(M$1, 'raw-sheet'!$A$1:$ZZ$1, 0))</f>
        <v>https://innisfree-taiwan.myshopify.com/collections/hand-foot-care</v>
      </c>
      <c r="N141" s="30" t="str">
        <f t="shared" si="5"/>
        <v>Pass</v>
      </c>
      <c r="O141" s="28" t="str">
        <f t="array" ref="O141">INDEX('raw-sheet'!$A$2:$ZZ$1000, ROW(O140), MATCH(O$1, 'raw-sheet'!$A$1:$ZZ$1, 0))</f>
        <v>手部/足部護理 | INNISFREE Taiwan</v>
      </c>
      <c r="P141" s="28" t="str">
        <f t="array" ref="P141">INDEX('raw-sheet'!$A$2:$ZZ$1000, ROW(P140),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1" s="28" t="str">
        <f t="array" ref="Q141">INDEX('raw-sheet'!$A$2:$ZZ$1000, ROW(Q140), MATCH(Q$1, 'raw-sheet'!$A$1:$ZZ$1, 0))</f>
        <v>website</v>
      </c>
      <c r="R141" s="28" t="str">
        <f t="array" ref="R141">INDEX('raw-sheet'!$A$2:$ZZ$1000, ROW(R140), MATCH(R$1, 'raw-sheet'!$A$1:$ZZ$1, 0))</f>
        <v>INNISFREE Taiwan</v>
      </c>
      <c r="S141" s="28" t="str">
        <f t="array" ref="S141">INDEX('raw-sheet'!$A$2:$ZZ$1000, ROW(S140), MATCH(S$1, 'raw-sheet'!$A$1:$ZZ$1, 0))</f>
        <v>http://innisfree-taiwan.myshopify.com/cdn/shop/files/logo.png?v=1767594135</v>
      </c>
      <c r="T141" s="28" t="str">
        <f t="array" ref="T141">INDEX('raw-sheet'!$A$2:$ZZ$1000, ROW(T140), MATCH(T$1, 'raw-sheet'!$A$1:$ZZ$1, 0))</f>
        <v>https://innisfree-taiwan.myshopify.com/cdn/shop/files/logo.png?v=1767594135</v>
      </c>
      <c r="U141" s="28" t="str">
        <f t="array" ref="U141">INDEX('raw-sheet'!$A$2:$ZZ$1000, ROW(U140), MATCH(U$1, 'raw-sheet'!$A$1:$ZZ$1, 0))</f>
        <v>https://innisfree-taiwan.myshopify.com/collections/hand-foot-care</v>
      </c>
      <c r="V141" s="28" t="str">
        <f t="array" ref="V141">INDEX('raw-sheet'!$A$2:$ZZ$1000, ROW(V140), MATCH(V$1, 'raw-sheet'!$A$1:$ZZ$1, 0))</f>
        <v>手部/足部護理 | INNISFREE Taiwan</v>
      </c>
      <c r="W141" s="28" t="str">
        <f t="array" ref="W141">INDEX('raw-sheet'!$A$2:$ZZ$1000, ROW(W140),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1" s="28" t="str">
        <f t="array" ref="X141">INDEX('raw-sheet'!$A$2:$ZZ$1000, ROW(X140), MATCH(X$1, 'raw-sheet'!$A$1:$ZZ$1, 0))</f>
        <v>summary_large_image</v>
      </c>
      <c r="Y141" s="30" t="s">
        <v>56</v>
      </c>
      <c r="Z141" s="28" t="str">
        <f>VLOOKUP($A141,'raw-schema'!$A:$R,14,0)</f>
        <v>Organization</v>
      </c>
      <c r="AA141" s="28">
        <f>VLOOKUP($A141,'raw-schema'!$A:$R,15,0)</f>
        <v>0</v>
      </c>
      <c r="AB141" s="28">
        <f>VLOOKUP($A141,'raw-schema'!$A:$R,16,0)</f>
        <v>0</v>
      </c>
      <c r="AC141" s="28">
        <f>VLOOKUP($A141,'raw-schema'!$A:$R,17,0)</f>
        <v>0</v>
      </c>
      <c r="AD141" s="28">
        <f>VLOOKUP($A141,'raw-schema'!$A:$R,18,0)</f>
        <v>0</v>
      </c>
      <c r="AE141" s="30" t="s">
        <v>66</v>
      </c>
    </row>
    <row r="142" spans="1:32" x14ac:dyDescent="0.3">
      <c r="A142" s="28" t="str">
        <f t="array" ref="A142">INDEX('raw-sheet'!$A$2:$ZZ$1000, ROW(A141), MATCH(A$1, 'raw-sheet'!$A$1:$ZZ$1, 0))</f>
        <v>https://innisfree-taiwan.myshopify.com/collections/limited-time-event</v>
      </c>
      <c r="B142" s="30" t="s">
        <v>11</v>
      </c>
      <c r="C142" s="28" t="str">
        <f t="array" ref="C142">INDEX('raw-sheet'!$A$2:$ZZ$1000, ROW(C141), MATCH(C$1, 'raw-sheet'!$A$1:$ZZ$1, 0))</f>
        <v>Product List</v>
      </c>
      <c r="D142" s="28">
        <f t="array" ref="D142">INDEX('raw-sheet'!$A$2:$ZZ$1000, ROW(D141), MATCH(D$1, 'raw-sheet'!$A$1:$ZZ$1, 0))</f>
        <v>200</v>
      </c>
      <c r="E142" s="30" t="str">
        <f t="shared" si="4"/>
        <v>Pass</v>
      </c>
      <c r="F142" s="28" t="str">
        <f t="array" ref="F142">INDEX('raw-sheet'!$A$2:$ZZ$1000, ROW(F141), MATCH(F$1, 'raw-sheet'!$A$1:$ZZ$1, 0))</f>
        <v>期間限定活動_x000D_ | INNISFREE Taiwan</v>
      </c>
      <c r="G142" s="30" t="s">
        <v>60</v>
      </c>
      <c r="H142" s="28">
        <f t="array" ref="H142">INDEX('raw-sheet'!$A$2:$ZZ$1000, ROW(H141), MATCH(H$1, 'raw-sheet'!$A$1:$ZZ$1, 0))</f>
        <v>0</v>
      </c>
      <c r="I142" s="30" t="s">
        <v>61</v>
      </c>
      <c r="J142" s="28" t="str">
        <f t="array" ref="J142">INDEX('raw-sheet'!$A$2:$ZZ$1000, ROW(J141), MATCH(J$1, 'raw-sheet'!$A$1:$ZZ$1, 0))</f>
        <v>期間限定活動</v>
      </c>
      <c r="K142" s="28" t="str">
        <f t="array" ref="K142">INDEX('raw-sheet'!$A$2:$ZZ$1000, ROW(K141), MATCH(K$1, 'raw-sheet'!$A$1:$ZZ$1, 0))</f>
        <v>1</v>
      </c>
      <c r="L142" s="30" t="s">
        <v>60</v>
      </c>
      <c r="M142" s="28" t="str">
        <f t="array" ref="M142">INDEX('raw-sheet'!$A$2:$ZZ$1000, ROW(M141), MATCH(M$1, 'raw-sheet'!$A$1:$ZZ$1, 0))</f>
        <v>https://innisfree-taiwan.myshopify.com/collections/limited-time-event</v>
      </c>
      <c r="N142" s="30" t="str">
        <f t="shared" si="5"/>
        <v>Pass</v>
      </c>
      <c r="O142" s="28" t="str">
        <f t="array" ref="O142">INDEX('raw-sheet'!$A$2:$ZZ$1000, ROW(O141), MATCH(O$1, 'raw-sheet'!$A$1:$ZZ$1, 0))</f>
        <v>期間限定活動 | INNISFREE Taiwan</v>
      </c>
      <c r="P142" s="28" t="str">
        <f t="array" ref="P142">INDEX('raw-sheet'!$A$2:$ZZ$1000, ROW(P141),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2" s="28" t="str">
        <f t="array" ref="Q142">INDEX('raw-sheet'!$A$2:$ZZ$1000, ROW(Q141), MATCH(Q$1, 'raw-sheet'!$A$1:$ZZ$1, 0))</f>
        <v>website</v>
      </c>
      <c r="R142" s="28" t="str">
        <f t="array" ref="R142">INDEX('raw-sheet'!$A$2:$ZZ$1000, ROW(R141), MATCH(R$1, 'raw-sheet'!$A$1:$ZZ$1, 0))</f>
        <v>INNISFREE Taiwan</v>
      </c>
      <c r="S142" s="28" t="str">
        <f t="array" ref="S142">INDEX('raw-sheet'!$A$2:$ZZ$1000, ROW(S141), MATCH(S$1, 'raw-sheet'!$A$1:$ZZ$1, 0))</f>
        <v>http://innisfree-taiwan.myshopify.com/cdn/shop/files/logo.png?v=1767594135</v>
      </c>
      <c r="T142" s="28" t="str">
        <f t="array" ref="T142">INDEX('raw-sheet'!$A$2:$ZZ$1000, ROW(T141), MATCH(T$1, 'raw-sheet'!$A$1:$ZZ$1, 0))</f>
        <v>https://innisfree-taiwan.myshopify.com/cdn/shop/files/logo.png?v=1767594135</v>
      </c>
      <c r="U142" s="28" t="str">
        <f t="array" ref="U142">INDEX('raw-sheet'!$A$2:$ZZ$1000, ROW(U141), MATCH(U$1, 'raw-sheet'!$A$1:$ZZ$1, 0))</f>
        <v>https://innisfree-taiwan.myshopify.com/collections/limited-time-event</v>
      </c>
      <c r="V142" s="28" t="str">
        <f t="array" ref="V142">INDEX('raw-sheet'!$A$2:$ZZ$1000, ROW(V141), MATCH(V$1, 'raw-sheet'!$A$1:$ZZ$1, 0))</f>
        <v>期間限定活動 | INNISFREE Taiwan</v>
      </c>
      <c r="W142" s="28" t="str">
        <f t="array" ref="W142">INDEX('raw-sheet'!$A$2:$ZZ$1000, ROW(W141),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2" s="28" t="str">
        <f t="array" ref="X142">INDEX('raw-sheet'!$A$2:$ZZ$1000, ROW(X141), MATCH(X$1, 'raw-sheet'!$A$1:$ZZ$1, 0))</f>
        <v>summary_large_image</v>
      </c>
      <c r="Y142" s="30" t="s">
        <v>62</v>
      </c>
      <c r="Z142" s="28" t="str">
        <f>VLOOKUP($A142,'raw-schema'!$A:$R,14,0)</f>
        <v>Organization</v>
      </c>
      <c r="AA142" s="28">
        <f>VLOOKUP($A142,'raw-schema'!$A:$R,15,0)</f>
        <v>0</v>
      </c>
      <c r="AB142" s="28">
        <f>VLOOKUP($A142,'raw-schema'!$A:$R,16,0)</f>
        <v>0</v>
      </c>
      <c r="AC142" s="28">
        <f>VLOOKUP($A142,'raw-schema'!$A:$R,17,0)</f>
        <v>0</v>
      </c>
      <c r="AD142" s="28">
        <f>VLOOKUP($A142,'raw-schema'!$A:$R,18,0)</f>
        <v>0</v>
      </c>
      <c r="AE142" s="30" t="s">
        <v>66</v>
      </c>
    </row>
    <row r="143" spans="1:32" x14ac:dyDescent="0.3">
      <c r="A143" s="28" t="str">
        <f t="array" ref="A143">INDEX('raw-sheet'!$A$2:$ZZ$1000, ROW(A142), MATCH(A$1, 'raw-sheet'!$A$1:$ZZ$1, 0))</f>
        <v>https://innisfree-taiwan.myshopify.com/collections/limited-time-event?page=1</v>
      </c>
      <c r="B143" s="30" t="s">
        <v>11</v>
      </c>
      <c r="C143" s="28" t="str">
        <f t="array" ref="C143">INDEX('raw-sheet'!$A$2:$ZZ$1000, ROW(C142), MATCH(C$1, 'raw-sheet'!$A$1:$ZZ$1, 0))</f>
        <v>Product List</v>
      </c>
      <c r="D143" s="28">
        <f t="array" ref="D143">INDEX('raw-sheet'!$A$2:$ZZ$1000, ROW(D142), MATCH(D$1, 'raw-sheet'!$A$1:$ZZ$1, 0))</f>
        <v>200</v>
      </c>
      <c r="E143" s="30" t="str">
        <f t="shared" si="4"/>
        <v>Pass</v>
      </c>
      <c r="F143" s="28" t="str">
        <f t="array" ref="F143">INDEX('raw-sheet'!$A$2:$ZZ$1000, ROW(F142), MATCH(F$1, 'raw-sheet'!$A$1:$ZZ$1, 0))</f>
        <v>期間限定活動_x000D_ | INNISFREE Taiwan</v>
      </c>
      <c r="G143" s="30" t="s">
        <v>11</v>
      </c>
      <c r="H143" s="28">
        <f t="array" ref="H143">INDEX('raw-sheet'!$A$2:$ZZ$1000, ROW(H142), MATCH(H$1, 'raw-sheet'!$A$1:$ZZ$1, 0))</f>
        <v>0</v>
      </c>
      <c r="I143" s="30" t="s">
        <v>61</v>
      </c>
      <c r="J143" s="28" t="str">
        <f t="array" ref="J143">INDEX('raw-sheet'!$A$2:$ZZ$1000, ROW(J142), MATCH(J$1, 'raw-sheet'!$A$1:$ZZ$1, 0))</f>
        <v>期間限定活動</v>
      </c>
      <c r="K143" s="28" t="str">
        <f t="array" ref="K143">INDEX('raw-sheet'!$A$2:$ZZ$1000, ROW(K142), MATCH(K$1, 'raw-sheet'!$A$1:$ZZ$1, 0))</f>
        <v>1</v>
      </c>
      <c r="L143" s="30" t="s">
        <v>60</v>
      </c>
      <c r="M143" s="28" t="str">
        <f t="array" ref="M143">INDEX('raw-sheet'!$A$2:$ZZ$1000, ROW(M142), MATCH(M$1, 'raw-sheet'!$A$1:$ZZ$1, 0))</f>
        <v>https://innisfree-taiwan.myshopify.com/collections/limited-time-event</v>
      </c>
      <c r="N143" s="30" t="str">
        <f t="shared" si="5"/>
        <v>Not</v>
      </c>
      <c r="O143" s="28" t="str">
        <f t="array" ref="O143">INDEX('raw-sheet'!$A$2:$ZZ$1000, ROW(O142), MATCH(O$1, 'raw-sheet'!$A$1:$ZZ$1, 0))</f>
        <v>期間限定活動 | INNISFREE Taiwan</v>
      </c>
      <c r="P143" s="28" t="str">
        <f t="array" ref="P143">INDEX('raw-sheet'!$A$2:$ZZ$1000, ROW(P142),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3" s="28" t="str">
        <f t="array" ref="Q143">INDEX('raw-sheet'!$A$2:$ZZ$1000, ROW(Q142), MATCH(Q$1, 'raw-sheet'!$A$1:$ZZ$1, 0))</f>
        <v>website</v>
      </c>
      <c r="R143" s="28" t="str">
        <f t="array" ref="R143">INDEX('raw-sheet'!$A$2:$ZZ$1000, ROW(R142), MATCH(R$1, 'raw-sheet'!$A$1:$ZZ$1, 0))</f>
        <v>INNISFREE Taiwan</v>
      </c>
      <c r="S143" s="28" t="str">
        <f t="array" ref="S143">INDEX('raw-sheet'!$A$2:$ZZ$1000, ROW(S142), MATCH(S$1, 'raw-sheet'!$A$1:$ZZ$1, 0))</f>
        <v>http://innisfree-taiwan.myshopify.com/cdn/shop/files/logo.png?v=1767594135</v>
      </c>
      <c r="T143" s="28" t="str">
        <f t="array" ref="T143">INDEX('raw-sheet'!$A$2:$ZZ$1000, ROW(T142), MATCH(T$1, 'raw-sheet'!$A$1:$ZZ$1, 0))</f>
        <v>https://innisfree-taiwan.myshopify.com/cdn/shop/files/logo.png?v=1767594135</v>
      </c>
      <c r="U143" s="28" t="str">
        <f t="array" ref="U143">INDEX('raw-sheet'!$A$2:$ZZ$1000, ROW(U142), MATCH(U$1, 'raw-sheet'!$A$1:$ZZ$1, 0))</f>
        <v>https://innisfree-taiwan.myshopify.com/collections/limited-time-event</v>
      </c>
      <c r="V143" s="28" t="str">
        <f t="array" ref="V143">INDEX('raw-sheet'!$A$2:$ZZ$1000, ROW(V142), MATCH(V$1, 'raw-sheet'!$A$1:$ZZ$1, 0))</f>
        <v>期間限定活動 | INNISFREE Taiwan</v>
      </c>
      <c r="W143" s="28" t="str">
        <f t="array" ref="W143">INDEX('raw-sheet'!$A$2:$ZZ$1000, ROW(W142),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3" s="28" t="str">
        <f t="array" ref="X143">INDEX('raw-sheet'!$A$2:$ZZ$1000, ROW(X142), MATCH(X$1, 'raw-sheet'!$A$1:$ZZ$1, 0))</f>
        <v>summary_large_image</v>
      </c>
      <c r="Y143" s="30" t="s">
        <v>62</v>
      </c>
      <c r="Z143" s="28" t="str">
        <f>VLOOKUP($A143,'raw-schema'!$A:$R,14,0)</f>
        <v>Organization</v>
      </c>
      <c r="AA143" s="28">
        <f>VLOOKUP($A143,'raw-schema'!$A:$R,15,0)</f>
        <v>0</v>
      </c>
      <c r="AB143" s="28">
        <f>VLOOKUP($A143,'raw-schema'!$A:$R,16,0)</f>
        <v>0</v>
      </c>
      <c r="AC143" s="28">
        <f>VLOOKUP($A143,'raw-schema'!$A:$R,17,0)</f>
        <v>0</v>
      </c>
      <c r="AD143" s="28">
        <f>VLOOKUP($A143,'raw-schema'!$A:$R,18,0)</f>
        <v>0</v>
      </c>
      <c r="AE143" s="30" t="s">
        <v>66</v>
      </c>
      <c r="AF143" t="s">
        <v>65</v>
      </c>
    </row>
    <row r="144" spans="1:32" x14ac:dyDescent="0.3">
      <c r="A144" s="28" t="str">
        <f t="array" ref="A144">INDEX('raw-sheet'!$A$2:$ZZ$1000, ROW(A143), MATCH(A$1, 'raw-sheet'!$A$1:$ZZ$1, 0))</f>
        <v>https://innisfree-taiwan.myshopify.com/collections/limited-time-event?page=2</v>
      </c>
      <c r="B144" s="30" t="s">
        <v>11</v>
      </c>
      <c r="C144" s="28" t="str">
        <f t="array" ref="C144">INDEX('raw-sheet'!$A$2:$ZZ$1000, ROW(C143), MATCH(C$1, 'raw-sheet'!$A$1:$ZZ$1, 0))</f>
        <v>Product List</v>
      </c>
      <c r="D144" s="28">
        <f t="array" ref="D144">INDEX('raw-sheet'!$A$2:$ZZ$1000, ROW(D143), MATCH(D$1, 'raw-sheet'!$A$1:$ZZ$1, 0))</f>
        <v>200</v>
      </c>
      <c r="E144" s="30" t="str">
        <f t="shared" si="4"/>
        <v>Pass</v>
      </c>
      <c r="F144" s="28" t="str">
        <f t="array" ref="F144">INDEX('raw-sheet'!$A$2:$ZZ$1000, ROW(F143), MATCH(F$1, 'raw-sheet'!$A$1:$ZZ$1, 0))</f>
        <v>期間限定活動_x000D_ – Page 2 | INNISFREE Taiwan</v>
      </c>
      <c r="G144" s="30" t="s">
        <v>11</v>
      </c>
      <c r="H144" s="28">
        <f t="array" ref="H144">INDEX('raw-sheet'!$A$2:$ZZ$1000, ROW(H143), MATCH(H$1, 'raw-sheet'!$A$1:$ZZ$1, 0))</f>
        <v>0</v>
      </c>
      <c r="I144" s="30" t="s">
        <v>61</v>
      </c>
      <c r="J144" s="28" t="str">
        <f t="array" ref="J144">INDEX('raw-sheet'!$A$2:$ZZ$1000, ROW(J143), MATCH(J$1, 'raw-sheet'!$A$1:$ZZ$1, 0))</f>
        <v>期間限定活動</v>
      </c>
      <c r="K144" s="28" t="str">
        <f t="array" ref="K144">INDEX('raw-sheet'!$A$2:$ZZ$1000, ROW(K143), MATCH(K$1, 'raw-sheet'!$A$1:$ZZ$1, 0))</f>
        <v>1</v>
      </c>
      <c r="L144" s="30" t="s">
        <v>60</v>
      </c>
      <c r="M144" s="28" t="str">
        <f t="array" ref="M144">INDEX('raw-sheet'!$A$2:$ZZ$1000, ROW(M143), MATCH(M$1, 'raw-sheet'!$A$1:$ZZ$1, 0))</f>
        <v>https://innisfree-taiwan.myshopify.com/collections/limited-time-event?page=2</v>
      </c>
      <c r="N144" s="30" t="str">
        <f t="shared" si="5"/>
        <v>Pass</v>
      </c>
      <c r="O144" s="28" t="str">
        <f t="array" ref="O144">INDEX('raw-sheet'!$A$2:$ZZ$1000, ROW(O143), MATCH(O$1, 'raw-sheet'!$A$1:$ZZ$1, 0))</f>
        <v>期間限定活動 | INNISFREE Taiwan</v>
      </c>
      <c r="P144" s="28" t="str">
        <f t="array" ref="P144">INDEX('raw-sheet'!$A$2:$ZZ$1000, ROW(P143),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4" s="28" t="str">
        <f t="array" ref="Q144">INDEX('raw-sheet'!$A$2:$ZZ$1000, ROW(Q143), MATCH(Q$1, 'raw-sheet'!$A$1:$ZZ$1, 0))</f>
        <v>website</v>
      </c>
      <c r="R144" s="28" t="str">
        <f t="array" ref="R144">INDEX('raw-sheet'!$A$2:$ZZ$1000, ROW(R143), MATCH(R$1, 'raw-sheet'!$A$1:$ZZ$1, 0))</f>
        <v>INNISFREE Taiwan</v>
      </c>
      <c r="S144" s="28" t="str">
        <f t="array" ref="S144">INDEX('raw-sheet'!$A$2:$ZZ$1000, ROW(S143), MATCH(S$1, 'raw-sheet'!$A$1:$ZZ$1, 0))</f>
        <v>http://innisfree-taiwan.myshopify.com/cdn/shop/files/logo.png?v=1767594135</v>
      </c>
      <c r="T144" s="28" t="str">
        <f t="array" ref="T144">INDEX('raw-sheet'!$A$2:$ZZ$1000, ROW(T143), MATCH(T$1, 'raw-sheet'!$A$1:$ZZ$1, 0))</f>
        <v>https://innisfree-taiwan.myshopify.com/cdn/shop/files/logo.png?v=1767594135</v>
      </c>
      <c r="U144" s="28" t="str">
        <f t="array" ref="U144">INDEX('raw-sheet'!$A$2:$ZZ$1000, ROW(U143), MATCH(U$1, 'raw-sheet'!$A$1:$ZZ$1, 0))</f>
        <v>https://innisfree-taiwan.myshopify.com/collections/limited-time-event?page=2</v>
      </c>
      <c r="V144" s="28" t="str">
        <f t="array" ref="V144">INDEX('raw-sheet'!$A$2:$ZZ$1000, ROW(V143), MATCH(V$1, 'raw-sheet'!$A$1:$ZZ$1, 0))</f>
        <v>期間限定活動 | INNISFREE Taiwan</v>
      </c>
      <c r="W144" s="28" t="str">
        <f t="array" ref="W144">INDEX('raw-sheet'!$A$2:$ZZ$1000, ROW(W143),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4" s="28" t="str">
        <f t="array" ref="X144">INDEX('raw-sheet'!$A$2:$ZZ$1000, ROW(X143), MATCH(X$1, 'raw-sheet'!$A$1:$ZZ$1, 0))</f>
        <v>summary_large_image</v>
      </c>
      <c r="Y144" s="30" t="s">
        <v>62</v>
      </c>
      <c r="Z144" s="28" t="str">
        <f>VLOOKUP($A144,'raw-schema'!$A:$R,14,0)</f>
        <v>Organization</v>
      </c>
      <c r="AA144" s="28">
        <f>VLOOKUP($A144,'raw-schema'!$A:$R,15,0)</f>
        <v>0</v>
      </c>
      <c r="AB144" s="28">
        <f>VLOOKUP($A144,'raw-schema'!$A:$R,16,0)</f>
        <v>0</v>
      </c>
      <c r="AC144" s="28">
        <f>VLOOKUP($A144,'raw-schema'!$A:$R,17,0)</f>
        <v>0</v>
      </c>
      <c r="AD144" s="28">
        <f>VLOOKUP($A144,'raw-schema'!$A:$R,18,0)</f>
        <v>0</v>
      </c>
      <c r="AE144" s="30" t="s">
        <v>66</v>
      </c>
      <c r="AF144" t="s">
        <v>65</v>
      </c>
    </row>
    <row r="145" spans="1:32" x14ac:dyDescent="0.3">
      <c r="A145" s="28" t="str">
        <f t="array" ref="A145">INDEX('raw-sheet'!$A$2:$ZZ$1000, ROW(A144), MATCH(A$1, 'raw-sheet'!$A$1:$ZZ$1, 0))</f>
        <v>https://innisfree-taiwan.myshopify.com/collections/lip-balm</v>
      </c>
      <c r="B145" s="30" t="s">
        <v>11</v>
      </c>
      <c r="C145" s="28" t="str">
        <f t="array" ref="C145">INDEX('raw-sheet'!$A$2:$ZZ$1000, ROW(C144), MATCH(C$1, 'raw-sheet'!$A$1:$ZZ$1, 0))</f>
        <v>Product List</v>
      </c>
      <c r="D145" s="28">
        <f t="array" ref="D145">INDEX('raw-sheet'!$A$2:$ZZ$1000, ROW(D144), MATCH(D$1, 'raw-sheet'!$A$1:$ZZ$1, 0))</f>
        <v>200</v>
      </c>
      <c r="E145" s="30" t="str">
        <f t="shared" si="4"/>
        <v>Pass</v>
      </c>
      <c r="F145" s="28" t="str">
        <f t="array" ref="F145">INDEX('raw-sheet'!$A$2:$ZZ$1000, ROW(F144), MATCH(F$1, 'raw-sheet'!$A$1:$ZZ$1, 0))</f>
        <v>護唇膏_x000D_ | INNISFREE Taiwan</v>
      </c>
      <c r="G145" s="30" t="s">
        <v>11</v>
      </c>
      <c r="H145" s="28">
        <f t="array" ref="H145">INDEX('raw-sheet'!$A$2:$ZZ$1000, ROW(H144), MATCH(H$1, 'raw-sheet'!$A$1:$ZZ$1, 0))</f>
        <v>0</v>
      </c>
      <c r="I145" s="30" t="s">
        <v>61</v>
      </c>
      <c r="J145" s="28" t="str">
        <f t="array" ref="J145">INDEX('raw-sheet'!$A$2:$ZZ$1000, ROW(J144), MATCH(J$1, 'raw-sheet'!$A$1:$ZZ$1, 0))</f>
        <v>護唇膏</v>
      </c>
      <c r="K145" s="28" t="str">
        <f t="array" ref="K145">INDEX('raw-sheet'!$A$2:$ZZ$1000, ROW(K144), MATCH(K$1, 'raw-sheet'!$A$1:$ZZ$1, 0))</f>
        <v>1</v>
      </c>
      <c r="L145" s="30" t="s">
        <v>11</v>
      </c>
      <c r="M145" s="28" t="str">
        <f t="array" ref="M145">INDEX('raw-sheet'!$A$2:$ZZ$1000, ROW(M144), MATCH(M$1, 'raw-sheet'!$A$1:$ZZ$1, 0))</f>
        <v>https://innisfree-taiwan.myshopify.com/collections/lip-balm</v>
      </c>
      <c r="N145" s="30" t="str">
        <f t="shared" si="5"/>
        <v>Pass</v>
      </c>
      <c r="O145" s="28" t="str">
        <f t="array" ref="O145">INDEX('raw-sheet'!$A$2:$ZZ$1000, ROW(O144), MATCH(O$1, 'raw-sheet'!$A$1:$ZZ$1, 0))</f>
        <v>護唇膏 | INNISFREE Taiwan</v>
      </c>
      <c r="P145" s="28" t="str">
        <f t="array" ref="P145">INDEX('raw-sheet'!$A$2:$ZZ$1000, ROW(P144),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5" s="28" t="str">
        <f t="array" ref="Q145">INDEX('raw-sheet'!$A$2:$ZZ$1000, ROW(Q144), MATCH(Q$1, 'raw-sheet'!$A$1:$ZZ$1, 0))</f>
        <v>website</v>
      </c>
      <c r="R145" s="28" t="str">
        <f t="array" ref="R145">INDEX('raw-sheet'!$A$2:$ZZ$1000, ROW(R144), MATCH(R$1, 'raw-sheet'!$A$1:$ZZ$1, 0))</f>
        <v>INNISFREE Taiwan</v>
      </c>
      <c r="S145" s="28" t="str">
        <f t="array" ref="S145">INDEX('raw-sheet'!$A$2:$ZZ$1000, ROW(S144), MATCH(S$1, 'raw-sheet'!$A$1:$ZZ$1, 0))</f>
        <v>http://innisfree-taiwan.myshopify.com/cdn/shop/files/logo.png?v=1767594135</v>
      </c>
      <c r="T145" s="28" t="str">
        <f t="array" ref="T145">INDEX('raw-sheet'!$A$2:$ZZ$1000, ROW(T144), MATCH(T$1, 'raw-sheet'!$A$1:$ZZ$1, 0))</f>
        <v>https://innisfree-taiwan.myshopify.com/cdn/shop/files/logo.png?v=1767594135</v>
      </c>
      <c r="U145" s="28" t="str">
        <f t="array" ref="U145">INDEX('raw-sheet'!$A$2:$ZZ$1000, ROW(U144), MATCH(U$1, 'raw-sheet'!$A$1:$ZZ$1, 0))</f>
        <v>https://innisfree-taiwan.myshopify.com/collections/lip-balm</v>
      </c>
      <c r="V145" s="28" t="str">
        <f t="array" ref="V145">INDEX('raw-sheet'!$A$2:$ZZ$1000, ROW(V144), MATCH(V$1, 'raw-sheet'!$A$1:$ZZ$1, 0))</f>
        <v>護唇膏 | INNISFREE Taiwan</v>
      </c>
      <c r="W145" s="28" t="str">
        <f t="array" ref="W145">INDEX('raw-sheet'!$A$2:$ZZ$1000, ROW(W144),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5" s="28" t="str">
        <f t="array" ref="X145">INDEX('raw-sheet'!$A$2:$ZZ$1000, ROW(X144), MATCH(X$1, 'raw-sheet'!$A$1:$ZZ$1, 0))</f>
        <v>summary_large_image</v>
      </c>
      <c r="Y145" s="30" t="s">
        <v>56</v>
      </c>
      <c r="Z145" s="28" t="str">
        <f>VLOOKUP($A145,'raw-schema'!$A:$R,14,0)</f>
        <v>Organization</v>
      </c>
      <c r="AA145" s="28">
        <f>VLOOKUP($A145,'raw-schema'!$A:$R,15,0)</f>
        <v>0</v>
      </c>
      <c r="AB145" s="28">
        <f>VLOOKUP($A145,'raw-schema'!$A:$R,16,0)</f>
        <v>0</v>
      </c>
      <c r="AC145" s="28">
        <f>VLOOKUP($A145,'raw-schema'!$A:$R,17,0)</f>
        <v>0</v>
      </c>
      <c r="AD145" s="28">
        <f>VLOOKUP($A145,'raw-schema'!$A:$R,18,0)</f>
        <v>0</v>
      </c>
      <c r="AE145" s="30" t="s">
        <v>66</v>
      </c>
    </row>
    <row r="146" spans="1:32" x14ac:dyDescent="0.3">
      <c r="A146" s="28" t="str">
        <f t="array" ref="A146">INDEX('raw-sheet'!$A$2:$ZZ$1000, ROW(A145), MATCH(A$1, 'raw-sheet'!$A$1:$ZZ$1, 0))</f>
        <v>https://innisfree-taiwan.myshopify.com/collections/lip-gloss</v>
      </c>
      <c r="B146" s="30" t="s">
        <v>11</v>
      </c>
      <c r="C146" s="28" t="str">
        <f t="array" ref="C146">INDEX('raw-sheet'!$A$2:$ZZ$1000, ROW(C145), MATCH(C$1, 'raw-sheet'!$A$1:$ZZ$1, 0))</f>
        <v>Product List</v>
      </c>
      <c r="D146" s="28">
        <f t="array" ref="D146">INDEX('raw-sheet'!$A$2:$ZZ$1000, ROW(D145), MATCH(D$1, 'raw-sheet'!$A$1:$ZZ$1, 0))</f>
        <v>200</v>
      </c>
      <c r="E146" s="30" t="str">
        <f t="shared" si="4"/>
        <v>Pass</v>
      </c>
      <c r="F146" s="28" t="str">
        <f t="array" ref="F146">INDEX('raw-sheet'!$A$2:$ZZ$1000, ROW(F145), MATCH(F$1, 'raw-sheet'!$A$1:$ZZ$1, 0))</f>
        <v>唇彩_x000D_ | INNISFREE Taiwan</v>
      </c>
      <c r="G146" s="30" t="s">
        <v>11</v>
      </c>
      <c r="H146" s="28">
        <f t="array" ref="H146">INDEX('raw-sheet'!$A$2:$ZZ$1000, ROW(H145), MATCH(H$1, 'raw-sheet'!$A$1:$ZZ$1, 0))</f>
        <v>0</v>
      </c>
      <c r="I146" s="30" t="s">
        <v>61</v>
      </c>
      <c r="J146" s="28" t="str">
        <f t="array" ref="J146">INDEX('raw-sheet'!$A$2:$ZZ$1000, ROW(J145), MATCH(J$1, 'raw-sheet'!$A$1:$ZZ$1, 0))</f>
        <v>唇彩</v>
      </c>
      <c r="K146" s="28" t="str">
        <f t="array" ref="K146">INDEX('raw-sheet'!$A$2:$ZZ$1000, ROW(K145), MATCH(K$1, 'raw-sheet'!$A$1:$ZZ$1, 0))</f>
        <v>1</v>
      </c>
      <c r="L146" s="30" t="s">
        <v>11</v>
      </c>
      <c r="M146" s="28" t="str">
        <f t="array" ref="M146">INDEX('raw-sheet'!$A$2:$ZZ$1000, ROW(M145), MATCH(M$1, 'raw-sheet'!$A$1:$ZZ$1, 0))</f>
        <v>https://innisfree-taiwan.myshopify.com/collections/lip-gloss</v>
      </c>
      <c r="N146" s="30" t="str">
        <f t="shared" si="5"/>
        <v>Pass</v>
      </c>
      <c r="O146" s="28" t="str">
        <f t="array" ref="O146">INDEX('raw-sheet'!$A$2:$ZZ$1000, ROW(O145), MATCH(O$1, 'raw-sheet'!$A$1:$ZZ$1, 0))</f>
        <v>唇彩 | INNISFREE Taiwan</v>
      </c>
      <c r="P146" s="28" t="str">
        <f t="array" ref="P146">INDEX('raw-sheet'!$A$2:$ZZ$1000, ROW(P145),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6" s="28" t="str">
        <f t="array" ref="Q146">INDEX('raw-sheet'!$A$2:$ZZ$1000, ROW(Q145), MATCH(Q$1, 'raw-sheet'!$A$1:$ZZ$1, 0))</f>
        <v>website</v>
      </c>
      <c r="R146" s="28" t="str">
        <f t="array" ref="R146">INDEX('raw-sheet'!$A$2:$ZZ$1000, ROW(R145), MATCH(R$1, 'raw-sheet'!$A$1:$ZZ$1, 0))</f>
        <v>INNISFREE Taiwan</v>
      </c>
      <c r="S146" s="28" t="str">
        <f t="array" ref="S146">INDEX('raw-sheet'!$A$2:$ZZ$1000, ROW(S145), MATCH(S$1, 'raw-sheet'!$A$1:$ZZ$1, 0))</f>
        <v>http://innisfree-taiwan.myshopify.com/cdn/shop/files/logo.png?v=1767594135</v>
      </c>
      <c r="T146" s="28" t="str">
        <f t="array" ref="T146">INDEX('raw-sheet'!$A$2:$ZZ$1000, ROW(T145), MATCH(T$1, 'raw-sheet'!$A$1:$ZZ$1, 0))</f>
        <v>https://innisfree-taiwan.myshopify.com/cdn/shop/files/logo.png?v=1767594135</v>
      </c>
      <c r="U146" s="28" t="str">
        <f t="array" ref="U146">INDEX('raw-sheet'!$A$2:$ZZ$1000, ROW(U145), MATCH(U$1, 'raw-sheet'!$A$1:$ZZ$1, 0))</f>
        <v>https://innisfree-taiwan.myshopify.com/collections/lip-gloss</v>
      </c>
      <c r="V146" s="28" t="str">
        <f t="array" ref="V146">INDEX('raw-sheet'!$A$2:$ZZ$1000, ROW(V145), MATCH(V$1, 'raw-sheet'!$A$1:$ZZ$1, 0))</f>
        <v>唇彩 | INNISFREE Taiwan</v>
      </c>
      <c r="W146" s="28" t="str">
        <f t="array" ref="W146">INDEX('raw-sheet'!$A$2:$ZZ$1000, ROW(W145),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6" s="28" t="str">
        <f t="array" ref="X146">INDEX('raw-sheet'!$A$2:$ZZ$1000, ROW(X145), MATCH(X$1, 'raw-sheet'!$A$1:$ZZ$1, 0))</f>
        <v>summary_large_image</v>
      </c>
      <c r="Y146" s="30" t="s">
        <v>56</v>
      </c>
      <c r="Z146" s="28" t="str">
        <f>VLOOKUP($A146,'raw-schema'!$A:$R,14,0)</f>
        <v>Organization</v>
      </c>
      <c r="AA146" s="28">
        <f>VLOOKUP($A146,'raw-schema'!$A:$R,15,0)</f>
        <v>0</v>
      </c>
      <c r="AB146" s="28">
        <f>VLOOKUP($A146,'raw-schema'!$A:$R,16,0)</f>
        <v>0</v>
      </c>
      <c r="AC146" s="28">
        <f>VLOOKUP($A146,'raw-schema'!$A:$R,17,0)</f>
        <v>0</v>
      </c>
      <c r="AD146" s="28">
        <f>VLOOKUP($A146,'raw-schema'!$A:$R,18,0)</f>
        <v>0</v>
      </c>
      <c r="AE146" s="30" t="s">
        <v>66</v>
      </c>
    </row>
    <row r="147" spans="1:32" x14ac:dyDescent="0.3">
      <c r="A147" s="28" t="str">
        <f t="array" ref="A147">INDEX('raw-sheet'!$A$2:$ZZ$1000, ROW(A146), MATCH(A$1, 'raw-sheet'!$A$1:$ZZ$1, 0))</f>
        <v>https://innisfree-taiwan.myshopify.com/collections/loose-powder</v>
      </c>
      <c r="B147" s="30" t="s">
        <v>11</v>
      </c>
      <c r="C147" s="28" t="str">
        <f t="array" ref="C147">INDEX('raw-sheet'!$A$2:$ZZ$1000, ROW(C146), MATCH(C$1, 'raw-sheet'!$A$1:$ZZ$1, 0))</f>
        <v>Product List</v>
      </c>
      <c r="D147" s="28">
        <f t="array" ref="D147">INDEX('raw-sheet'!$A$2:$ZZ$1000, ROW(D146), MATCH(D$1, 'raw-sheet'!$A$1:$ZZ$1, 0))</f>
        <v>200</v>
      </c>
      <c r="E147" s="30" t="str">
        <f t="shared" si="4"/>
        <v>Pass</v>
      </c>
      <c r="F147" s="28" t="str">
        <f t="array" ref="F147">INDEX('raw-sheet'!$A$2:$ZZ$1000, ROW(F146), MATCH(F$1, 'raw-sheet'!$A$1:$ZZ$1, 0))</f>
        <v>蜜粉_x000D_ | INNISFREE Taiwan</v>
      </c>
      <c r="G147" s="30" t="s">
        <v>11</v>
      </c>
      <c r="H147" s="28">
        <f t="array" ref="H147">INDEX('raw-sheet'!$A$2:$ZZ$1000, ROW(H146), MATCH(H$1, 'raw-sheet'!$A$1:$ZZ$1, 0))</f>
        <v>0</v>
      </c>
      <c r="I147" s="30" t="s">
        <v>61</v>
      </c>
      <c r="J147" s="28" t="str">
        <f t="array" ref="J147">INDEX('raw-sheet'!$A$2:$ZZ$1000, ROW(J146), MATCH(J$1, 'raw-sheet'!$A$1:$ZZ$1, 0))</f>
        <v>蜜粉</v>
      </c>
      <c r="K147" s="28" t="str">
        <f t="array" ref="K147">INDEX('raw-sheet'!$A$2:$ZZ$1000, ROW(K146), MATCH(K$1, 'raw-sheet'!$A$1:$ZZ$1, 0))</f>
        <v>1</v>
      </c>
      <c r="L147" s="30" t="s">
        <v>11</v>
      </c>
      <c r="M147" s="28" t="str">
        <f t="array" ref="M147">INDEX('raw-sheet'!$A$2:$ZZ$1000, ROW(M146), MATCH(M$1, 'raw-sheet'!$A$1:$ZZ$1, 0))</f>
        <v>https://innisfree-taiwan.myshopify.com/collections/loose-powder</v>
      </c>
      <c r="N147" s="30" t="str">
        <f t="shared" si="5"/>
        <v>Pass</v>
      </c>
      <c r="O147" s="28" t="str">
        <f t="array" ref="O147">INDEX('raw-sheet'!$A$2:$ZZ$1000, ROW(O146), MATCH(O$1, 'raw-sheet'!$A$1:$ZZ$1, 0))</f>
        <v>蜜粉 | INNISFREE Taiwan</v>
      </c>
      <c r="P147" s="28" t="str">
        <f t="array" ref="P147">INDEX('raw-sheet'!$A$2:$ZZ$1000, ROW(P146),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7" s="28" t="str">
        <f t="array" ref="Q147">INDEX('raw-sheet'!$A$2:$ZZ$1000, ROW(Q146), MATCH(Q$1, 'raw-sheet'!$A$1:$ZZ$1, 0))</f>
        <v>website</v>
      </c>
      <c r="R147" s="28" t="str">
        <f t="array" ref="R147">INDEX('raw-sheet'!$A$2:$ZZ$1000, ROW(R146), MATCH(R$1, 'raw-sheet'!$A$1:$ZZ$1, 0))</f>
        <v>INNISFREE Taiwan</v>
      </c>
      <c r="S147" s="28" t="str">
        <f t="array" ref="S147">INDEX('raw-sheet'!$A$2:$ZZ$1000, ROW(S146), MATCH(S$1, 'raw-sheet'!$A$1:$ZZ$1, 0))</f>
        <v>http://innisfree-taiwan.myshopify.com/cdn/shop/files/logo.png?v=1767594135</v>
      </c>
      <c r="T147" s="28" t="str">
        <f t="array" ref="T147">INDEX('raw-sheet'!$A$2:$ZZ$1000, ROW(T146), MATCH(T$1, 'raw-sheet'!$A$1:$ZZ$1, 0))</f>
        <v>https://innisfree-taiwan.myshopify.com/cdn/shop/files/logo.png?v=1767594135</v>
      </c>
      <c r="U147" s="28" t="str">
        <f t="array" ref="U147">INDEX('raw-sheet'!$A$2:$ZZ$1000, ROW(U146), MATCH(U$1, 'raw-sheet'!$A$1:$ZZ$1, 0))</f>
        <v>https://innisfree-taiwan.myshopify.com/collections/loose-powder</v>
      </c>
      <c r="V147" s="28" t="str">
        <f t="array" ref="V147">INDEX('raw-sheet'!$A$2:$ZZ$1000, ROW(V146), MATCH(V$1, 'raw-sheet'!$A$1:$ZZ$1, 0))</f>
        <v>蜜粉 | INNISFREE Taiwan</v>
      </c>
      <c r="W147" s="28" t="str">
        <f t="array" ref="W147">INDEX('raw-sheet'!$A$2:$ZZ$1000, ROW(W146),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7" s="28" t="str">
        <f t="array" ref="X147">INDEX('raw-sheet'!$A$2:$ZZ$1000, ROW(X146), MATCH(X$1, 'raw-sheet'!$A$1:$ZZ$1, 0))</f>
        <v>summary_large_image</v>
      </c>
      <c r="Y147" s="30" t="s">
        <v>56</v>
      </c>
      <c r="Z147" s="28" t="str">
        <f>VLOOKUP($A147,'raw-schema'!$A:$R,14,0)</f>
        <v>Organization</v>
      </c>
      <c r="AA147" s="28">
        <f>VLOOKUP($A147,'raw-schema'!$A:$R,15,0)</f>
        <v>0</v>
      </c>
      <c r="AB147" s="28">
        <f>VLOOKUP($A147,'raw-schema'!$A:$R,16,0)</f>
        <v>0</v>
      </c>
      <c r="AC147" s="28">
        <f>VLOOKUP($A147,'raw-schema'!$A:$R,17,0)</f>
        <v>0</v>
      </c>
      <c r="AD147" s="28">
        <f>VLOOKUP($A147,'raw-schema'!$A:$R,18,0)</f>
        <v>0</v>
      </c>
      <c r="AE147" s="30" t="s">
        <v>66</v>
      </c>
    </row>
    <row r="148" spans="1:32" x14ac:dyDescent="0.3">
      <c r="A148" s="28" t="str">
        <f t="array" ref="A148">INDEX('raw-sheet'!$A$2:$ZZ$1000, ROW(A147), MATCH(A$1, 'raw-sheet'!$A$1:$ZZ$1, 0))</f>
        <v>https://innisfree-taiwan.myshopify.com/collections/lotion-cream</v>
      </c>
      <c r="B148" s="30" t="s">
        <v>11</v>
      </c>
      <c r="C148" s="28" t="str">
        <f t="array" ref="C148">INDEX('raw-sheet'!$A$2:$ZZ$1000, ROW(C147), MATCH(C$1, 'raw-sheet'!$A$1:$ZZ$1, 0))</f>
        <v>Product List</v>
      </c>
      <c r="D148" s="28">
        <f t="array" ref="D148">INDEX('raw-sheet'!$A$2:$ZZ$1000, ROW(D147), MATCH(D$1, 'raw-sheet'!$A$1:$ZZ$1, 0))</f>
        <v>200</v>
      </c>
      <c r="E148" s="30" t="str">
        <f t="shared" si="4"/>
        <v>Pass</v>
      </c>
      <c r="F148" s="28" t="str">
        <f t="array" ref="F148">INDEX('raw-sheet'!$A$2:$ZZ$1000, ROW(F147), MATCH(F$1, 'raw-sheet'!$A$1:$ZZ$1, 0))</f>
        <v>乳液/面霜_x000D_ | INNISFREE Taiwan</v>
      </c>
      <c r="G148" s="30" t="s">
        <v>60</v>
      </c>
      <c r="H148" s="28">
        <f t="array" ref="H148">INDEX('raw-sheet'!$A$2:$ZZ$1000, ROW(H147), MATCH(H$1, 'raw-sheet'!$A$1:$ZZ$1, 0))</f>
        <v>0</v>
      </c>
      <c r="I148" s="30" t="s">
        <v>61</v>
      </c>
      <c r="J148" s="28" t="str">
        <f t="array" ref="J148">INDEX('raw-sheet'!$A$2:$ZZ$1000, ROW(J147), MATCH(J$1, 'raw-sheet'!$A$1:$ZZ$1, 0))</f>
        <v>乳液/面霜</v>
      </c>
      <c r="K148" s="28" t="str">
        <f t="array" ref="K148">INDEX('raw-sheet'!$A$2:$ZZ$1000, ROW(K147), MATCH(K$1, 'raw-sheet'!$A$1:$ZZ$1, 0))</f>
        <v>1</v>
      </c>
      <c r="L148" s="30" t="s">
        <v>60</v>
      </c>
      <c r="M148" s="28" t="str">
        <f t="array" ref="M148">INDEX('raw-sheet'!$A$2:$ZZ$1000, ROW(M147), MATCH(M$1, 'raw-sheet'!$A$1:$ZZ$1, 0))</f>
        <v>https://innisfree-taiwan.myshopify.com/collections/lotion-cream</v>
      </c>
      <c r="N148" s="30" t="str">
        <f t="shared" si="5"/>
        <v>Pass</v>
      </c>
      <c r="O148" s="28" t="str">
        <f t="array" ref="O148">INDEX('raw-sheet'!$A$2:$ZZ$1000, ROW(O147), MATCH(O$1, 'raw-sheet'!$A$1:$ZZ$1, 0))</f>
        <v>乳液/面霜 | INNISFREE Taiwan</v>
      </c>
      <c r="P148" s="28" t="str">
        <f t="array" ref="P148">INDEX('raw-sheet'!$A$2:$ZZ$1000, ROW(P147),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8" s="28" t="str">
        <f t="array" ref="Q148">INDEX('raw-sheet'!$A$2:$ZZ$1000, ROW(Q147), MATCH(Q$1, 'raw-sheet'!$A$1:$ZZ$1, 0))</f>
        <v>website</v>
      </c>
      <c r="R148" s="28" t="str">
        <f t="array" ref="R148">INDEX('raw-sheet'!$A$2:$ZZ$1000, ROW(R147), MATCH(R$1, 'raw-sheet'!$A$1:$ZZ$1, 0))</f>
        <v>INNISFREE Taiwan</v>
      </c>
      <c r="S148" s="28" t="str">
        <f t="array" ref="S148">INDEX('raw-sheet'!$A$2:$ZZ$1000, ROW(S147), MATCH(S$1, 'raw-sheet'!$A$1:$ZZ$1, 0))</f>
        <v>http://innisfree-taiwan.myshopify.com/cdn/shop/files/logo.png?v=1767594135</v>
      </c>
      <c r="T148" s="28" t="str">
        <f t="array" ref="T148">INDEX('raw-sheet'!$A$2:$ZZ$1000, ROW(T147), MATCH(T$1, 'raw-sheet'!$A$1:$ZZ$1, 0))</f>
        <v>https://innisfree-taiwan.myshopify.com/cdn/shop/files/logo.png?v=1767594135</v>
      </c>
      <c r="U148" s="28" t="str">
        <f t="array" ref="U148">INDEX('raw-sheet'!$A$2:$ZZ$1000, ROW(U147), MATCH(U$1, 'raw-sheet'!$A$1:$ZZ$1, 0))</f>
        <v>https://innisfree-taiwan.myshopify.com/collections/lotion-cream</v>
      </c>
      <c r="V148" s="28" t="str">
        <f t="array" ref="V148">INDEX('raw-sheet'!$A$2:$ZZ$1000, ROW(V147), MATCH(V$1, 'raw-sheet'!$A$1:$ZZ$1, 0))</f>
        <v>乳液/面霜 | INNISFREE Taiwan</v>
      </c>
      <c r="W148" s="28" t="str">
        <f t="array" ref="W148">INDEX('raw-sheet'!$A$2:$ZZ$1000, ROW(W147),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8" s="28" t="str">
        <f t="array" ref="X148">INDEX('raw-sheet'!$A$2:$ZZ$1000, ROW(X147), MATCH(X$1, 'raw-sheet'!$A$1:$ZZ$1, 0))</f>
        <v>summary_large_image</v>
      </c>
      <c r="Y148" s="30" t="s">
        <v>62</v>
      </c>
      <c r="Z148" s="28" t="str">
        <f>VLOOKUP($A148,'raw-schema'!$A:$R,14,0)</f>
        <v>Organization</v>
      </c>
      <c r="AA148" s="28">
        <f>VLOOKUP($A148,'raw-schema'!$A:$R,15,0)</f>
        <v>0</v>
      </c>
      <c r="AB148" s="28">
        <f>VLOOKUP($A148,'raw-schema'!$A:$R,16,0)</f>
        <v>0</v>
      </c>
      <c r="AC148" s="28">
        <f>VLOOKUP($A148,'raw-schema'!$A:$R,17,0)</f>
        <v>0</v>
      </c>
      <c r="AD148" s="28">
        <f>VLOOKUP($A148,'raw-schema'!$A:$R,18,0)</f>
        <v>0</v>
      </c>
      <c r="AE148" s="30" t="s">
        <v>66</v>
      </c>
    </row>
    <row r="149" spans="1:32" x14ac:dyDescent="0.3">
      <c r="A149" s="28" t="str">
        <f t="array" ref="A149">INDEX('raw-sheet'!$A$2:$ZZ$1000, ROW(A148), MATCH(A$1, 'raw-sheet'!$A$1:$ZZ$1, 0))</f>
        <v>https://innisfree-taiwan.myshopify.com/collections/lotion-cream?page=1</v>
      </c>
      <c r="B149" s="30" t="s">
        <v>11</v>
      </c>
      <c r="C149" s="28" t="str">
        <f t="array" ref="C149">INDEX('raw-sheet'!$A$2:$ZZ$1000, ROW(C148), MATCH(C$1, 'raw-sheet'!$A$1:$ZZ$1, 0))</f>
        <v>Product List</v>
      </c>
      <c r="D149" s="28">
        <f t="array" ref="D149">INDEX('raw-sheet'!$A$2:$ZZ$1000, ROW(D148), MATCH(D$1, 'raw-sheet'!$A$1:$ZZ$1, 0))</f>
        <v>200</v>
      </c>
      <c r="E149" s="30" t="str">
        <f t="shared" si="4"/>
        <v>Pass</v>
      </c>
      <c r="F149" s="28" t="str">
        <f t="array" ref="F149">INDEX('raw-sheet'!$A$2:$ZZ$1000, ROW(F148), MATCH(F$1, 'raw-sheet'!$A$1:$ZZ$1, 0))</f>
        <v>乳液/面霜_x000D_ | INNISFREE Taiwan</v>
      </c>
      <c r="G149" s="30" t="s">
        <v>11</v>
      </c>
      <c r="H149" s="28">
        <f t="array" ref="H149">INDEX('raw-sheet'!$A$2:$ZZ$1000, ROW(H148), MATCH(H$1, 'raw-sheet'!$A$1:$ZZ$1, 0))</f>
        <v>0</v>
      </c>
      <c r="I149" s="30" t="s">
        <v>61</v>
      </c>
      <c r="J149" s="28" t="str">
        <f t="array" ref="J149">INDEX('raw-sheet'!$A$2:$ZZ$1000, ROW(J148), MATCH(J$1, 'raw-sheet'!$A$1:$ZZ$1, 0))</f>
        <v>乳液/面霜</v>
      </c>
      <c r="K149" s="28" t="str">
        <f t="array" ref="K149">INDEX('raw-sheet'!$A$2:$ZZ$1000, ROW(K148), MATCH(K$1, 'raw-sheet'!$A$1:$ZZ$1, 0))</f>
        <v>1</v>
      </c>
      <c r="L149" s="30" t="s">
        <v>60</v>
      </c>
      <c r="M149" s="28" t="str">
        <f t="array" ref="M149">INDEX('raw-sheet'!$A$2:$ZZ$1000, ROW(M148), MATCH(M$1, 'raw-sheet'!$A$1:$ZZ$1, 0))</f>
        <v>https://innisfree-taiwan.myshopify.com/collections/lotion-cream</v>
      </c>
      <c r="N149" s="30" t="str">
        <f t="shared" si="5"/>
        <v>Not</v>
      </c>
      <c r="O149" s="28" t="str">
        <f t="array" ref="O149">INDEX('raw-sheet'!$A$2:$ZZ$1000, ROW(O148), MATCH(O$1, 'raw-sheet'!$A$1:$ZZ$1, 0))</f>
        <v>乳液/面霜 | INNISFREE Taiwan</v>
      </c>
      <c r="P149" s="28" t="str">
        <f t="array" ref="P149">INDEX('raw-sheet'!$A$2:$ZZ$1000, ROW(P148),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49" s="28" t="str">
        <f t="array" ref="Q149">INDEX('raw-sheet'!$A$2:$ZZ$1000, ROW(Q148), MATCH(Q$1, 'raw-sheet'!$A$1:$ZZ$1, 0))</f>
        <v>website</v>
      </c>
      <c r="R149" s="28" t="str">
        <f t="array" ref="R149">INDEX('raw-sheet'!$A$2:$ZZ$1000, ROW(R148), MATCH(R$1, 'raw-sheet'!$A$1:$ZZ$1, 0))</f>
        <v>INNISFREE Taiwan</v>
      </c>
      <c r="S149" s="28" t="str">
        <f t="array" ref="S149">INDEX('raw-sheet'!$A$2:$ZZ$1000, ROW(S148), MATCH(S$1, 'raw-sheet'!$A$1:$ZZ$1, 0))</f>
        <v>http://innisfree-taiwan.myshopify.com/cdn/shop/files/logo.png?v=1767594135</v>
      </c>
      <c r="T149" s="28" t="str">
        <f t="array" ref="T149">INDEX('raw-sheet'!$A$2:$ZZ$1000, ROW(T148), MATCH(T$1, 'raw-sheet'!$A$1:$ZZ$1, 0))</f>
        <v>https://innisfree-taiwan.myshopify.com/cdn/shop/files/logo.png?v=1767594135</v>
      </c>
      <c r="U149" s="28" t="str">
        <f t="array" ref="U149">INDEX('raw-sheet'!$A$2:$ZZ$1000, ROW(U148), MATCH(U$1, 'raw-sheet'!$A$1:$ZZ$1, 0))</f>
        <v>https://innisfree-taiwan.myshopify.com/collections/lotion-cream</v>
      </c>
      <c r="V149" s="28" t="str">
        <f t="array" ref="V149">INDEX('raw-sheet'!$A$2:$ZZ$1000, ROW(V148), MATCH(V$1, 'raw-sheet'!$A$1:$ZZ$1, 0))</f>
        <v>乳液/面霜 | INNISFREE Taiwan</v>
      </c>
      <c r="W149" s="28" t="str">
        <f t="array" ref="W149">INDEX('raw-sheet'!$A$2:$ZZ$1000, ROW(W148),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49" s="28" t="str">
        <f t="array" ref="X149">INDEX('raw-sheet'!$A$2:$ZZ$1000, ROW(X148), MATCH(X$1, 'raw-sheet'!$A$1:$ZZ$1, 0))</f>
        <v>summary_large_image</v>
      </c>
      <c r="Y149" s="30" t="s">
        <v>62</v>
      </c>
      <c r="Z149" s="28" t="str">
        <f>VLOOKUP($A149,'raw-schema'!$A:$R,14,0)</f>
        <v>Organization</v>
      </c>
      <c r="AA149" s="28">
        <f>VLOOKUP($A149,'raw-schema'!$A:$R,15,0)</f>
        <v>0</v>
      </c>
      <c r="AB149" s="28">
        <f>VLOOKUP($A149,'raw-schema'!$A:$R,16,0)</f>
        <v>0</v>
      </c>
      <c r="AC149" s="28">
        <f>VLOOKUP($A149,'raw-schema'!$A:$R,17,0)</f>
        <v>0</v>
      </c>
      <c r="AD149" s="28">
        <f>VLOOKUP($A149,'raw-schema'!$A:$R,18,0)</f>
        <v>0</v>
      </c>
      <c r="AE149" s="30" t="s">
        <v>66</v>
      </c>
      <c r="AF149" t="s">
        <v>65</v>
      </c>
    </row>
    <row r="150" spans="1:32" x14ac:dyDescent="0.3">
      <c r="A150" s="28" t="str">
        <f t="array" ref="A150">INDEX('raw-sheet'!$A$2:$ZZ$1000, ROW(A149), MATCH(A$1, 'raw-sheet'!$A$1:$ZZ$1, 0))</f>
        <v>https://innisfree-taiwan.myshopify.com/collections/lotion-cream?page=2</v>
      </c>
      <c r="B150" s="30" t="s">
        <v>11</v>
      </c>
      <c r="C150" s="28" t="str">
        <f t="array" ref="C150">INDEX('raw-sheet'!$A$2:$ZZ$1000, ROW(C149), MATCH(C$1, 'raw-sheet'!$A$1:$ZZ$1, 0))</f>
        <v>Product List</v>
      </c>
      <c r="D150" s="28">
        <f t="array" ref="D150">INDEX('raw-sheet'!$A$2:$ZZ$1000, ROW(D149), MATCH(D$1, 'raw-sheet'!$A$1:$ZZ$1, 0))</f>
        <v>200</v>
      </c>
      <c r="E150" s="30" t="str">
        <f t="shared" si="4"/>
        <v>Pass</v>
      </c>
      <c r="F150" s="28" t="str">
        <f t="array" ref="F150">INDEX('raw-sheet'!$A$2:$ZZ$1000, ROW(F149), MATCH(F$1, 'raw-sheet'!$A$1:$ZZ$1, 0))</f>
        <v>乳液/面霜_x000D_ – Page 2 | INNISFREE Taiwan</v>
      </c>
      <c r="G150" s="30" t="s">
        <v>11</v>
      </c>
      <c r="H150" s="28">
        <f t="array" ref="H150">INDEX('raw-sheet'!$A$2:$ZZ$1000, ROW(H149), MATCH(H$1, 'raw-sheet'!$A$1:$ZZ$1, 0))</f>
        <v>0</v>
      </c>
      <c r="I150" s="30" t="s">
        <v>61</v>
      </c>
      <c r="J150" s="28" t="str">
        <f t="array" ref="J150">INDEX('raw-sheet'!$A$2:$ZZ$1000, ROW(J149), MATCH(J$1, 'raw-sheet'!$A$1:$ZZ$1, 0))</f>
        <v>乳液/面霜</v>
      </c>
      <c r="K150" s="28" t="str">
        <f t="array" ref="K150">INDEX('raw-sheet'!$A$2:$ZZ$1000, ROW(K149), MATCH(K$1, 'raw-sheet'!$A$1:$ZZ$1, 0))</f>
        <v>1</v>
      </c>
      <c r="L150" s="30" t="s">
        <v>60</v>
      </c>
      <c r="M150" s="28" t="str">
        <f t="array" ref="M150">INDEX('raw-sheet'!$A$2:$ZZ$1000, ROW(M149), MATCH(M$1, 'raw-sheet'!$A$1:$ZZ$1, 0))</f>
        <v>https://innisfree-taiwan.myshopify.com/collections/lotion-cream?page=2</v>
      </c>
      <c r="N150" s="30" t="str">
        <f t="shared" si="5"/>
        <v>Pass</v>
      </c>
      <c r="O150" s="28" t="str">
        <f t="array" ref="O150">INDEX('raw-sheet'!$A$2:$ZZ$1000, ROW(O149), MATCH(O$1, 'raw-sheet'!$A$1:$ZZ$1, 0))</f>
        <v>乳液/面霜 | INNISFREE Taiwan</v>
      </c>
      <c r="P150" s="28" t="str">
        <f t="array" ref="P150">INDEX('raw-sheet'!$A$2:$ZZ$1000, ROW(P149),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0" s="28" t="str">
        <f t="array" ref="Q150">INDEX('raw-sheet'!$A$2:$ZZ$1000, ROW(Q149), MATCH(Q$1, 'raw-sheet'!$A$1:$ZZ$1, 0))</f>
        <v>website</v>
      </c>
      <c r="R150" s="28" t="str">
        <f t="array" ref="R150">INDEX('raw-sheet'!$A$2:$ZZ$1000, ROW(R149), MATCH(R$1, 'raw-sheet'!$A$1:$ZZ$1, 0))</f>
        <v>INNISFREE Taiwan</v>
      </c>
      <c r="S150" s="28" t="str">
        <f t="array" ref="S150">INDEX('raw-sheet'!$A$2:$ZZ$1000, ROW(S149), MATCH(S$1, 'raw-sheet'!$A$1:$ZZ$1, 0))</f>
        <v>http://innisfree-taiwan.myshopify.com/cdn/shop/files/logo.png?v=1767594135</v>
      </c>
      <c r="T150" s="28" t="str">
        <f t="array" ref="T150">INDEX('raw-sheet'!$A$2:$ZZ$1000, ROW(T149), MATCH(T$1, 'raw-sheet'!$A$1:$ZZ$1, 0))</f>
        <v>https://innisfree-taiwan.myshopify.com/cdn/shop/files/logo.png?v=1767594135</v>
      </c>
      <c r="U150" s="28" t="str">
        <f t="array" ref="U150">INDEX('raw-sheet'!$A$2:$ZZ$1000, ROW(U149), MATCH(U$1, 'raw-sheet'!$A$1:$ZZ$1, 0))</f>
        <v>https://innisfree-taiwan.myshopify.com/collections/lotion-cream?page=2</v>
      </c>
      <c r="V150" s="28" t="str">
        <f t="array" ref="V150">INDEX('raw-sheet'!$A$2:$ZZ$1000, ROW(V149), MATCH(V$1, 'raw-sheet'!$A$1:$ZZ$1, 0))</f>
        <v>乳液/面霜 | INNISFREE Taiwan</v>
      </c>
      <c r="W150" s="28" t="str">
        <f t="array" ref="W150">INDEX('raw-sheet'!$A$2:$ZZ$1000, ROW(W149),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0" s="28" t="str">
        <f t="array" ref="X150">INDEX('raw-sheet'!$A$2:$ZZ$1000, ROW(X149), MATCH(X$1, 'raw-sheet'!$A$1:$ZZ$1, 0))</f>
        <v>summary_large_image</v>
      </c>
      <c r="Y150" s="30" t="s">
        <v>62</v>
      </c>
      <c r="Z150" s="28" t="str">
        <f>VLOOKUP($A150,'raw-schema'!$A:$R,14,0)</f>
        <v>Organization</v>
      </c>
      <c r="AA150" s="28">
        <f>VLOOKUP($A150,'raw-schema'!$A:$R,15,0)</f>
        <v>0</v>
      </c>
      <c r="AB150" s="28">
        <f>VLOOKUP($A150,'raw-schema'!$A:$R,16,0)</f>
        <v>0</v>
      </c>
      <c r="AC150" s="28">
        <f>VLOOKUP($A150,'raw-schema'!$A:$R,17,0)</f>
        <v>0</v>
      </c>
      <c r="AD150" s="28">
        <f>VLOOKUP($A150,'raw-schema'!$A:$R,18,0)</f>
        <v>0</v>
      </c>
      <c r="AE150" s="30" t="s">
        <v>66</v>
      </c>
      <c r="AF150" t="s">
        <v>65</v>
      </c>
    </row>
    <row r="151" spans="1:32" x14ac:dyDescent="0.3">
      <c r="A151" s="28" t="str">
        <f t="array" ref="A151">INDEX('raw-sheet'!$A$2:$ZZ$1000, ROW(A150), MATCH(A$1, 'raw-sheet'!$A$1:$ZZ$1, 0))</f>
        <v>https://innisfree-taiwan.myshopify.com/collections/maintainance</v>
      </c>
      <c r="B151" s="30" t="s">
        <v>11</v>
      </c>
      <c r="C151" s="28" t="str">
        <f t="array" ref="C151">INDEX('raw-sheet'!$A$2:$ZZ$1000, ROW(C150), MATCH(C$1, 'raw-sheet'!$A$1:$ZZ$1, 0))</f>
        <v>Product List</v>
      </c>
      <c r="D151" s="28">
        <f t="array" ref="D151">INDEX('raw-sheet'!$A$2:$ZZ$1000, ROW(D150), MATCH(D$1, 'raw-sheet'!$A$1:$ZZ$1, 0))</f>
        <v>200</v>
      </c>
      <c r="E151" s="30" t="str">
        <f t="shared" si="4"/>
        <v>Pass</v>
      </c>
      <c r="F151" s="28" t="str">
        <f t="array" ref="F151">INDEX('raw-sheet'!$A$2:$ZZ$1000, ROW(F150), MATCH(F$1, 'raw-sheet'!$A$1:$ZZ$1, 0))</f>
        <v>保養_x000D_ | INNISFREE Taiwan</v>
      </c>
      <c r="G151" s="30" t="s">
        <v>60</v>
      </c>
      <c r="H151" s="28">
        <f t="array" ref="H151">INDEX('raw-sheet'!$A$2:$ZZ$1000, ROW(H150), MATCH(H$1, 'raw-sheet'!$A$1:$ZZ$1, 0))</f>
        <v>0</v>
      </c>
      <c r="I151" s="30" t="s">
        <v>61</v>
      </c>
      <c r="J151" s="28" t="str">
        <f t="array" ref="J151">INDEX('raw-sheet'!$A$2:$ZZ$1000, ROW(J150), MATCH(J$1, 'raw-sheet'!$A$1:$ZZ$1, 0))</f>
        <v>保養</v>
      </c>
      <c r="K151" s="28" t="str">
        <f t="array" ref="K151">INDEX('raw-sheet'!$A$2:$ZZ$1000, ROW(K150), MATCH(K$1, 'raw-sheet'!$A$1:$ZZ$1, 0))</f>
        <v>1</v>
      </c>
      <c r="L151" s="30" t="s">
        <v>60</v>
      </c>
      <c r="M151" s="28" t="str">
        <f t="array" ref="M151">INDEX('raw-sheet'!$A$2:$ZZ$1000, ROW(M150), MATCH(M$1, 'raw-sheet'!$A$1:$ZZ$1, 0))</f>
        <v>https://innisfree-taiwan.myshopify.com/collections/maintainance</v>
      </c>
      <c r="N151" s="30" t="str">
        <f t="shared" si="5"/>
        <v>Pass</v>
      </c>
      <c r="O151" s="28" t="str">
        <f t="array" ref="O151">INDEX('raw-sheet'!$A$2:$ZZ$1000, ROW(O150), MATCH(O$1, 'raw-sheet'!$A$1:$ZZ$1, 0))</f>
        <v>保養 | INNISFREE Taiwan</v>
      </c>
      <c r="P151" s="28" t="str">
        <f t="array" ref="P151">INDEX('raw-sheet'!$A$2:$ZZ$1000, ROW(P150),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1" s="28" t="str">
        <f t="array" ref="Q151">INDEX('raw-sheet'!$A$2:$ZZ$1000, ROW(Q150), MATCH(Q$1, 'raw-sheet'!$A$1:$ZZ$1, 0))</f>
        <v>website</v>
      </c>
      <c r="R151" s="28" t="str">
        <f t="array" ref="R151">INDEX('raw-sheet'!$A$2:$ZZ$1000, ROW(R150), MATCH(R$1, 'raw-sheet'!$A$1:$ZZ$1, 0))</f>
        <v>INNISFREE Taiwan</v>
      </c>
      <c r="S151" s="28" t="str">
        <f t="array" ref="S151">INDEX('raw-sheet'!$A$2:$ZZ$1000, ROW(S150), MATCH(S$1, 'raw-sheet'!$A$1:$ZZ$1, 0))</f>
        <v>http://innisfree-taiwan.myshopify.com/cdn/shop/files/logo.png?v=1767594135</v>
      </c>
      <c r="T151" s="28" t="str">
        <f t="array" ref="T151">INDEX('raw-sheet'!$A$2:$ZZ$1000, ROW(T150), MATCH(T$1, 'raw-sheet'!$A$1:$ZZ$1, 0))</f>
        <v>https://innisfree-taiwan.myshopify.com/cdn/shop/files/logo.png?v=1767594135</v>
      </c>
      <c r="U151" s="28" t="str">
        <f t="array" ref="U151">INDEX('raw-sheet'!$A$2:$ZZ$1000, ROW(U150), MATCH(U$1, 'raw-sheet'!$A$1:$ZZ$1, 0))</f>
        <v>https://innisfree-taiwan.myshopify.com/collections/maintainance</v>
      </c>
      <c r="V151" s="28" t="str">
        <f t="array" ref="V151">INDEX('raw-sheet'!$A$2:$ZZ$1000, ROW(V150), MATCH(V$1, 'raw-sheet'!$A$1:$ZZ$1, 0))</f>
        <v>保養 | INNISFREE Taiwan</v>
      </c>
      <c r="W151" s="28" t="str">
        <f t="array" ref="W151">INDEX('raw-sheet'!$A$2:$ZZ$1000, ROW(W150),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1" s="28" t="str">
        <f t="array" ref="X151">INDEX('raw-sheet'!$A$2:$ZZ$1000, ROW(X150), MATCH(X$1, 'raw-sheet'!$A$1:$ZZ$1, 0))</f>
        <v>summary_large_image</v>
      </c>
      <c r="Y151" s="30" t="s">
        <v>62</v>
      </c>
      <c r="Z151" s="28" t="str">
        <f>VLOOKUP($A151,'raw-schema'!$A:$R,14,0)</f>
        <v>Organization</v>
      </c>
      <c r="AA151" s="28">
        <f>VLOOKUP($A151,'raw-schema'!$A:$R,15,0)</f>
        <v>0</v>
      </c>
      <c r="AB151" s="28">
        <f>VLOOKUP($A151,'raw-schema'!$A:$R,16,0)</f>
        <v>0</v>
      </c>
      <c r="AC151" s="28">
        <f>VLOOKUP($A151,'raw-schema'!$A:$R,17,0)</f>
        <v>0</v>
      </c>
      <c r="AD151" s="28">
        <f>VLOOKUP($A151,'raw-schema'!$A:$R,18,0)</f>
        <v>0</v>
      </c>
      <c r="AE151" s="30" t="s">
        <v>66</v>
      </c>
    </row>
    <row r="152" spans="1:32" x14ac:dyDescent="0.3">
      <c r="A152" s="28" t="str">
        <f t="array" ref="A152">INDEX('raw-sheet'!$A$2:$ZZ$1000, ROW(A151), MATCH(A$1, 'raw-sheet'!$A$1:$ZZ$1, 0))</f>
        <v>https://innisfree-taiwan.myshopify.com/collections/maintainance?page=1</v>
      </c>
      <c r="B152" s="30" t="s">
        <v>11</v>
      </c>
      <c r="C152" s="28" t="str">
        <f t="array" ref="C152">INDEX('raw-sheet'!$A$2:$ZZ$1000, ROW(C151), MATCH(C$1, 'raw-sheet'!$A$1:$ZZ$1, 0))</f>
        <v>Product List</v>
      </c>
      <c r="D152" s="28">
        <f t="array" ref="D152">INDEX('raw-sheet'!$A$2:$ZZ$1000, ROW(D151), MATCH(D$1, 'raw-sheet'!$A$1:$ZZ$1, 0))</f>
        <v>200</v>
      </c>
      <c r="E152" s="30" t="str">
        <f t="shared" si="4"/>
        <v>Pass</v>
      </c>
      <c r="F152" s="28" t="str">
        <f t="array" ref="F152">INDEX('raw-sheet'!$A$2:$ZZ$1000, ROW(F151), MATCH(F$1, 'raw-sheet'!$A$1:$ZZ$1, 0))</f>
        <v>保養_x000D_ | INNISFREE Taiwan</v>
      </c>
      <c r="G152" s="30" t="s">
        <v>11</v>
      </c>
      <c r="H152" s="28">
        <f t="array" ref="H152">INDEX('raw-sheet'!$A$2:$ZZ$1000, ROW(H151), MATCH(H$1, 'raw-sheet'!$A$1:$ZZ$1, 0))</f>
        <v>0</v>
      </c>
      <c r="I152" s="30" t="s">
        <v>61</v>
      </c>
      <c r="J152" s="28" t="str">
        <f t="array" ref="J152">INDEX('raw-sheet'!$A$2:$ZZ$1000, ROW(J151), MATCH(J$1, 'raw-sheet'!$A$1:$ZZ$1, 0))</f>
        <v>保養</v>
      </c>
      <c r="K152" s="28" t="str">
        <f t="array" ref="K152">INDEX('raw-sheet'!$A$2:$ZZ$1000, ROW(K151), MATCH(K$1, 'raw-sheet'!$A$1:$ZZ$1, 0))</f>
        <v>1</v>
      </c>
      <c r="L152" s="30" t="s">
        <v>60</v>
      </c>
      <c r="M152" s="28" t="str">
        <f t="array" ref="M152">INDEX('raw-sheet'!$A$2:$ZZ$1000, ROW(M151), MATCH(M$1, 'raw-sheet'!$A$1:$ZZ$1, 0))</f>
        <v>https://innisfree-taiwan.myshopify.com/collections/maintainance</v>
      </c>
      <c r="N152" s="30" t="str">
        <f t="shared" si="5"/>
        <v>Not</v>
      </c>
      <c r="O152" s="28" t="str">
        <f t="array" ref="O152">INDEX('raw-sheet'!$A$2:$ZZ$1000, ROW(O151), MATCH(O$1, 'raw-sheet'!$A$1:$ZZ$1, 0))</f>
        <v>保養 | INNISFREE Taiwan</v>
      </c>
      <c r="P152" s="28" t="str">
        <f t="array" ref="P152">INDEX('raw-sheet'!$A$2:$ZZ$1000, ROW(P151),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2" s="28" t="str">
        <f t="array" ref="Q152">INDEX('raw-sheet'!$A$2:$ZZ$1000, ROW(Q151), MATCH(Q$1, 'raw-sheet'!$A$1:$ZZ$1, 0))</f>
        <v>website</v>
      </c>
      <c r="R152" s="28" t="str">
        <f t="array" ref="R152">INDEX('raw-sheet'!$A$2:$ZZ$1000, ROW(R151), MATCH(R$1, 'raw-sheet'!$A$1:$ZZ$1, 0))</f>
        <v>INNISFREE Taiwan</v>
      </c>
      <c r="S152" s="28" t="str">
        <f t="array" ref="S152">INDEX('raw-sheet'!$A$2:$ZZ$1000, ROW(S151), MATCH(S$1, 'raw-sheet'!$A$1:$ZZ$1, 0))</f>
        <v>http://innisfree-taiwan.myshopify.com/cdn/shop/files/logo.png?v=1767594135</v>
      </c>
      <c r="T152" s="28" t="str">
        <f t="array" ref="T152">INDEX('raw-sheet'!$A$2:$ZZ$1000, ROW(T151), MATCH(T$1, 'raw-sheet'!$A$1:$ZZ$1, 0))</f>
        <v>https://innisfree-taiwan.myshopify.com/cdn/shop/files/logo.png?v=1767594135</v>
      </c>
      <c r="U152" s="28" t="str">
        <f t="array" ref="U152">INDEX('raw-sheet'!$A$2:$ZZ$1000, ROW(U151), MATCH(U$1, 'raw-sheet'!$A$1:$ZZ$1, 0))</f>
        <v>https://innisfree-taiwan.myshopify.com/collections/maintainance</v>
      </c>
      <c r="V152" s="28" t="str">
        <f t="array" ref="V152">INDEX('raw-sheet'!$A$2:$ZZ$1000, ROW(V151), MATCH(V$1, 'raw-sheet'!$A$1:$ZZ$1, 0))</f>
        <v>保養 | INNISFREE Taiwan</v>
      </c>
      <c r="W152" s="28" t="str">
        <f t="array" ref="W152">INDEX('raw-sheet'!$A$2:$ZZ$1000, ROW(W151),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2" s="28" t="str">
        <f t="array" ref="X152">INDEX('raw-sheet'!$A$2:$ZZ$1000, ROW(X151), MATCH(X$1, 'raw-sheet'!$A$1:$ZZ$1, 0))</f>
        <v>summary_large_image</v>
      </c>
      <c r="Y152" s="30" t="s">
        <v>62</v>
      </c>
      <c r="Z152" s="28" t="str">
        <f>VLOOKUP($A152,'raw-schema'!$A:$R,14,0)</f>
        <v>Organization</v>
      </c>
      <c r="AA152" s="28">
        <f>VLOOKUP($A152,'raw-schema'!$A:$R,15,0)</f>
        <v>0</v>
      </c>
      <c r="AB152" s="28">
        <f>VLOOKUP($A152,'raw-schema'!$A:$R,16,0)</f>
        <v>0</v>
      </c>
      <c r="AC152" s="28">
        <f>VLOOKUP($A152,'raw-schema'!$A:$R,17,0)</f>
        <v>0</v>
      </c>
      <c r="AD152" s="28">
        <f>VLOOKUP($A152,'raw-schema'!$A:$R,18,0)</f>
        <v>0</v>
      </c>
      <c r="AE152" s="30" t="s">
        <v>66</v>
      </c>
      <c r="AF152" t="s">
        <v>65</v>
      </c>
    </row>
    <row r="153" spans="1:32" x14ac:dyDescent="0.3">
      <c r="A153" s="28" t="str">
        <f t="array" ref="A153">INDEX('raw-sheet'!$A$2:$ZZ$1000, ROW(A152), MATCH(A$1, 'raw-sheet'!$A$1:$ZZ$1, 0))</f>
        <v>https://innisfree-taiwan.myshopify.com/collections/maintainance?page=2</v>
      </c>
      <c r="B153" s="30" t="s">
        <v>11</v>
      </c>
      <c r="C153" s="28" t="str">
        <f t="array" ref="C153">INDEX('raw-sheet'!$A$2:$ZZ$1000, ROW(C152), MATCH(C$1, 'raw-sheet'!$A$1:$ZZ$1, 0))</f>
        <v>Product List</v>
      </c>
      <c r="D153" s="28">
        <f t="array" ref="D153">INDEX('raw-sheet'!$A$2:$ZZ$1000, ROW(D152), MATCH(D$1, 'raw-sheet'!$A$1:$ZZ$1, 0))</f>
        <v>200</v>
      </c>
      <c r="E153" s="30" t="str">
        <f t="shared" si="4"/>
        <v>Pass</v>
      </c>
      <c r="F153" s="28" t="str">
        <f t="array" ref="F153">INDEX('raw-sheet'!$A$2:$ZZ$1000, ROW(F152), MATCH(F$1, 'raw-sheet'!$A$1:$ZZ$1, 0))</f>
        <v>保養_x000D_ – Page 2 | INNISFREE Taiwan</v>
      </c>
      <c r="G153" s="30" t="s">
        <v>11</v>
      </c>
      <c r="H153" s="28">
        <f t="array" ref="H153">INDEX('raw-sheet'!$A$2:$ZZ$1000, ROW(H152), MATCH(H$1, 'raw-sheet'!$A$1:$ZZ$1, 0))</f>
        <v>0</v>
      </c>
      <c r="I153" s="30" t="s">
        <v>61</v>
      </c>
      <c r="J153" s="28" t="str">
        <f t="array" ref="J153">INDEX('raw-sheet'!$A$2:$ZZ$1000, ROW(J152), MATCH(J$1, 'raw-sheet'!$A$1:$ZZ$1, 0))</f>
        <v>保養</v>
      </c>
      <c r="K153" s="28" t="str">
        <f t="array" ref="K153">INDEX('raw-sheet'!$A$2:$ZZ$1000, ROW(K152), MATCH(K$1, 'raw-sheet'!$A$1:$ZZ$1, 0))</f>
        <v>1</v>
      </c>
      <c r="L153" s="30" t="s">
        <v>60</v>
      </c>
      <c r="M153" s="28" t="str">
        <f t="array" ref="M153">INDEX('raw-sheet'!$A$2:$ZZ$1000, ROW(M152), MATCH(M$1, 'raw-sheet'!$A$1:$ZZ$1, 0))</f>
        <v>https://innisfree-taiwan.myshopify.com/collections/maintainance?page=2</v>
      </c>
      <c r="N153" s="30" t="str">
        <f t="shared" si="5"/>
        <v>Pass</v>
      </c>
      <c r="O153" s="28" t="str">
        <f t="array" ref="O153">INDEX('raw-sheet'!$A$2:$ZZ$1000, ROW(O152), MATCH(O$1, 'raw-sheet'!$A$1:$ZZ$1, 0))</f>
        <v>保養 | INNISFREE Taiwan</v>
      </c>
      <c r="P153" s="28" t="str">
        <f t="array" ref="P153">INDEX('raw-sheet'!$A$2:$ZZ$1000, ROW(P152),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3" s="28" t="str">
        <f t="array" ref="Q153">INDEX('raw-sheet'!$A$2:$ZZ$1000, ROW(Q152), MATCH(Q$1, 'raw-sheet'!$A$1:$ZZ$1, 0))</f>
        <v>website</v>
      </c>
      <c r="R153" s="28" t="str">
        <f t="array" ref="R153">INDEX('raw-sheet'!$A$2:$ZZ$1000, ROW(R152), MATCH(R$1, 'raw-sheet'!$A$1:$ZZ$1, 0))</f>
        <v>INNISFREE Taiwan</v>
      </c>
      <c r="S153" s="28" t="str">
        <f t="array" ref="S153">INDEX('raw-sheet'!$A$2:$ZZ$1000, ROW(S152), MATCH(S$1, 'raw-sheet'!$A$1:$ZZ$1, 0))</f>
        <v>http://innisfree-taiwan.myshopify.com/cdn/shop/files/logo.png?v=1767594135</v>
      </c>
      <c r="T153" s="28" t="str">
        <f t="array" ref="T153">INDEX('raw-sheet'!$A$2:$ZZ$1000, ROW(T152), MATCH(T$1, 'raw-sheet'!$A$1:$ZZ$1, 0))</f>
        <v>https://innisfree-taiwan.myshopify.com/cdn/shop/files/logo.png?v=1767594135</v>
      </c>
      <c r="U153" s="28" t="str">
        <f t="array" ref="U153">INDEX('raw-sheet'!$A$2:$ZZ$1000, ROW(U152), MATCH(U$1, 'raw-sheet'!$A$1:$ZZ$1, 0))</f>
        <v>https://innisfree-taiwan.myshopify.com/collections/maintainance?page=2</v>
      </c>
      <c r="V153" s="28" t="str">
        <f t="array" ref="V153">INDEX('raw-sheet'!$A$2:$ZZ$1000, ROW(V152), MATCH(V$1, 'raw-sheet'!$A$1:$ZZ$1, 0))</f>
        <v>保養 | INNISFREE Taiwan</v>
      </c>
      <c r="W153" s="28" t="str">
        <f t="array" ref="W153">INDEX('raw-sheet'!$A$2:$ZZ$1000, ROW(W152),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3" s="28" t="str">
        <f t="array" ref="X153">INDEX('raw-sheet'!$A$2:$ZZ$1000, ROW(X152), MATCH(X$1, 'raw-sheet'!$A$1:$ZZ$1, 0))</f>
        <v>summary_large_image</v>
      </c>
      <c r="Y153" s="30" t="s">
        <v>62</v>
      </c>
      <c r="Z153" s="28" t="str">
        <f>VLOOKUP($A153,'raw-schema'!$A:$R,14,0)</f>
        <v>Organization</v>
      </c>
      <c r="AA153" s="28">
        <f>VLOOKUP($A153,'raw-schema'!$A:$R,15,0)</f>
        <v>0</v>
      </c>
      <c r="AB153" s="28">
        <f>VLOOKUP($A153,'raw-schema'!$A:$R,16,0)</f>
        <v>0</v>
      </c>
      <c r="AC153" s="28">
        <f>VLOOKUP($A153,'raw-schema'!$A:$R,17,0)</f>
        <v>0</v>
      </c>
      <c r="AD153" s="28">
        <f>VLOOKUP($A153,'raw-schema'!$A:$R,18,0)</f>
        <v>0</v>
      </c>
      <c r="AE153" s="30" t="s">
        <v>66</v>
      </c>
      <c r="AF153" t="s">
        <v>65</v>
      </c>
    </row>
    <row r="154" spans="1:32" x14ac:dyDescent="0.3">
      <c r="A154" s="28" t="str">
        <f t="array" ref="A154">INDEX('raw-sheet'!$A$2:$ZZ$1000, ROW(A153), MATCH(A$1, 'raw-sheet'!$A$1:$ZZ$1, 0))</f>
        <v>https://innisfree-taiwan.myshopify.com/collections/maintainance?page=3</v>
      </c>
      <c r="B154" s="30" t="s">
        <v>11</v>
      </c>
      <c r="C154" s="28" t="str">
        <f t="array" ref="C154">INDEX('raw-sheet'!$A$2:$ZZ$1000, ROW(C153), MATCH(C$1, 'raw-sheet'!$A$1:$ZZ$1, 0))</f>
        <v>Product List</v>
      </c>
      <c r="D154" s="28">
        <f t="array" ref="D154">INDEX('raw-sheet'!$A$2:$ZZ$1000, ROW(D153), MATCH(D$1, 'raw-sheet'!$A$1:$ZZ$1, 0))</f>
        <v>200</v>
      </c>
      <c r="E154" s="30" t="str">
        <f t="shared" si="4"/>
        <v>Pass</v>
      </c>
      <c r="F154" s="28" t="str">
        <f t="array" ref="F154">INDEX('raw-sheet'!$A$2:$ZZ$1000, ROW(F153), MATCH(F$1, 'raw-sheet'!$A$1:$ZZ$1, 0))</f>
        <v>保養_x000D_ – Page 3 | INNISFREE Taiwan</v>
      </c>
      <c r="G154" s="30" t="s">
        <v>11</v>
      </c>
      <c r="H154" s="28">
        <f t="array" ref="H154">INDEX('raw-sheet'!$A$2:$ZZ$1000, ROW(H153), MATCH(H$1, 'raw-sheet'!$A$1:$ZZ$1, 0))</f>
        <v>0</v>
      </c>
      <c r="I154" s="30" t="s">
        <v>61</v>
      </c>
      <c r="J154" s="28" t="str">
        <f t="array" ref="J154">INDEX('raw-sheet'!$A$2:$ZZ$1000, ROW(J153), MATCH(J$1, 'raw-sheet'!$A$1:$ZZ$1, 0))</f>
        <v>保養</v>
      </c>
      <c r="K154" s="28" t="str">
        <f t="array" ref="K154">INDEX('raw-sheet'!$A$2:$ZZ$1000, ROW(K153), MATCH(K$1, 'raw-sheet'!$A$1:$ZZ$1, 0))</f>
        <v>1</v>
      </c>
      <c r="L154" s="30" t="s">
        <v>60</v>
      </c>
      <c r="M154" s="28" t="str">
        <f t="array" ref="M154">INDEX('raw-sheet'!$A$2:$ZZ$1000, ROW(M153), MATCH(M$1, 'raw-sheet'!$A$1:$ZZ$1, 0))</f>
        <v>https://innisfree-taiwan.myshopify.com/collections/maintainance?page=3</v>
      </c>
      <c r="N154" s="30" t="str">
        <f t="shared" si="5"/>
        <v>Pass</v>
      </c>
      <c r="O154" s="28" t="str">
        <f t="array" ref="O154">INDEX('raw-sheet'!$A$2:$ZZ$1000, ROW(O153), MATCH(O$1, 'raw-sheet'!$A$1:$ZZ$1, 0))</f>
        <v>保養 | INNISFREE Taiwan</v>
      </c>
      <c r="P154" s="28" t="str">
        <f t="array" ref="P154">INDEX('raw-sheet'!$A$2:$ZZ$1000, ROW(P153),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4" s="28" t="str">
        <f t="array" ref="Q154">INDEX('raw-sheet'!$A$2:$ZZ$1000, ROW(Q153), MATCH(Q$1, 'raw-sheet'!$A$1:$ZZ$1, 0))</f>
        <v>website</v>
      </c>
      <c r="R154" s="28" t="str">
        <f t="array" ref="R154">INDEX('raw-sheet'!$A$2:$ZZ$1000, ROW(R153), MATCH(R$1, 'raw-sheet'!$A$1:$ZZ$1, 0))</f>
        <v>INNISFREE Taiwan</v>
      </c>
      <c r="S154" s="28" t="str">
        <f t="array" ref="S154">INDEX('raw-sheet'!$A$2:$ZZ$1000, ROW(S153), MATCH(S$1, 'raw-sheet'!$A$1:$ZZ$1, 0))</f>
        <v>http://innisfree-taiwan.myshopify.com/cdn/shop/files/logo.png?v=1767594135</v>
      </c>
      <c r="T154" s="28" t="str">
        <f t="array" ref="T154">INDEX('raw-sheet'!$A$2:$ZZ$1000, ROW(T153), MATCH(T$1, 'raw-sheet'!$A$1:$ZZ$1, 0))</f>
        <v>https://innisfree-taiwan.myshopify.com/cdn/shop/files/logo.png?v=1767594135</v>
      </c>
      <c r="U154" s="28" t="str">
        <f t="array" ref="U154">INDEX('raw-sheet'!$A$2:$ZZ$1000, ROW(U153), MATCH(U$1, 'raw-sheet'!$A$1:$ZZ$1, 0))</f>
        <v>https://innisfree-taiwan.myshopify.com/collections/maintainance?page=3</v>
      </c>
      <c r="V154" s="28" t="str">
        <f t="array" ref="V154">INDEX('raw-sheet'!$A$2:$ZZ$1000, ROW(V153), MATCH(V$1, 'raw-sheet'!$A$1:$ZZ$1, 0))</f>
        <v>保養 | INNISFREE Taiwan</v>
      </c>
      <c r="W154" s="28" t="str">
        <f t="array" ref="W154">INDEX('raw-sheet'!$A$2:$ZZ$1000, ROW(W153),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4" s="28" t="str">
        <f t="array" ref="X154">INDEX('raw-sheet'!$A$2:$ZZ$1000, ROW(X153), MATCH(X$1, 'raw-sheet'!$A$1:$ZZ$1, 0))</f>
        <v>summary_large_image</v>
      </c>
      <c r="Y154" s="30" t="s">
        <v>62</v>
      </c>
      <c r="Z154" s="28" t="str">
        <f>VLOOKUP($A154,'raw-schema'!$A:$R,14,0)</f>
        <v>Organization</v>
      </c>
      <c r="AA154" s="28">
        <f>VLOOKUP($A154,'raw-schema'!$A:$R,15,0)</f>
        <v>0</v>
      </c>
      <c r="AB154" s="28">
        <f>VLOOKUP($A154,'raw-schema'!$A:$R,16,0)</f>
        <v>0</v>
      </c>
      <c r="AC154" s="28">
        <f>VLOOKUP($A154,'raw-schema'!$A:$R,17,0)</f>
        <v>0</v>
      </c>
      <c r="AD154" s="28">
        <f>VLOOKUP($A154,'raw-schema'!$A:$R,18,0)</f>
        <v>0</v>
      </c>
      <c r="AE154" s="30" t="s">
        <v>66</v>
      </c>
      <c r="AF154" t="s">
        <v>65</v>
      </c>
    </row>
    <row r="155" spans="1:32" x14ac:dyDescent="0.3">
      <c r="A155" s="28" t="str">
        <f t="array" ref="A155">INDEX('raw-sheet'!$A$2:$ZZ$1000, ROW(A154), MATCH(A$1, 'raw-sheet'!$A$1:$ZZ$1, 0))</f>
        <v>https://innisfree-taiwan.myshopify.com/collections/maintainance?page=4</v>
      </c>
      <c r="B155" s="30" t="s">
        <v>11</v>
      </c>
      <c r="C155" s="28" t="str">
        <f t="array" ref="C155">INDEX('raw-sheet'!$A$2:$ZZ$1000, ROW(C154), MATCH(C$1, 'raw-sheet'!$A$1:$ZZ$1, 0))</f>
        <v>Product List</v>
      </c>
      <c r="D155" s="28">
        <f t="array" ref="D155">INDEX('raw-sheet'!$A$2:$ZZ$1000, ROW(D154), MATCH(D$1, 'raw-sheet'!$A$1:$ZZ$1, 0))</f>
        <v>200</v>
      </c>
      <c r="E155" s="30" t="str">
        <f t="shared" si="4"/>
        <v>Pass</v>
      </c>
      <c r="F155" s="28" t="str">
        <f t="array" ref="F155">INDEX('raw-sheet'!$A$2:$ZZ$1000, ROW(F154), MATCH(F$1, 'raw-sheet'!$A$1:$ZZ$1, 0))</f>
        <v>保養_x000D_ – Page 4 | INNISFREE Taiwan</v>
      </c>
      <c r="G155" s="30" t="s">
        <v>11</v>
      </c>
      <c r="H155" s="28">
        <f t="array" ref="H155">INDEX('raw-sheet'!$A$2:$ZZ$1000, ROW(H154), MATCH(H$1, 'raw-sheet'!$A$1:$ZZ$1, 0))</f>
        <v>0</v>
      </c>
      <c r="I155" s="30" t="s">
        <v>61</v>
      </c>
      <c r="J155" s="28" t="str">
        <f t="array" ref="J155">INDEX('raw-sheet'!$A$2:$ZZ$1000, ROW(J154), MATCH(J$1, 'raw-sheet'!$A$1:$ZZ$1, 0))</f>
        <v>保養</v>
      </c>
      <c r="K155" s="28" t="str">
        <f t="array" ref="K155">INDEX('raw-sheet'!$A$2:$ZZ$1000, ROW(K154), MATCH(K$1, 'raw-sheet'!$A$1:$ZZ$1, 0))</f>
        <v>1</v>
      </c>
      <c r="L155" s="30" t="s">
        <v>60</v>
      </c>
      <c r="M155" s="28" t="str">
        <f t="array" ref="M155">INDEX('raw-sheet'!$A$2:$ZZ$1000, ROW(M154), MATCH(M$1, 'raw-sheet'!$A$1:$ZZ$1, 0))</f>
        <v>https://innisfree-taiwan.myshopify.com/collections/maintainance?page=4</v>
      </c>
      <c r="N155" s="30" t="str">
        <f t="shared" si="5"/>
        <v>Pass</v>
      </c>
      <c r="O155" s="28" t="str">
        <f t="array" ref="O155">INDEX('raw-sheet'!$A$2:$ZZ$1000, ROW(O154), MATCH(O$1, 'raw-sheet'!$A$1:$ZZ$1, 0))</f>
        <v>保養 | INNISFREE Taiwan</v>
      </c>
      <c r="P155" s="28" t="str">
        <f t="array" ref="P155">INDEX('raw-sheet'!$A$2:$ZZ$1000, ROW(P154),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5" s="28" t="str">
        <f t="array" ref="Q155">INDEX('raw-sheet'!$A$2:$ZZ$1000, ROW(Q154), MATCH(Q$1, 'raw-sheet'!$A$1:$ZZ$1, 0))</f>
        <v>website</v>
      </c>
      <c r="R155" s="28" t="str">
        <f t="array" ref="R155">INDEX('raw-sheet'!$A$2:$ZZ$1000, ROW(R154), MATCH(R$1, 'raw-sheet'!$A$1:$ZZ$1, 0))</f>
        <v>INNISFREE Taiwan</v>
      </c>
      <c r="S155" s="28" t="str">
        <f t="array" ref="S155">INDEX('raw-sheet'!$A$2:$ZZ$1000, ROW(S154), MATCH(S$1, 'raw-sheet'!$A$1:$ZZ$1, 0))</f>
        <v>http://innisfree-taiwan.myshopify.com/cdn/shop/files/logo.png?v=1767594135</v>
      </c>
      <c r="T155" s="28" t="str">
        <f t="array" ref="T155">INDEX('raw-sheet'!$A$2:$ZZ$1000, ROW(T154), MATCH(T$1, 'raw-sheet'!$A$1:$ZZ$1, 0))</f>
        <v>https://innisfree-taiwan.myshopify.com/cdn/shop/files/logo.png?v=1767594135</v>
      </c>
      <c r="U155" s="28" t="str">
        <f t="array" ref="U155">INDEX('raw-sheet'!$A$2:$ZZ$1000, ROW(U154), MATCH(U$1, 'raw-sheet'!$A$1:$ZZ$1, 0))</f>
        <v>https://innisfree-taiwan.myshopify.com/collections/maintainance?page=4</v>
      </c>
      <c r="V155" s="28" t="str">
        <f t="array" ref="V155">INDEX('raw-sheet'!$A$2:$ZZ$1000, ROW(V154), MATCH(V$1, 'raw-sheet'!$A$1:$ZZ$1, 0))</f>
        <v>保養 | INNISFREE Taiwan</v>
      </c>
      <c r="W155" s="28" t="str">
        <f t="array" ref="W155">INDEX('raw-sheet'!$A$2:$ZZ$1000, ROW(W154),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5" s="28" t="str">
        <f t="array" ref="X155">INDEX('raw-sheet'!$A$2:$ZZ$1000, ROW(X154), MATCH(X$1, 'raw-sheet'!$A$1:$ZZ$1, 0))</f>
        <v>summary_large_image</v>
      </c>
      <c r="Y155" s="30" t="s">
        <v>62</v>
      </c>
      <c r="Z155" s="28" t="str">
        <f>VLOOKUP($A155,'raw-schema'!$A:$R,14,0)</f>
        <v>Organization</v>
      </c>
      <c r="AA155" s="28">
        <f>VLOOKUP($A155,'raw-schema'!$A:$R,15,0)</f>
        <v>0</v>
      </c>
      <c r="AB155" s="28">
        <f>VLOOKUP($A155,'raw-schema'!$A:$R,16,0)</f>
        <v>0</v>
      </c>
      <c r="AC155" s="28">
        <f>VLOOKUP($A155,'raw-schema'!$A:$R,17,0)</f>
        <v>0</v>
      </c>
      <c r="AD155" s="28">
        <f>VLOOKUP($A155,'raw-schema'!$A:$R,18,0)</f>
        <v>0</v>
      </c>
      <c r="AE155" s="30" t="s">
        <v>66</v>
      </c>
      <c r="AF155" t="s">
        <v>65</v>
      </c>
    </row>
    <row r="156" spans="1:32" x14ac:dyDescent="0.3">
      <c r="A156" s="28" t="str">
        <f t="array" ref="A156">INDEX('raw-sheet'!$A$2:$ZZ$1000, ROW(A155), MATCH(A$1, 'raw-sheet'!$A$1:$ZZ$1, 0))</f>
        <v>https://innisfree-taiwan.myshopify.com/collections/maintainance?page=5</v>
      </c>
      <c r="B156" s="30" t="s">
        <v>11</v>
      </c>
      <c r="C156" s="28" t="str">
        <f t="array" ref="C156">INDEX('raw-sheet'!$A$2:$ZZ$1000, ROW(C155), MATCH(C$1, 'raw-sheet'!$A$1:$ZZ$1, 0))</f>
        <v>Product List</v>
      </c>
      <c r="D156" s="28">
        <f t="array" ref="D156">INDEX('raw-sheet'!$A$2:$ZZ$1000, ROW(D155), MATCH(D$1, 'raw-sheet'!$A$1:$ZZ$1, 0))</f>
        <v>200</v>
      </c>
      <c r="E156" s="30" t="str">
        <f t="shared" si="4"/>
        <v>Pass</v>
      </c>
      <c r="F156" s="28" t="str">
        <f t="array" ref="F156">INDEX('raw-sheet'!$A$2:$ZZ$1000, ROW(F155), MATCH(F$1, 'raw-sheet'!$A$1:$ZZ$1, 0))</f>
        <v>保養_x000D_ – Page 5 | INNISFREE Taiwan</v>
      </c>
      <c r="G156" s="30" t="s">
        <v>11</v>
      </c>
      <c r="H156" s="28">
        <f t="array" ref="H156">INDEX('raw-sheet'!$A$2:$ZZ$1000, ROW(H155), MATCH(H$1, 'raw-sheet'!$A$1:$ZZ$1, 0))</f>
        <v>0</v>
      </c>
      <c r="I156" s="30" t="s">
        <v>61</v>
      </c>
      <c r="J156" s="28" t="str">
        <f t="array" ref="J156">INDEX('raw-sheet'!$A$2:$ZZ$1000, ROW(J155), MATCH(J$1, 'raw-sheet'!$A$1:$ZZ$1, 0))</f>
        <v>保養</v>
      </c>
      <c r="K156" s="28" t="str">
        <f t="array" ref="K156">INDEX('raw-sheet'!$A$2:$ZZ$1000, ROW(K155), MATCH(K$1, 'raw-sheet'!$A$1:$ZZ$1, 0))</f>
        <v>1</v>
      </c>
      <c r="L156" s="30" t="s">
        <v>60</v>
      </c>
      <c r="M156" s="28" t="str">
        <f t="array" ref="M156">INDEX('raw-sheet'!$A$2:$ZZ$1000, ROW(M155), MATCH(M$1, 'raw-sheet'!$A$1:$ZZ$1, 0))</f>
        <v>https://innisfree-taiwan.myshopify.com/collections/maintainance?page=5</v>
      </c>
      <c r="N156" s="30" t="str">
        <f t="shared" si="5"/>
        <v>Pass</v>
      </c>
      <c r="O156" s="28" t="str">
        <f t="array" ref="O156">INDEX('raw-sheet'!$A$2:$ZZ$1000, ROW(O155), MATCH(O$1, 'raw-sheet'!$A$1:$ZZ$1, 0))</f>
        <v>保養 | INNISFREE Taiwan</v>
      </c>
      <c r="P156" s="28" t="str">
        <f t="array" ref="P156">INDEX('raw-sheet'!$A$2:$ZZ$1000, ROW(P155),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6" s="28" t="str">
        <f t="array" ref="Q156">INDEX('raw-sheet'!$A$2:$ZZ$1000, ROW(Q155), MATCH(Q$1, 'raw-sheet'!$A$1:$ZZ$1, 0))</f>
        <v>website</v>
      </c>
      <c r="R156" s="28" t="str">
        <f t="array" ref="R156">INDEX('raw-sheet'!$A$2:$ZZ$1000, ROW(R155), MATCH(R$1, 'raw-sheet'!$A$1:$ZZ$1, 0))</f>
        <v>INNISFREE Taiwan</v>
      </c>
      <c r="S156" s="28" t="str">
        <f t="array" ref="S156">INDEX('raw-sheet'!$A$2:$ZZ$1000, ROW(S155), MATCH(S$1, 'raw-sheet'!$A$1:$ZZ$1, 0))</f>
        <v>http://innisfree-taiwan.myshopify.com/cdn/shop/files/logo.png?v=1767594135</v>
      </c>
      <c r="T156" s="28" t="str">
        <f t="array" ref="T156">INDEX('raw-sheet'!$A$2:$ZZ$1000, ROW(T155), MATCH(T$1, 'raw-sheet'!$A$1:$ZZ$1, 0))</f>
        <v>https://innisfree-taiwan.myshopify.com/cdn/shop/files/logo.png?v=1767594135</v>
      </c>
      <c r="U156" s="28" t="str">
        <f t="array" ref="U156">INDEX('raw-sheet'!$A$2:$ZZ$1000, ROW(U155), MATCH(U$1, 'raw-sheet'!$A$1:$ZZ$1, 0))</f>
        <v>https://innisfree-taiwan.myshopify.com/collections/maintainance?page=5</v>
      </c>
      <c r="V156" s="28" t="str">
        <f t="array" ref="V156">INDEX('raw-sheet'!$A$2:$ZZ$1000, ROW(V155), MATCH(V$1, 'raw-sheet'!$A$1:$ZZ$1, 0))</f>
        <v>保養 | INNISFREE Taiwan</v>
      </c>
      <c r="W156" s="28" t="str">
        <f t="array" ref="W156">INDEX('raw-sheet'!$A$2:$ZZ$1000, ROW(W155),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6" s="28" t="str">
        <f t="array" ref="X156">INDEX('raw-sheet'!$A$2:$ZZ$1000, ROW(X155), MATCH(X$1, 'raw-sheet'!$A$1:$ZZ$1, 0))</f>
        <v>summary_large_image</v>
      </c>
      <c r="Y156" s="30" t="s">
        <v>62</v>
      </c>
      <c r="Z156" s="28" t="str">
        <f>VLOOKUP($A156,'raw-schema'!$A:$R,14,0)</f>
        <v>Organization</v>
      </c>
      <c r="AA156" s="28">
        <f>VLOOKUP($A156,'raw-schema'!$A:$R,15,0)</f>
        <v>0</v>
      </c>
      <c r="AB156" s="28">
        <f>VLOOKUP($A156,'raw-schema'!$A:$R,16,0)</f>
        <v>0</v>
      </c>
      <c r="AC156" s="28">
        <f>VLOOKUP($A156,'raw-schema'!$A:$R,17,0)</f>
        <v>0</v>
      </c>
      <c r="AD156" s="28">
        <f>VLOOKUP($A156,'raw-schema'!$A:$R,18,0)</f>
        <v>0</v>
      </c>
      <c r="AE156" s="30" t="s">
        <v>66</v>
      </c>
      <c r="AF156" t="s">
        <v>65</v>
      </c>
    </row>
    <row r="157" spans="1:32" x14ac:dyDescent="0.3">
      <c r="A157" s="28" t="str">
        <f t="array" ref="A157">INDEX('raw-sheet'!$A$2:$ZZ$1000, ROW(A156), MATCH(A$1, 'raw-sheet'!$A$1:$ZZ$1, 0))</f>
        <v>https://innisfree-taiwan.myshopify.com/collections/maintainance?page=6</v>
      </c>
      <c r="B157" s="30" t="s">
        <v>11</v>
      </c>
      <c r="C157" s="28" t="str">
        <f t="array" ref="C157">INDEX('raw-sheet'!$A$2:$ZZ$1000, ROW(C156), MATCH(C$1, 'raw-sheet'!$A$1:$ZZ$1, 0))</f>
        <v>Product List</v>
      </c>
      <c r="D157" s="28">
        <f t="array" ref="D157">INDEX('raw-sheet'!$A$2:$ZZ$1000, ROW(D156), MATCH(D$1, 'raw-sheet'!$A$1:$ZZ$1, 0))</f>
        <v>200</v>
      </c>
      <c r="E157" s="30" t="str">
        <f t="shared" si="4"/>
        <v>Pass</v>
      </c>
      <c r="F157" s="28" t="str">
        <f t="array" ref="F157">INDEX('raw-sheet'!$A$2:$ZZ$1000, ROW(F156), MATCH(F$1, 'raw-sheet'!$A$1:$ZZ$1, 0))</f>
        <v>保養_x000D_ – Page 6 | INNISFREE Taiwan</v>
      </c>
      <c r="G157" s="30" t="s">
        <v>11</v>
      </c>
      <c r="H157" s="28">
        <f t="array" ref="H157">INDEX('raw-sheet'!$A$2:$ZZ$1000, ROW(H156), MATCH(H$1, 'raw-sheet'!$A$1:$ZZ$1, 0))</f>
        <v>0</v>
      </c>
      <c r="I157" s="30" t="s">
        <v>61</v>
      </c>
      <c r="J157" s="28" t="str">
        <f t="array" ref="J157">INDEX('raw-sheet'!$A$2:$ZZ$1000, ROW(J156), MATCH(J$1, 'raw-sheet'!$A$1:$ZZ$1, 0))</f>
        <v>保養</v>
      </c>
      <c r="K157" s="28" t="str">
        <f t="array" ref="K157">INDEX('raw-sheet'!$A$2:$ZZ$1000, ROW(K156), MATCH(K$1, 'raw-sheet'!$A$1:$ZZ$1, 0))</f>
        <v>1</v>
      </c>
      <c r="L157" s="30" t="s">
        <v>60</v>
      </c>
      <c r="M157" s="28" t="str">
        <f t="array" ref="M157">INDEX('raw-sheet'!$A$2:$ZZ$1000, ROW(M156), MATCH(M$1, 'raw-sheet'!$A$1:$ZZ$1, 0))</f>
        <v>https://innisfree-taiwan.myshopify.com/collections/maintainance?page=6</v>
      </c>
      <c r="N157" s="30" t="str">
        <f t="shared" si="5"/>
        <v>Pass</v>
      </c>
      <c r="O157" s="28" t="str">
        <f t="array" ref="O157">INDEX('raw-sheet'!$A$2:$ZZ$1000, ROW(O156), MATCH(O$1, 'raw-sheet'!$A$1:$ZZ$1, 0))</f>
        <v>保養 | INNISFREE Taiwan</v>
      </c>
      <c r="P157" s="28" t="str">
        <f t="array" ref="P157">INDEX('raw-sheet'!$A$2:$ZZ$1000, ROW(P156),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7" s="28" t="str">
        <f t="array" ref="Q157">INDEX('raw-sheet'!$A$2:$ZZ$1000, ROW(Q156), MATCH(Q$1, 'raw-sheet'!$A$1:$ZZ$1, 0))</f>
        <v>website</v>
      </c>
      <c r="R157" s="28" t="str">
        <f t="array" ref="R157">INDEX('raw-sheet'!$A$2:$ZZ$1000, ROW(R156), MATCH(R$1, 'raw-sheet'!$A$1:$ZZ$1, 0))</f>
        <v>INNISFREE Taiwan</v>
      </c>
      <c r="S157" s="28" t="str">
        <f t="array" ref="S157">INDEX('raw-sheet'!$A$2:$ZZ$1000, ROW(S156), MATCH(S$1, 'raw-sheet'!$A$1:$ZZ$1, 0))</f>
        <v>http://innisfree-taiwan.myshopify.com/cdn/shop/files/logo.png?v=1767594135</v>
      </c>
      <c r="T157" s="28" t="str">
        <f t="array" ref="T157">INDEX('raw-sheet'!$A$2:$ZZ$1000, ROW(T156), MATCH(T$1, 'raw-sheet'!$A$1:$ZZ$1, 0))</f>
        <v>https://innisfree-taiwan.myshopify.com/cdn/shop/files/logo.png?v=1767594135</v>
      </c>
      <c r="U157" s="28" t="str">
        <f t="array" ref="U157">INDEX('raw-sheet'!$A$2:$ZZ$1000, ROW(U156), MATCH(U$1, 'raw-sheet'!$A$1:$ZZ$1, 0))</f>
        <v>https://innisfree-taiwan.myshopify.com/collections/maintainance?page=6</v>
      </c>
      <c r="V157" s="28" t="str">
        <f t="array" ref="V157">INDEX('raw-sheet'!$A$2:$ZZ$1000, ROW(V156), MATCH(V$1, 'raw-sheet'!$A$1:$ZZ$1, 0))</f>
        <v>保養 | INNISFREE Taiwan</v>
      </c>
      <c r="W157" s="28" t="str">
        <f t="array" ref="W157">INDEX('raw-sheet'!$A$2:$ZZ$1000, ROW(W156),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7" s="28" t="str">
        <f t="array" ref="X157">INDEX('raw-sheet'!$A$2:$ZZ$1000, ROW(X156), MATCH(X$1, 'raw-sheet'!$A$1:$ZZ$1, 0))</f>
        <v>summary_large_image</v>
      </c>
      <c r="Y157" s="30" t="s">
        <v>62</v>
      </c>
      <c r="Z157" s="28" t="str">
        <f>VLOOKUP($A157,'raw-schema'!$A:$R,14,0)</f>
        <v>Organization</v>
      </c>
      <c r="AA157" s="28">
        <f>VLOOKUP($A157,'raw-schema'!$A:$R,15,0)</f>
        <v>0</v>
      </c>
      <c r="AB157" s="28">
        <f>VLOOKUP($A157,'raw-schema'!$A:$R,16,0)</f>
        <v>0</v>
      </c>
      <c r="AC157" s="28">
        <f>VLOOKUP($A157,'raw-schema'!$A:$R,17,0)</f>
        <v>0</v>
      </c>
      <c r="AD157" s="28">
        <f>VLOOKUP($A157,'raw-schema'!$A:$R,18,0)</f>
        <v>0</v>
      </c>
      <c r="AE157" s="30" t="s">
        <v>66</v>
      </c>
      <c r="AF157" t="s">
        <v>65</v>
      </c>
    </row>
    <row r="158" spans="1:32" x14ac:dyDescent="0.3">
      <c r="A158" s="28" t="str">
        <f t="array" ref="A158">INDEX('raw-sheet'!$A$2:$ZZ$1000, ROW(A157), MATCH(A$1, 'raw-sheet'!$A$1:$ZZ$1, 0))</f>
        <v>https://innisfree-taiwan.myshopify.com/collections/maintainance?page=7</v>
      </c>
      <c r="B158" s="30" t="s">
        <v>11</v>
      </c>
      <c r="C158" s="28" t="str">
        <f t="array" ref="C158">INDEX('raw-sheet'!$A$2:$ZZ$1000, ROW(C157), MATCH(C$1, 'raw-sheet'!$A$1:$ZZ$1, 0))</f>
        <v>Product List</v>
      </c>
      <c r="D158" s="28">
        <f t="array" ref="D158">INDEX('raw-sheet'!$A$2:$ZZ$1000, ROW(D157), MATCH(D$1, 'raw-sheet'!$A$1:$ZZ$1, 0))</f>
        <v>200</v>
      </c>
      <c r="E158" s="30" t="str">
        <f t="shared" si="4"/>
        <v>Pass</v>
      </c>
      <c r="F158" s="28" t="str">
        <f t="array" ref="F158">INDEX('raw-sheet'!$A$2:$ZZ$1000, ROW(F157), MATCH(F$1, 'raw-sheet'!$A$1:$ZZ$1, 0))</f>
        <v>保養_x000D_ – Page 7 | INNISFREE Taiwan</v>
      </c>
      <c r="G158" s="30" t="s">
        <v>11</v>
      </c>
      <c r="H158" s="28">
        <f t="array" ref="H158">INDEX('raw-sheet'!$A$2:$ZZ$1000, ROW(H157), MATCH(H$1, 'raw-sheet'!$A$1:$ZZ$1, 0))</f>
        <v>0</v>
      </c>
      <c r="I158" s="30" t="s">
        <v>61</v>
      </c>
      <c r="J158" s="28" t="str">
        <f t="array" ref="J158">INDEX('raw-sheet'!$A$2:$ZZ$1000, ROW(J157), MATCH(J$1, 'raw-sheet'!$A$1:$ZZ$1, 0))</f>
        <v>保養</v>
      </c>
      <c r="K158" s="28" t="str">
        <f t="array" ref="K158">INDEX('raw-sheet'!$A$2:$ZZ$1000, ROW(K157), MATCH(K$1, 'raw-sheet'!$A$1:$ZZ$1, 0))</f>
        <v>1</v>
      </c>
      <c r="L158" s="30" t="s">
        <v>60</v>
      </c>
      <c r="M158" s="28" t="str">
        <f t="array" ref="M158">INDEX('raw-sheet'!$A$2:$ZZ$1000, ROW(M157), MATCH(M$1, 'raw-sheet'!$A$1:$ZZ$1, 0))</f>
        <v>https://innisfree-taiwan.myshopify.com/collections/maintainance?page=7</v>
      </c>
      <c r="N158" s="30" t="str">
        <f t="shared" si="5"/>
        <v>Pass</v>
      </c>
      <c r="O158" s="28" t="str">
        <f t="array" ref="O158">INDEX('raw-sheet'!$A$2:$ZZ$1000, ROW(O157), MATCH(O$1, 'raw-sheet'!$A$1:$ZZ$1, 0))</f>
        <v>保養 | INNISFREE Taiwan</v>
      </c>
      <c r="P158" s="28" t="str">
        <f t="array" ref="P158">INDEX('raw-sheet'!$A$2:$ZZ$1000, ROW(P157),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8" s="28" t="str">
        <f t="array" ref="Q158">INDEX('raw-sheet'!$A$2:$ZZ$1000, ROW(Q157), MATCH(Q$1, 'raw-sheet'!$A$1:$ZZ$1, 0))</f>
        <v>website</v>
      </c>
      <c r="R158" s="28" t="str">
        <f t="array" ref="R158">INDEX('raw-sheet'!$A$2:$ZZ$1000, ROW(R157), MATCH(R$1, 'raw-sheet'!$A$1:$ZZ$1, 0))</f>
        <v>INNISFREE Taiwan</v>
      </c>
      <c r="S158" s="28" t="str">
        <f t="array" ref="S158">INDEX('raw-sheet'!$A$2:$ZZ$1000, ROW(S157), MATCH(S$1, 'raw-sheet'!$A$1:$ZZ$1, 0))</f>
        <v>http://innisfree-taiwan.myshopify.com/cdn/shop/files/logo.png?v=1767594135</v>
      </c>
      <c r="T158" s="28" t="str">
        <f t="array" ref="T158">INDEX('raw-sheet'!$A$2:$ZZ$1000, ROW(T157), MATCH(T$1, 'raw-sheet'!$A$1:$ZZ$1, 0))</f>
        <v>https://innisfree-taiwan.myshopify.com/cdn/shop/files/logo.png?v=1767594135</v>
      </c>
      <c r="U158" s="28" t="str">
        <f t="array" ref="U158">INDEX('raw-sheet'!$A$2:$ZZ$1000, ROW(U157), MATCH(U$1, 'raw-sheet'!$A$1:$ZZ$1, 0))</f>
        <v>https://innisfree-taiwan.myshopify.com/collections/maintainance?page=7</v>
      </c>
      <c r="V158" s="28" t="str">
        <f t="array" ref="V158">INDEX('raw-sheet'!$A$2:$ZZ$1000, ROW(V157), MATCH(V$1, 'raw-sheet'!$A$1:$ZZ$1, 0))</f>
        <v>保養 | INNISFREE Taiwan</v>
      </c>
      <c r="W158" s="28" t="str">
        <f t="array" ref="W158">INDEX('raw-sheet'!$A$2:$ZZ$1000, ROW(W157),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8" s="28" t="str">
        <f t="array" ref="X158">INDEX('raw-sheet'!$A$2:$ZZ$1000, ROW(X157), MATCH(X$1, 'raw-sheet'!$A$1:$ZZ$1, 0))</f>
        <v>summary_large_image</v>
      </c>
      <c r="Y158" s="30" t="s">
        <v>62</v>
      </c>
      <c r="Z158" s="28" t="str">
        <f>VLOOKUP($A158,'raw-schema'!$A:$R,14,0)</f>
        <v>Organization</v>
      </c>
      <c r="AA158" s="28">
        <f>VLOOKUP($A158,'raw-schema'!$A:$R,15,0)</f>
        <v>0</v>
      </c>
      <c r="AB158" s="28">
        <f>VLOOKUP($A158,'raw-schema'!$A:$R,16,0)</f>
        <v>0</v>
      </c>
      <c r="AC158" s="28">
        <f>VLOOKUP($A158,'raw-schema'!$A:$R,17,0)</f>
        <v>0</v>
      </c>
      <c r="AD158" s="28">
        <f>VLOOKUP($A158,'raw-schema'!$A:$R,18,0)</f>
        <v>0</v>
      </c>
      <c r="AE158" s="30" t="s">
        <v>66</v>
      </c>
      <c r="AF158" t="s">
        <v>65</v>
      </c>
    </row>
    <row r="159" spans="1:32" x14ac:dyDescent="0.3">
      <c r="A159" s="28" t="str">
        <f t="array" ref="A159">INDEX('raw-sheet'!$A$2:$ZZ$1000, ROW(A158), MATCH(A$1, 'raw-sheet'!$A$1:$ZZ$1, 0))</f>
        <v>https://innisfree-taiwan.myshopify.com/collections/maintainance?page=8</v>
      </c>
      <c r="B159" s="30" t="s">
        <v>11</v>
      </c>
      <c r="C159" s="28" t="str">
        <f t="array" ref="C159">INDEX('raw-sheet'!$A$2:$ZZ$1000, ROW(C158), MATCH(C$1, 'raw-sheet'!$A$1:$ZZ$1, 0))</f>
        <v>Product List</v>
      </c>
      <c r="D159" s="28">
        <f t="array" ref="D159">INDEX('raw-sheet'!$A$2:$ZZ$1000, ROW(D158), MATCH(D$1, 'raw-sheet'!$A$1:$ZZ$1, 0))</f>
        <v>200</v>
      </c>
      <c r="E159" s="30" t="str">
        <f t="shared" si="4"/>
        <v>Pass</v>
      </c>
      <c r="F159" s="28" t="str">
        <f t="array" ref="F159">INDEX('raw-sheet'!$A$2:$ZZ$1000, ROW(F158), MATCH(F$1, 'raw-sheet'!$A$1:$ZZ$1, 0))</f>
        <v>保養_x000D_ – Page 8 | INNISFREE Taiwan</v>
      </c>
      <c r="G159" s="30" t="s">
        <v>11</v>
      </c>
      <c r="H159" s="28">
        <f t="array" ref="H159">INDEX('raw-sheet'!$A$2:$ZZ$1000, ROW(H158), MATCH(H$1, 'raw-sheet'!$A$1:$ZZ$1, 0))</f>
        <v>0</v>
      </c>
      <c r="I159" s="30" t="s">
        <v>61</v>
      </c>
      <c r="J159" s="28" t="str">
        <f t="array" ref="J159">INDEX('raw-sheet'!$A$2:$ZZ$1000, ROW(J158), MATCH(J$1, 'raw-sheet'!$A$1:$ZZ$1, 0))</f>
        <v>保養</v>
      </c>
      <c r="K159" s="28" t="str">
        <f t="array" ref="K159">INDEX('raw-sheet'!$A$2:$ZZ$1000, ROW(K158), MATCH(K$1, 'raw-sheet'!$A$1:$ZZ$1, 0))</f>
        <v>1</v>
      </c>
      <c r="L159" s="30" t="s">
        <v>60</v>
      </c>
      <c r="M159" s="28" t="str">
        <f t="array" ref="M159">INDEX('raw-sheet'!$A$2:$ZZ$1000, ROW(M158), MATCH(M$1, 'raw-sheet'!$A$1:$ZZ$1, 0))</f>
        <v>https://innisfree-taiwan.myshopify.com/collections/maintainance?page=8</v>
      </c>
      <c r="N159" s="30" t="str">
        <f t="shared" si="5"/>
        <v>Pass</v>
      </c>
      <c r="O159" s="28" t="str">
        <f t="array" ref="O159">INDEX('raw-sheet'!$A$2:$ZZ$1000, ROW(O158), MATCH(O$1, 'raw-sheet'!$A$1:$ZZ$1, 0))</f>
        <v>保養 | INNISFREE Taiwan</v>
      </c>
      <c r="P159" s="28" t="str">
        <f t="array" ref="P159">INDEX('raw-sheet'!$A$2:$ZZ$1000, ROW(P158),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59" s="28" t="str">
        <f t="array" ref="Q159">INDEX('raw-sheet'!$A$2:$ZZ$1000, ROW(Q158), MATCH(Q$1, 'raw-sheet'!$A$1:$ZZ$1, 0))</f>
        <v>website</v>
      </c>
      <c r="R159" s="28" t="str">
        <f t="array" ref="R159">INDEX('raw-sheet'!$A$2:$ZZ$1000, ROW(R158), MATCH(R$1, 'raw-sheet'!$A$1:$ZZ$1, 0))</f>
        <v>INNISFREE Taiwan</v>
      </c>
      <c r="S159" s="28" t="str">
        <f t="array" ref="S159">INDEX('raw-sheet'!$A$2:$ZZ$1000, ROW(S158), MATCH(S$1, 'raw-sheet'!$A$1:$ZZ$1, 0))</f>
        <v>http://innisfree-taiwan.myshopify.com/cdn/shop/files/logo.png?v=1767594135</v>
      </c>
      <c r="T159" s="28" t="str">
        <f t="array" ref="T159">INDEX('raw-sheet'!$A$2:$ZZ$1000, ROW(T158), MATCH(T$1, 'raw-sheet'!$A$1:$ZZ$1, 0))</f>
        <v>https://innisfree-taiwan.myshopify.com/cdn/shop/files/logo.png?v=1767594135</v>
      </c>
      <c r="U159" s="28" t="str">
        <f t="array" ref="U159">INDEX('raw-sheet'!$A$2:$ZZ$1000, ROW(U158), MATCH(U$1, 'raw-sheet'!$A$1:$ZZ$1, 0))</f>
        <v>https://innisfree-taiwan.myshopify.com/collections/maintainance?page=8</v>
      </c>
      <c r="V159" s="28" t="str">
        <f t="array" ref="V159">INDEX('raw-sheet'!$A$2:$ZZ$1000, ROW(V158), MATCH(V$1, 'raw-sheet'!$A$1:$ZZ$1, 0))</f>
        <v>保養 | INNISFREE Taiwan</v>
      </c>
      <c r="W159" s="28" t="str">
        <f t="array" ref="W159">INDEX('raw-sheet'!$A$2:$ZZ$1000, ROW(W158),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59" s="28" t="str">
        <f t="array" ref="X159">INDEX('raw-sheet'!$A$2:$ZZ$1000, ROW(X158), MATCH(X$1, 'raw-sheet'!$A$1:$ZZ$1, 0))</f>
        <v>summary_large_image</v>
      </c>
      <c r="Y159" s="30" t="s">
        <v>62</v>
      </c>
      <c r="Z159" s="28" t="str">
        <f>VLOOKUP($A159,'raw-schema'!$A:$R,14,0)</f>
        <v>Organization</v>
      </c>
      <c r="AA159" s="28">
        <f>VLOOKUP($A159,'raw-schema'!$A:$R,15,0)</f>
        <v>0</v>
      </c>
      <c r="AB159" s="28">
        <f>VLOOKUP($A159,'raw-schema'!$A:$R,16,0)</f>
        <v>0</v>
      </c>
      <c r="AC159" s="28">
        <f>VLOOKUP($A159,'raw-schema'!$A:$R,17,0)</f>
        <v>0</v>
      </c>
      <c r="AD159" s="28">
        <f>VLOOKUP($A159,'raw-schema'!$A:$R,18,0)</f>
        <v>0</v>
      </c>
      <c r="AE159" s="30" t="s">
        <v>66</v>
      </c>
      <c r="AF159" t="s">
        <v>65</v>
      </c>
    </row>
    <row r="160" spans="1:32" x14ac:dyDescent="0.3">
      <c r="A160" s="28" t="str">
        <f t="array" ref="A160">INDEX('raw-sheet'!$A$2:$ZZ$1000, ROW(A159), MATCH(A$1, 'raw-sheet'!$A$1:$ZZ$1, 0))</f>
        <v>https://innisfree-taiwan.myshopify.com/collections/makeup</v>
      </c>
      <c r="B160" s="30" t="s">
        <v>11</v>
      </c>
      <c r="C160" s="28" t="str">
        <f t="array" ref="C160">INDEX('raw-sheet'!$A$2:$ZZ$1000, ROW(C159), MATCH(C$1, 'raw-sheet'!$A$1:$ZZ$1, 0))</f>
        <v>Product List</v>
      </c>
      <c r="D160" s="28">
        <f t="array" ref="D160">INDEX('raw-sheet'!$A$2:$ZZ$1000, ROW(D159), MATCH(D$1, 'raw-sheet'!$A$1:$ZZ$1, 0))</f>
        <v>200</v>
      </c>
      <c r="E160" s="30" t="str">
        <f t="shared" si="4"/>
        <v>Pass</v>
      </c>
      <c r="F160" s="28" t="str">
        <f t="array" ref="F160">INDEX('raw-sheet'!$A$2:$ZZ$1000, ROW(F159), MATCH(F$1, 'raw-sheet'!$A$1:$ZZ$1, 0))</f>
        <v>彩妝_x000D_ | INNISFREE Taiwan</v>
      </c>
      <c r="G160" s="30" t="s">
        <v>60</v>
      </c>
      <c r="H160" s="28">
        <f t="array" ref="H160">INDEX('raw-sheet'!$A$2:$ZZ$1000, ROW(H159), MATCH(H$1, 'raw-sheet'!$A$1:$ZZ$1, 0))</f>
        <v>0</v>
      </c>
      <c r="I160" s="30" t="s">
        <v>61</v>
      </c>
      <c r="J160" s="28" t="str">
        <f t="array" ref="J160">INDEX('raw-sheet'!$A$2:$ZZ$1000, ROW(J159), MATCH(J$1, 'raw-sheet'!$A$1:$ZZ$1, 0))</f>
        <v>彩妝</v>
      </c>
      <c r="K160" s="28" t="str">
        <f t="array" ref="K160">INDEX('raw-sheet'!$A$2:$ZZ$1000, ROW(K159), MATCH(K$1, 'raw-sheet'!$A$1:$ZZ$1, 0))</f>
        <v>1</v>
      </c>
      <c r="L160" s="30" t="s">
        <v>60</v>
      </c>
      <c r="M160" s="28" t="str">
        <f t="array" ref="M160">INDEX('raw-sheet'!$A$2:$ZZ$1000, ROW(M159), MATCH(M$1, 'raw-sheet'!$A$1:$ZZ$1, 0))</f>
        <v>https://innisfree-taiwan.myshopify.com/collections/makeup</v>
      </c>
      <c r="N160" s="30" t="str">
        <f t="shared" si="5"/>
        <v>Pass</v>
      </c>
      <c r="O160" s="28" t="str">
        <f t="array" ref="O160">INDEX('raw-sheet'!$A$2:$ZZ$1000, ROW(O159), MATCH(O$1, 'raw-sheet'!$A$1:$ZZ$1, 0))</f>
        <v>彩妝 | INNISFREE Taiwan</v>
      </c>
      <c r="P160" s="28" t="str">
        <f t="array" ref="P160">INDEX('raw-sheet'!$A$2:$ZZ$1000, ROW(P159),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0" s="28" t="str">
        <f t="array" ref="Q160">INDEX('raw-sheet'!$A$2:$ZZ$1000, ROW(Q159), MATCH(Q$1, 'raw-sheet'!$A$1:$ZZ$1, 0))</f>
        <v>website</v>
      </c>
      <c r="R160" s="28" t="str">
        <f t="array" ref="R160">INDEX('raw-sheet'!$A$2:$ZZ$1000, ROW(R159), MATCH(R$1, 'raw-sheet'!$A$1:$ZZ$1, 0))</f>
        <v>INNISFREE Taiwan</v>
      </c>
      <c r="S160" s="28" t="str">
        <f t="array" ref="S160">INDEX('raw-sheet'!$A$2:$ZZ$1000, ROW(S159), MATCH(S$1, 'raw-sheet'!$A$1:$ZZ$1, 0))</f>
        <v>http://innisfree-taiwan.myshopify.com/cdn/shop/files/logo.png?v=1767594135</v>
      </c>
      <c r="T160" s="28" t="str">
        <f t="array" ref="T160">INDEX('raw-sheet'!$A$2:$ZZ$1000, ROW(T159), MATCH(T$1, 'raw-sheet'!$A$1:$ZZ$1, 0))</f>
        <v>https://innisfree-taiwan.myshopify.com/cdn/shop/files/logo.png?v=1767594135</v>
      </c>
      <c r="U160" s="28" t="str">
        <f t="array" ref="U160">INDEX('raw-sheet'!$A$2:$ZZ$1000, ROW(U159), MATCH(U$1, 'raw-sheet'!$A$1:$ZZ$1, 0))</f>
        <v>https://innisfree-taiwan.myshopify.com/collections/makeup</v>
      </c>
      <c r="V160" s="28" t="str">
        <f t="array" ref="V160">INDEX('raw-sheet'!$A$2:$ZZ$1000, ROW(V159), MATCH(V$1, 'raw-sheet'!$A$1:$ZZ$1, 0))</f>
        <v>彩妝 | INNISFREE Taiwan</v>
      </c>
      <c r="W160" s="28" t="str">
        <f t="array" ref="W160">INDEX('raw-sheet'!$A$2:$ZZ$1000, ROW(W159),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0" s="28" t="str">
        <f t="array" ref="X160">INDEX('raw-sheet'!$A$2:$ZZ$1000, ROW(X159), MATCH(X$1, 'raw-sheet'!$A$1:$ZZ$1, 0))</f>
        <v>summary_large_image</v>
      </c>
      <c r="Y160" s="30" t="s">
        <v>62</v>
      </c>
      <c r="Z160" s="28" t="str">
        <f>VLOOKUP($A160,'raw-schema'!$A:$R,14,0)</f>
        <v>Organization</v>
      </c>
      <c r="AA160" s="28">
        <f>VLOOKUP($A160,'raw-schema'!$A:$R,15,0)</f>
        <v>0</v>
      </c>
      <c r="AB160" s="28">
        <f>VLOOKUP($A160,'raw-schema'!$A:$R,16,0)</f>
        <v>0</v>
      </c>
      <c r="AC160" s="28">
        <f>VLOOKUP($A160,'raw-schema'!$A:$R,17,0)</f>
        <v>0</v>
      </c>
      <c r="AD160" s="28">
        <f>VLOOKUP($A160,'raw-schema'!$A:$R,18,0)</f>
        <v>0</v>
      </c>
      <c r="AE160" s="30" t="s">
        <v>66</v>
      </c>
    </row>
    <row r="161" spans="1:32" x14ac:dyDescent="0.3">
      <c r="A161" s="28" t="str">
        <f t="array" ref="A161">INDEX('raw-sheet'!$A$2:$ZZ$1000, ROW(A160), MATCH(A$1, 'raw-sheet'!$A$1:$ZZ$1, 0))</f>
        <v>https://innisfree-taiwan.myshopify.com/collections/makeup-removal-cleansing</v>
      </c>
      <c r="B161" s="30" t="s">
        <v>11</v>
      </c>
      <c r="C161" s="28" t="str">
        <f t="array" ref="C161">INDEX('raw-sheet'!$A$2:$ZZ$1000, ROW(C160), MATCH(C$1, 'raw-sheet'!$A$1:$ZZ$1, 0))</f>
        <v>Product List</v>
      </c>
      <c r="D161" s="28">
        <f t="array" ref="D161">INDEX('raw-sheet'!$A$2:$ZZ$1000, ROW(D160), MATCH(D$1, 'raw-sheet'!$A$1:$ZZ$1, 0))</f>
        <v>200</v>
      </c>
      <c r="E161" s="30" t="str">
        <f t="shared" si="4"/>
        <v>Pass</v>
      </c>
      <c r="F161" s="28" t="str">
        <f t="array" ref="F161">INDEX('raw-sheet'!$A$2:$ZZ$1000, ROW(F160), MATCH(F$1, 'raw-sheet'!$A$1:$ZZ$1, 0))</f>
        <v>卸妝/潔顏_x000D_ | INNISFREE Taiwan</v>
      </c>
      <c r="G161" s="30" t="s">
        <v>11</v>
      </c>
      <c r="H161" s="28">
        <f t="array" ref="H161">INDEX('raw-sheet'!$A$2:$ZZ$1000, ROW(H160), MATCH(H$1, 'raw-sheet'!$A$1:$ZZ$1, 0))</f>
        <v>0</v>
      </c>
      <c r="I161" s="30" t="s">
        <v>61</v>
      </c>
      <c r="J161" s="28" t="str">
        <f t="array" ref="J161">INDEX('raw-sheet'!$A$2:$ZZ$1000, ROW(J160), MATCH(J$1, 'raw-sheet'!$A$1:$ZZ$1, 0))</f>
        <v>卸妝/潔顏</v>
      </c>
      <c r="K161" s="28" t="str">
        <f t="array" ref="K161">INDEX('raw-sheet'!$A$2:$ZZ$1000, ROW(K160), MATCH(K$1, 'raw-sheet'!$A$1:$ZZ$1, 0))</f>
        <v>1</v>
      </c>
      <c r="L161" s="30" t="s">
        <v>11</v>
      </c>
      <c r="M161" s="28" t="str">
        <f t="array" ref="M161">INDEX('raw-sheet'!$A$2:$ZZ$1000, ROW(M160), MATCH(M$1, 'raw-sheet'!$A$1:$ZZ$1, 0))</f>
        <v>https://innisfree-taiwan.myshopify.com/collections/makeup-removal-cleansing</v>
      </c>
      <c r="N161" s="30" t="str">
        <f t="shared" si="5"/>
        <v>Pass</v>
      </c>
      <c r="O161" s="28" t="str">
        <f t="array" ref="O161">INDEX('raw-sheet'!$A$2:$ZZ$1000, ROW(O160), MATCH(O$1, 'raw-sheet'!$A$1:$ZZ$1, 0))</f>
        <v>卸妝/潔顏 | INNISFREE Taiwan</v>
      </c>
      <c r="P161" s="28" t="str">
        <f t="array" ref="P161">INDEX('raw-sheet'!$A$2:$ZZ$1000, ROW(P160),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1" s="28" t="str">
        <f t="array" ref="Q161">INDEX('raw-sheet'!$A$2:$ZZ$1000, ROW(Q160), MATCH(Q$1, 'raw-sheet'!$A$1:$ZZ$1, 0))</f>
        <v>website</v>
      </c>
      <c r="R161" s="28" t="str">
        <f t="array" ref="R161">INDEX('raw-sheet'!$A$2:$ZZ$1000, ROW(R160), MATCH(R$1, 'raw-sheet'!$A$1:$ZZ$1, 0))</f>
        <v>INNISFREE Taiwan</v>
      </c>
      <c r="S161" s="28" t="str">
        <f t="array" ref="S161">INDEX('raw-sheet'!$A$2:$ZZ$1000, ROW(S160), MATCH(S$1, 'raw-sheet'!$A$1:$ZZ$1, 0))</f>
        <v>http://innisfree-taiwan.myshopify.com/cdn/shop/files/logo.png?v=1767594135</v>
      </c>
      <c r="T161" s="28" t="str">
        <f t="array" ref="T161">INDEX('raw-sheet'!$A$2:$ZZ$1000, ROW(T160), MATCH(T$1, 'raw-sheet'!$A$1:$ZZ$1, 0))</f>
        <v>https://innisfree-taiwan.myshopify.com/cdn/shop/files/logo.png?v=1767594135</v>
      </c>
      <c r="U161" s="28" t="str">
        <f t="array" ref="U161">INDEX('raw-sheet'!$A$2:$ZZ$1000, ROW(U160), MATCH(U$1, 'raw-sheet'!$A$1:$ZZ$1, 0))</f>
        <v>https://innisfree-taiwan.myshopify.com/collections/makeup-removal-cleansing</v>
      </c>
      <c r="V161" s="28" t="str">
        <f t="array" ref="V161">INDEX('raw-sheet'!$A$2:$ZZ$1000, ROW(V160), MATCH(V$1, 'raw-sheet'!$A$1:$ZZ$1, 0))</f>
        <v>卸妝/潔顏 | INNISFREE Taiwan</v>
      </c>
      <c r="W161" s="28" t="str">
        <f t="array" ref="W161">INDEX('raw-sheet'!$A$2:$ZZ$1000, ROW(W160),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1" s="28" t="str">
        <f t="array" ref="X161">INDEX('raw-sheet'!$A$2:$ZZ$1000, ROW(X160), MATCH(X$1, 'raw-sheet'!$A$1:$ZZ$1, 0))</f>
        <v>summary_large_image</v>
      </c>
      <c r="Y161" s="30" t="s">
        <v>56</v>
      </c>
      <c r="Z161" s="28" t="str">
        <f>VLOOKUP($A161,'raw-schema'!$A:$R,14,0)</f>
        <v>Organization</v>
      </c>
      <c r="AA161" s="28">
        <f>VLOOKUP($A161,'raw-schema'!$A:$R,15,0)</f>
        <v>0</v>
      </c>
      <c r="AB161" s="28">
        <f>VLOOKUP($A161,'raw-schema'!$A:$R,16,0)</f>
        <v>0</v>
      </c>
      <c r="AC161" s="28">
        <f>VLOOKUP($A161,'raw-schema'!$A:$R,17,0)</f>
        <v>0</v>
      </c>
      <c r="AD161" s="28">
        <f>VLOOKUP($A161,'raw-schema'!$A:$R,18,0)</f>
        <v>0</v>
      </c>
      <c r="AE161" s="30" t="s">
        <v>66</v>
      </c>
    </row>
    <row r="162" spans="1:32" x14ac:dyDescent="0.3">
      <c r="A162" s="28" t="str">
        <f t="array" ref="A162">INDEX('raw-sheet'!$A$2:$ZZ$1000, ROW(A161), MATCH(A$1, 'raw-sheet'!$A$1:$ZZ$1, 0))</f>
        <v>https://innisfree-taiwan.myshopify.com/collections/makeup-tools</v>
      </c>
      <c r="B162" s="30" t="s">
        <v>11</v>
      </c>
      <c r="C162" s="28" t="str">
        <f t="array" ref="C162">INDEX('raw-sheet'!$A$2:$ZZ$1000, ROW(C161), MATCH(C$1, 'raw-sheet'!$A$1:$ZZ$1, 0))</f>
        <v>Product List</v>
      </c>
      <c r="D162" s="28">
        <f t="array" ref="D162">INDEX('raw-sheet'!$A$2:$ZZ$1000, ROW(D161), MATCH(D$1, 'raw-sheet'!$A$1:$ZZ$1, 0))</f>
        <v>200</v>
      </c>
      <c r="E162" s="30" t="str">
        <f t="shared" si="4"/>
        <v>Pass</v>
      </c>
      <c r="F162" s="28" t="str">
        <f t="array" ref="F162">INDEX('raw-sheet'!$A$2:$ZZ$1000, ROW(F161), MATCH(F$1, 'raw-sheet'!$A$1:$ZZ$1, 0))</f>
        <v>美妝工具_x000D_ | INNISFREE Taiwan</v>
      </c>
      <c r="G162" s="30" t="s">
        <v>11</v>
      </c>
      <c r="H162" s="28">
        <f t="array" ref="H162">INDEX('raw-sheet'!$A$2:$ZZ$1000, ROW(H161), MATCH(H$1, 'raw-sheet'!$A$1:$ZZ$1, 0))</f>
        <v>0</v>
      </c>
      <c r="I162" s="30" t="s">
        <v>61</v>
      </c>
      <c r="J162" s="28" t="str">
        <f t="array" ref="J162">INDEX('raw-sheet'!$A$2:$ZZ$1000, ROW(J161), MATCH(J$1, 'raw-sheet'!$A$1:$ZZ$1, 0))</f>
        <v>美妝工具</v>
      </c>
      <c r="K162" s="28" t="str">
        <f t="array" ref="K162">INDEX('raw-sheet'!$A$2:$ZZ$1000, ROW(K161), MATCH(K$1, 'raw-sheet'!$A$1:$ZZ$1, 0))</f>
        <v>1</v>
      </c>
      <c r="L162" s="30" t="s">
        <v>11</v>
      </c>
      <c r="M162" s="28" t="str">
        <f t="array" ref="M162">INDEX('raw-sheet'!$A$2:$ZZ$1000, ROW(M161), MATCH(M$1, 'raw-sheet'!$A$1:$ZZ$1, 0))</f>
        <v>https://innisfree-taiwan.myshopify.com/collections/makeup-tools</v>
      </c>
      <c r="N162" s="30" t="str">
        <f t="shared" si="5"/>
        <v>Pass</v>
      </c>
      <c r="O162" s="28" t="str">
        <f t="array" ref="O162">INDEX('raw-sheet'!$A$2:$ZZ$1000, ROW(O161), MATCH(O$1, 'raw-sheet'!$A$1:$ZZ$1, 0))</f>
        <v>美妝工具 | INNISFREE Taiwan</v>
      </c>
      <c r="P162" s="28" t="str">
        <f t="array" ref="P162">INDEX('raw-sheet'!$A$2:$ZZ$1000, ROW(P161),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2" s="28" t="str">
        <f t="array" ref="Q162">INDEX('raw-sheet'!$A$2:$ZZ$1000, ROW(Q161), MATCH(Q$1, 'raw-sheet'!$A$1:$ZZ$1, 0))</f>
        <v>website</v>
      </c>
      <c r="R162" s="28" t="str">
        <f t="array" ref="R162">INDEX('raw-sheet'!$A$2:$ZZ$1000, ROW(R161), MATCH(R$1, 'raw-sheet'!$A$1:$ZZ$1, 0))</f>
        <v>INNISFREE Taiwan</v>
      </c>
      <c r="S162" s="28" t="str">
        <f t="array" ref="S162">INDEX('raw-sheet'!$A$2:$ZZ$1000, ROW(S161), MATCH(S$1, 'raw-sheet'!$A$1:$ZZ$1, 0))</f>
        <v>http://innisfree-taiwan.myshopify.com/cdn/shop/files/logo.png?v=1767594135</v>
      </c>
      <c r="T162" s="28" t="str">
        <f t="array" ref="T162">INDEX('raw-sheet'!$A$2:$ZZ$1000, ROW(T161), MATCH(T$1, 'raw-sheet'!$A$1:$ZZ$1, 0))</f>
        <v>https://innisfree-taiwan.myshopify.com/cdn/shop/files/logo.png?v=1767594135</v>
      </c>
      <c r="U162" s="28" t="str">
        <f t="array" ref="U162">INDEX('raw-sheet'!$A$2:$ZZ$1000, ROW(U161), MATCH(U$1, 'raw-sheet'!$A$1:$ZZ$1, 0))</f>
        <v>https://innisfree-taiwan.myshopify.com/collections/makeup-tools</v>
      </c>
      <c r="V162" s="28" t="str">
        <f t="array" ref="V162">INDEX('raw-sheet'!$A$2:$ZZ$1000, ROW(V161), MATCH(V$1, 'raw-sheet'!$A$1:$ZZ$1, 0))</f>
        <v>美妝工具 | INNISFREE Taiwan</v>
      </c>
      <c r="W162" s="28" t="str">
        <f t="array" ref="W162">INDEX('raw-sheet'!$A$2:$ZZ$1000, ROW(W161),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2" s="28" t="str">
        <f t="array" ref="X162">INDEX('raw-sheet'!$A$2:$ZZ$1000, ROW(X161), MATCH(X$1, 'raw-sheet'!$A$1:$ZZ$1, 0))</f>
        <v>summary_large_image</v>
      </c>
      <c r="Y162" s="30" t="s">
        <v>56</v>
      </c>
      <c r="Z162" s="28" t="str">
        <f>VLOOKUP($A162,'raw-schema'!$A:$R,14,0)</f>
        <v>Organization</v>
      </c>
      <c r="AA162" s="28">
        <f>VLOOKUP($A162,'raw-schema'!$A:$R,15,0)</f>
        <v>0</v>
      </c>
      <c r="AB162" s="28">
        <f>VLOOKUP($A162,'raw-schema'!$A:$R,16,0)</f>
        <v>0</v>
      </c>
      <c r="AC162" s="28">
        <f>VLOOKUP($A162,'raw-schema'!$A:$R,17,0)</f>
        <v>0</v>
      </c>
      <c r="AD162" s="28">
        <f>VLOOKUP($A162,'raw-schema'!$A:$R,18,0)</f>
        <v>0</v>
      </c>
      <c r="AE162" s="30" t="s">
        <v>66</v>
      </c>
    </row>
    <row r="163" spans="1:32" x14ac:dyDescent="0.3">
      <c r="A163" s="28" t="str">
        <f t="array" ref="A163">INDEX('raw-sheet'!$A$2:$ZZ$1000, ROW(A162), MATCH(A$1, 'raw-sheet'!$A$1:$ZZ$1, 0))</f>
        <v>https://innisfree-taiwan.myshopify.com/collections/makeup?page=1</v>
      </c>
      <c r="B163" s="30" t="s">
        <v>11</v>
      </c>
      <c r="C163" s="28" t="str">
        <f t="array" ref="C163">INDEX('raw-sheet'!$A$2:$ZZ$1000, ROW(C162), MATCH(C$1, 'raw-sheet'!$A$1:$ZZ$1, 0))</f>
        <v>Product List</v>
      </c>
      <c r="D163" s="28">
        <f t="array" ref="D163">INDEX('raw-sheet'!$A$2:$ZZ$1000, ROW(D162), MATCH(D$1, 'raw-sheet'!$A$1:$ZZ$1, 0))</f>
        <v>200</v>
      </c>
      <c r="E163" s="30" t="str">
        <f t="shared" si="4"/>
        <v>Pass</v>
      </c>
      <c r="F163" s="28" t="str">
        <f t="array" ref="F163">INDEX('raw-sheet'!$A$2:$ZZ$1000, ROW(F162), MATCH(F$1, 'raw-sheet'!$A$1:$ZZ$1, 0))</f>
        <v>彩妝_x000D_ | INNISFREE Taiwan</v>
      </c>
      <c r="G163" s="30" t="s">
        <v>11</v>
      </c>
      <c r="H163" s="28">
        <f t="array" ref="H163">INDEX('raw-sheet'!$A$2:$ZZ$1000, ROW(H162), MATCH(H$1, 'raw-sheet'!$A$1:$ZZ$1, 0))</f>
        <v>0</v>
      </c>
      <c r="I163" s="30" t="s">
        <v>61</v>
      </c>
      <c r="J163" s="28" t="str">
        <f t="array" ref="J163">INDEX('raw-sheet'!$A$2:$ZZ$1000, ROW(J162), MATCH(J$1, 'raw-sheet'!$A$1:$ZZ$1, 0))</f>
        <v>彩妝</v>
      </c>
      <c r="K163" s="28" t="str">
        <f t="array" ref="K163">INDEX('raw-sheet'!$A$2:$ZZ$1000, ROW(K162), MATCH(K$1, 'raw-sheet'!$A$1:$ZZ$1, 0))</f>
        <v>1</v>
      </c>
      <c r="L163" s="30" t="s">
        <v>60</v>
      </c>
      <c r="M163" s="28" t="str">
        <f t="array" ref="M163">INDEX('raw-sheet'!$A$2:$ZZ$1000, ROW(M162), MATCH(M$1, 'raw-sheet'!$A$1:$ZZ$1, 0))</f>
        <v>https://innisfree-taiwan.myshopify.com/collections/makeup</v>
      </c>
      <c r="N163" s="30" t="str">
        <f t="shared" si="5"/>
        <v>Not</v>
      </c>
      <c r="O163" s="28" t="str">
        <f t="array" ref="O163">INDEX('raw-sheet'!$A$2:$ZZ$1000, ROW(O162), MATCH(O$1, 'raw-sheet'!$A$1:$ZZ$1, 0))</f>
        <v>彩妝 | INNISFREE Taiwan</v>
      </c>
      <c r="P163" s="28" t="str">
        <f t="array" ref="P163">INDEX('raw-sheet'!$A$2:$ZZ$1000, ROW(P162),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3" s="28" t="str">
        <f t="array" ref="Q163">INDEX('raw-sheet'!$A$2:$ZZ$1000, ROW(Q162), MATCH(Q$1, 'raw-sheet'!$A$1:$ZZ$1, 0))</f>
        <v>website</v>
      </c>
      <c r="R163" s="28" t="str">
        <f t="array" ref="R163">INDEX('raw-sheet'!$A$2:$ZZ$1000, ROW(R162), MATCH(R$1, 'raw-sheet'!$A$1:$ZZ$1, 0))</f>
        <v>INNISFREE Taiwan</v>
      </c>
      <c r="S163" s="28" t="str">
        <f t="array" ref="S163">INDEX('raw-sheet'!$A$2:$ZZ$1000, ROW(S162), MATCH(S$1, 'raw-sheet'!$A$1:$ZZ$1, 0))</f>
        <v>http://innisfree-taiwan.myshopify.com/cdn/shop/files/logo.png?v=1767594135</v>
      </c>
      <c r="T163" s="28" t="str">
        <f t="array" ref="T163">INDEX('raw-sheet'!$A$2:$ZZ$1000, ROW(T162), MATCH(T$1, 'raw-sheet'!$A$1:$ZZ$1, 0))</f>
        <v>https://innisfree-taiwan.myshopify.com/cdn/shop/files/logo.png?v=1767594135</v>
      </c>
      <c r="U163" s="28" t="str">
        <f t="array" ref="U163">INDEX('raw-sheet'!$A$2:$ZZ$1000, ROW(U162), MATCH(U$1, 'raw-sheet'!$A$1:$ZZ$1, 0))</f>
        <v>https://innisfree-taiwan.myshopify.com/collections/makeup</v>
      </c>
      <c r="V163" s="28" t="str">
        <f t="array" ref="V163">INDEX('raw-sheet'!$A$2:$ZZ$1000, ROW(V162), MATCH(V$1, 'raw-sheet'!$A$1:$ZZ$1, 0))</f>
        <v>彩妝 | INNISFREE Taiwan</v>
      </c>
      <c r="W163" s="28" t="str">
        <f t="array" ref="W163">INDEX('raw-sheet'!$A$2:$ZZ$1000, ROW(W162),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3" s="28" t="str">
        <f t="array" ref="X163">INDEX('raw-sheet'!$A$2:$ZZ$1000, ROW(X162), MATCH(X$1, 'raw-sheet'!$A$1:$ZZ$1, 0))</f>
        <v>summary_large_image</v>
      </c>
      <c r="Y163" s="30" t="s">
        <v>62</v>
      </c>
      <c r="Z163" s="28" t="str">
        <f>VLOOKUP($A163,'raw-schema'!$A:$R,14,0)</f>
        <v>Organization</v>
      </c>
      <c r="AA163" s="28">
        <f>VLOOKUP($A163,'raw-schema'!$A:$R,15,0)</f>
        <v>0</v>
      </c>
      <c r="AB163" s="28">
        <f>VLOOKUP($A163,'raw-schema'!$A:$R,16,0)</f>
        <v>0</v>
      </c>
      <c r="AC163" s="28">
        <f>VLOOKUP($A163,'raw-schema'!$A:$R,17,0)</f>
        <v>0</v>
      </c>
      <c r="AD163" s="28">
        <f>VLOOKUP($A163,'raw-schema'!$A:$R,18,0)</f>
        <v>0</v>
      </c>
      <c r="AE163" s="30" t="s">
        <v>66</v>
      </c>
      <c r="AF163" t="s">
        <v>65</v>
      </c>
    </row>
    <row r="164" spans="1:32" x14ac:dyDescent="0.3">
      <c r="A164" s="28" t="str">
        <f t="array" ref="A164">INDEX('raw-sheet'!$A$2:$ZZ$1000, ROW(A163), MATCH(A$1, 'raw-sheet'!$A$1:$ZZ$1, 0))</f>
        <v>https://innisfree-taiwan.myshopify.com/collections/makeup?page=2</v>
      </c>
      <c r="B164" s="30" t="s">
        <v>11</v>
      </c>
      <c r="C164" s="28" t="str">
        <f t="array" ref="C164">INDEX('raw-sheet'!$A$2:$ZZ$1000, ROW(C163), MATCH(C$1, 'raw-sheet'!$A$1:$ZZ$1, 0))</f>
        <v>Product List</v>
      </c>
      <c r="D164" s="28">
        <f t="array" ref="D164">INDEX('raw-sheet'!$A$2:$ZZ$1000, ROW(D163), MATCH(D$1, 'raw-sheet'!$A$1:$ZZ$1, 0))</f>
        <v>200</v>
      </c>
      <c r="E164" s="30" t="str">
        <f t="shared" si="4"/>
        <v>Pass</v>
      </c>
      <c r="F164" s="28" t="str">
        <f t="array" ref="F164">INDEX('raw-sheet'!$A$2:$ZZ$1000, ROW(F163), MATCH(F$1, 'raw-sheet'!$A$1:$ZZ$1, 0))</f>
        <v>彩妝_x000D_ – Page 2 | INNISFREE Taiwan</v>
      </c>
      <c r="G164" s="30" t="s">
        <v>11</v>
      </c>
      <c r="H164" s="28">
        <f t="array" ref="H164">INDEX('raw-sheet'!$A$2:$ZZ$1000, ROW(H163), MATCH(H$1, 'raw-sheet'!$A$1:$ZZ$1, 0))</f>
        <v>0</v>
      </c>
      <c r="I164" s="30" t="s">
        <v>61</v>
      </c>
      <c r="J164" s="28" t="str">
        <f t="array" ref="J164">INDEX('raw-sheet'!$A$2:$ZZ$1000, ROW(J163), MATCH(J$1, 'raw-sheet'!$A$1:$ZZ$1, 0))</f>
        <v>彩妝</v>
      </c>
      <c r="K164" s="28" t="str">
        <f t="array" ref="K164">INDEX('raw-sheet'!$A$2:$ZZ$1000, ROW(K163), MATCH(K$1, 'raw-sheet'!$A$1:$ZZ$1, 0))</f>
        <v>1</v>
      </c>
      <c r="L164" s="30" t="s">
        <v>60</v>
      </c>
      <c r="M164" s="28" t="str">
        <f t="array" ref="M164">INDEX('raw-sheet'!$A$2:$ZZ$1000, ROW(M163), MATCH(M$1, 'raw-sheet'!$A$1:$ZZ$1, 0))</f>
        <v>https://innisfree-taiwan.myshopify.com/collections/makeup?page=2</v>
      </c>
      <c r="N164" s="30" t="str">
        <f t="shared" si="5"/>
        <v>Pass</v>
      </c>
      <c r="O164" s="28" t="str">
        <f t="array" ref="O164">INDEX('raw-sheet'!$A$2:$ZZ$1000, ROW(O163), MATCH(O$1, 'raw-sheet'!$A$1:$ZZ$1, 0))</f>
        <v>彩妝 | INNISFREE Taiwan</v>
      </c>
      <c r="P164" s="28" t="str">
        <f t="array" ref="P164">INDEX('raw-sheet'!$A$2:$ZZ$1000, ROW(P163),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4" s="28" t="str">
        <f t="array" ref="Q164">INDEX('raw-sheet'!$A$2:$ZZ$1000, ROW(Q163), MATCH(Q$1, 'raw-sheet'!$A$1:$ZZ$1, 0))</f>
        <v>website</v>
      </c>
      <c r="R164" s="28" t="str">
        <f t="array" ref="R164">INDEX('raw-sheet'!$A$2:$ZZ$1000, ROW(R163), MATCH(R$1, 'raw-sheet'!$A$1:$ZZ$1, 0))</f>
        <v>INNISFREE Taiwan</v>
      </c>
      <c r="S164" s="28" t="str">
        <f t="array" ref="S164">INDEX('raw-sheet'!$A$2:$ZZ$1000, ROW(S163), MATCH(S$1, 'raw-sheet'!$A$1:$ZZ$1, 0))</f>
        <v>http://innisfree-taiwan.myshopify.com/cdn/shop/files/logo.png?v=1767594135</v>
      </c>
      <c r="T164" s="28" t="str">
        <f t="array" ref="T164">INDEX('raw-sheet'!$A$2:$ZZ$1000, ROW(T163), MATCH(T$1, 'raw-sheet'!$A$1:$ZZ$1, 0))</f>
        <v>https://innisfree-taiwan.myshopify.com/cdn/shop/files/logo.png?v=1767594135</v>
      </c>
      <c r="U164" s="28" t="str">
        <f t="array" ref="U164">INDEX('raw-sheet'!$A$2:$ZZ$1000, ROW(U163), MATCH(U$1, 'raw-sheet'!$A$1:$ZZ$1, 0))</f>
        <v>https://innisfree-taiwan.myshopify.com/collections/makeup?page=2</v>
      </c>
      <c r="V164" s="28" t="str">
        <f t="array" ref="V164">INDEX('raw-sheet'!$A$2:$ZZ$1000, ROW(V163), MATCH(V$1, 'raw-sheet'!$A$1:$ZZ$1, 0))</f>
        <v>彩妝 | INNISFREE Taiwan</v>
      </c>
      <c r="W164" s="28" t="str">
        <f t="array" ref="W164">INDEX('raw-sheet'!$A$2:$ZZ$1000, ROW(W163),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4" s="28" t="str">
        <f t="array" ref="X164">INDEX('raw-sheet'!$A$2:$ZZ$1000, ROW(X163), MATCH(X$1, 'raw-sheet'!$A$1:$ZZ$1, 0))</f>
        <v>summary_large_image</v>
      </c>
      <c r="Y164" s="30" t="s">
        <v>62</v>
      </c>
      <c r="Z164" s="28" t="str">
        <f>VLOOKUP($A164,'raw-schema'!$A:$R,14,0)</f>
        <v>Organization</v>
      </c>
      <c r="AA164" s="28">
        <f>VLOOKUP($A164,'raw-schema'!$A:$R,15,0)</f>
        <v>0</v>
      </c>
      <c r="AB164" s="28">
        <f>VLOOKUP($A164,'raw-schema'!$A:$R,16,0)</f>
        <v>0</v>
      </c>
      <c r="AC164" s="28">
        <f>VLOOKUP($A164,'raw-schema'!$A:$R,17,0)</f>
        <v>0</v>
      </c>
      <c r="AD164" s="28">
        <f>VLOOKUP($A164,'raw-schema'!$A:$R,18,0)</f>
        <v>0</v>
      </c>
      <c r="AE164" s="30" t="s">
        <v>66</v>
      </c>
      <c r="AF164" t="s">
        <v>65</v>
      </c>
    </row>
    <row r="165" spans="1:32" x14ac:dyDescent="0.3">
      <c r="A165" s="28" t="str">
        <f t="array" ref="A165">INDEX('raw-sheet'!$A$2:$ZZ$1000, ROW(A164), MATCH(A$1, 'raw-sheet'!$A$1:$ZZ$1, 0))</f>
        <v>https://innisfree-taiwan.myshopify.com/collections/makeup?page=3</v>
      </c>
      <c r="B165" s="30" t="s">
        <v>11</v>
      </c>
      <c r="C165" s="28" t="str">
        <f t="array" ref="C165">INDEX('raw-sheet'!$A$2:$ZZ$1000, ROW(C164), MATCH(C$1, 'raw-sheet'!$A$1:$ZZ$1, 0))</f>
        <v>Product List</v>
      </c>
      <c r="D165" s="28">
        <f t="array" ref="D165">INDEX('raw-sheet'!$A$2:$ZZ$1000, ROW(D164), MATCH(D$1, 'raw-sheet'!$A$1:$ZZ$1, 0))</f>
        <v>200</v>
      </c>
      <c r="E165" s="30" t="str">
        <f t="shared" si="4"/>
        <v>Pass</v>
      </c>
      <c r="F165" s="28" t="str">
        <f t="array" ref="F165">INDEX('raw-sheet'!$A$2:$ZZ$1000, ROW(F164), MATCH(F$1, 'raw-sheet'!$A$1:$ZZ$1, 0))</f>
        <v>彩妝_x000D_ – Page 3 | INNISFREE Taiwan</v>
      </c>
      <c r="G165" s="30" t="s">
        <v>11</v>
      </c>
      <c r="H165" s="28">
        <f t="array" ref="H165">INDEX('raw-sheet'!$A$2:$ZZ$1000, ROW(H164), MATCH(H$1, 'raw-sheet'!$A$1:$ZZ$1, 0))</f>
        <v>0</v>
      </c>
      <c r="I165" s="30" t="s">
        <v>61</v>
      </c>
      <c r="J165" s="28" t="str">
        <f t="array" ref="J165">INDEX('raw-sheet'!$A$2:$ZZ$1000, ROW(J164), MATCH(J$1, 'raw-sheet'!$A$1:$ZZ$1, 0))</f>
        <v>彩妝</v>
      </c>
      <c r="K165" s="28" t="str">
        <f t="array" ref="K165">INDEX('raw-sheet'!$A$2:$ZZ$1000, ROW(K164), MATCH(K$1, 'raw-sheet'!$A$1:$ZZ$1, 0))</f>
        <v>1</v>
      </c>
      <c r="L165" s="30" t="s">
        <v>60</v>
      </c>
      <c r="M165" s="28" t="str">
        <f t="array" ref="M165">INDEX('raw-sheet'!$A$2:$ZZ$1000, ROW(M164), MATCH(M$1, 'raw-sheet'!$A$1:$ZZ$1, 0))</f>
        <v>https://innisfree-taiwan.myshopify.com/collections/makeup?page=3</v>
      </c>
      <c r="N165" s="30" t="str">
        <f t="shared" si="5"/>
        <v>Pass</v>
      </c>
      <c r="O165" s="28" t="str">
        <f t="array" ref="O165">INDEX('raw-sheet'!$A$2:$ZZ$1000, ROW(O164), MATCH(O$1, 'raw-sheet'!$A$1:$ZZ$1, 0))</f>
        <v>彩妝 | INNISFREE Taiwan</v>
      </c>
      <c r="P165" s="28" t="str">
        <f t="array" ref="P165">INDEX('raw-sheet'!$A$2:$ZZ$1000, ROW(P164),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5" s="28" t="str">
        <f t="array" ref="Q165">INDEX('raw-sheet'!$A$2:$ZZ$1000, ROW(Q164), MATCH(Q$1, 'raw-sheet'!$A$1:$ZZ$1, 0))</f>
        <v>website</v>
      </c>
      <c r="R165" s="28" t="str">
        <f t="array" ref="R165">INDEX('raw-sheet'!$A$2:$ZZ$1000, ROW(R164), MATCH(R$1, 'raw-sheet'!$A$1:$ZZ$1, 0))</f>
        <v>INNISFREE Taiwan</v>
      </c>
      <c r="S165" s="28" t="str">
        <f t="array" ref="S165">INDEX('raw-sheet'!$A$2:$ZZ$1000, ROW(S164), MATCH(S$1, 'raw-sheet'!$A$1:$ZZ$1, 0))</f>
        <v>http://innisfree-taiwan.myshopify.com/cdn/shop/files/logo.png?v=1767594135</v>
      </c>
      <c r="T165" s="28" t="str">
        <f t="array" ref="T165">INDEX('raw-sheet'!$A$2:$ZZ$1000, ROW(T164), MATCH(T$1, 'raw-sheet'!$A$1:$ZZ$1, 0))</f>
        <v>https://innisfree-taiwan.myshopify.com/cdn/shop/files/logo.png?v=1767594135</v>
      </c>
      <c r="U165" s="28" t="str">
        <f t="array" ref="U165">INDEX('raw-sheet'!$A$2:$ZZ$1000, ROW(U164), MATCH(U$1, 'raw-sheet'!$A$1:$ZZ$1, 0))</f>
        <v>https://innisfree-taiwan.myshopify.com/collections/makeup?page=3</v>
      </c>
      <c r="V165" s="28" t="str">
        <f t="array" ref="V165">INDEX('raw-sheet'!$A$2:$ZZ$1000, ROW(V164), MATCH(V$1, 'raw-sheet'!$A$1:$ZZ$1, 0))</f>
        <v>彩妝 | INNISFREE Taiwan</v>
      </c>
      <c r="W165" s="28" t="str">
        <f t="array" ref="W165">INDEX('raw-sheet'!$A$2:$ZZ$1000, ROW(W164),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5" s="28" t="str">
        <f t="array" ref="X165">INDEX('raw-sheet'!$A$2:$ZZ$1000, ROW(X164), MATCH(X$1, 'raw-sheet'!$A$1:$ZZ$1, 0))</f>
        <v>summary_large_image</v>
      </c>
      <c r="Y165" s="30" t="s">
        <v>62</v>
      </c>
      <c r="Z165" s="28" t="str">
        <f>VLOOKUP($A165,'raw-schema'!$A:$R,14,0)</f>
        <v>Organization</v>
      </c>
      <c r="AA165" s="28">
        <f>VLOOKUP($A165,'raw-schema'!$A:$R,15,0)</f>
        <v>0</v>
      </c>
      <c r="AB165" s="28">
        <f>VLOOKUP($A165,'raw-schema'!$A:$R,16,0)</f>
        <v>0</v>
      </c>
      <c r="AC165" s="28">
        <f>VLOOKUP($A165,'raw-schema'!$A:$R,17,0)</f>
        <v>0</v>
      </c>
      <c r="AD165" s="28">
        <f>VLOOKUP($A165,'raw-schema'!$A:$R,18,0)</f>
        <v>0</v>
      </c>
      <c r="AE165" s="30" t="s">
        <v>66</v>
      </c>
      <c r="AF165" t="s">
        <v>65</v>
      </c>
    </row>
    <row r="166" spans="1:32" x14ac:dyDescent="0.3">
      <c r="A166" s="28" t="str">
        <f t="array" ref="A166">INDEX('raw-sheet'!$A$2:$ZZ$1000, ROW(A165), MATCH(A$1, 'raw-sheet'!$A$1:$ZZ$1, 0))</f>
        <v>https://innisfree-taiwan.myshopify.com/collections/moon-s-star-serum</v>
      </c>
      <c r="B166" s="30" t="s">
        <v>11</v>
      </c>
      <c r="C166" s="28" t="str">
        <f t="array" ref="C166">INDEX('raw-sheet'!$A$2:$ZZ$1000, ROW(C165), MATCH(C$1, 'raw-sheet'!$A$1:$ZZ$1, 0))</f>
        <v>Product List</v>
      </c>
      <c r="D166" s="28">
        <f t="array" ref="D166">INDEX('raw-sheet'!$A$2:$ZZ$1000, ROW(D165), MATCH(D$1, 'raw-sheet'!$A$1:$ZZ$1, 0))</f>
        <v>200</v>
      </c>
      <c r="E166" s="30" t="str">
        <f t="shared" si="4"/>
        <v>Pass</v>
      </c>
      <c r="F166" s="28" t="str">
        <f t="array" ref="F166">INDEX('raw-sheet'!$A$2:$ZZ$1000, ROW(F165), MATCH(F$1, 'raw-sheet'!$A$1:$ZZ$1, 0))</f>
        <v>月 明星精華95折 任件再送果凍面膜入組!_x000D_ | INNISFREE Taiwan</v>
      </c>
      <c r="G166" s="30" t="s">
        <v>11</v>
      </c>
      <c r="H166" s="28">
        <f t="array" ref="H166">INDEX('raw-sheet'!$A$2:$ZZ$1000, ROW(H165), MATCH(H$1, 'raw-sheet'!$A$1:$ZZ$1, 0))</f>
        <v>0</v>
      </c>
      <c r="I166" s="30" t="s">
        <v>61</v>
      </c>
      <c r="J166" s="28" t="str">
        <f t="array" ref="J166">INDEX('raw-sheet'!$A$2:$ZZ$1000, ROW(J165), MATCH(J$1, 'raw-sheet'!$A$1:$ZZ$1, 0))</f>
        <v>月 明星精華95折 任件再送果凍面膜入組!</v>
      </c>
      <c r="K166" s="28" t="str">
        <f t="array" ref="K166">INDEX('raw-sheet'!$A$2:$ZZ$1000, ROW(K165), MATCH(K$1, 'raw-sheet'!$A$1:$ZZ$1, 0))</f>
        <v>1</v>
      </c>
      <c r="L166" s="30" t="s">
        <v>11</v>
      </c>
      <c r="M166" s="28" t="str">
        <f t="array" ref="M166">INDEX('raw-sheet'!$A$2:$ZZ$1000, ROW(M165), MATCH(M$1, 'raw-sheet'!$A$1:$ZZ$1, 0))</f>
        <v>https://innisfree-taiwan.myshopify.com/collections/moon-s-star-serum</v>
      </c>
      <c r="N166" s="30" t="str">
        <f t="shared" si="5"/>
        <v>Pass</v>
      </c>
      <c r="O166" s="28" t="str">
        <f t="array" ref="O166">INDEX('raw-sheet'!$A$2:$ZZ$1000, ROW(O165), MATCH(O$1, 'raw-sheet'!$A$1:$ZZ$1, 0))</f>
        <v>月 明星精華95折 任件再送果凍面膜入組! | INNISFREE Taiwan</v>
      </c>
      <c r="P166" s="28" t="str">
        <f t="array" ref="P166">INDEX('raw-sheet'!$A$2:$ZZ$1000, ROW(P165),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6" s="28" t="str">
        <f t="array" ref="Q166">INDEX('raw-sheet'!$A$2:$ZZ$1000, ROW(Q165), MATCH(Q$1, 'raw-sheet'!$A$1:$ZZ$1, 0))</f>
        <v>website</v>
      </c>
      <c r="R166" s="28" t="str">
        <f t="array" ref="R166">INDEX('raw-sheet'!$A$2:$ZZ$1000, ROW(R165), MATCH(R$1, 'raw-sheet'!$A$1:$ZZ$1, 0))</f>
        <v>INNISFREE Taiwan</v>
      </c>
      <c r="S166" s="28" t="str">
        <f t="array" ref="S166">INDEX('raw-sheet'!$A$2:$ZZ$1000, ROW(S165), MATCH(S$1, 'raw-sheet'!$A$1:$ZZ$1, 0))</f>
        <v>http://innisfree-taiwan.myshopify.com/cdn/shop/files/logo.png?v=1767594135</v>
      </c>
      <c r="T166" s="28" t="str">
        <f t="array" ref="T166">INDEX('raw-sheet'!$A$2:$ZZ$1000, ROW(T165), MATCH(T$1, 'raw-sheet'!$A$1:$ZZ$1, 0))</f>
        <v>https://innisfree-taiwan.myshopify.com/cdn/shop/files/logo.png?v=1767594135</v>
      </c>
      <c r="U166" s="28" t="str">
        <f t="array" ref="U166">INDEX('raw-sheet'!$A$2:$ZZ$1000, ROW(U165), MATCH(U$1, 'raw-sheet'!$A$1:$ZZ$1, 0))</f>
        <v>https://innisfree-taiwan.myshopify.com/collections/moon-s-star-serum</v>
      </c>
      <c r="V166" s="28" t="str">
        <f t="array" ref="V166">INDEX('raw-sheet'!$A$2:$ZZ$1000, ROW(V165), MATCH(V$1, 'raw-sheet'!$A$1:$ZZ$1, 0))</f>
        <v>月 明星精華95折 任件再送果凍面膜入組! | INNISFREE Taiwan</v>
      </c>
      <c r="W166" s="28" t="str">
        <f t="array" ref="W166">INDEX('raw-sheet'!$A$2:$ZZ$1000, ROW(W165),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6" s="28" t="str">
        <f t="array" ref="X166">INDEX('raw-sheet'!$A$2:$ZZ$1000, ROW(X165), MATCH(X$1, 'raw-sheet'!$A$1:$ZZ$1, 0))</f>
        <v>summary_large_image</v>
      </c>
      <c r="Y166" s="30" t="s">
        <v>56</v>
      </c>
      <c r="Z166" s="28" t="str">
        <f>VLOOKUP($A166,'raw-schema'!$A:$R,14,0)</f>
        <v>Organization</v>
      </c>
      <c r="AA166" s="28">
        <f>VLOOKUP($A166,'raw-schema'!$A:$R,15,0)</f>
        <v>0</v>
      </c>
      <c r="AB166" s="28">
        <f>VLOOKUP($A166,'raw-schema'!$A:$R,16,0)</f>
        <v>0</v>
      </c>
      <c r="AC166" s="28">
        <f>VLOOKUP($A166,'raw-schema'!$A:$R,17,0)</f>
        <v>0</v>
      </c>
      <c r="AD166" s="28">
        <f>VLOOKUP($A166,'raw-schema'!$A:$R,18,0)</f>
        <v>0</v>
      </c>
      <c r="AE166" s="30" t="s">
        <v>66</v>
      </c>
    </row>
    <row r="167" spans="1:32" x14ac:dyDescent="0.3">
      <c r="A167" s="28" t="str">
        <f t="array" ref="A167">INDEX('raw-sheet'!$A$2:$ZZ$1000, ROW(A166), MATCH(A$1, 'raw-sheet'!$A$1:$ZZ$1, 0))</f>
        <v>https://innisfree-taiwan.myshopify.com/collections/new</v>
      </c>
      <c r="B167" s="30" t="s">
        <v>11</v>
      </c>
      <c r="C167" s="28" t="str">
        <f t="array" ref="C167">INDEX('raw-sheet'!$A$2:$ZZ$1000, ROW(C166), MATCH(C$1, 'raw-sheet'!$A$1:$ZZ$1, 0))</f>
        <v>Product List</v>
      </c>
      <c r="D167" s="28">
        <f t="array" ref="D167">INDEX('raw-sheet'!$A$2:$ZZ$1000, ROW(D166), MATCH(D$1, 'raw-sheet'!$A$1:$ZZ$1, 0))</f>
        <v>200</v>
      </c>
      <c r="E167" s="30" t="str">
        <f t="shared" si="4"/>
        <v>Pass</v>
      </c>
      <c r="F167" s="28" t="str">
        <f t="array" ref="F167">INDEX('raw-sheet'!$A$2:$ZZ$1000, ROW(F166), MATCH(F$1, 'raw-sheet'!$A$1:$ZZ$1, 0))</f>
        <v>新品上市_x000D_ | INNISFREE Taiwan</v>
      </c>
      <c r="G167" s="30" t="s">
        <v>11</v>
      </c>
      <c r="H167" s="28">
        <f t="array" ref="H167">INDEX('raw-sheet'!$A$2:$ZZ$1000, ROW(H166), MATCH(H$1, 'raw-sheet'!$A$1:$ZZ$1, 0))</f>
        <v>0</v>
      </c>
      <c r="I167" s="30" t="s">
        <v>61</v>
      </c>
      <c r="J167" s="28" t="str">
        <f t="array" ref="J167">INDEX('raw-sheet'!$A$2:$ZZ$1000, ROW(J166), MATCH(J$1, 'raw-sheet'!$A$1:$ZZ$1, 0))</f>
        <v>新品上市</v>
      </c>
      <c r="K167" s="28" t="str">
        <f t="array" ref="K167">INDEX('raw-sheet'!$A$2:$ZZ$1000, ROW(K166), MATCH(K$1, 'raw-sheet'!$A$1:$ZZ$1, 0))</f>
        <v>1</v>
      </c>
      <c r="L167" s="30" t="s">
        <v>11</v>
      </c>
      <c r="M167" s="28" t="str">
        <f t="array" ref="M167">INDEX('raw-sheet'!$A$2:$ZZ$1000, ROW(M166), MATCH(M$1, 'raw-sheet'!$A$1:$ZZ$1, 0))</f>
        <v>https://innisfree-taiwan.myshopify.com/collections/new</v>
      </c>
      <c r="N167" s="30" t="str">
        <f t="shared" si="5"/>
        <v>Pass</v>
      </c>
      <c r="O167" s="28" t="str">
        <f t="array" ref="O167">INDEX('raw-sheet'!$A$2:$ZZ$1000, ROW(O166), MATCH(O$1, 'raw-sheet'!$A$1:$ZZ$1, 0))</f>
        <v>新品上市 | INNISFREE Taiwan</v>
      </c>
      <c r="P167" s="28" t="str">
        <f t="array" ref="P167">INDEX('raw-sheet'!$A$2:$ZZ$1000, ROW(P166),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7" s="28" t="str">
        <f t="array" ref="Q167">INDEX('raw-sheet'!$A$2:$ZZ$1000, ROW(Q166), MATCH(Q$1, 'raw-sheet'!$A$1:$ZZ$1, 0))</f>
        <v>website</v>
      </c>
      <c r="R167" s="28" t="str">
        <f t="array" ref="R167">INDEX('raw-sheet'!$A$2:$ZZ$1000, ROW(R166), MATCH(R$1, 'raw-sheet'!$A$1:$ZZ$1, 0))</f>
        <v>INNISFREE Taiwan</v>
      </c>
      <c r="S167" s="28" t="str">
        <f t="array" ref="S167">INDEX('raw-sheet'!$A$2:$ZZ$1000, ROW(S166), MATCH(S$1, 'raw-sheet'!$A$1:$ZZ$1, 0))</f>
        <v>http://innisfree-taiwan.myshopify.com/cdn/shop/files/logo.png?v=1767594135</v>
      </c>
      <c r="T167" s="28" t="str">
        <f t="array" ref="T167">INDEX('raw-sheet'!$A$2:$ZZ$1000, ROW(T166), MATCH(T$1, 'raw-sheet'!$A$1:$ZZ$1, 0))</f>
        <v>https://innisfree-taiwan.myshopify.com/cdn/shop/files/logo.png?v=1767594135</v>
      </c>
      <c r="U167" s="28" t="str">
        <f t="array" ref="U167">INDEX('raw-sheet'!$A$2:$ZZ$1000, ROW(U166), MATCH(U$1, 'raw-sheet'!$A$1:$ZZ$1, 0))</f>
        <v>https://innisfree-taiwan.myshopify.com/collections/new</v>
      </c>
      <c r="V167" s="28" t="str">
        <f t="array" ref="V167">INDEX('raw-sheet'!$A$2:$ZZ$1000, ROW(V166), MATCH(V$1, 'raw-sheet'!$A$1:$ZZ$1, 0))</f>
        <v>新品上市 | INNISFREE Taiwan</v>
      </c>
      <c r="W167" s="28" t="str">
        <f t="array" ref="W167">INDEX('raw-sheet'!$A$2:$ZZ$1000, ROW(W166),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7" s="28" t="str">
        <f t="array" ref="X167">INDEX('raw-sheet'!$A$2:$ZZ$1000, ROW(X166), MATCH(X$1, 'raw-sheet'!$A$1:$ZZ$1, 0))</f>
        <v>summary_large_image</v>
      </c>
      <c r="Y167" s="30" t="s">
        <v>56</v>
      </c>
      <c r="Z167" s="28" t="str">
        <f>VLOOKUP($A167,'raw-schema'!$A:$R,14,0)</f>
        <v>Organization</v>
      </c>
      <c r="AA167" s="28">
        <f>VLOOKUP($A167,'raw-schema'!$A:$R,15,0)</f>
        <v>0</v>
      </c>
      <c r="AB167" s="28">
        <f>VLOOKUP($A167,'raw-schema'!$A:$R,16,0)</f>
        <v>0</v>
      </c>
      <c r="AC167" s="28">
        <f>VLOOKUP($A167,'raw-schema'!$A:$R,17,0)</f>
        <v>0</v>
      </c>
      <c r="AD167" s="28">
        <f>VLOOKUP($A167,'raw-schema'!$A:$R,18,0)</f>
        <v>0</v>
      </c>
      <c r="AE167" s="30" t="s">
        <v>66</v>
      </c>
    </row>
    <row r="168" spans="1:32" x14ac:dyDescent="0.3">
      <c r="A168" s="28" t="str">
        <f t="array" ref="A168">INDEX('raw-sheet'!$A$2:$ZZ$1000, ROW(A167), MATCH(A$1, 'raw-sheet'!$A$1:$ZZ$1, 0))</f>
        <v>https://innisfree-taiwan.myshopify.com/collections/ninefold-perfect-anti-aging-series</v>
      </c>
      <c r="B168" s="30" t="s">
        <v>11</v>
      </c>
      <c r="C168" s="28" t="str">
        <f t="array" ref="C168">INDEX('raw-sheet'!$A$2:$ZZ$1000, ROW(C167), MATCH(C$1, 'raw-sheet'!$A$1:$ZZ$1, 0))</f>
        <v>Product List</v>
      </c>
      <c r="D168" s="28">
        <f t="array" ref="D168">INDEX('raw-sheet'!$A$2:$ZZ$1000, ROW(D167), MATCH(D$1, 'raw-sheet'!$A$1:$ZZ$1, 0))</f>
        <v>200</v>
      </c>
      <c r="E168" s="30" t="str">
        <f t="shared" si="4"/>
        <v>Pass</v>
      </c>
      <c r="F168" s="28" t="str">
        <f t="array" ref="F168">INDEX('raw-sheet'!$A$2:$ZZ$1000, ROW(F167), MATCH(F$1, 'raw-sheet'!$A$1:$ZZ$1, 0))</f>
        <v>九重完美抗老系列_x000D_ | INNISFREE Taiwan</v>
      </c>
      <c r="G168" s="30" t="s">
        <v>11</v>
      </c>
      <c r="H168" s="28">
        <f t="array" ref="H168">INDEX('raw-sheet'!$A$2:$ZZ$1000, ROW(H167), MATCH(H$1, 'raw-sheet'!$A$1:$ZZ$1, 0))</f>
        <v>0</v>
      </c>
      <c r="I168" s="30" t="s">
        <v>61</v>
      </c>
      <c r="J168" s="28" t="str">
        <f t="array" ref="J168">INDEX('raw-sheet'!$A$2:$ZZ$1000, ROW(J167), MATCH(J$1, 'raw-sheet'!$A$1:$ZZ$1, 0))</f>
        <v>九重完美抗老系列</v>
      </c>
      <c r="K168" s="28" t="str">
        <f t="array" ref="K168">INDEX('raw-sheet'!$A$2:$ZZ$1000, ROW(K167), MATCH(K$1, 'raw-sheet'!$A$1:$ZZ$1, 0))</f>
        <v>1</v>
      </c>
      <c r="L168" s="30" t="s">
        <v>11</v>
      </c>
      <c r="M168" s="28" t="str">
        <f t="array" ref="M168">INDEX('raw-sheet'!$A$2:$ZZ$1000, ROW(M167), MATCH(M$1, 'raw-sheet'!$A$1:$ZZ$1, 0))</f>
        <v>https://innisfree-taiwan.myshopify.com/collections/ninefold-perfect-anti-aging-series</v>
      </c>
      <c r="N168" s="30" t="str">
        <f t="shared" si="5"/>
        <v>Pass</v>
      </c>
      <c r="O168" s="28" t="str">
        <f t="array" ref="O168">INDEX('raw-sheet'!$A$2:$ZZ$1000, ROW(O167), MATCH(O$1, 'raw-sheet'!$A$1:$ZZ$1, 0))</f>
        <v>九重完美抗老系列 | INNISFREE Taiwan</v>
      </c>
      <c r="P168" s="28" t="str">
        <f t="array" ref="P168">INDEX('raw-sheet'!$A$2:$ZZ$1000, ROW(P167),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8" s="28" t="str">
        <f t="array" ref="Q168">INDEX('raw-sheet'!$A$2:$ZZ$1000, ROW(Q167), MATCH(Q$1, 'raw-sheet'!$A$1:$ZZ$1, 0))</f>
        <v>website</v>
      </c>
      <c r="R168" s="28" t="str">
        <f t="array" ref="R168">INDEX('raw-sheet'!$A$2:$ZZ$1000, ROW(R167), MATCH(R$1, 'raw-sheet'!$A$1:$ZZ$1, 0))</f>
        <v>INNISFREE Taiwan</v>
      </c>
      <c r="S168" s="28" t="str">
        <f t="array" ref="S168">INDEX('raw-sheet'!$A$2:$ZZ$1000, ROW(S167), MATCH(S$1, 'raw-sheet'!$A$1:$ZZ$1, 0))</f>
        <v>http://innisfree-taiwan.myshopify.com/cdn/shop/files/logo.png?v=1767594135</v>
      </c>
      <c r="T168" s="28" t="str">
        <f t="array" ref="T168">INDEX('raw-sheet'!$A$2:$ZZ$1000, ROW(T167), MATCH(T$1, 'raw-sheet'!$A$1:$ZZ$1, 0))</f>
        <v>https://innisfree-taiwan.myshopify.com/cdn/shop/files/logo.png?v=1767594135</v>
      </c>
      <c r="U168" s="28" t="str">
        <f t="array" ref="U168">INDEX('raw-sheet'!$A$2:$ZZ$1000, ROW(U167), MATCH(U$1, 'raw-sheet'!$A$1:$ZZ$1, 0))</f>
        <v>https://innisfree-taiwan.myshopify.com/collections/ninefold-perfect-anti-aging-series</v>
      </c>
      <c r="V168" s="28" t="str">
        <f t="array" ref="V168">INDEX('raw-sheet'!$A$2:$ZZ$1000, ROW(V167), MATCH(V$1, 'raw-sheet'!$A$1:$ZZ$1, 0))</f>
        <v>九重完美抗老系列 | INNISFREE Taiwan</v>
      </c>
      <c r="W168" s="28" t="str">
        <f t="array" ref="W168">INDEX('raw-sheet'!$A$2:$ZZ$1000, ROW(W167),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8" s="28" t="str">
        <f t="array" ref="X168">INDEX('raw-sheet'!$A$2:$ZZ$1000, ROW(X167), MATCH(X$1, 'raw-sheet'!$A$1:$ZZ$1, 0))</f>
        <v>summary_large_image</v>
      </c>
      <c r="Y168" s="30" t="s">
        <v>56</v>
      </c>
      <c r="Z168" s="28" t="str">
        <f>VLOOKUP($A168,'raw-schema'!$A:$R,14,0)</f>
        <v>Organization</v>
      </c>
      <c r="AA168" s="28">
        <f>VLOOKUP($A168,'raw-schema'!$A:$R,15,0)</f>
        <v>0</v>
      </c>
      <c r="AB168" s="28">
        <f>VLOOKUP($A168,'raw-schema'!$A:$R,16,0)</f>
        <v>0</v>
      </c>
      <c r="AC168" s="28">
        <f>VLOOKUP($A168,'raw-schema'!$A:$R,17,0)</f>
        <v>0</v>
      </c>
      <c r="AD168" s="28">
        <f>VLOOKUP($A168,'raw-schema'!$A:$R,18,0)</f>
        <v>0</v>
      </c>
      <c r="AE168" s="30" t="s">
        <v>66</v>
      </c>
    </row>
    <row r="169" spans="1:32" x14ac:dyDescent="0.3">
      <c r="A169" s="28" t="str">
        <f t="array" ref="A169">INDEX('raw-sheet'!$A$2:$ZZ$1000, ROW(A168), MATCH(A$1, 'raw-sheet'!$A$1:$ZZ$1, 0))</f>
        <v>https://innisfree-taiwan.myshopify.com/collections/primer</v>
      </c>
      <c r="B169" s="30" t="s">
        <v>11</v>
      </c>
      <c r="C169" s="28" t="str">
        <f t="array" ref="C169">INDEX('raw-sheet'!$A$2:$ZZ$1000, ROW(C168), MATCH(C$1, 'raw-sheet'!$A$1:$ZZ$1, 0))</f>
        <v>Product List</v>
      </c>
      <c r="D169" s="28">
        <f t="array" ref="D169">INDEX('raw-sheet'!$A$2:$ZZ$1000, ROW(D168), MATCH(D$1, 'raw-sheet'!$A$1:$ZZ$1, 0))</f>
        <v>200</v>
      </c>
      <c r="E169" s="30" t="str">
        <f t="shared" si="4"/>
        <v>Pass</v>
      </c>
      <c r="F169" s="28" t="str">
        <f t="array" ref="F169">INDEX('raw-sheet'!$A$2:$ZZ$1000, ROW(F168), MATCH(F$1, 'raw-sheet'!$A$1:$ZZ$1, 0))</f>
        <v>飾底乳_x000D_ | INNISFREE Taiwan</v>
      </c>
      <c r="G169" s="30" t="s">
        <v>11</v>
      </c>
      <c r="H169" s="28">
        <f t="array" ref="H169">INDEX('raw-sheet'!$A$2:$ZZ$1000, ROW(H168), MATCH(H$1, 'raw-sheet'!$A$1:$ZZ$1, 0))</f>
        <v>0</v>
      </c>
      <c r="I169" s="30" t="s">
        <v>61</v>
      </c>
      <c r="J169" s="28" t="str">
        <f t="array" ref="J169">INDEX('raw-sheet'!$A$2:$ZZ$1000, ROW(J168), MATCH(J$1, 'raw-sheet'!$A$1:$ZZ$1, 0))</f>
        <v>飾底乳</v>
      </c>
      <c r="K169" s="28" t="str">
        <f t="array" ref="K169">INDEX('raw-sheet'!$A$2:$ZZ$1000, ROW(K168), MATCH(K$1, 'raw-sheet'!$A$1:$ZZ$1, 0))</f>
        <v>1</v>
      </c>
      <c r="L169" s="30" t="s">
        <v>11</v>
      </c>
      <c r="M169" s="28" t="str">
        <f t="array" ref="M169">INDEX('raw-sheet'!$A$2:$ZZ$1000, ROW(M168), MATCH(M$1, 'raw-sheet'!$A$1:$ZZ$1, 0))</f>
        <v>https://innisfree-taiwan.myshopify.com/collections/primer</v>
      </c>
      <c r="N169" s="30" t="str">
        <f t="shared" si="5"/>
        <v>Pass</v>
      </c>
      <c r="O169" s="28" t="str">
        <f t="array" ref="O169">INDEX('raw-sheet'!$A$2:$ZZ$1000, ROW(O168), MATCH(O$1, 'raw-sheet'!$A$1:$ZZ$1, 0))</f>
        <v>飾底乳 | INNISFREE Taiwan</v>
      </c>
      <c r="P169" s="28" t="str">
        <f t="array" ref="P169">INDEX('raw-sheet'!$A$2:$ZZ$1000, ROW(P168),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69" s="28" t="str">
        <f t="array" ref="Q169">INDEX('raw-sheet'!$A$2:$ZZ$1000, ROW(Q168), MATCH(Q$1, 'raw-sheet'!$A$1:$ZZ$1, 0))</f>
        <v>website</v>
      </c>
      <c r="R169" s="28" t="str">
        <f t="array" ref="R169">INDEX('raw-sheet'!$A$2:$ZZ$1000, ROW(R168), MATCH(R$1, 'raw-sheet'!$A$1:$ZZ$1, 0))</f>
        <v>INNISFREE Taiwan</v>
      </c>
      <c r="S169" s="28" t="str">
        <f t="array" ref="S169">INDEX('raw-sheet'!$A$2:$ZZ$1000, ROW(S168), MATCH(S$1, 'raw-sheet'!$A$1:$ZZ$1, 0))</f>
        <v>http://innisfree-taiwan.myshopify.com/cdn/shop/files/logo.png?v=1767594135</v>
      </c>
      <c r="T169" s="28" t="str">
        <f t="array" ref="T169">INDEX('raw-sheet'!$A$2:$ZZ$1000, ROW(T168), MATCH(T$1, 'raw-sheet'!$A$1:$ZZ$1, 0))</f>
        <v>https://innisfree-taiwan.myshopify.com/cdn/shop/files/logo.png?v=1767594135</v>
      </c>
      <c r="U169" s="28" t="str">
        <f t="array" ref="U169">INDEX('raw-sheet'!$A$2:$ZZ$1000, ROW(U168), MATCH(U$1, 'raw-sheet'!$A$1:$ZZ$1, 0))</f>
        <v>https://innisfree-taiwan.myshopify.com/collections/primer</v>
      </c>
      <c r="V169" s="28" t="str">
        <f t="array" ref="V169">INDEX('raw-sheet'!$A$2:$ZZ$1000, ROW(V168), MATCH(V$1, 'raw-sheet'!$A$1:$ZZ$1, 0))</f>
        <v>飾底乳 | INNISFREE Taiwan</v>
      </c>
      <c r="W169" s="28" t="str">
        <f t="array" ref="W169">INDEX('raw-sheet'!$A$2:$ZZ$1000, ROW(W168),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69" s="28" t="str">
        <f t="array" ref="X169">INDEX('raw-sheet'!$A$2:$ZZ$1000, ROW(X168), MATCH(X$1, 'raw-sheet'!$A$1:$ZZ$1, 0))</f>
        <v>summary_large_image</v>
      </c>
      <c r="Y169" s="30" t="s">
        <v>56</v>
      </c>
      <c r="Z169" s="28" t="str">
        <f>VLOOKUP($A169,'raw-schema'!$A:$R,14,0)</f>
        <v>Organization</v>
      </c>
      <c r="AA169" s="28">
        <f>VLOOKUP($A169,'raw-schema'!$A:$R,15,0)</f>
        <v>0</v>
      </c>
      <c r="AB169" s="28">
        <f>VLOOKUP($A169,'raw-schema'!$A:$R,16,0)</f>
        <v>0</v>
      </c>
      <c r="AC169" s="28">
        <f>VLOOKUP($A169,'raw-schema'!$A:$R,17,0)</f>
        <v>0</v>
      </c>
      <c r="AD169" s="28">
        <f>VLOOKUP($A169,'raw-schema'!$A:$R,18,0)</f>
        <v>0</v>
      </c>
      <c r="AE169" s="30" t="s">
        <v>66</v>
      </c>
    </row>
    <row r="170" spans="1:32" x14ac:dyDescent="0.3">
      <c r="A170" s="28" t="str">
        <f t="array" ref="A170">INDEX('raw-sheet'!$A$2:$ZZ$1000, ROW(A169), MATCH(A$1, 'raw-sheet'!$A$1:$ZZ$1, 0))</f>
        <v>https://innisfree-taiwan.myshopify.com/collections/product-series</v>
      </c>
      <c r="B170" s="30" t="s">
        <v>11</v>
      </c>
      <c r="C170" s="28" t="str">
        <f t="array" ref="C170">INDEX('raw-sheet'!$A$2:$ZZ$1000, ROW(C169), MATCH(C$1, 'raw-sheet'!$A$1:$ZZ$1, 0))</f>
        <v>Product List</v>
      </c>
      <c r="D170" s="28">
        <f t="array" ref="D170">INDEX('raw-sheet'!$A$2:$ZZ$1000, ROW(D169), MATCH(D$1, 'raw-sheet'!$A$1:$ZZ$1, 0))</f>
        <v>200</v>
      </c>
      <c r="E170" s="30" t="str">
        <f t="shared" si="4"/>
        <v>Pass</v>
      </c>
      <c r="F170" s="28" t="str">
        <f t="array" ref="F170">INDEX('raw-sheet'!$A$2:$ZZ$1000, ROW(F169), MATCH(F$1, 'raw-sheet'!$A$1:$ZZ$1, 0))</f>
        <v>產品系列_x000D_ | INNISFREE Taiwan</v>
      </c>
      <c r="G170" s="30" t="s">
        <v>60</v>
      </c>
      <c r="H170" s="28">
        <f t="array" ref="H170">INDEX('raw-sheet'!$A$2:$ZZ$1000, ROW(H169), MATCH(H$1, 'raw-sheet'!$A$1:$ZZ$1, 0))</f>
        <v>0</v>
      </c>
      <c r="I170" s="30" t="s">
        <v>61</v>
      </c>
      <c r="J170" s="28" t="str">
        <f t="array" ref="J170">INDEX('raw-sheet'!$A$2:$ZZ$1000, ROW(J169), MATCH(J$1, 'raw-sheet'!$A$1:$ZZ$1, 0))</f>
        <v>產品系列</v>
      </c>
      <c r="K170" s="28" t="str">
        <f t="array" ref="K170">INDEX('raw-sheet'!$A$2:$ZZ$1000, ROW(K169), MATCH(K$1, 'raw-sheet'!$A$1:$ZZ$1, 0))</f>
        <v>1</v>
      </c>
      <c r="L170" s="30" t="s">
        <v>60</v>
      </c>
      <c r="M170" s="28" t="str">
        <f t="array" ref="M170">INDEX('raw-sheet'!$A$2:$ZZ$1000, ROW(M169), MATCH(M$1, 'raw-sheet'!$A$1:$ZZ$1, 0))</f>
        <v>https://innisfree-taiwan.myshopify.com/collections/product-series</v>
      </c>
      <c r="N170" s="30" t="str">
        <f t="shared" si="5"/>
        <v>Pass</v>
      </c>
      <c r="O170" s="28" t="str">
        <f t="array" ref="O170">INDEX('raw-sheet'!$A$2:$ZZ$1000, ROW(O169), MATCH(O$1, 'raw-sheet'!$A$1:$ZZ$1, 0))</f>
        <v>產品系列 | INNISFREE Taiwan</v>
      </c>
      <c r="P170" s="28" t="str">
        <f t="array" ref="P170">INDEX('raw-sheet'!$A$2:$ZZ$1000, ROW(P169),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0" s="28" t="str">
        <f t="array" ref="Q170">INDEX('raw-sheet'!$A$2:$ZZ$1000, ROW(Q169), MATCH(Q$1, 'raw-sheet'!$A$1:$ZZ$1, 0))</f>
        <v>website</v>
      </c>
      <c r="R170" s="28" t="str">
        <f t="array" ref="R170">INDEX('raw-sheet'!$A$2:$ZZ$1000, ROW(R169), MATCH(R$1, 'raw-sheet'!$A$1:$ZZ$1, 0))</f>
        <v>INNISFREE Taiwan</v>
      </c>
      <c r="S170" s="28" t="str">
        <f t="array" ref="S170">INDEX('raw-sheet'!$A$2:$ZZ$1000, ROW(S169), MATCH(S$1, 'raw-sheet'!$A$1:$ZZ$1, 0))</f>
        <v>http://innisfree-taiwan.myshopify.com/cdn/shop/files/logo.png?v=1767594135</v>
      </c>
      <c r="T170" s="28" t="str">
        <f t="array" ref="T170">INDEX('raw-sheet'!$A$2:$ZZ$1000, ROW(T169), MATCH(T$1, 'raw-sheet'!$A$1:$ZZ$1, 0))</f>
        <v>https://innisfree-taiwan.myshopify.com/cdn/shop/files/logo.png?v=1767594135</v>
      </c>
      <c r="U170" s="28" t="str">
        <f t="array" ref="U170">INDEX('raw-sheet'!$A$2:$ZZ$1000, ROW(U169), MATCH(U$1, 'raw-sheet'!$A$1:$ZZ$1, 0))</f>
        <v>https://innisfree-taiwan.myshopify.com/collections/product-series</v>
      </c>
      <c r="V170" s="28" t="str">
        <f t="array" ref="V170">INDEX('raw-sheet'!$A$2:$ZZ$1000, ROW(V169), MATCH(V$1, 'raw-sheet'!$A$1:$ZZ$1, 0))</f>
        <v>產品系列 | INNISFREE Taiwan</v>
      </c>
      <c r="W170" s="28" t="str">
        <f t="array" ref="W170">INDEX('raw-sheet'!$A$2:$ZZ$1000, ROW(W169),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0" s="28" t="str">
        <f t="array" ref="X170">INDEX('raw-sheet'!$A$2:$ZZ$1000, ROW(X169), MATCH(X$1, 'raw-sheet'!$A$1:$ZZ$1, 0))</f>
        <v>summary_large_image</v>
      </c>
      <c r="Y170" s="30" t="s">
        <v>62</v>
      </c>
      <c r="Z170" s="28" t="str">
        <f>VLOOKUP($A170,'raw-schema'!$A:$R,14,0)</f>
        <v>Organization</v>
      </c>
      <c r="AA170" s="28">
        <f>VLOOKUP($A170,'raw-schema'!$A:$R,15,0)</f>
        <v>0</v>
      </c>
      <c r="AB170" s="28">
        <f>VLOOKUP($A170,'raw-schema'!$A:$R,16,0)</f>
        <v>0</v>
      </c>
      <c r="AC170" s="28">
        <f>VLOOKUP($A170,'raw-schema'!$A:$R,17,0)</f>
        <v>0</v>
      </c>
      <c r="AD170" s="28">
        <f>VLOOKUP($A170,'raw-schema'!$A:$R,18,0)</f>
        <v>0</v>
      </c>
      <c r="AE170" s="30" t="s">
        <v>66</v>
      </c>
    </row>
    <row r="171" spans="1:32" x14ac:dyDescent="0.3">
      <c r="A171" s="28" t="str">
        <f t="array" ref="A171">INDEX('raw-sheet'!$A$2:$ZZ$1000, ROW(A170), MATCH(A$1, 'raw-sheet'!$A$1:$ZZ$1, 0))</f>
        <v>https://innisfree-taiwan.myshopify.com/collections/product-series?page=1</v>
      </c>
      <c r="B171" s="30" t="s">
        <v>11</v>
      </c>
      <c r="C171" s="28" t="str">
        <f t="array" ref="C171">INDEX('raw-sheet'!$A$2:$ZZ$1000, ROW(C170), MATCH(C$1, 'raw-sheet'!$A$1:$ZZ$1, 0))</f>
        <v>Product List</v>
      </c>
      <c r="D171" s="28">
        <f t="array" ref="D171">INDEX('raw-sheet'!$A$2:$ZZ$1000, ROW(D170), MATCH(D$1, 'raw-sheet'!$A$1:$ZZ$1, 0))</f>
        <v>200</v>
      </c>
      <c r="E171" s="30" t="str">
        <f t="shared" si="4"/>
        <v>Pass</v>
      </c>
      <c r="F171" s="28" t="str">
        <f t="array" ref="F171">INDEX('raw-sheet'!$A$2:$ZZ$1000, ROW(F170), MATCH(F$1, 'raw-sheet'!$A$1:$ZZ$1, 0))</f>
        <v>產品系列_x000D_ | INNISFREE Taiwan</v>
      </c>
      <c r="G171" s="30" t="s">
        <v>11</v>
      </c>
      <c r="H171" s="28">
        <f t="array" ref="H171">INDEX('raw-sheet'!$A$2:$ZZ$1000, ROW(H170), MATCH(H$1, 'raw-sheet'!$A$1:$ZZ$1, 0))</f>
        <v>0</v>
      </c>
      <c r="I171" s="30" t="s">
        <v>61</v>
      </c>
      <c r="J171" s="28" t="str">
        <f t="array" ref="J171">INDEX('raw-sheet'!$A$2:$ZZ$1000, ROW(J170), MATCH(J$1, 'raw-sheet'!$A$1:$ZZ$1, 0))</f>
        <v>產品系列</v>
      </c>
      <c r="K171" s="28" t="str">
        <f t="array" ref="K171">INDEX('raw-sheet'!$A$2:$ZZ$1000, ROW(K170), MATCH(K$1, 'raw-sheet'!$A$1:$ZZ$1, 0))</f>
        <v>1</v>
      </c>
      <c r="L171" s="30" t="s">
        <v>60</v>
      </c>
      <c r="M171" s="28" t="str">
        <f t="array" ref="M171">INDEX('raw-sheet'!$A$2:$ZZ$1000, ROW(M170), MATCH(M$1, 'raw-sheet'!$A$1:$ZZ$1, 0))</f>
        <v>https://innisfree-taiwan.myshopify.com/collections/product-series</v>
      </c>
      <c r="N171" s="30" t="str">
        <f t="shared" si="5"/>
        <v>Not</v>
      </c>
      <c r="O171" s="28" t="str">
        <f t="array" ref="O171">INDEX('raw-sheet'!$A$2:$ZZ$1000, ROW(O170), MATCH(O$1, 'raw-sheet'!$A$1:$ZZ$1, 0))</f>
        <v>產品系列 | INNISFREE Taiwan</v>
      </c>
      <c r="P171" s="28" t="str">
        <f t="array" ref="P171">INDEX('raw-sheet'!$A$2:$ZZ$1000, ROW(P170),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1" s="28" t="str">
        <f t="array" ref="Q171">INDEX('raw-sheet'!$A$2:$ZZ$1000, ROW(Q170), MATCH(Q$1, 'raw-sheet'!$A$1:$ZZ$1, 0))</f>
        <v>website</v>
      </c>
      <c r="R171" s="28" t="str">
        <f t="array" ref="R171">INDEX('raw-sheet'!$A$2:$ZZ$1000, ROW(R170), MATCH(R$1, 'raw-sheet'!$A$1:$ZZ$1, 0))</f>
        <v>INNISFREE Taiwan</v>
      </c>
      <c r="S171" s="28" t="str">
        <f t="array" ref="S171">INDEX('raw-sheet'!$A$2:$ZZ$1000, ROW(S170), MATCH(S$1, 'raw-sheet'!$A$1:$ZZ$1, 0))</f>
        <v>http://innisfree-taiwan.myshopify.com/cdn/shop/files/logo.png?v=1767594135</v>
      </c>
      <c r="T171" s="28" t="str">
        <f t="array" ref="T171">INDEX('raw-sheet'!$A$2:$ZZ$1000, ROW(T170), MATCH(T$1, 'raw-sheet'!$A$1:$ZZ$1, 0))</f>
        <v>https://innisfree-taiwan.myshopify.com/cdn/shop/files/logo.png?v=1767594135</v>
      </c>
      <c r="U171" s="28" t="str">
        <f t="array" ref="U171">INDEX('raw-sheet'!$A$2:$ZZ$1000, ROW(U170), MATCH(U$1, 'raw-sheet'!$A$1:$ZZ$1, 0))</f>
        <v>https://innisfree-taiwan.myshopify.com/collections/product-series</v>
      </c>
      <c r="V171" s="28" t="str">
        <f t="array" ref="V171">INDEX('raw-sheet'!$A$2:$ZZ$1000, ROW(V170), MATCH(V$1, 'raw-sheet'!$A$1:$ZZ$1, 0))</f>
        <v>產品系列 | INNISFREE Taiwan</v>
      </c>
      <c r="W171" s="28" t="str">
        <f t="array" ref="W171">INDEX('raw-sheet'!$A$2:$ZZ$1000, ROW(W170),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1" s="28" t="str">
        <f t="array" ref="X171">INDEX('raw-sheet'!$A$2:$ZZ$1000, ROW(X170), MATCH(X$1, 'raw-sheet'!$A$1:$ZZ$1, 0))</f>
        <v>summary_large_image</v>
      </c>
      <c r="Y171" s="30" t="s">
        <v>62</v>
      </c>
      <c r="Z171" s="28" t="str">
        <f>VLOOKUP($A171,'raw-schema'!$A:$R,14,0)</f>
        <v>Organization</v>
      </c>
      <c r="AA171" s="28">
        <f>VLOOKUP($A171,'raw-schema'!$A:$R,15,0)</f>
        <v>0</v>
      </c>
      <c r="AB171" s="28">
        <f>VLOOKUP($A171,'raw-schema'!$A:$R,16,0)</f>
        <v>0</v>
      </c>
      <c r="AC171" s="28">
        <f>VLOOKUP($A171,'raw-schema'!$A:$R,17,0)</f>
        <v>0</v>
      </c>
      <c r="AD171" s="28">
        <f>VLOOKUP($A171,'raw-schema'!$A:$R,18,0)</f>
        <v>0</v>
      </c>
      <c r="AE171" s="30" t="s">
        <v>66</v>
      </c>
      <c r="AF171" t="s">
        <v>65</v>
      </c>
    </row>
    <row r="172" spans="1:32" x14ac:dyDescent="0.3">
      <c r="A172" s="28" t="str">
        <f t="array" ref="A172">INDEX('raw-sheet'!$A$2:$ZZ$1000, ROW(A171), MATCH(A$1, 'raw-sheet'!$A$1:$ZZ$1, 0))</f>
        <v>https://innisfree-taiwan.myshopify.com/collections/product-series?page=2</v>
      </c>
      <c r="B172" s="30" t="s">
        <v>11</v>
      </c>
      <c r="C172" s="28" t="str">
        <f t="array" ref="C172">INDEX('raw-sheet'!$A$2:$ZZ$1000, ROW(C171), MATCH(C$1, 'raw-sheet'!$A$1:$ZZ$1, 0))</f>
        <v>Product List</v>
      </c>
      <c r="D172" s="28">
        <f t="array" ref="D172">INDEX('raw-sheet'!$A$2:$ZZ$1000, ROW(D171), MATCH(D$1, 'raw-sheet'!$A$1:$ZZ$1, 0))</f>
        <v>200</v>
      </c>
      <c r="E172" s="30" t="str">
        <f t="shared" si="4"/>
        <v>Pass</v>
      </c>
      <c r="F172" s="28" t="str">
        <f t="array" ref="F172">INDEX('raw-sheet'!$A$2:$ZZ$1000, ROW(F171), MATCH(F$1, 'raw-sheet'!$A$1:$ZZ$1, 0))</f>
        <v>產品系列_x000D_ – Page 2 | INNISFREE Taiwan</v>
      </c>
      <c r="G172" s="30" t="s">
        <v>11</v>
      </c>
      <c r="H172" s="28">
        <f t="array" ref="H172">INDEX('raw-sheet'!$A$2:$ZZ$1000, ROW(H171), MATCH(H$1, 'raw-sheet'!$A$1:$ZZ$1, 0))</f>
        <v>0</v>
      </c>
      <c r="I172" s="30" t="s">
        <v>61</v>
      </c>
      <c r="J172" s="28" t="str">
        <f t="array" ref="J172">INDEX('raw-sheet'!$A$2:$ZZ$1000, ROW(J171), MATCH(J$1, 'raw-sheet'!$A$1:$ZZ$1, 0))</f>
        <v>產品系列</v>
      </c>
      <c r="K172" s="28" t="str">
        <f t="array" ref="K172">INDEX('raw-sheet'!$A$2:$ZZ$1000, ROW(K171), MATCH(K$1, 'raw-sheet'!$A$1:$ZZ$1, 0))</f>
        <v>1</v>
      </c>
      <c r="L172" s="30" t="s">
        <v>60</v>
      </c>
      <c r="M172" s="28" t="str">
        <f t="array" ref="M172">INDEX('raw-sheet'!$A$2:$ZZ$1000, ROW(M171), MATCH(M$1, 'raw-sheet'!$A$1:$ZZ$1, 0))</f>
        <v>https://innisfree-taiwan.myshopify.com/collections/product-series?page=2</v>
      </c>
      <c r="N172" s="30" t="str">
        <f t="shared" si="5"/>
        <v>Pass</v>
      </c>
      <c r="O172" s="28" t="str">
        <f t="array" ref="O172">INDEX('raw-sheet'!$A$2:$ZZ$1000, ROW(O171), MATCH(O$1, 'raw-sheet'!$A$1:$ZZ$1, 0))</f>
        <v>產品系列 | INNISFREE Taiwan</v>
      </c>
      <c r="P172" s="28" t="str">
        <f t="array" ref="P172">INDEX('raw-sheet'!$A$2:$ZZ$1000, ROW(P171),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2" s="28" t="str">
        <f t="array" ref="Q172">INDEX('raw-sheet'!$A$2:$ZZ$1000, ROW(Q171), MATCH(Q$1, 'raw-sheet'!$A$1:$ZZ$1, 0))</f>
        <v>website</v>
      </c>
      <c r="R172" s="28" t="str">
        <f t="array" ref="R172">INDEX('raw-sheet'!$A$2:$ZZ$1000, ROW(R171), MATCH(R$1, 'raw-sheet'!$A$1:$ZZ$1, 0))</f>
        <v>INNISFREE Taiwan</v>
      </c>
      <c r="S172" s="28" t="str">
        <f t="array" ref="S172">INDEX('raw-sheet'!$A$2:$ZZ$1000, ROW(S171), MATCH(S$1, 'raw-sheet'!$A$1:$ZZ$1, 0))</f>
        <v>http://innisfree-taiwan.myshopify.com/cdn/shop/files/logo.png?v=1767594135</v>
      </c>
      <c r="T172" s="28" t="str">
        <f t="array" ref="T172">INDEX('raw-sheet'!$A$2:$ZZ$1000, ROW(T171), MATCH(T$1, 'raw-sheet'!$A$1:$ZZ$1, 0))</f>
        <v>https://innisfree-taiwan.myshopify.com/cdn/shop/files/logo.png?v=1767594135</v>
      </c>
      <c r="U172" s="28" t="str">
        <f t="array" ref="U172">INDEX('raw-sheet'!$A$2:$ZZ$1000, ROW(U171), MATCH(U$1, 'raw-sheet'!$A$1:$ZZ$1, 0))</f>
        <v>https://innisfree-taiwan.myshopify.com/collections/product-series?page=2</v>
      </c>
      <c r="V172" s="28" t="str">
        <f t="array" ref="V172">INDEX('raw-sheet'!$A$2:$ZZ$1000, ROW(V171), MATCH(V$1, 'raw-sheet'!$A$1:$ZZ$1, 0))</f>
        <v>產品系列 | INNISFREE Taiwan</v>
      </c>
      <c r="W172" s="28" t="str">
        <f t="array" ref="W172">INDEX('raw-sheet'!$A$2:$ZZ$1000, ROW(W171),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2" s="28" t="str">
        <f t="array" ref="X172">INDEX('raw-sheet'!$A$2:$ZZ$1000, ROW(X171), MATCH(X$1, 'raw-sheet'!$A$1:$ZZ$1, 0))</f>
        <v>summary_large_image</v>
      </c>
      <c r="Y172" s="30" t="s">
        <v>62</v>
      </c>
      <c r="Z172" s="28" t="str">
        <f>VLOOKUP($A172,'raw-schema'!$A:$R,14,0)</f>
        <v>Organization</v>
      </c>
      <c r="AA172" s="28">
        <f>VLOOKUP($A172,'raw-schema'!$A:$R,15,0)</f>
        <v>0</v>
      </c>
      <c r="AB172" s="28">
        <f>VLOOKUP($A172,'raw-schema'!$A:$R,16,0)</f>
        <v>0</v>
      </c>
      <c r="AC172" s="28">
        <f>VLOOKUP($A172,'raw-schema'!$A:$R,17,0)</f>
        <v>0</v>
      </c>
      <c r="AD172" s="28">
        <f>VLOOKUP($A172,'raw-schema'!$A:$R,18,0)</f>
        <v>0</v>
      </c>
      <c r="AE172" s="30" t="s">
        <v>66</v>
      </c>
      <c r="AF172" t="s">
        <v>65</v>
      </c>
    </row>
    <row r="173" spans="1:32" x14ac:dyDescent="0.3">
      <c r="A173" s="28" t="str">
        <f t="array" ref="A173">INDEX('raw-sheet'!$A$2:$ZZ$1000, ROW(A172), MATCH(A$1, 'raw-sheet'!$A$1:$ZZ$1, 0))</f>
        <v>https://innisfree-taiwan.myshopify.com/collections/product-series?page=3</v>
      </c>
      <c r="B173" s="30" t="s">
        <v>11</v>
      </c>
      <c r="C173" s="28" t="str">
        <f t="array" ref="C173">INDEX('raw-sheet'!$A$2:$ZZ$1000, ROW(C172), MATCH(C$1, 'raw-sheet'!$A$1:$ZZ$1, 0))</f>
        <v>Product List</v>
      </c>
      <c r="D173" s="28">
        <f t="array" ref="D173">INDEX('raw-sheet'!$A$2:$ZZ$1000, ROW(D172), MATCH(D$1, 'raw-sheet'!$A$1:$ZZ$1, 0))</f>
        <v>200</v>
      </c>
      <c r="E173" s="30" t="str">
        <f t="shared" si="4"/>
        <v>Pass</v>
      </c>
      <c r="F173" s="28" t="str">
        <f t="array" ref="F173">INDEX('raw-sheet'!$A$2:$ZZ$1000, ROW(F172), MATCH(F$1, 'raw-sheet'!$A$1:$ZZ$1, 0))</f>
        <v>產品系列_x000D_ – Page 3 | INNISFREE Taiwan</v>
      </c>
      <c r="G173" s="30" t="s">
        <v>11</v>
      </c>
      <c r="H173" s="28">
        <f t="array" ref="H173">INDEX('raw-sheet'!$A$2:$ZZ$1000, ROW(H172), MATCH(H$1, 'raw-sheet'!$A$1:$ZZ$1, 0))</f>
        <v>0</v>
      </c>
      <c r="I173" s="30" t="s">
        <v>61</v>
      </c>
      <c r="J173" s="28" t="str">
        <f t="array" ref="J173">INDEX('raw-sheet'!$A$2:$ZZ$1000, ROW(J172), MATCH(J$1, 'raw-sheet'!$A$1:$ZZ$1, 0))</f>
        <v>產品系列</v>
      </c>
      <c r="K173" s="28" t="str">
        <f t="array" ref="K173">INDEX('raw-sheet'!$A$2:$ZZ$1000, ROW(K172), MATCH(K$1, 'raw-sheet'!$A$1:$ZZ$1, 0))</f>
        <v>1</v>
      </c>
      <c r="L173" s="30" t="s">
        <v>60</v>
      </c>
      <c r="M173" s="28" t="str">
        <f t="array" ref="M173">INDEX('raw-sheet'!$A$2:$ZZ$1000, ROW(M172), MATCH(M$1, 'raw-sheet'!$A$1:$ZZ$1, 0))</f>
        <v>https://innisfree-taiwan.myshopify.com/collections/product-series?page=3</v>
      </c>
      <c r="N173" s="30" t="str">
        <f t="shared" si="5"/>
        <v>Pass</v>
      </c>
      <c r="O173" s="28" t="str">
        <f t="array" ref="O173">INDEX('raw-sheet'!$A$2:$ZZ$1000, ROW(O172), MATCH(O$1, 'raw-sheet'!$A$1:$ZZ$1, 0))</f>
        <v>產品系列 | INNISFREE Taiwan</v>
      </c>
      <c r="P173" s="28" t="str">
        <f t="array" ref="P173">INDEX('raw-sheet'!$A$2:$ZZ$1000, ROW(P172),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3" s="28" t="str">
        <f t="array" ref="Q173">INDEX('raw-sheet'!$A$2:$ZZ$1000, ROW(Q172), MATCH(Q$1, 'raw-sheet'!$A$1:$ZZ$1, 0))</f>
        <v>website</v>
      </c>
      <c r="R173" s="28" t="str">
        <f t="array" ref="R173">INDEX('raw-sheet'!$A$2:$ZZ$1000, ROW(R172), MATCH(R$1, 'raw-sheet'!$A$1:$ZZ$1, 0))</f>
        <v>INNISFREE Taiwan</v>
      </c>
      <c r="S173" s="28" t="str">
        <f t="array" ref="S173">INDEX('raw-sheet'!$A$2:$ZZ$1000, ROW(S172), MATCH(S$1, 'raw-sheet'!$A$1:$ZZ$1, 0))</f>
        <v>http://innisfree-taiwan.myshopify.com/cdn/shop/files/logo.png?v=1767594135</v>
      </c>
      <c r="T173" s="28" t="str">
        <f t="array" ref="T173">INDEX('raw-sheet'!$A$2:$ZZ$1000, ROW(T172), MATCH(T$1, 'raw-sheet'!$A$1:$ZZ$1, 0))</f>
        <v>https://innisfree-taiwan.myshopify.com/cdn/shop/files/logo.png?v=1767594135</v>
      </c>
      <c r="U173" s="28" t="str">
        <f t="array" ref="U173">INDEX('raw-sheet'!$A$2:$ZZ$1000, ROW(U172), MATCH(U$1, 'raw-sheet'!$A$1:$ZZ$1, 0))</f>
        <v>https://innisfree-taiwan.myshopify.com/collections/product-series?page=3</v>
      </c>
      <c r="V173" s="28" t="str">
        <f t="array" ref="V173">INDEX('raw-sheet'!$A$2:$ZZ$1000, ROW(V172), MATCH(V$1, 'raw-sheet'!$A$1:$ZZ$1, 0))</f>
        <v>產品系列 | INNISFREE Taiwan</v>
      </c>
      <c r="W173" s="28" t="str">
        <f t="array" ref="W173">INDEX('raw-sheet'!$A$2:$ZZ$1000, ROW(W172),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3" s="28" t="str">
        <f t="array" ref="X173">INDEX('raw-sheet'!$A$2:$ZZ$1000, ROW(X172), MATCH(X$1, 'raw-sheet'!$A$1:$ZZ$1, 0))</f>
        <v>summary_large_image</v>
      </c>
      <c r="Y173" s="30" t="s">
        <v>62</v>
      </c>
      <c r="Z173" s="28" t="str">
        <f>VLOOKUP($A173,'raw-schema'!$A:$R,14,0)</f>
        <v>Organization</v>
      </c>
      <c r="AA173" s="28">
        <f>VLOOKUP($A173,'raw-schema'!$A:$R,15,0)</f>
        <v>0</v>
      </c>
      <c r="AB173" s="28">
        <f>VLOOKUP($A173,'raw-schema'!$A:$R,16,0)</f>
        <v>0</v>
      </c>
      <c r="AC173" s="28">
        <f>VLOOKUP($A173,'raw-schema'!$A:$R,17,0)</f>
        <v>0</v>
      </c>
      <c r="AD173" s="28">
        <f>VLOOKUP($A173,'raw-schema'!$A:$R,18,0)</f>
        <v>0</v>
      </c>
      <c r="AE173" s="30" t="s">
        <v>66</v>
      </c>
      <c r="AF173" t="s">
        <v>65</v>
      </c>
    </row>
    <row r="174" spans="1:32" x14ac:dyDescent="0.3">
      <c r="A174" s="28" t="str">
        <f t="array" ref="A174">INDEX('raw-sheet'!$A$2:$ZZ$1000, ROW(A173), MATCH(A$1, 'raw-sheet'!$A$1:$ZZ$1, 0))</f>
        <v>https://innisfree-taiwan.myshopify.com/collections/product-series?page=4</v>
      </c>
      <c r="B174" s="30" t="s">
        <v>11</v>
      </c>
      <c r="C174" s="28" t="str">
        <f t="array" ref="C174">INDEX('raw-sheet'!$A$2:$ZZ$1000, ROW(C173), MATCH(C$1, 'raw-sheet'!$A$1:$ZZ$1, 0))</f>
        <v>Product List</v>
      </c>
      <c r="D174" s="28">
        <f t="array" ref="D174">INDEX('raw-sheet'!$A$2:$ZZ$1000, ROW(D173), MATCH(D$1, 'raw-sheet'!$A$1:$ZZ$1, 0))</f>
        <v>200</v>
      </c>
      <c r="E174" s="30" t="str">
        <f t="shared" si="4"/>
        <v>Pass</v>
      </c>
      <c r="F174" s="28" t="str">
        <f t="array" ref="F174">INDEX('raw-sheet'!$A$2:$ZZ$1000, ROW(F173), MATCH(F$1, 'raw-sheet'!$A$1:$ZZ$1, 0))</f>
        <v>產品系列_x000D_ – Page 4 | INNISFREE Taiwan</v>
      </c>
      <c r="G174" s="30" t="s">
        <v>11</v>
      </c>
      <c r="H174" s="28">
        <f t="array" ref="H174">INDEX('raw-sheet'!$A$2:$ZZ$1000, ROW(H173), MATCH(H$1, 'raw-sheet'!$A$1:$ZZ$1, 0))</f>
        <v>0</v>
      </c>
      <c r="I174" s="30" t="s">
        <v>61</v>
      </c>
      <c r="J174" s="28" t="str">
        <f t="array" ref="J174">INDEX('raw-sheet'!$A$2:$ZZ$1000, ROW(J173), MATCH(J$1, 'raw-sheet'!$A$1:$ZZ$1, 0))</f>
        <v>產品系列</v>
      </c>
      <c r="K174" s="28" t="str">
        <f t="array" ref="K174">INDEX('raw-sheet'!$A$2:$ZZ$1000, ROW(K173), MATCH(K$1, 'raw-sheet'!$A$1:$ZZ$1, 0))</f>
        <v>1</v>
      </c>
      <c r="L174" s="30" t="s">
        <v>60</v>
      </c>
      <c r="M174" s="28" t="str">
        <f t="array" ref="M174">INDEX('raw-sheet'!$A$2:$ZZ$1000, ROW(M173), MATCH(M$1, 'raw-sheet'!$A$1:$ZZ$1, 0))</f>
        <v>https://innisfree-taiwan.myshopify.com/collections/product-series?page=4</v>
      </c>
      <c r="N174" s="30" t="str">
        <f t="shared" si="5"/>
        <v>Pass</v>
      </c>
      <c r="O174" s="28" t="str">
        <f t="array" ref="O174">INDEX('raw-sheet'!$A$2:$ZZ$1000, ROW(O173), MATCH(O$1, 'raw-sheet'!$A$1:$ZZ$1, 0))</f>
        <v>產品系列 | INNISFREE Taiwan</v>
      </c>
      <c r="P174" s="28" t="str">
        <f t="array" ref="P174">INDEX('raw-sheet'!$A$2:$ZZ$1000, ROW(P173),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4" s="28" t="str">
        <f t="array" ref="Q174">INDEX('raw-sheet'!$A$2:$ZZ$1000, ROW(Q173), MATCH(Q$1, 'raw-sheet'!$A$1:$ZZ$1, 0))</f>
        <v>website</v>
      </c>
      <c r="R174" s="28" t="str">
        <f t="array" ref="R174">INDEX('raw-sheet'!$A$2:$ZZ$1000, ROW(R173), MATCH(R$1, 'raw-sheet'!$A$1:$ZZ$1, 0))</f>
        <v>INNISFREE Taiwan</v>
      </c>
      <c r="S174" s="28" t="str">
        <f t="array" ref="S174">INDEX('raw-sheet'!$A$2:$ZZ$1000, ROW(S173), MATCH(S$1, 'raw-sheet'!$A$1:$ZZ$1, 0))</f>
        <v>http://innisfree-taiwan.myshopify.com/cdn/shop/files/logo.png?v=1767594135</v>
      </c>
      <c r="T174" s="28" t="str">
        <f t="array" ref="T174">INDEX('raw-sheet'!$A$2:$ZZ$1000, ROW(T173), MATCH(T$1, 'raw-sheet'!$A$1:$ZZ$1, 0))</f>
        <v>https://innisfree-taiwan.myshopify.com/cdn/shop/files/logo.png?v=1767594135</v>
      </c>
      <c r="U174" s="28" t="str">
        <f t="array" ref="U174">INDEX('raw-sheet'!$A$2:$ZZ$1000, ROW(U173), MATCH(U$1, 'raw-sheet'!$A$1:$ZZ$1, 0))</f>
        <v>https://innisfree-taiwan.myshopify.com/collections/product-series?page=4</v>
      </c>
      <c r="V174" s="28" t="str">
        <f t="array" ref="V174">INDEX('raw-sheet'!$A$2:$ZZ$1000, ROW(V173), MATCH(V$1, 'raw-sheet'!$A$1:$ZZ$1, 0))</f>
        <v>產品系列 | INNISFREE Taiwan</v>
      </c>
      <c r="W174" s="28" t="str">
        <f t="array" ref="W174">INDEX('raw-sheet'!$A$2:$ZZ$1000, ROW(W173),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4" s="28" t="str">
        <f t="array" ref="X174">INDEX('raw-sheet'!$A$2:$ZZ$1000, ROW(X173), MATCH(X$1, 'raw-sheet'!$A$1:$ZZ$1, 0))</f>
        <v>summary_large_image</v>
      </c>
      <c r="Y174" s="30" t="s">
        <v>62</v>
      </c>
      <c r="Z174" s="28" t="str">
        <f>VLOOKUP($A174,'raw-schema'!$A:$R,14,0)</f>
        <v>Organization</v>
      </c>
      <c r="AA174" s="28">
        <f>VLOOKUP($A174,'raw-schema'!$A:$R,15,0)</f>
        <v>0</v>
      </c>
      <c r="AB174" s="28">
        <f>VLOOKUP($A174,'raw-schema'!$A:$R,16,0)</f>
        <v>0</v>
      </c>
      <c r="AC174" s="28">
        <f>VLOOKUP($A174,'raw-schema'!$A:$R,17,0)</f>
        <v>0</v>
      </c>
      <c r="AD174" s="28">
        <f>VLOOKUP($A174,'raw-schema'!$A:$R,18,0)</f>
        <v>0</v>
      </c>
      <c r="AE174" s="30" t="s">
        <v>66</v>
      </c>
      <c r="AF174" t="s">
        <v>65</v>
      </c>
    </row>
    <row r="175" spans="1:32" x14ac:dyDescent="0.3">
      <c r="A175" s="28" t="str">
        <f t="array" ref="A175">INDEX('raw-sheet'!$A$2:$ZZ$1000, ROW(A174), MATCH(A$1, 'raw-sheet'!$A$1:$ZZ$1, 0))</f>
        <v>https://innisfree-taiwan.myshopify.com/collections/product-series?page=5</v>
      </c>
      <c r="B175" s="30" t="s">
        <v>11</v>
      </c>
      <c r="C175" s="28" t="str">
        <f t="array" ref="C175">INDEX('raw-sheet'!$A$2:$ZZ$1000, ROW(C174), MATCH(C$1, 'raw-sheet'!$A$1:$ZZ$1, 0))</f>
        <v>Product List</v>
      </c>
      <c r="D175" s="28">
        <f t="array" ref="D175">INDEX('raw-sheet'!$A$2:$ZZ$1000, ROW(D174), MATCH(D$1, 'raw-sheet'!$A$1:$ZZ$1, 0))</f>
        <v>200</v>
      </c>
      <c r="E175" s="30" t="str">
        <f t="shared" si="4"/>
        <v>Pass</v>
      </c>
      <c r="F175" s="28" t="str">
        <f t="array" ref="F175">INDEX('raw-sheet'!$A$2:$ZZ$1000, ROW(F174), MATCH(F$1, 'raw-sheet'!$A$1:$ZZ$1, 0))</f>
        <v>產品系列_x000D_ – Page 5 | INNISFREE Taiwan</v>
      </c>
      <c r="G175" s="30" t="s">
        <v>11</v>
      </c>
      <c r="H175" s="28">
        <f t="array" ref="H175">INDEX('raw-sheet'!$A$2:$ZZ$1000, ROW(H174), MATCH(H$1, 'raw-sheet'!$A$1:$ZZ$1, 0))</f>
        <v>0</v>
      </c>
      <c r="I175" s="30" t="s">
        <v>61</v>
      </c>
      <c r="J175" s="28" t="str">
        <f t="array" ref="J175">INDEX('raw-sheet'!$A$2:$ZZ$1000, ROW(J174), MATCH(J$1, 'raw-sheet'!$A$1:$ZZ$1, 0))</f>
        <v>產品系列</v>
      </c>
      <c r="K175" s="28" t="str">
        <f t="array" ref="K175">INDEX('raw-sheet'!$A$2:$ZZ$1000, ROW(K174), MATCH(K$1, 'raw-sheet'!$A$1:$ZZ$1, 0))</f>
        <v>1</v>
      </c>
      <c r="L175" s="30" t="s">
        <v>60</v>
      </c>
      <c r="M175" s="28" t="str">
        <f t="array" ref="M175">INDEX('raw-sheet'!$A$2:$ZZ$1000, ROW(M174), MATCH(M$1, 'raw-sheet'!$A$1:$ZZ$1, 0))</f>
        <v>https://innisfree-taiwan.myshopify.com/collections/product-series?page=5</v>
      </c>
      <c r="N175" s="30" t="str">
        <f t="shared" si="5"/>
        <v>Pass</v>
      </c>
      <c r="O175" s="28" t="str">
        <f t="array" ref="O175">INDEX('raw-sheet'!$A$2:$ZZ$1000, ROW(O174), MATCH(O$1, 'raw-sheet'!$A$1:$ZZ$1, 0))</f>
        <v>產品系列 | INNISFREE Taiwan</v>
      </c>
      <c r="P175" s="28" t="str">
        <f t="array" ref="P175">INDEX('raw-sheet'!$A$2:$ZZ$1000, ROW(P174),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5" s="28" t="str">
        <f t="array" ref="Q175">INDEX('raw-sheet'!$A$2:$ZZ$1000, ROW(Q174), MATCH(Q$1, 'raw-sheet'!$A$1:$ZZ$1, 0))</f>
        <v>website</v>
      </c>
      <c r="R175" s="28" t="str">
        <f t="array" ref="R175">INDEX('raw-sheet'!$A$2:$ZZ$1000, ROW(R174), MATCH(R$1, 'raw-sheet'!$A$1:$ZZ$1, 0))</f>
        <v>INNISFREE Taiwan</v>
      </c>
      <c r="S175" s="28" t="str">
        <f t="array" ref="S175">INDEX('raw-sheet'!$A$2:$ZZ$1000, ROW(S174), MATCH(S$1, 'raw-sheet'!$A$1:$ZZ$1, 0))</f>
        <v>http://innisfree-taiwan.myshopify.com/cdn/shop/files/logo.png?v=1767594135</v>
      </c>
      <c r="T175" s="28" t="str">
        <f t="array" ref="T175">INDEX('raw-sheet'!$A$2:$ZZ$1000, ROW(T174), MATCH(T$1, 'raw-sheet'!$A$1:$ZZ$1, 0))</f>
        <v>https://innisfree-taiwan.myshopify.com/cdn/shop/files/logo.png?v=1767594135</v>
      </c>
      <c r="U175" s="28" t="str">
        <f t="array" ref="U175">INDEX('raw-sheet'!$A$2:$ZZ$1000, ROW(U174), MATCH(U$1, 'raw-sheet'!$A$1:$ZZ$1, 0))</f>
        <v>https://innisfree-taiwan.myshopify.com/collections/product-series?page=5</v>
      </c>
      <c r="V175" s="28" t="str">
        <f t="array" ref="V175">INDEX('raw-sheet'!$A$2:$ZZ$1000, ROW(V174), MATCH(V$1, 'raw-sheet'!$A$1:$ZZ$1, 0))</f>
        <v>產品系列 | INNISFREE Taiwan</v>
      </c>
      <c r="W175" s="28" t="str">
        <f t="array" ref="W175">INDEX('raw-sheet'!$A$2:$ZZ$1000, ROW(W174),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5" s="28" t="str">
        <f t="array" ref="X175">INDEX('raw-sheet'!$A$2:$ZZ$1000, ROW(X174), MATCH(X$1, 'raw-sheet'!$A$1:$ZZ$1, 0))</f>
        <v>summary_large_image</v>
      </c>
      <c r="Y175" s="30" t="s">
        <v>62</v>
      </c>
      <c r="Z175" s="28" t="str">
        <f>VLOOKUP($A175,'raw-schema'!$A:$R,14,0)</f>
        <v>Organization</v>
      </c>
      <c r="AA175" s="28">
        <f>VLOOKUP($A175,'raw-schema'!$A:$R,15,0)</f>
        <v>0</v>
      </c>
      <c r="AB175" s="28">
        <f>VLOOKUP($A175,'raw-schema'!$A:$R,16,0)</f>
        <v>0</v>
      </c>
      <c r="AC175" s="28">
        <f>VLOOKUP($A175,'raw-schema'!$A:$R,17,0)</f>
        <v>0</v>
      </c>
      <c r="AD175" s="28">
        <f>VLOOKUP($A175,'raw-schema'!$A:$R,18,0)</f>
        <v>0</v>
      </c>
      <c r="AE175" s="30" t="s">
        <v>66</v>
      </c>
      <c r="AF175" t="s">
        <v>65</v>
      </c>
    </row>
    <row r="176" spans="1:32" x14ac:dyDescent="0.3">
      <c r="A176" s="28" t="str">
        <f t="array" ref="A176">INDEX('raw-sheet'!$A$2:$ZZ$1000, ROW(A175), MATCH(A$1, 'raw-sheet'!$A$1:$ZZ$1, 0))</f>
        <v>https://innisfree-taiwan.myshopify.com/collections/product-series?page=6</v>
      </c>
      <c r="B176" s="30" t="s">
        <v>11</v>
      </c>
      <c r="C176" s="28" t="str">
        <f t="array" ref="C176">INDEX('raw-sheet'!$A$2:$ZZ$1000, ROW(C175), MATCH(C$1, 'raw-sheet'!$A$1:$ZZ$1, 0))</f>
        <v>Product List</v>
      </c>
      <c r="D176" s="28">
        <f t="array" ref="D176">INDEX('raw-sheet'!$A$2:$ZZ$1000, ROW(D175), MATCH(D$1, 'raw-sheet'!$A$1:$ZZ$1, 0))</f>
        <v>200</v>
      </c>
      <c r="E176" s="30" t="str">
        <f t="shared" si="4"/>
        <v>Pass</v>
      </c>
      <c r="F176" s="28" t="str">
        <f t="array" ref="F176">INDEX('raw-sheet'!$A$2:$ZZ$1000, ROW(F175), MATCH(F$1, 'raw-sheet'!$A$1:$ZZ$1, 0))</f>
        <v>產品系列_x000D_ – Page 6 | INNISFREE Taiwan</v>
      </c>
      <c r="G176" s="30" t="s">
        <v>11</v>
      </c>
      <c r="H176" s="28">
        <f t="array" ref="H176">INDEX('raw-sheet'!$A$2:$ZZ$1000, ROW(H175), MATCH(H$1, 'raw-sheet'!$A$1:$ZZ$1, 0))</f>
        <v>0</v>
      </c>
      <c r="I176" s="30" t="s">
        <v>61</v>
      </c>
      <c r="J176" s="28" t="str">
        <f t="array" ref="J176">INDEX('raw-sheet'!$A$2:$ZZ$1000, ROW(J175), MATCH(J$1, 'raw-sheet'!$A$1:$ZZ$1, 0))</f>
        <v>產品系列</v>
      </c>
      <c r="K176" s="28" t="str">
        <f t="array" ref="K176">INDEX('raw-sheet'!$A$2:$ZZ$1000, ROW(K175), MATCH(K$1, 'raw-sheet'!$A$1:$ZZ$1, 0))</f>
        <v>1</v>
      </c>
      <c r="L176" s="30" t="s">
        <v>60</v>
      </c>
      <c r="M176" s="28" t="str">
        <f t="array" ref="M176">INDEX('raw-sheet'!$A$2:$ZZ$1000, ROW(M175), MATCH(M$1, 'raw-sheet'!$A$1:$ZZ$1, 0))</f>
        <v>https://innisfree-taiwan.myshopify.com/collections/product-series?page=6</v>
      </c>
      <c r="N176" s="30" t="str">
        <f t="shared" si="5"/>
        <v>Pass</v>
      </c>
      <c r="O176" s="28" t="str">
        <f t="array" ref="O176">INDEX('raw-sheet'!$A$2:$ZZ$1000, ROW(O175), MATCH(O$1, 'raw-sheet'!$A$1:$ZZ$1, 0))</f>
        <v>產品系列 | INNISFREE Taiwan</v>
      </c>
      <c r="P176" s="28" t="str">
        <f t="array" ref="P176">INDEX('raw-sheet'!$A$2:$ZZ$1000, ROW(P175),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6" s="28" t="str">
        <f t="array" ref="Q176">INDEX('raw-sheet'!$A$2:$ZZ$1000, ROW(Q175), MATCH(Q$1, 'raw-sheet'!$A$1:$ZZ$1, 0))</f>
        <v>website</v>
      </c>
      <c r="R176" s="28" t="str">
        <f t="array" ref="R176">INDEX('raw-sheet'!$A$2:$ZZ$1000, ROW(R175), MATCH(R$1, 'raw-sheet'!$A$1:$ZZ$1, 0))</f>
        <v>INNISFREE Taiwan</v>
      </c>
      <c r="S176" s="28" t="str">
        <f t="array" ref="S176">INDEX('raw-sheet'!$A$2:$ZZ$1000, ROW(S175), MATCH(S$1, 'raw-sheet'!$A$1:$ZZ$1, 0))</f>
        <v>http://innisfree-taiwan.myshopify.com/cdn/shop/files/logo.png?v=1767594135</v>
      </c>
      <c r="T176" s="28" t="str">
        <f t="array" ref="T176">INDEX('raw-sheet'!$A$2:$ZZ$1000, ROW(T175), MATCH(T$1, 'raw-sheet'!$A$1:$ZZ$1, 0))</f>
        <v>https://innisfree-taiwan.myshopify.com/cdn/shop/files/logo.png?v=1767594135</v>
      </c>
      <c r="U176" s="28" t="str">
        <f t="array" ref="U176">INDEX('raw-sheet'!$A$2:$ZZ$1000, ROW(U175), MATCH(U$1, 'raw-sheet'!$A$1:$ZZ$1, 0))</f>
        <v>https://innisfree-taiwan.myshopify.com/collections/product-series?page=6</v>
      </c>
      <c r="V176" s="28" t="str">
        <f t="array" ref="V176">INDEX('raw-sheet'!$A$2:$ZZ$1000, ROW(V175), MATCH(V$1, 'raw-sheet'!$A$1:$ZZ$1, 0))</f>
        <v>產品系列 | INNISFREE Taiwan</v>
      </c>
      <c r="W176" s="28" t="str">
        <f t="array" ref="W176">INDEX('raw-sheet'!$A$2:$ZZ$1000, ROW(W175),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6" s="28" t="str">
        <f t="array" ref="X176">INDEX('raw-sheet'!$A$2:$ZZ$1000, ROW(X175), MATCH(X$1, 'raw-sheet'!$A$1:$ZZ$1, 0))</f>
        <v>summary_large_image</v>
      </c>
      <c r="Y176" s="30" t="s">
        <v>62</v>
      </c>
      <c r="Z176" s="28" t="str">
        <f>VLOOKUP($A176,'raw-schema'!$A:$R,14,0)</f>
        <v>Organization</v>
      </c>
      <c r="AA176" s="28">
        <f>VLOOKUP($A176,'raw-schema'!$A:$R,15,0)</f>
        <v>0</v>
      </c>
      <c r="AB176" s="28">
        <f>VLOOKUP($A176,'raw-schema'!$A:$R,16,0)</f>
        <v>0</v>
      </c>
      <c r="AC176" s="28">
        <f>VLOOKUP($A176,'raw-schema'!$A:$R,17,0)</f>
        <v>0</v>
      </c>
      <c r="AD176" s="28">
        <f>VLOOKUP($A176,'raw-schema'!$A:$R,18,0)</f>
        <v>0</v>
      </c>
      <c r="AE176" s="30" t="s">
        <v>66</v>
      </c>
      <c r="AF176" t="s">
        <v>65</v>
      </c>
    </row>
    <row r="177" spans="1:32" x14ac:dyDescent="0.3">
      <c r="A177" s="28" t="str">
        <f t="array" ref="A177">INDEX('raw-sheet'!$A$2:$ZZ$1000, ROW(A176), MATCH(A$1, 'raw-sheet'!$A$1:$ZZ$1, 0))</f>
        <v>https://innisfree-taiwan.myshopify.com/collections/product-series?page=7</v>
      </c>
      <c r="B177" s="30" t="s">
        <v>11</v>
      </c>
      <c r="C177" s="28" t="str">
        <f t="array" ref="C177">INDEX('raw-sheet'!$A$2:$ZZ$1000, ROW(C176), MATCH(C$1, 'raw-sheet'!$A$1:$ZZ$1, 0))</f>
        <v>Product List</v>
      </c>
      <c r="D177" s="28">
        <f t="array" ref="D177">INDEX('raw-sheet'!$A$2:$ZZ$1000, ROW(D176), MATCH(D$1, 'raw-sheet'!$A$1:$ZZ$1, 0))</f>
        <v>200</v>
      </c>
      <c r="E177" s="30" t="str">
        <f t="shared" si="4"/>
        <v>Pass</v>
      </c>
      <c r="F177" s="28" t="str">
        <f t="array" ref="F177">INDEX('raw-sheet'!$A$2:$ZZ$1000, ROW(F176), MATCH(F$1, 'raw-sheet'!$A$1:$ZZ$1, 0))</f>
        <v>產品系列_x000D_ – Page 7 | INNISFREE Taiwan</v>
      </c>
      <c r="G177" s="30" t="s">
        <v>11</v>
      </c>
      <c r="H177" s="28">
        <f t="array" ref="H177">INDEX('raw-sheet'!$A$2:$ZZ$1000, ROW(H176), MATCH(H$1, 'raw-sheet'!$A$1:$ZZ$1, 0))</f>
        <v>0</v>
      </c>
      <c r="I177" s="30" t="s">
        <v>61</v>
      </c>
      <c r="J177" s="28" t="str">
        <f t="array" ref="J177">INDEX('raw-sheet'!$A$2:$ZZ$1000, ROW(J176), MATCH(J$1, 'raw-sheet'!$A$1:$ZZ$1, 0))</f>
        <v>產品系列</v>
      </c>
      <c r="K177" s="28" t="str">
        <f t="array" ref="K177">INDEX('raw-sheet'!$A$2:$ZZ$1000, ROW(K176), MATCH(K$1, 'raw-sheet'!$A$1:$ZZ$1, 0))</f>
        <v>1</v>
      </c>
      <c r="L177" s="30" t="s">
        <v>60</v>
      </c>
      <c r="M177" s="28" t="str">
        <f t="array" ref="M177">INDEX('raw-sheet'!$A$2:$ZZ$1000, ROW(M176), MATCH(M$1, 'raw-sheet'!$A$1:$ZZ$1, 0))</f>
        <v>https://innisfree-taiwan.myshopify.com/collections/product-series?page=7</v>
      </c>
      <c r="N177" s="30" t="str">
        <f t="shared" si="5"/>
        <v>Pass</v>
      </c>
      <c r="O177" s="28" t="str">
        <f t="array" ref="O177">INDEX('raw-sheet'!$A$2:$ZZ$1000, ROW(O176), MATCH(O$1, 'raw-sheet'!$A$1:$ZZ$1, 0))</f>
        <v>產品系列 | INNISFREE Taiwan</v>
      </c>
      <c r="P177" s="28" t="str">
        <f t="array" ref="P177">INDEX('raw-sheet'!$A$2:$ZZ$1000, ROW(P176),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7" s="28" t="str">
        <f t="array" ref="Q177">INDEX('raw-sheet'!$A$2:$ZZ$1000, ROW(Q176), MATCH(Q$1, 'raw-sheet'!$A$1:$ZZ$1, 0))</f>
        <v>website</v>
      </c>
      <c r="R177" s="28" t="str">
        <f t="array" ref="R177">INDEX('raw-sheet'!$A$2:$ZZ$1000, ROW(R176), MATCH(R$1, 'raw-sheet'!$A$1:$ZZ$1, 0))</f>
        <v>INNISFREE Taiwan</v>
      </c>
      <c r="S177" s="28" t="str">
        <f t="array" ref="S177">INDEX('raw-sheet'!$A$2:$ZZ$1000, ROW(S176), MATCH(S$1, 'raw-sheet'!$A$1:$ZZ$1, 0))</f>
        <v>http://innisfree-taiwan.myshopify.com/cdn/shop/files/logo.png?v=1767594135</v>
      </c>
      <c r="T177" s="28" t="str">
        <f t="array" ref="T177">INDEX('raw-sheet'!$A$2:$ZZ$1000, ROW(T176), MATCH(T$1, 'raw-sheet'!$A$1:$ZZ$1, 0))</f>
        <v>https://innisfree-taiwan.myshopify.com/cdn/shop/files/logo.png?v=1767594135</v>
      </c>
      <c r="U177" s="28" t="str">
        <f t="array" ref="U177">INDEX('raw-sheet'!$A$2:$ZZ$1000, ROW(U176), MATCH(U$1, 'raw-sheet'!$A$1:$ZZ$1, 0))</f>
        <v>https://innisfree-taiwan.myshopify.com/collections/product-series?page=7</v>
      </c>
      <c r="V177" s="28" t="str">
        <f t="array" ref="V177">INDEX('raw-sheet'!$A$2:$ZZ$1000, ROW(V176), MATCH(V$1, 'raw-sheet'!$A$1:$ZZ$1, 0))</f>
        <v>產品系列 | INNISFREE Taiwan</v>
      </c>
      <c r="W177" s="28" t="str">
        <f t="array" ref="W177">INDEX('raw-sheet'!$A$2:$ZZ$1000, ROW(W176),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7" s="28" t="str">
        <f t="array" ref="X177">INDEX('raw-sheet'!$A$2:$ZZ$1000, ROW(X176), MATCH(X$1, 'raw-sheet'!$A$1:$ZZ$1, 0))</f>
        <v>summary_large_image</v>
      </c>
      <c r="Y177" s="30" t="s">
        <v>62</v>
      </c>
      <c r="Z177" s="28" t="str">
        <f>VLOOKUP($A177,'raw-schema'!$A:$R,14,0)</f>
        <v>Organization</v>
      </c>
      <c r="AA177" s="28">
        <f>VLOOKUP($A177,'raw-schema'!$A:$R,15,0)</f>
        <v>0</v>
      </c>
      <c r="AB177" s="28">
        <f>VLOOKUP($A177,'raw-schema'!$A:$R,16,0)</f>
        <v>0</v>
      </c>
      <c r="AC177" s="28">
        <f>VLOOKUP($A177,'raw-schema'!$A:$R,17,0)</f>
        <v>0</v>
      </c>
      <c r="AD177" s="28">
        <f>VLOOKUP($A177,'raw-schema'!$A:$R,18,0)</f>
        <v>0</v>
      </c>
      <c r="AE177" s="30" t="s">
        <v>66</v>
      </c>
      <c r="AF177" t="s">
        <v>65</v>
      </c>
    </row>
    <row r="178" spans="1:32" x14ac:dyDescent="0.3">
      <c r="A178" s="28" t="str">
        <f t="array" ref="A178">INDEX('raw-sheet'!$A$2:$ZZ$1000, ROW(A177), MATCH(A$1, 'raw-sheet'!$A$1:$ZZ$1, 0))</f>
        <v>https://innisfree-taiwan.myshopify.com/collections/product-series?page=8</v>
      </c>
      <c r="B178" s="30" t="s">
        <v>11</v>
      </c>
      <c r="C178" s="28" t="str">
        <f t="array" ref="C178">INDEX('raw-sheet'!$A$2:$ZZ$1000, ROW(C177), MATCH(C$1, 'raw-sheet'!$A$1:$ZZ$1, 0))</f>
        <v>Product List</v>
      </c>
      <c r="D178" s="28">
        <f t="array" ref="D178">INDEX('raw-sheet'!$A$2:$ZZ$1000, ROW(D177), MATCH(D$1, 'raw-sheet'!$A$1:$ZZ$1, 0))</f>
        <v>200</v>
      </c>
      <c r="E178" s="30" t="str">
        <f t="shared" si="4"/>
        <v>Pass</v>
      </c>
      <c r="F178" s="28" t="str">
        <f t="array" ref="F178">INDEX('raw-sheet'!$A$2:$ZZ$1000, ROW(F177), MATCH(F$1, 'raw-sheet'!$A$1:$ZZ$1, 0))</f>
        <v>產品系列_x000D_ – Page 8 | INNISFREE Taiwan</v>
      </c>
      <c r="G178" s="30" t="s">
        <v>11</v>
      </c>
      <c r="H178" s="28">
        <f t="array" ref="H178">INDEX('raw-sheet'!$A$2:$ZZ$1000, ROW(H177), MATCH(H$1, 'raw-sheet'!$A$1:$ZZ$1, 0))</f>
        <v>0</v>
      </c>
      <c r="I178" s="30" t="s">
        <v>61</v>
      </c>
      <c r="J178" s="28" t="str">
        <f t="array" ref="J178">INDEX('raw-sheet'!$A$2:$ZZ$1000, ROW(J177), MATCH(J$1, 'raw-sheet'!$A$1:$ZZ$1, 0))</f>
        <v>產品系列</v>
      </c>
      <c r="K178" s="28" t="str">
        <f t="array" ref="K178">INDEX('raw-sheet'!$A$2:$ZZ$1000, ROW(K177), MATCH(K$1, 'raw-sheet'!$A$1:$ZZ$1, 0))</f>
        <v>1</v>
      </c>
      <c r="L178" s="30" t="s">
        <v>60</v>
      </c>
      <c r="M178" s="28" t="str">
        <f t="array" ref="M178">INDEX('raw-sheet'!$A$2:$ZZ$1000, ROW(M177), MATCH(M$1, 'raw-sheet'!$A$1:$ZZ$1, 0))</f>
        <v>https://innisfree-taiwan.myshopify.com/collections/product-series?page=8</v>
      </c>
      <c r="N178" s="30" t="str">
        <f t="shared" si="5"/>
        <v>Pass</v>
      </c>
      <c r="O178" s="28" t="str">
        <f t="array" ref="O178">INDEX('raw-sheet'!$A$2:$ZZ$1000, ROW(O177), MATCH(O$1, 'raw-sheet'!$A$1:$ZZ$1, 0))</f>
        <v>產品系列 | INNISFREE Taiwan</v>
      </c>
      <c r="P178" s="28" t="str">
        <f t="array" ref="P178">INDEX('raw-sheet'!$A$2:$ZZ$1000, ROW(P177),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8" s="28" t="str">
        <f t="array" ref="Q178">INDEX('raw-sheet'!$A$2:$ZZ$1000, ROW(Q177), MATCH(Q$1, 'raw-sheet'!$A$1:$ZZ$1, 0))</f>
        <v>website</v>
      </c>
      <c r="R178" s="28" t="str">
        <f t="array" ref="R178">INDEX('raw-sheet'!$A$2:$ZZ$1000, ROW(R177), MATCH(R$1, 'raw-sheet'!$A$1:$ZZ$1, 0))</f>
        <v>INNISFREE Taiwan</v>
      </c>
      <c r="S178" s="28" t="str">
        <f t="array" ref="S178">INDEX('raw-sheet'!$A$2:$ZZ$1000, ROW(S177), MATCH(S$1, 'raw-sheet'!$A$1:$ZZ$1, 0))</f>
        <v>http://innisfree-taiwan.myshopify.com/cdn/shop/files/logo.png?v=1767594135</v>
      </c>
      <c r="T178" s="28" t="str">
        <f t="array" ref="T178">INDEX('raw-sheet'!$A$2:$ZZ$1000, ROW(T177), MATCH(T$1, 'raw-sheet'!$A$1:$ZZ$1, 0))</f>
        <v>https://innisfree-taiwan.myshopify.com/cdn/shop/files/logo.png?v=1767594135</v>
      </c>
      <c r="U178" s="28" t="str">
        <f t="array" ref="U178">INDEX('raw-sheet'!$A$2:$ZZ$1000, ROW(U177), MATCH(U$1, 'raw-sheet'!$A$1:$ZZ$1, 0))</f>
        <v>https://innisfree-taiwan.myshopify.com/collections/product-series?page=8</v>
      </c>
      <c r="V178" s="28" t="str">
        <f t="array" ref="V178">INDEX('raw-sheet'!$A$2:$ZZ$1000, ROW(V177), MATCH(V$1, 'raw-sheet'!$A$1:$ZZ$1, 0))</f>
        <v>產品系列 | INNISFREE Taiwan</v>
      </c>
      <c r="W178" s="28" t="str">
        <f t="array" ref="W178">INDEX('raw-sheet'!$A$2:$ZZ$1000, ROW(W177),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8" s="28" t="str">
        <f t="array" ref="X178">INDEX('raw-sheet'!$A$2:$ZZ$1000, ROW(X177), MATCH(X$1, 'raw-sheet'!$A$1:$ZZ$1, 0))</f>
        <v>summary_large_image</v>
      </c>
      <c r="Y178" s="30" t="s">
        <v>62</v>
      </c>
      <c r="Z178" s="28" t="str">
        <f>VLOOKUP($A178,'raw-schema'!$A:$R,14,0)</f>
        <v>Organization</v>
      </c>
      <c r="AA178" s="28">
        <f>VLOOKUP($A178,'raw-schema'!$A:$R,15,0)</f>
        <v>0</v>
      </c>
      <c r="AB178" s="28">
        <f>VLOOKUP($A178,'raw-schema'!$A:$R,16,0)</f>
        <v>0</v>
      </c>
      <c r="AC178" s="28">
        <f>VLOOKUP($A178,'raw-schema'!$A:$R,17,0)</f>
        <v>0</v>
      </c>
      <c r="AD178" s="28">
        <f>VLOOKUP($A178,'raw-schema'!$A:$R,18,0)</f>
        <v>0</v>
      </c>
      <c r="AE178" s="30" t="s">
        <v>66</v>
      </c>
      <c r="AF178" t="s">
        <v>65</v>
      </c>
    </row>
    <row r="179" spans="1:32" x14ac:dyDescent="0.3">
      <c r="A179" s="28" t="str">
        <f t="array" ref="A179">INDEX('raw-sheet'!$A$2:$ZZ$1000, ROW(A178), MATCH(A$1, 'raw-sheet'!$A$1:$ZZ$1, 0))</f>
        <v>https://innisfree-taiwan.myshopify.com/collections/promotion</v>
      </c>
      <c r="B179" s="30" t="s">
        <v>11</v>
      </c>
      <c r="C179" s="28" t="str">
        <f t="array" ref="C179">INDEX('raw-sheet'!$A$2:$ZZ$1000, ROW(C178), MATCH(C$1, 'raw-sheet'!$A$1:$ZZ$1, 0))</f>
        <v>Product List</v>
      </c>
      <c r="D179" s="28">
        <f t="array" ref="D179">INDEX('raw-sheet'!$A$2:$ZZ$1000, ROW(D178), MATCH(D$1, 'raw-sheet'!$A$1:$ZZ$1, 0))</f>
        <v>200</v>
      </c>
      <c r="E179" s="30" t="str">
        <f t="shared" si="4"/>
        <v>Pass</v>
      </c>
      <c r="F179" s="28" t="str">
        <f t="array" ref="F179">INDEX('raw-sheet'!$A$2:$ZZ$1000, ROW(F178), MATCH(F$1, 'raw-sheet'!$A$1:$ZZ$1, 0))</f>
        <v>現正優惠_x000D_ | INNISFREE Taiwan</v>
      </c>
      <c r="G179" s="30" t="s">
        <v>11</v>
      </c>
      <c r="H179" s="28">
        <f t="array" ref="H179">INDEX('raw-sheet'!$A$2:$ZZ$1000, ROW(H178), MATCH(H$1, 'raw-sheet'!$A$1:$ZZ$1, 0))</f>
        <v>0</v>
      </c>
      <c r="I179" s="30" t="s">
        <v>61</v>
      </c>
      <c r="J179" s="28" t="str">
        <f t="array" ref="J179">INDEX('raw-sheet'!$A$2:$ZZ$1000, ROW(J178), MATCH(J$1, 'raw-sheet'!$A$1:$ZZ$1, 0))</f>
        <v>現正優惠</v>
      </c>
      <c r="K179" s="28" t="str">
        <f t="array" ref="K179">INDEX('raw-sheet'!$A$2:$ZZ$1000, ROW(K178), MATCH(K$1, 'raw-sheet'!$A$1:$ZZ$1, 0))</f>
        <v>1</v>
      </c>
      <c r="L179" s="30" t="s">
        <v>11</v>
      </c>
      <c r="M179" s="28" t="str">
        <f t="array" ref="M179">INDEX('raw-sheet'!$A$2:$ZZ$1000, ROW(M178), MATCH(M$1, 'raw-sheet'!$A$1:$ZZ$1, 0))</f>
        <v>https://innisfree-taiwan.myshopify.com/collections/promotion</v>
      </c>
      <c r="N179" s="30" t="str">
        <f t="shared" si="5"/>
        <v>Pass</v>
      </c>
      <c r="O179" s="28" t="str">
        <f t="array" ref="O179">INDEX('raw-sheet'!$A$2:$ZZ$1000, ROW(O178), MATCH(O$1, 'raw-sheet'!$A$1:$ZZ$1, 0))</f>
        <v>現正優惠 | INNISFREE Taiwan</v>
      </c>
      <c r="P179" s="28" t="str">
        <f t="array" ref="P179">INDEX('raw-sheet'!$A$2:$ZZ$1000, ROW(P178),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79" s="28" t="str">
        <f t="array" ref="Q179">INDEX('raw-sheet'!$A$2:$ZZ$1000, ROW(Q178), MATCH(Q$1, 'raw-sheet'!$A$1:$ZZ$1, 0))</f>
        <v>website</v>
      </c>
      <c r="R179" s="28" t="str">
        <f t="array" ref="R179">INDEX('raw-sheet'!$A$2:$ZZ$1000, ROW(R178), MATCH(R$1, 'raw-sheet'!$A$1:$ZZ$1, 0))</f>
        <v>INNISFREE Taiwan</v>
      </c>
      <c r="S179" s="28" t="str">
        <f t="array" ref="S179">INDEX('raw-sheet'!$A$2:$ZZ$1000, ROW(S178), MATCH(S$1, 'raw-sheet'!$A$1:$ZZ$1, 0))</f>
        <v>http://innisfree-taiwan.myshopify.com/cdn/shop/files/logo.png?v=1767594135</v>
      </c>
      <c r="T179" s="28" t="str">
        <f t="array" ref="T179">INDEX('raw-sheet'!$A$2:$ZZ$1000, ROW(T178), MATCH(T$1, 'raw-sheet'!$A$1:$ZZ$1, 0))</f>
        <v>https://innisfree-taiwan.myshopify.com/cdn/shop/files/logo.png?v=1767594135</v>
      </c>
      <c r="U179" s="28" t="str">
        <f t="array" ref="U179">INDEX('raw-sheet'!$A$2:$ZZ$1000, ROW(U178), MATCH(U$1, 'raw-sheet'!$A$1:$ZZ$1, 0))</f>
        <v>https://innisfree-taiwan.myshopify.com/collections/promotion</v>
      </c>
      <c r="V179" s="28" t="str">
        <f t="array" ref="V179">INDEX('raw-sheet'!$A$2:$ZZ$1000, ROW(V178), MATCH(V$1, 'raw-sheet'!$A$1:$ZZ$1, 0))</f>
        <v>現正優惠 | INNISFREE Taiwan</v>
      </c>
      <c r="W179" s="28" t="str">
        <f t="array" ref="W179">INDEX('raw-sheet'!$A$2:$ZZ$1000, ROW(W178),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79" s="28" t="str">
        <f t="array" ref="X179">INDEX('raw-sheet'!$A$2:$ZZ$1000, ROW(X178), MATCH(X$1, 'raw-sheet'!$A$1:$ZZ$1, 0))</f>
        <v>summary_large_image</v>
      </c>
      <c r="Y179" s="30" t="s">
        <v>56</v>
      </c>
      <c r="Z179" s="28" t="str">
        <f>VLOOKUP($A179,'raw-schema'!$A:$R,14,0)</f>
        <v>Organization</v>
      </c>
      <c r="AA179" s="28">
        <f>VLOOKUP($A179,'raw-schema'!$A:$R,15,0)</f>
        <v>0</v>
      </c>
      <c r="AB179" s="28">
        <f>VLOOKUP($A179,'raw-schema'!$A:$R,16,0)</f>
        <v>0</v>
      </c>
      <c r="AC179" s="28">
        <f>VLOOKUP($A179,'raw-schema'!$A:$R,17,0)</f>
        <v>0</v>
      </c>
      <c r="AD179" s="28">
        <f>VLOOKUP($A179,'raw-schema'!$A:$R,18,0)</f>
        <v>0</v>
      </c>
      <c r="AE179" s="30" t="s">
        <v>66</v>
      </c>
    </row>
    <row r="180" spans="1:32" x14ac:dyDescent="0.3">
      <c r="A180" s="28" t="str">
        <f t="array" ref="A180">INDEX('raw-sheet'!$A$2:$ZZ$1000, ROW(A179), MATCH(A$1, 'raw-sheet'!$A$1:$ZZ$1, 0))</f>
        <v>https://innisfree-taiwan.myshopify.com/collections/serum</v>
      </c>
      <c r="B180" s="30" t="s">
        <v>11</v>
      </c>
      <c r="C180" s="28" t="str">
        <f t="array" ref="C180">INDEX('raw-sheet'!$A$2:$ZZ$1000, ROW(C179), MATCH(C$1, 'raw-sheet'!$A$1:$ZZ$1, 0))</f>
        <v>Product List</v>
      </c>
      <c r="D180" s="28">
        <f t="array" ref="D180">INDEX('raw-sheet'!$A$2:$ZZ$1000, ROW(D179), MATCH(D$1, 'raw-sheet'!$A$1:$ZZ$1, 0))</f>
        <v>200</v>
      </c>
      <c r="E180" s="30" t="str">
        <f t="shared" si="4"/>
        <v>Pass</v>
      </c>
      <c r="F180" s="28" t="str">
        <f t="array" ref="F180">INDEX('raw-sheet'!$A$2:$ZZ$1000, ROW(F179), MATCH(F$1, 'raw-sheet'!$A$1:$ZZ$1, 0))</f>
        <v>精華_x000D_ | INNISFREE Taiwan</v>
      </c>
      <c r="G180" s="30" t="s">
        <v>60</v>
      </c>
      <c r="H180" s="28">
        <f t="array" ref="H180">INDEX('raw-sheet'!$A$2:$ZZ$1000, ROW(H179), MATCH(H$1, 'raw-sheet'!$A$1:$ZZ$1, 0))</f>
        <v>0</v>
      </c>
      <c r="I180" s="30" t="s">
        <v>61</v>
      </c>
      <c r="J180" s="28" t="str">
        <f t="array" ref="J180">INDEX('raw-sheet'!$A$2:$ZZ$1000, ROW(J179), MATCH(J$1, 'raw-sheet'!$A$1:$ZZ$1, 0))</f>
        <v>精華</v>
      </c>
      <c r="K180" s="28" t="str">
        <f t="array" ref="K180">INDEX('raw-sheet'!$A$2:$ZZ$1000, ROW(K179), MATCH(K$1, 'raw-sheet'!$A$1:$ZZ$1, 0))</f>
        <v>1</v>
      </c>
      <c r="L180" s="30" t="s">
        <v>60</v>
      </c>
      <c r="M180" s="28" t="str">
        <f t="array" ref="M180">INDEX('raw-sheet'!$A$2:$ZZ$1000, ROW(M179), MATCH(M$1, 'raw-sheet'!$A$1:$ZZ$1, 0))</f>
        <v>https://innisfree-taiwan.myshopify.com/collections/serum</v>
      </c>
      <c r="N180" s="30" t="str">
        <f t="shared" si="5"/>
        <v>Pass</v>
      </c>
      <c r="O180" s="28" t="str">
        <f t="array" ref="O180">INDEX('raw-sheet'!$A$2:$ZZ$1000, ROW(O179), MATCH(O$1, 'raw-sheet'!$A$1:$ZZ$1, 0))</f>
        <v>精華 | INNISFREE Taiwan</v>
      </c>
      <c r="P180" s="28" t="str">
        <f t="array" ref="P180">INDEX('raw-sheet'!$A$2:$ZZ$1000, ROW(P179),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0" s="28" t="str">
        <f t="array" ref="Q180">INDEX('raw-sheet'!$A$2:$ZZ$1000, ROW(Q179), MATCH(Q$1, 'raw-sheet'!$A$1:$ZZ$1, 0))</f>
        <v>website</v>
      </c>
      <c r="R180" s="28" t="str">
        <f t="array" ref="R180">INDEX('raw-sheet'!$A$2:$ZZ$1000, ROW(R179), MATCH(R$1, 'raw-sheet'!$A$1:$ZZ$1, 0))</f>
        <v>INNISFREE Taiwan</v>
      </c>
      <c r="S180" s="28" t="str">
        <f t="array" ref="S180">INDEX('raw-sheet'!$A$2:$ZZ$1000, ROW(S179), MATCH(S$1, 'raw-sheet'!$A$1:$ZZ$1, 0))</f>
        <v>http://innisfree-taiwan.myshopify.com/cdn/shop/files/logo.png?v=1767594135</v>
      </c>
      <c r="T180" s="28" t="str">
        <f t="array" ref="T180">INDEX('raw-sheet'!$A$2:$ZZ$1000, ROW(T179), MATCH(T$1, 'raw-sheet'!$A$1:$ZZ$1, 0))</f>
        <v>https://innisfree-taiwan.myshopify.com/cdn/shop/files/logo.png?v=1767594135</v>
      </c>
      <c r="U180" s="28" t="str">
        <f t="array" ref="U180">INDEX('raw-sheet'!$A$2:$ZZ$1000, ROW(U179), MATCH(U$1, 'raw-sheet'!$A$1:$ZZ$1, 0))</f>
        <v>https://innisfree-taiwan.myshopify.com/collections/serum</v>
      </c>
      <c r="V180" s="28" t="str">
        <f t="array" ref="V180">INDEX('raw-sheet'!$A$2:$ZZ$1000, ROW(V179), MATCH(V$1, 'raw-sheet'!$A$1:$ZZ$1, 0))</f>
        <v>精華 | INNISFREE Taiwan</v>
      </c>
      <c r="W180" s="28" t="str">
        <f t="array" ref="W180">INDEX('raw-sheet'!$A$2:$ZZ$1000, ROW(W179),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0" s="28" t="str">
        <f t="array" ref="X180">INDEX('raw-sheet'!$A$2:$ZZ$1000, ROW(X179), MATCH(X$1, 'raw-sheet'!$A$1:$ZZ$1, 0))</f>
        <v>summary_large_image</v>
      </c>
      <c r="Y180" s="30" t="s">
        <v>62</v>
      </c>
      <c r="Z180" s="28" t="str">
        <f>VLOOKUP($A180,'raw-schema'!$A:$R,14,0)</f>
        <v>Organization</v>
      </c>
      <c r="AA180" s="28">
        <f>VLOOKUP($A180,'raw-schema'!$A:$R,15,0)</f>
        <v>0</v>
      </c>
      <c r="AB180" s="28">
        <f>VLOOKUP($A180,'raw-schema'!$A:$R,16,0)</f>
        <v>0</v>
      </c>
      <c r="AC180" s="28">
        <f>VLOOKUP($A180,'raw-schema'!$A:$R,17,0)</f>
        <v>0</v>
      </c>
      <c r="AD180" s="28">
        <f>VLOOKUP($A180,'raw-schema'!$A:$R,18,0)</f>
        <v>0</v>
      </c>
      <c r="AE180" s="30" t="s">
        <v>66</v>
      </c>
    </row>
    <row r="181" spans="1:32" x14ac:dyDescent="0.3">
      <c r="A181" s="28" t="str">
        <f t="array" ref="A181">INDEX('raw-sheet'!$A$2:$ZZ$1000, ROW(A180), MATCH(A$1, 'raw-sheet'!$A$1:$ZZ$1, 0))</f>
        <v>https://innisfree-taiwan.myshopify.com/collections/serum?page=1</v>
      </c>
      <c r="B181" s="30" t="s">
        <v>11</v>
      </c>
      <c r="C181" s="28" t="str">
        <f t="array" ref="C181">INDEX('raw-sheet'!$A$2:$ZZ$1000, ROW(C180), MATCH(C$1, 'raw-sheet'!$A$1:$ZZ$1, 0))</f>
        <v>Product List</v>
      </c>
      <c r="D181" s="28">
        <f t="array" ref="D181">INDEX('raw-sheet'!$A$2:$ZZ$1000, ROW(D180), MATCH(D$1, 'raw-sheet'!$A$1:$ZZ$1, 0))</f>
        <v>200</v>
      </c>
      <c r="E181" s="30" t="str">
        <f t="shared" si="4"/>
        <v>Pass</v>
      </c>
      <c r="F181" s="28" t="str">
        <f t="array" ref="F181">INDEX('raw-sheet'!$A$2:$ZZ$1000, ROW(F180), MATCH(F$1, 'raw-sheet'!$A$1:$ZZ$1, 0))</f>
        <v>精華_x000D_ | INNISFREE Taiwan</v>
      </c>
      <c r="G181" s="30" t="s">
        <v>11</v>
      </c>
      <c r="H181" s="28">
        <f t="array" ref="H181">INDEX('raw-sheet'!$A$2:$ZZ$1000, ROW(H180), MATCH(H$1, 'raw-sheet'!$A$1:$ZZ$1, 0))</f>
        <v>0</v>
      </c>
      <c r="I181" s="30" t="s">
        <v>61</v>
      </c>
      <c r="J181" s="28" t="str">
        <f t="array" ref="J181">INDEX('raw-sheet'!$A$2:$ZZ$1000, ROW(J180), MATCH(J$1, 'raw-sheet'!$A$1:$ZZ$1, 0))</f>
        <v>精華</v>
      </c>
      <c r="K181" s="28" t="str">
        <f t="array" ref="K181">INDEX('raw-sheet'!$A$2:$ZZ$1000, ROW(K180), MATCH(K$1, 'raw-sheet'!$A$1:$ZZ$1, 0))</f>
        <v>1</v>
      </c>
      <c r="L181" s="30" t="s">
        <v>60</v>
      </c>
      <c r="M181" s="28" t="str">
        <f t="array" ref="M181">INDEX('raw-sheet'!$A$2:$ZZ$1000, ROW(M180), MATCH(M$1, 'raw-sheet'!$A$1:$ZZ$1, 0))</f>
        <v>https://innisfree-taiwan.myshopify.com/collections/serum</v>
      </c>
      <c r="N181" s="30" t="str">
        <f t="shared" si="5"/>
        <v>Not</v>
      </c>
      <c r="O181" s="28" t="str">
        <f t="array" ref="O181">INDEX('raw-sheet'!$A$2:$ZZ$1000, ROW(O180), MATCH(O$1, 'raw-sheet'!$A$1:$ZZ$1, 0))</f>
        <v>精華 | INNISFREE Taiwan</v>
      </c>
      <c r="P181" s="28" t="str">
        <f t="array" ref="P181">INDEX('raw-sheet'!$A$2:$ZZ$1000, ROW(P180),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1" s="28" t="str">
        <f t="array" ref="Q181">INDEX('raw-sheet'!$A$2:$ZZ$1000, ROW(Q180), MATCH(Q$1, 'raw-sheet'!$A$1:$ZZ$1, 0))</f>
        <v>website</v>
      </c>
      <c r="R181" s="28" t="str">
        <f t="array" ref="R181">INDEX('raw-sheet'!$A$2:$ZZ$1000, ROW(R180), MATCH(R$1, 'raw-sheet'!$A$1:$ZZ$1, 0))</f>
        <v>INNISFREE Taiwan</v>
      </c>
      <c r="S181" s="28" t="str">
        <f t="array" ref="S181">INDEX('raw-sheet'!$A$2:$ZZ$1000, ROW(S180), MATCH(S$1, 'raw-sheet'!$A$1:$ZZ$1, 0))</f>
        <v>http://innisfree-taiwan.myshopify.com/cdn/shop/files/logo.png?v=1767594135</v>
      </c>
      <c r="T181" s="28" t="str">
        <f t="array" ref="T181">INDEX('raw-sheet'!$A$2:$ZZ$1000, ROW(T180), MATCH(T$1, 'raw-sheet'!$A$1:$ZZ$1, 0))</f>
        <v>https://innisfree-taiwan.myshopify.com/cdn/shop/files/logo.png?v=1767594135</v>
      </c>
      <c r="U181" s="28" t="str">
        <f t="array" ref="U181">INDEX('raw-sheet'!$A$2:$ZZ$1000, ROW(U180), MATCH(U$1, 'raw-sheet'!$A$1:$ZZ$1, 0))</f>
        <v>https://innisfree-taiwan.myshopify.com/collections/serum</v>
      </c>
      <c r="V181" s="28" t="str">
        <f t="array" ref="V181">INDEX('raw-sheet'!$A$2:$ZZ$1000, ROW(V180), MATCH(V$1, 'raw-sheet'!$A$1:$ZZ$1, 0))</f>
        <v>精華 | INNISFREE Taiwan</v>
      </c>
      <c r="W181" s="28" t="str">
        <f t="array" ref="W181">INDEX('raw-sheet'!$A$2:$ZZ$1000, ROW(W180),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1" s="28" t="str">
        <f t="array" ref="X181">INDEX('raw-sheet'!$A$2:$ZZ$1000, ROW(X180), MATCH(X$1, 'raw-sheet'!$A$1:$ZZ$1, 0))</f>
        <v>summary_large_image</v>
      </c>
      <c r="Y181" s="30" t="s">
        <v>62</v>
      </c>
      <c r="Z181" s="28" t="str">
        <f>VLOOKUP($A181,'raw-schema'!$A:$R,14,0)</f>
        <v>Organization</v>
      </c>
      <c r="AA181" s="28">
        <f>VLOOKUP($A181,'raw-schema'!$A:$R,15,0)</f>
        <v>0</v>
      </c>
      <c r="AB181" s="28">
        <f>VLOOKUP($A181,'raw-schema'!$A:$R,16,0)</f>
        <v>0</v>
      </c>
      <c r="AC181" s="28">
        <f>VLOOKUP($A181,'raw-schema'!$A:$R,17,0)</f>
        <v>0</v>
      </c>
      <c r="AD181" s="28">
        <f>VLOOKUP($A181,'raw-schema'!$A:$R,18,0)</f>
        <v>0</v>
      </c>
      <c r="AE181" s="30" t="s">
        <v>66</v>
      </c>
      <c r="AF181" t="s">
        <v>65</v>
      </c>
    </row>
    <row r="182" spans="1:32" x14ac:dyDescent="0.3">
      <c r="A182" s="28" t="str">
        <f t="array" ref="A182">INDEX('raw-sheet'!$A$2:$ZZ$1000, ROW(A181), MATCH(A$1, 'raw-sheet'!$A$1:$ZZ$1, 0))</f>
        <v>https://innisfree-taiwan.myshopify.com/collections/serum?page=2</v>
      </c>
      <c r="B182" s="30" t="s">
        <v>11</v>
      </c>
      <c r="C182" s="28" t="str">
        <f t="array" ref="C182">INDEX('raw-sheet'!$A$2:$ZZ$1000, ROW(C181), MATCH(C$1, 'raw-sheet'!$A$1:$ZZ$1, 0))</f>
        <v>Product List</v>
      </c>
      <c r="D182" s="28">
        <f t="array" ref="D182">INDEX('raw-sheet'!$A$2:$ZZ$1000, ROW(D181), MATCH(D$1, 'raw-sheet'!$A$1:$ZZ$1, 0))</f>
        <v>200</v>
      </c>
      <c r="E182" s="30" t="str">
        <f t="shared" si="4"/>
        <v>Pass</v>
      </c>
      <c r="F182" s="28" t="str">
        <f t="array" ref="F182">INDEX('raw-sheet'!$A$2:$ZZ$1000, ROW(F181), MATCH(F$1, 'raw-sheet'!$A$1:$ZZ$1, 0))</f>
        <v>精華_x000D_ – Page 2 | INNISFREE Taiwan</v>
      </c>
      <c r="G182" s="30" t="s">
        <v>11</v>
      </c>
      <c r="H182" s="28">
        <f t="array" ref="H182">INDEX('raw-sheet'!$A$2:$ZZ$1000, ROW(H181), MATCH(H$1, 'raw-sheet'!$A$1:$ZZ$1, 0))</f>
        <v>0</v>
      </c>
      <c r="I182" s="30" t="s">
        <v>61</v>
      </c>
      <c r="J182" s="28" t="str">
        <f t="array" ref="J182">INDEX('raw-sheet'!$A$2:$ZZ$1000, ROW(J181), MATCH(J$1, 'raw-sheet'!$A$1:$ZZ$1, 0))</f>
        <v>精華</v>
      </c>
      <c r="K182" s="28" t="str">
        <f t="array" ref="K182">INDEX('raw-sheet'!$A$2:$ZZ$1000, ROW(K181), MATCH(K$1, 'raw-sheet'!$A$1:$ZZ$1, 0))</f>
        <v>1</v>
      </c>
      <c r="L182" s="30" t="s">
        <v>60</v>
      </c>
      <c r="M182" s="28" t="str">
        <f t="array" ref="M182">INDEX('raw-sheet'!$A$2:$ZZ$1000, ROW(M181), MATCH(M$1, 'raw-sheet'!$A$1:$ZZ$1, 0))</f>
        <v>https://innisfree-taiwan.myshopify.com/collections/serum?page=2</v>
      </c>
      <c r="N182" s="30" t="str">
        <f t="shared" si="5"/>
        <v>Pass</v>
      </c>
      <c r="O182" s="28" t="str">
        <f t="array" ref="O182">INDEX('raw-sheet'!$A$2:$ZZ$1000, ROW(O181), MATCH(O$1, 'raw-sheet'!$A$1:$ZZ$1, 0))</f>
        <v>精華 | INNISFREE Taiwan</v>
      </c>
      <c r="P182" s="28" t="str">
        <f t="array" ref="P182">INDEX('raw-sheet'!$A$2:$ZZ$1000, ROW(P181),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2" s="28" t="str">
        <f t="array" ref="Q182">INDEX('raw-sheet'!$A$2:$ZZ$1000, ROW(Q181), MATCH(Q$1, 'raw-sheet'!$A$1:$ZZ$1, 0))</f>
        <v>website</v>
      </c>
      <c r="R182" s="28" t="str">
        <f t="array" ref="R182">INDEX('raw-sheet'!$A$2:$ZZ$1000, ROW(R181), MATCH(R$1, 'raw-sheet'!$A$1:$ZZ$1, 0))</f>
        <v>INNISFREE Taiwan</v>
      </c>
      <c r="S182" s="28" t="str">
        <f t="array" ref="S182">INDEX('raw-sheet'!$A$2:$ZZ$1000, ROW(S181), MATCH(S$1, 'raw-sheet'!$A$1:$ZZ$1, 0))</f>
        <v>http://innisfree-taiwan.myshopify.com/cdn/shop/files/logo.png?v=1767594135</v>
      </c>
      <c r="T182" s="28" t="str">
        <f t="array" ref="T182">INDEX('raw-sheet'!$A$2:$ZZ$1000, ROW(T181), MATCH(T$1, 'raw-sheet'!$A$1:$ZZ$1, 0))</f>
        <v>https://innisfree-taiwan.myshopify.com/cdn/shop/files/logo.png?v=1767594135</v>
      </c>
      <c r="U182" s="28" t="str">
        <f t="array" ref="U182">INDEX('raw-sheet'!$A$2:$ZZ$1000, ROW(U181), MATCH(U$1, 'raw-sheet'!$A$1:$ZZ$1, 0))</f>
        <v>https://innisfree-taiwan.myshopify.com/collections/serum?page=2</v>
      </c>
      <c r="V182" s="28" t="str">
        <f t="array" ref="V182">INDEX('raw-sheet'!$A$2:$ZZ$1000, ROW(V181), MATCH(V$1, 'raw-sheet'!$A$1:$ZZ$1, 0))</f>
        <v>精華 | INNISFREE Taiwan</v>
      </c>
      <c r="W182" s="28" t="str">
        <f t="array" ref="W182">INDEX('raw-sheet'!$A$2:$ZZ$1000, ROW(W181),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2" s="28" t="str">
        <f t="array" ref="X182">INDEX('raw-sheet'!$A$2:$ZZ$1000, ROW(X181), MATCH(X$1, 'raw-sheet'!$A$1:$ZZ$1, 0))</f>
        <v>summary_large_image</v>
      </c>
      <c r="Y182" s="30" t="s">
        <v>62</v>
      </c>
      <c r="Z182" s="28" t="str">
        <f>VLOOKUP($A182,'raw-schema'!$A:$R,14,0)</f>
        <v>Organization</v>
      </c>
      <c r="AA182" s="28">
        <f>VLOOKUP($A182,'raw-schema'!$A:$R,15,0)</f>
        <v>0</v>
      </c>
      <c r="AB182" s="28">
        <f>VLOOKUP($A182,'raw-schema'!$A:$R,16,0)</f>
        <v>0</v>
      </c>
      <c r="AC182" s="28">
        <f>VLOOKUP($A182,'raw-schema'!$A:$R,17,0)</f>
        <v>0</v>
      </c>
      <c r="AD182" s="28">
        <f>VLOOKUP($A182,'raw-schema'!$A:$R,18,0)</f>
        <v>0</v>
      </c>
      <c r="AE182" s="30" t="s">
        <v>66</v>
      </c>
      <c r="AF182" t="s">
        <v>65</v>
      </c>
    </row>
    <row r="183" spans="1:32" x14ac:dyDescent="0.3">
      <c r="A183" s="28" t="str">
        <f t="array" ref="A183">INDEX('raw-sheet'!$A$2:$ZZ$1000, ROW(A182), MATCH(A$1, 'raw-sheet'!$A$1:$ZZ$1, 0))</f>
        <v>https://innisfree-taiwan.myshopify.com/collections/serum?page=3</v>
      </c>
      <c r="B183" s="30" t="s">
        <v>11</v>
      </c>
      <c r="C183" s="28" t="str">
        <f t="array" ref="C183">INDEX('raw-sheet'!$A$2:$ZZ$1000, ROW(C182), MATCH(C$1, 'raw-sheet'!$A$1:$ZZ$1, 0))</f>
        <v>Product List</v>
      </c>
      <c r="D183" s="28">
        <f t="array" ref="D183">INDEX('raw-sheet'!$A$2:$ZZ$1000, ROW(D182), MATCH(D$1, 'raw-sheet'!$A$1:$ZZ$1, 0))</f>
        <v>200</v>
      </c>
      <c r="E183" s="30" t="str">
        <f t="shared" si="4"/>
        <v>Pass</v>
      </c>
      <c r="F183" s="28" t="str">
        <f t="array" ref="F183">INDEX('raw-sheet'!$A$2:$ZZ$1000, ROW(F182), MATCH(F$1, 'raw-sheet'!$A$1:$ZZ$1, 0))</f>
        <v>精華_x000D_ – Page 3 | INNISFREE Taiwan</v>
      </c>
      <c r="G183" s="30" t="s">
        <v>11</v>
      </c>
      <c r="H183" s="28">
        <f t="array" ref="H183">INDEX('raw-sheet'!$A$2:$ZZ$1000, ROW(H182), MATCH(H$1, 'raw-sheet'!$A$1:$ZZ$1, 0))</f>
        <v>0</v>
      </c>
      <c r="I183" s="30" t="s">
        <v>61</v>
      </c>
      <c r="J183" s="28" t="str">
        <f t="array" ref="J183">INDEX('raw-sheet'!$A$2:$ZZ$1000, ROW(J182), MATCH(J$1, 'raw-sheet'!$A$1:$ZZ$1, 0))</f>
        <v>精華</v>
      </c>
      <c r="K183" s="28" t="str">
        <f t="array" ref="K183">INDEX('raw-sheet'!$A$2:$ZZ$1000, ROW(K182), MATCH(K$1, 'raw-sheet'!$A$1:$ZZ$1, 0))</f>
        <v>1</v>
      </c>
      <c r="L183" s="30" t="s">
        <v>60</v>
      </c>
      <c r="M183" s="28" t="str">
        <f t="array" ref="M183">INDEX('raw-sheet'!$A$2:$ZZ$1000, ROW(M182), MATCH(M$1, 'raw-sheet'!$A$1:$ZZ$1, 0))</f>
        <v>https://innisfree-taiwan.myshopify.com/collections/serum?page=3</v>
      </c>
      <c r="N183" s="30" t="str">
        <f t="shared" si="5"/>
        <v>Pass</v>
      </c>
      <c r="O183" s="28" t="str">
        <f t="array" ref="O183">INDEX('raw-sheet'!$A$2:$ZZ$1000, ROW(O182), MATCH(O$1, 'raw-sheet'!$A$1:$ZZ$1, 0))</f>
        <v>精華 | INNISFREE Taiwan</v>
      </c>
      <c r="P183" s="28" t="str">
        <f t="array" ref="P183">INDEX('raw-sheet'!$A$2:$ZZ$1000, ROW(P182),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3" s="28" t="str">
        <f t="array" ref="Q183">INDEX('raw-sheet'!$A$2:$ZZ$1000, ROW(Q182), MATCH(Q$1, 'raw-sheet'!$A$1:$ZZ$1, 0))</f>
        <v>website</v>
      </c>
      <c r="R183" s="28" t="str">
        <f t="array" ref="R183">INDEX('raw-sheet'!$A$2:$ZZ$1000, ROW(R182), MATCH(R$1, 'raw-sheet'!$A$1:$ZZ$1, 0))</f>
        <v>INNISFREE Taiwan</v>
      </c>
      <c r="S183" s="28" t="str">
        <f t="array" ref="S183">INDEX('raw-sheet'!$A$2:$ZZ$1000, ROW(S182), MATCH(S$1, 'raw-sheet'!$A$1:$ZZ$1, 0))</f>
        <v>http://innisfree-taiwan.myshopify.com/cdn/shop/files/logo.png?v=1767594135</v>
      </c>
      <c r="T183" s="28" t="str">
        <f t="array" ref="T183">INDEX('raw-sheet'!$A$2:$ZZ$1000, ROW(T182), MATCH(T$1, 'raw-sheet'!$A$1:$ZZ$1, 0))</f>
        <v>https://innisfree-taiwan.myshopify.com/cdn/shop/files/logo.png?v=1767594135</v>
      </c>
      <c r="U183" s="28" t="str">
        <f t="array" ref="U183">INDEX('raw-sheet'!$A$2:$ZZ$1000, ROW(U182), MATCH(U$1, 'raw-sheet'!$A$1:$ZZ$1, 0))</f>
        <v>https://innisfree-taiwan.myshopify.com/collections/serum?page=3</v>
      </c>
      <c r="V183" s="28" t="str">
        <f t="array" ref="V183">INDEX('raw-sheet'!$A$2:$ZZ$1000, ROW(V182), MATCH(V$1, 'raw-sheet'!$A$1:$ZZ$1, 0))</f>
        <v>精華 | INNISFREE Taiwan</v>
      </c>
      <c r="W183" s="28" t="str">
        <f t="array" ref="W183">INDEX('raw-sheet'!$A$2:$ZZ$1000, ROW(W182),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3" s="28" t="str">
        <f t="array" ref="X183">INDEX('raw-sheet'!$A$2:$ZZ$1000, ROW(X182), MATCH(X$1, 'raw-sheet'!$A$1:$ZZ$1, 0))</f>
        <v>summary_large_image</v>
      </c>
      <c r="Y183" s="30" t="s">
        <v>62</v>
      </c>
      <c r="Z183" s="28" t="str">
        <f>VLOOKUP($A183,'raw-schema'!$A:$R,14,0)</f>
        <v>Organization</v>
      </c>
      <c r="AA183" s="28">
        <f>VLOOKUP($A183,'raw-schema'!$A:$R,15,0)</f>
        <v>0</v>
      </c>
      <c r="AB183" s="28">
        <f>VLOOKUP($A183,'raw-schema'!$A:$R,16,0)</f>
        <v>0</v>
      </c>
      <c r="AC183" s="28">
        <f>VLOOKUP($A183,'raw-schema'!$A:$R,17,0)</f>
        <v>0</v>
      </c>
      <c r="AD183" s="28">
        <f>VLOOKUP($A183,'raw-schema'!$A:$R,18,0)</f>
        <v>0</v>
      </c>
      <c r="AE183" s="30" t="s">
        <v>66</v>
      </c>
      <c r="AF183" t="s">
        <v>65</v>
      </c>
    </row>
    <row r="184" spans="1:32" x14ac:dyDescent="0.3">
      <c r="A184" s="28" t="str">
        <f t="array" ref="A184">INDEX('raw-sheet'!$A$2:$ZZ$1000, ROW(A183), MATCH(A$1, 'raw-sheet'!$A$1:$ZZ$1, 0))</f>
        <v>https://innisfree-taiwan.myshopify.com/collections/serum?page=4</v>
      </c>
      <c r="B184" s="30" t="s">
        <v>11</v>
      </c>
      <c r="C184" s="28" t="str">
        <f t="array" ref="C184">INDEX('raw-sheet'!$A$2:$ZZ$1000, ROW(C183), MATCH(C$1, 'raw-sheet'!$A$1:$ZZ$1, 0))</f>
        <v>Product List</v>
      </c>
      <c r="D184" s="28">
        <f t="array" ref="D184">INDEX('raw-sheet'!$A$2:$ZZ$1000, ROW(D183), MATCH(D$1, 'raw-sheet'!$A$1:$ZZ$1, 0))</f>
        <v>200</v>
      </c>
      <c r="E184" s="30" t="str">
        <f t="shared" si="4"/>
        <v>Pass</v>
      </c>
      <c r="F184" s="28" t="str">
        <f t="array" ref="F184">INDEX('raw-sheet'!$A$2:$ZZ$1000, ROW(F183), MATCH(F$1, 'raw-sheet'!$A$1:$ZZ$1, 0))</f>
        <v>精華_x000D_ – Page 4 | INNISFREE Taiwan</v>
      </c>
      <c r="G184" s="30" t="s">
        <v>11</v>
      </c>
      <c r="H184" s="28">
        <f t="array" ref="H184">INDEX('raw-sheet'!$A$2:$ZZ$1000, ROW(H183), MATCH(H$1, 'raw-sheet'!$A$1:$ZZ$1, 0))</f>
        <v>0</v>
      </c>
      <c r="I184" s="30" t="s">
        <v>61</v>
      </c>
      <c r="J184" s="28" t="str">
        <f t="array" ref="J184">INDEX('raw-sheet'!$A$2:$ZZ$1000, ROW(J183), MATCH(J$1, 'raw-sheet'!$A$1:$ZZ$1, 0))</f>
        <v>精華</v>
      </c>
      <c r="K184" s="28" t="str">
        <f t="array" ref="K184">INDEX('raw-sheet'!$A$2:$ZZ$1000, ROW(K183), MATCH(K$1, 'raw-sheet'!$A$1:$ZZ$1, 0))</f>
        <v>1</v>
      </c>
      <c r="L184" s="30" t="s">
        <v>60</v>
      </c>
      <c r="M184" s="28" t="str">
        <f t="array" ref="M184">INDEX('raw-sheet'!$A$2:$ZZ$1000, ROW(M183), MATCH(M$1, 'raw-sheet'!$A$1:$ZZ$1, 0))</f>
        <v>https://innisfree-taiwan.myshopify.com/collections/serum?page=4</v>
      </c>
      <c r="N184" s="30" t="str">
        <f t="shared" si="5"/>
        <v>Pass</v>
      </c>
      <c r="O184" s="28" t="str">
        <f t="array" ref="O184">INDEX('raw-sheet'!$A$2:$ZZ$1000, ROW(O183), MATCH(O$1, 'raw-sheet'!$A$1:$ZZ$1, 0))</f>
        <v>精華 | INNISFREE Taiwan</v>
      </c>
      <c r="P184" s="28" t="str">
        <f t="array" ref="P184">INDEX('raw-sheet'!$A$2:$ZZ$1000, ROW(P183),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4" s="28" t="str">
        <f t="array" ref="Q184">INDEX('raw-sheet'!$A$2:$ZZ$1000, ROW(Q183), MATCH(Q$1, 'raw-sheet'!$A$1:$ZZ$1, 0))</f>
        <v>website</v>
      </c>
      <c r="R184" s="28" t="str">
        <f t="array" ref="R184">INDEX('raw-sheet'!$A$2:$ZZ$1000, ROW(R183), MATCH(R$1, 'raw-sheet'!$A$1:$ZZ$1, 0))</f>
        <v>INNISFREE Taiwan</v>
      </c>
      <c r="S184" s="28" t="str">
        <f t="array" ref="S184">INDEX('raw-sheet'!$A$2:$ZZ$1000, ROW(S183), MATCH(S$1, 'raw-sheet'!$A$1:$ZZ$1, 0))</f>
        <v>http://innisfree-taiwan.myshopify.com/cdn/shop/files/logo.png?v=1767594135</v>
      </c>
      <c r="T184" s="28" t="str">
        <f t="array" ref="T184">INDEX('raw-sheet'!$A$2:$ZZ$1000, ROW(T183), MATCH(T$1, 'raw-sheet'!$A$1:$ZZ$1, 0))</f>
        <v>https://innisfree-taiwan.myshopify.com/cdn/shop/files/logo.png?v=1767594135</v>
      </c>
      <c r="U184" s="28" t="str">
        <f t="array" ref="U184">INDEX('raw-sheet'!$A$2:$ZZ$1000, ROW(U183), MATCH(U$1, 'raw-sheet'!$A$1:$ZZ$1, 0))</f>
        <v>https://innisfree-taiwan.myshopify.com/collections/serum?page=4</v>
      </c>
      <c r="V184" s="28" t="str">
        <f t="array" ref="V184">INDEX('raw-sheet'!$A$2:$ZZ$1000, ROW(V183), MATCH(V$1, 'raw-sheet'!$A$1:$ZZ$1, 0))</f>
        <v>精華 | INNISFREE Taiwan</v>
      </c>
      <c r="W184" s="28" t="str">
        <f t="array" ref="W184">INDEX('raw-sheet'!$A$2:$ZZ$1000, ROW(W183),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4" s="28" t="str">
        <f t="array" ref="X184">INDEX('raw-sheet'!$A$2:$ZZ$1000, ROW(X183), MATCH(X$1, 'raw-sheet'!$A$1:$ZZ$1, 0))</f>
        <v>summary_large_image</v>
      </c>
      <c r="Y184" s="30" t="s">
        <v>62</v>
      </c>
      <c r="Z184" s="28" t="str">
        <f>VLOOKUP($A184,'raw-schema'!$A:$R,14,0)</f>
        <v>Organization</v>
      </c>
      <c r="AA184" s="28">
        <f>VLOOKUP($A184,'raw-schema'!$A:$R,15,0)</f>
        <v>0</v>
      </c>
      <c r="AB184" s="28">
        <f>VLOOKUP($A184,'raw-schema'!$A:$R,16,0)</f>
        <v>0</v>
      </c>
      <c r="AC184" s="28">
        <f>VLOOKUP($A184,'raw-schema'!$A:$R,17,0)</f>
        <v>0</v>
      </c>
      <c r="AD184" s="28">
        <f>VLOOKUP($A184,'raw-schema'!$A:$R,18,0)</f>
        <v>0</v>
      </c>
      <c r="AE184" s="30" t="s">
        <v>66</v>
      </c>
      <c r="AF184" t="s">
        <v>65</v>
      </c>
    </row>
    <row r="185" spans="1:32" x14ac:dyDescent="0.3">
      <c r="A185" s="28" t="str">
        <f t="array" ref="A185">INDEX('raw-sheet'!$A$2:$ZZ$1000, ROW(A184), MATCH(A$1, 'raw-sheet'!$A$1:$ZZ$1, 0))</f>
        <v>https://innisfree-taiwan.myshopify.com/collections/sheet-mask</v>
      </c>
      <c r="B185" s="30" t="s">
        <v>11</v>
      </c>
      <c r="C185" s="28" t="str">
        <f t="array" ref="C185">INDEX('raw-sheet'!$A$2:$ZZ$1000, ROW(C184), MATCH(C$1, 'raw-sheet'!$A$1:$ZZ$1, 0))</f>
        <v>Product List</v>
      </c>
      <c r="D185" s="28">
        <f t="array" ref="D185">INDEX('raw-sheet'!$A$2:$ZZ$1000, ROW(D184), MATCH(D$1, 'raw-sheet'!$A$1:$ZZ$1, 0))</f>
        <v>200</v>
      </c>
      <c r="E185" s="30" t="str">
        <f t="shared" si="4"/>
        <v>Pass</v>
      </c>
      <c r="F185" s="28" t="str">
        <f t="array" ref="F185">INDEX('raw-sheet'!$A$2:$ZZ$1000, ROW(F184), MATCH(F$1, 'raw-sheet'!$A$1:$ZZ$1, 0))</f>
        <v>片狀面膜_x000D_ | INNISFREE Taiwan</v>
      </c>
      <c r="G185" s="30" t="s">
        <v>11</v>
      </c>
      <c r="H185" s="28">
        <f t="array" ref="H185">INDEX('raw-sheet'!$A$2:$ZZ$1000, ROW(H184), MATCH(H$1, 'raw-sheet'!$A$1:$ZZ$1, 0))</f>
        <v>0</v>
      </c>
      <c r="I185" s="30" t="s">
        <v>61</v>
      </c>
      <c r="J185" s="28" t="str">
        <f t="array" ref="J185">INDEX('raw-sheet'!$A$2:$ZZ$1000, ROW(J184), MATCH(J$1, 'raw-sheet'!$A$1:$ZZ$1, 0))</f>
        <v>片狀面膜</v>
      </c>
      <c r="K185" s="28" t="str">
        <f t="array" ref="K185">INDEX('raw-sheet'!$A$2:$ZZ$1000, ROW(K184), MATCH(K$1, 'raw-sheet'!$A$1:$ZZ$1, 0))</f>
        <v>1</v>
      </c>
      <c r="L185" s="30" t="s">
        <v>11</v>
      </c>
      <c r="M185" s="28" t="str">
        <f t="array" ref="M185">INDEX('raw-sheet'!$A$2:$ZZ$1000, ROW(M184), MATCH(M$1, 'raw-sheet'!$A$1:$ZZ$1, 0))</f>
        <v>https://innisfree-taiwan.myshopify.com/collections/sheet-mask</v>
      </c>
      <c r="N185" s="30" t="str">
        <f t="shared" si="5"/>
        <v>Pass</v>
      </c>
      <c r="O185" s="28" t="str">
        <f t="array" ref="O185">INDEX('raw-sheet'!$A$2:$ZZ$1000, ROW(O184), MATCH(O$1, 'raw-sheet'!$A$1:$ZZ$1, 0))</f>
        <v>片狀面膜 | INNISFREE Taiwan</v>
      </c>
      <c r="P185" s="28" t="str">
        <f t="array" ref="P185">INDEX('raw-sheet'!$A$2:$ZZ$1000, ROW(P184),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5" s="28" t="str">
        <f t="array" ref="Q185">INDEX('raw-sheet'!$A$2:$ZZ$1000, ROW(Q184), MATCH(Q$1, 'raw-sheet'!$A$1:$ZZ$1, 0))</f>
        <v>website</v>
      </c>
      <c r="R185" s="28" t="str">
        <f t="array" ref="R185">INDEX('raw-sheet'!$A$2:$ZZ$1000, ROW(R184), MATCH(R$1, 'raw-sheet'!$A$1:$ZZ$1, 0))</f>
        <v>INNISFREE Taiwan</v>
      </c>
      <c r="S185" s="28" t="str">
        <f t="array" ref="S185">INDEX('raw-sheet'!$A$2:$ZZ$1000, ROW(S184), MATCH(S$1, 'raw-sheet'!$A$1:$ZZ$1, 0))</f>
        <v>http://innisfree-taiwan.myshopify.com/cdn/shop/files/logo.png?v=1767594135</v>
      </c>
      <c r="T185" s="28" t="str">
        <f t="array" ref="T185">INDEX('raw-sheet'!$A$2:$ZZ$1000, ROW(T184), MATCH(T$1, 'raw-sheet'!$A$1:$ZZ$1, 0))</f>
        <v>https://innisfree-taiwan.myshopify.com/cdn/shop/files/logo.png?v=1767594135</v>
      </c>
      <c r="U185" s="28" t="str">
        <f t="array" ref="U185">INDEX('raw-sheet'!$A$2:$ZZ$1000, ROW(U184), MATCH(U$1, 'raw-sheet'!$A$1:$ZZ$1, 0))</f>
        <v>https://innisfree-taiwan.myshopify.com/collections/sheet-mask</v>
      </c>
      <c r="V185" s="28" t="str">
        <f t="array" ref="V185">INDEX('raw-sheet'!$A$2:$ZZ$1000, ROW(V184), MATCH(V$1, 'raw-sheet'!$A$1:$ZZ$1, 0))</f>
        <v>片狀面膜 | INNISFREE Taiwan</v>
      </c>
      <c r="W185" s="28" t="str">
        <f t="array" ref="W185">INDEX('raw-sheet'!$A$2:$ZZ$1000, ROW(W184),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5" s="28" t="str">
        <f t="array" ref="X185">INDEX('raw-sheet'!$A$2:$ZZ$1000, ROW(X184), MATCH(X$1, 'raw-sheet'!$A$1:$ZZ$1, 0))</f>
        <v>summary_large_image</v>
      </c>
      <c r="Y185" s="30" t="s">
        <v>56</v>
      </c>
      <c r="Z185" s="28" t="str">
        <f>VLOOKUP($A185,'raw-schema'!$A:$R,14,0)</f>
        <v>Organization</v>
      </c>
      <c r="AA185" s="28">
        <f>VLOOKUP($A185,'raw-schema'!$A:$R,15,0)</f>
        <v>0</v>
      </c>
      <c r="AB185" s="28">
        <f>VLOOKUP($A185,'raw-schema'!$A:$R,16,0)</f>
        <v>0</v>
      </c>
      <c r="AC185" s="28">
        <f>VLOOKUP($A185,'raw-schema'!$A:$R,17,0)</f>
        <v>0</v>
      </c>
      <c r="AD185" s="28">
        <f>VLOOKUP($A185,'raw-schema'!$A:$R,18,0)</f>
        <v>0</v>
      </c>
      <c r="AE185" s="30" t="s">
        <v>66</v>
      </c>
    </row>
    <row r="186" spans="1:32" x14ac:dyDescent="0.3">
      <c r="A186" s="28" t="str">
        <f t="array" ref="A186">INDEX('raw-sheet'!$A$2:$ZZ$1000, ROW(A185), MATCH(A$1, 'raw-sheet'!$A$1:$ZZ$1, 0))</f>
        <v>https://innisfree-taiwan.myshopify.com/collections/sunscreen-make-up-cream</v>
      </c>
      <c r="B186" s="30" t="s">
        <v>11</v>
      </c>
      <c r="C186" s="28" t="str">
        <f t="array" ref="C186">INDEX('raw-sheet'!$A$2:$ZZ$1000, ROW(C185), MATCH(C$1, 'raw-sheet'!$A$1:$ZZ$1, 0))</f>
        <v>Product List</v>
      </c>
      <c r="D186" s="28">
        <f t="array" ref="D186">INDEX('raw-sheet'!$A$2:$ZZ$1000, ROW(D185), MATCH(D$1, 'raw-sheet'!$A$1:$ZZ$1, 0))</f>
        <v>200</v>
      </c>
      <c r="E186" s="30" t="str">
        <f t="shared" si="4"/>
        <v>Pass</v>
      </c>
      <c r="F186" s="28" t="str">
        <f t="array" ref="F186">INDEX('raw-sheet'!$A$2:$ZZ$1000, ROW(F185), MATCH(F$1, 'raw-sheet'!$A$1:$ZZ$1, 0))</f>
        <v>防曬/素顏霜_x000D_ | INNISFREE Taiwan</v>
      </c>
      <c r="G186" s="30" t="s">
        <v>11</v>
      </c>
      <c r="H186" s="28">
        <f t="array" ref="H186">INDEX('raw-sheet'!$A$2:$ZZ$1000, ROW(H185), MATCH(H$1, 'raw-sheet'!$A$1:$ZZ$1, 0))</f>
        <v>0</v>
      </c>
      <c r="I186" s="30" t="s">
        <v>61</v>
      </c>
      <c r="J186" s="28" t="str">
        <f t="array" ref="J186">INDEX('raw-sheet'!$A$2:$ZZ$1000, ROW(J185), MATCH(J$1, 'raw-sheet'!$A$1:$ZZ$1, 0))</f>
        <v>防曬/素顏霜</v>
      </c>
      <c r="K186" s="28" t="str">
        <f t="array" ref="K186">INDEX('raw-sheet'!$A$2:$ZZ$1000, ROW(K185), MATCH(K$1, 'raw-sheet'!$A$1:$ZZ$1, 0))</f>
        <v>1</v>
      </c>
      <c r="L186" s="30" t="s">
        <v>11</v>
      </c>
      <c r="M186" s="28" t="str">
        <f t="array" ref="M186">INDEX('raw-sheet'!$A$2:$ZZ$1000, ROW(M185), MATCH(M$1, 'raw-sheet'!$A$1:$ZZ$1, 0))</f>
        <v>https://innisfree-taiwan.myshopify.com/collections/sunscreen-make-up-cream</v>
      </c>
      <c r="N186" s="30" t="str">
        <f t="shared" si="5"/>
        <v>Pass</v>
      </c>
      <c r="O186" s="28" t="str">
        <f t="array" ref="O186">INDEX('raw-sheet'!$A$2:$ZZ$1000, ROW(O185), MATCH(O$1, 'raw-sheet'!$A$1:$ZZ$1, 0))</f>
        <v>防曬/素顏霜 | INNISFREE Taiwan</v>
      </c>
      <c r="P186" s="28" t="str">
        <f t="array" ref="P186">INDEX('raw-sheet'!$A$2:$ZZ$1000, ROW(P185),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6" s="28" t="str">
        <f t="array" ref="Q186">INDEX('raw-sheet'!$A$2:$ZZ$1000, ROW(Q185), MATCH(Q$1, 'raw-sheet'!$A$1:$ZZ$1, 0))</f>
        <v>website</v>
      </c>
      <c r="R186" s="28" t="str">
        <f t="array" ref="R186">INDEX('raw-sheet'!$A$2:$ZZ$1000, ROW(R185), MATCH(R$1, 'raw-sheet'!$A$1:$ZZ$1, 0))</f>
        <v>INNISFREE Taiwan</v>
      </c>
      <c r="S186" s="28" t="str">
        <f t="array" ref="S186">INDEX('raw-sheet'!$A$2:$ZZ$1000, ROW(S185), MATCH(S$1, 'raw-sheet'!$A$1:$ZZ$1, 0))</f>
        <v>http://innisfree-taiwan.myshopify.com/cdn/shop/files/logo.png?v=1767594135</v>
      </c>
      <c r="T186" s="28" t="str">
        <f t="array" ref="T186">INDEX('raw-sheet'!$A$2:$ZZ$1000, ROW(T185), MATCH(T$1, 'raw-sheet'!$A$1:$ZZ$1, 0))</f>
        <v>https://innisfree-taiwan.myshopify.com/cdn/shop/files/logo.png?v=1767594135</v>
      </c>
      <c r="U186" s="28" t="str">
        <f t="array" ref="U186">INDEX('raw-sheet'!$A$2:$ZZ$1000, ROW(U185), MATCH(U$1, 'raw-sheet'!$A$1:$ZZ$1, 0))</f>
        <v>https://innisfree-taiwan.myshopify.com/collections/sunscreen-make-up-cream</v>
      </c>
      <c r="V186" s="28" t="str">
        <f t="array" ref="V186">INDEX('raw-sheet'!$A$2:$ZZ$1000, ROW(V185), MATCH(V$1, 'raw-sheet'!$A$1:$ZZ$1, 0))</f>
        <v>防曬/素顏霜 | INNISFREE Taiwan</v>
      </c>
      <c r="W186" s="28" t="str">
        <f t="array" ref="W186">INDEX('raw-sheet'!$A$2:$ZZ$1000, ROW(W185),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6" s="28" t="str">
        <f t="array" ref="X186">INDEX('raw-sheet'!$A$2:$ZZ$1000, ROW(X185), MATCH(X$1, 'raw-sheet'!$A$1:$ZZ$1, 0))</f>
        <v>summary_large_image</v>
      </c>
      <c r="Y186" s="30" t="s">
        <v>56</v>
      </c>
      <c r="Z186" s="28" t="str">
        <f>VLOOKUP($A186,'raw-schema'!$A:$R,14,0)</f>
        <v>Organization</v>
      </c>
      <c r="AA186" s="28">
        <f>VLOOKUP($A186,'raw-schema'!$A:$R,15,0)</f>
        <v>0</v>
      </c>
      <c r="AB186" s="28">
        <f>VLOOKUP($A186,'raw-schema'!$A:$R,16,0)</f>
        <v>0</v>
      </c>
      <c r="AC186" s="28">
        <f>VLOOKUP($A186,'raw-schema'!$A:$R,17,0)</f>
        <v>0</v>
      </c>
      <c r="AD186" s="28">
        <f>VLOOKUP($A186,'raw-schema'!$A:$R,18,0)</f>
        <v>0</v>
      </c>
      <c r="AE186" s="30" t="s">
        <v>66</v>
      </c>
    </row>
    <row r="187" spans="1:32" x14ac:dyDescent="0.3">
      <c r="A187" s="28" t="str">
        <f t="array" ref="A187">INDEX('raw-sheet'!$A$2:$ZZ$1000, ROW(A186), MATCH(A$1, 'raw-sheet'!$A$1:$ZZ$1, 0))</f>
        <v>https://innisfree-taiwan.myshopify.com/collections/toner</v>
      </c>
      <c r="B187" s="30" t="s">
        <v>11</v>
      </c>
      <c r="C187" s="28" t="str">
        <f t="array" ref="C187">INDEX('raw-sheet'!$A$2:$ZZ$1000, ROW(C186), MATCH(C$1, 'raw-sheet'!$A$1:$ZZ$1, 0))</f>
        <v>Product List</v>
      </c>
      <c r="D187" s="28">
        <f t="array" ref="D187">INDEX('raw-sheet'!$A$2:$ZZ$1000, ROW(D186), MATCH(D$1, 'raw-sheet'!$A$1:$ZZ$1, 0))</f>
        <v>200</v>
      </c>
      <c r="E187" s="30" t="str">
        <f t="shared" si="4"/>
        <v>Pass</v>
      </c>
      <c r="F187" s="28" t="str">
        <f t="array" ref="F187">INDEX('raw-sheet'!$A$2:$ZZ$1000, ROW(F186), MATCH(F$1, 'raw-sheet'!$A$1:$ZZ$1, 0))</f>
        <v>化妝水/調理液_x000D_ | INNISFREE Taiwan</v>
      </c>
      <c r="G187" s="30" t="s">
        <v>11</v>
      </c>
      <c r="H187" s="28">
        <f t="array" ref="H187">INDEX('raw-sheet'!$A$2:$ZZ$1000, ROW(H186), MATCH(H$1, 'raw-sheet'!$A$1:$ZZ$1, 0))</f>
        <v>0</v>
      </c>
      <c r="I187" s="30" t="s">
        <v>61</v>
      </c>
      <c r="J187" s="28" t="str">
        <f t="array" ref="J187">INDEX('raw-sheet'!$A$2:$ZZ$1000, ROW(J186), MATCH(J$1, 'raw-sheet'!$A$1:$ZZ$1, 0))</f>
        <v>化妝水/調理液</v>
      </c>
      <c r="K187" s="28" t="str">
        <f t="array" ref="K187">INDEX('raw-sheet'!$A$2:$ZZ$1000, ROW(K186), MATCH(K$1, 'raw-sheet'!$A$1:$ZZ$1, 0))</f>
        <v>1</v>
      </c>
      <c r="L187" s="30" t="s">
        <v>11</v>
      </c>
      <c r="M187" s="28" t="str">
        <f t="array" ref="M187">INDEX('raw-sheet'!$A$2:$ZZ$1000, ROW(M186), MATCH(M$1, 'raw-sheet'!$A$1:$ZZ$1, 0))</f>
        <v>https://innisfree-taiwan.myshopify.com/collections/toner</v>
      </c>
      <c r="N187" s="30" t="str">
        <f t="shared" si="5"/>
        <v>Pass</v>
      </c>
      <c r="O187" s="28" t="str">
        <f t="array" ref="O187">INDEX('raw-sheet'!$A$2:$ZZ$1000, ROW(O186), MATCH(O$1, 'raw-sheet'!$A$1:$ZZ$1, 0))</f>
        <v>化妝水/調理液 | INNISFREE Taiwan</v>
      </c>
      <c r="P187" s="28" t="str">
        <f t="array" ref="P187">INDEX('raw-sheet'!$A$2:$ZZ$1000, ROW(P186),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7" s="28" t="str">
        <f t="array" ref="Q187">INDEX('raw-sheet'!$A$2:$ZZ$1000, ROW(Q186), MATCH(Q$1, 'raw-sheet'!$A$1:$ZZ$1, 0))</f>
        <v>website</v>
      </c>
      <c r="R187" s="28" t="str">
        <f t="array" ref="R187">INDEX('raw-sheet'!$A$2:$ZZ$1000, ROW(R186), MATCH(R$1, 'raw-sheet'!$A$1:$ZZ$1, 0))</f>
        <v>INNISFREE Taiwan</v>
      </c>
      <c r="S187" s="28" t="str">
        <f t="array" ref="S187">INDEX('raw-sheet'!$A$2:$ZZ$1000, ROW(S186), MATCH(S$1, 'raw-sheet'!$A$1:$ZZ$1, 0))</f>
        <v>http://innisfree-taiwan.myshopify.com/cdn/shop/files/logo.png?v=1767594135</v>
      </c>
      <c r="T187" s="28" t="str">
        <f t="array" ref="T187">INDEX('raw-sheet'!$A$2:$ZZ$1000, ROW(T186), MATCH(T$1, 'raw-sheet'!$A$1:$ZZ$1, 0))</f>
        <v>https://innisfree-taiwan.myshopify.com/cdn/shop/files/logo.png?v=1767594135</v>
      </c>
      <c r="U187" s="28" t="str">
        <f t="array" ref="U187">INDEX('raw-sheet'!$A$2:$ZZ$1000, ROW(U186), MATCH(U$1, 'raw-sheet'!$A$1:$ZZ$1, 0))</f>
        <v>https://innisfree-taiwan.myshopify.com/collections/toner</v>
      </c>
      <c r="V187" s="28" t="str">
        <f t="array" ref="V187">INDEX('raw-sheet'!$A$2:$ZZ$1000, ROW(V186), MATCH(V$1, 'raw-sheet'!$A$1:$ZZ$1, 0))</f>
        <v>化妝水/調理液 | INNISFREE Taiwan</v>
      </c>
      <c r="W187" s="28" t="str">
        <f t="array" ref="W187">INDEX('raw-sheet'!$A$2:$ZZ$1000, ROW(W186),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7" s="28" t="str">
        <f t="array" ref="X187">INDEX('raw-sheet'!$A$2:$ZZ$1000, ROW(X186), MATCH(X$1, 'raw-sheet'!$A$1:$ZZ$1, 0))</f>
        <v>summary_large_image</v>
      </c>
      <c r="Y187" s="30" t="s">
        <v>56</v>
      </c>
      <c r="Z187" s="28" t="str">
        <f>VLOOKUP($A187,'raw-schema'!$A:$R,14,0)</f>
        <v>Organization</v>
      </c>
      <c r="AA187" s="28">
        <f>VLOOKUP($A187,'raw-schema'!$A:$R,15,0)</f>
        <v>0</v>
      </c>
      <c r="AB187" s="28">
        <f>VLOOKUP($A187,'raw-schema'!$A:$R,16,0)</f>
        <v>0</v>
      </c>
      <c r="AC187" s="28">
        <f>VLOOKUP($A187,'raw-schema'!$A:$R,17,0)</f>
        <v>0</v>
      </c>
      <c r="AD187" s="28">
        <f>VLOOKUP($A187,'raw-schema'!$A:$R,18,0)</f>
        <v>0</v>
      </c>
      <c r="AE187" s="30" t="s">
        <v>66</v>
      </c>
    </row>
    <row r="188" spans="1:32" x14ac:dyDescent="0.3">
      <c r="A188" s="28" t="str">
        <f t="array" ref="A188">INDEX('raw-sheet'!$A$2:$ZZ$1000, ROW(A187), MATCH(A$1, 'raw-sheet'!$A$1:$ZZ$1, 0))</f>
        <v>https://innisfree-taiwan.myshopify.com/collections/torreya-centella-asiatica-repair-series</v>
      </c>
      <c r="B188" s="30" t="s">
        <v>11</v>
      </c>
      <c r="C188" s="28" t="str">
        <f t="array" ref="C188">INDEX('raw-sheet'!$A$2:$ZZ$1000, ROW(C187), MATCH(C$1, 'raw-sheet'!$A$1:$ZZ$1, 0))</f>
        <v>Product List</v>
      </c>
      <c r="D188" s="28">
        <f t="array" ref="D188">INDEX('raw-sheet'!$A$2:$ZZ$1000, ROW(D187), MATCH(D$1, 'raw-sheet'!$A$1:$ZZ$1, 0))</f>
        <v>200</v>
      </c>
      <c r="E188" s="30" t="str">
        <f t="shared" si="4"/>
        <v>Pass</v>
      </c>
      <c r="F188" s="28" t="str">
        <f t="array" ref="F188">INDEX('raw-sheet'!$A$2:$ZZ$1000, ROW(F187), MATCH(F$1, 'raw-sheet'!$A$1:$ZZ$1, 0))</f>
        <v>香榧積雪草修護系列_x000D_ | INNISFREE Taiwan</v>
      </c>
      <c r="G188" s="30" t="s">
        <v>11</v>
      </c>
      <c r="H188" s="28">
        <f t="array" ref="H188">INDEX('raw-sheet'!$A$2:$ZZ$1000, ROW(H187), MATCH(H$1, 'raw-sheet'!$A$1:$ZZ$1, 0))</f>
        <v>0</v>
      </c>
      <c r="I188" s="30" t="s">
        <v>61</v>
      </c>
      <c r="J188" s="28" t="str">
        <f t="array" ref="J188">INDEX('raw-sheet'!$A$2:$ZZ$1000, ROW(J187), MATCH(J$1, 'raw-sheet'!$A$1:$ZZ$1, 0))</f>
        <v>香榧積雪草修護系列</v>
      </c>
      <c r="K188" s="28" t="str">
        <f t="array" ref="K188">INDEX('raw-sheet'!$A$2:$ZZ$1000, ROW(K187), MATCH(K$1, 'raw-sheet'!$A$1:$ZZ$1, 0))</f>
        <v>1</v>
      </c>
      <c r="L188" s="30" t="s">
        <v>11</v>
      </c>
      <c r="M188" s="28" t="str">
        <f t="array" ref="M188">INDEX('raw-sheet'!$A$2:$ZZ$1000, ROW(M187), MATCH(M$1, 'raw-sheet'!$A$1:$ZZ$1, 0))</f>
        <v>https://innisfree-taiwan.myshopify.com/collections/torreya-centella-asiatica-repair-series</v>
      </c>
      <c r="N188" s="30" t="str">
        <f t="shared" si="5"/>
        <v>Pass</v>
      </c>
      <c r="O188" s="28" t="str">
        <f t="array" ref="O188">INDEX('raw-sheet'!$A$2:$ZZ$1000, ROW(O187), MATCH(O$1, 'raw-sheet'!$A$1:$ZZ$1, 0))</f>
        <v>香榧積雪草修護系列 | INNISFREE Taiwan</v>
      </c>
      <c r="P188" s="28" t="str">
        <f t="array" ref="P188">INDEX('raw-sheet'!$A$2:$ZZ$1000, ROW(P187),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8" s="28" t="str">
        <f t="array" ref="Q188">INDEX('raw-sheet'!$A$2:$ZZ$1000, ROW(Q187), MATCH(Q$1, 'raw-sheet'!$A$1:$ZZ$1, 0))</f>
        <v>website</v>
      </c>
      <c r="R188" s="28" t="str">
        <f t="array" ref="R188">INDEX('raw-sheet'!$A$2:$ZZ$1000, ROW(R187), MATCH(R$1, 'raw-sheet'!$A$1:$ZZ$1, 0))</f>
        <v>INNISFREE Taiwan</v>
      </c>
      <c r="S188" s="28" t="str">
        <f t="array" ref="S188">INDEX('raw-sheet'!$A$2:$ZZ$1000, ROW(S187), MATCH(S$1, 'raw-sheet'!$A$1:$ZZ$1, 0))</f>
        <v>http://innisfree-taiwan.myshopify.com/cdn/shop/files/logo.png?v=1767594135</v>
      </c>
      <c r="T188" s="28" t="str">
        <f t="array" ref="T188">INDEX('raw-sheet'!$A$2:$ZZ$1000, ROW(T187), MATCH(T$1, 'raw-sheet'!$A$1:$ZZ$1, 0))</f>
        <v>https://innisfree-taiwan.myshopify.com/cdn/shop/files/logo.png?v=1767594135</v>
      </c>
      <c r="U188" s="28" t="str">
        <f t="array" ref="U188">INDEX('raw-sheet'!$A$2:$ZZ$1000, ROW(U187), MATCH(U$1, 'raw-sheet'!$A$1:$ZZ$1, 0))</f>
        <v>https://innisfree-taiwan.myshopify.com/collections/torreya-centella-asiatica-repair-series</v>
      </c>
      <c r="V188" s="28" t="str">
        <f t="array" ref="V188">INDEX('raw-sheet'!$A$2:$ZZ$1000, ROW(V187), MATCH(V$1, 'raw-sheet'!$A$1:$ZZ$1, 0))</f>
        <v>香榧積雪草修護系列 | INNISFREE Taiwan</v>
      </c>
      <c r="W188" s="28" t="str">
        <f t="array" ref="W188">INDEX('raw-sheet'!$A$2:$ZZ$1000, ROW(W187),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8" s="28" t="str">
        <f t="array" ref="X188">INDEX('raw-sheet'!$A$2:$ZZ$1000, ROW(X187), MATCH(X$1, 'raw-sheet'!$A$1:$ZZ$1, 0))</f>
        <v>summary_large_image</v>
      </c>
      <c r="Y188" s="30" t="s">
        <v>56</v>
      </c>
      <c r="Z188" s="28" t="str">
        <f>VLOOKUP($A188,'raw-schema'!$A:$R,14,0)</f>
        <v>Organization</v>
      </c>
      <c r="AA188" s="28">
        <f>VLOOKUP($A188,'raw-schema'!$A:$R,15,0)</f>
        <v>0</v>
      </c>
      <c r="AB188" s="28">
        <f>VLOOKUP($A188,'raw-schema'!$A:$R,16,0)</f>
        <v>0</v>
      </c>
      <c r="AC188" s="28">
        <f>VLOOKUP($A188,'raw-schema'!$A:$R,17,0)</f>
        <v>0</v>
      </c>
      <c r="AD188" s="28">
        <f>VLOOKUP($A188,'raw-schema'!$A:$R,18,0)</f>
        <v>0</v>
      </c>
      <c r="AE188" s="30" t="s">
        <v>66</v>
      </c>
    </row>
    <row r="189" spans="1:32" x14ac:dyDescent="0.3">
      <c r="A189" s="28" t="str">
        <f t="array" ref="A189">INDEX('raw-sheet'!$A$2:$ZZ$1000, ROW(A188), MATCH(A$1, 'raw-sheet'!$A$1:$ZZ$1, 0))</f>
        <v>https://innisfree-taiwan.myshopify.com/collections/vitamin-c-brightening-series</v>
      </c>
      <c r="B189" s="30" t="s">
        <v>11</v>
      </c>
      <c r="C189" s="28" t="str">
        <f t="array" ref="C189">INDEX('raw-sheet'!$A$2:$ZZ$1000, ROW(C188), MATCH(C$1, 'raw-sheet'!$A$1:$ZZ$1, 0))</f>
        <v>Product List</v>
      </c>
      <c r="D189" s="28">
        <f t="array" ref="D189">INDEX('raw-sheet'!$A$2:$ZZ$1000, ROW(D188), MATCH(D$1, 'raw-sheet'!$A$1:$ZZ$1, 0))</f>
        <v>200</v>
      </c>
      <c r="E189" s="30" t="str">
        <f t="shared" si="4"/>
        <v>Pass</v>
      </c>
      <c r="F189" s="28" t="str">
        <f t="array" ref="F189">INDEX('raw-sheet'!$A$2:$ZZ$1000, ROW(F188), MATCH(F$1, 'raw-sheet'!$A$1:$ZZ$1, 0))</f>
        <v>維他命C亮白系列_x000D_ | INNISFREE Taiwan</v>
      </c>
      <c r="G189" s="30" t="s">
        <v>60</v>
      </c>
      <c r="H189" s="28">
        <f t="array" ref="H189">INDEX('raw-sheet'!$A$2:$ZZ$1000, ROW(H188), MATCH(H$1, 'raw-sheet'!$A$1:$ZZ$1, 0))</f>
        <v>0</v>
      </c>
      <c r="I189" s="30" t="s">
        <v>61</v>
      </c>
      <c r="J189" s="28" t="str">
        <f t="array" ref="J189">INDEX('raw-sheet'!$A$2:$ZZ$1000, ROW(J188), MATCH(J$1, 'raw-sheet'!$A$1:$ZZ$1, 0))</f>
        <v>維他命C亮白系列</v>
      </c>
      <c r="K189" s="28" t="str">
        <f t="array" ref="K189">INDEX('raw-sheet'!$A$2:$ZZ$1000, ROW(K188), MATCH(K$1, 'raw-sheet'!$A$1:$ZZ$1, 0))</f>
        <v>1</v>
      </c>
      <c r="L189" s="30" t="s">
        <v>60</v>
      </c>
      <c r="M189" s="28" t="str">
        <f t="array" ref="M189">INDEX('raw-sheet'!$A$2:$ZZ$1000, ROW(M188), MATCH(M$1, 'raw-sheet'!$A$1:$ZZ$1, 0))</f>
        <v>https://innisfree-taiwan.myshopify.com/collections/vitamin-c-brightening-series</v>
      </c>
      <c r="N189" s="30" t="str">
        <f t="shared" si="5"/>
        <v>Pass</v>
      </c>
      <c r="O189" s="28" t="str">
        <f t="array" ref="O189">INDEX('raw-sheet'!$A$2:$ZZ$1000, ROW(O188), MATCH(O$1, 'raw-sheet'!$A$1:$ZZ$1, 0))</f>
        <v>維他命C亮白系列 | INNISFREE Taiwan</v>
      </c>
      <c r="P189" s="28" t="str">
        <f t="array" ref="P189">INDEX('raw-sheet'!$A$2:$ZZ$1000, ROW(P188),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89" s="28" t="str">
        <f t="array" ref="Q189">INDEX('raw-sheet'!$A$2:$ZZ$1000, ROW(Q188), MATCH(Q$1, 'raw-sheet'!$A$1:$ZZ$1, 0))</f>
        <v>website</v>
      </c>
      <c r="R189" s="28" t="str">
        <f t="array" ref="R189">INDEX('raw-sheet'!$A$2:$ZZ$1000, ROW(R188), MATCH(R$1, 'raw-sheet'!$A$1:$ZZ$1, 0))</f>
        <v>INNISFREE Taiwan</v>
      </c>
      <c r="S189" s="28" t="str">
        <f t="array" ref="S189">INDEX('raw-sheet'!$A$2:$ZZ$1000, ROW(S188), MATCH(S$1, 'raw-sheet'!$A$1:$ZZ$1, 0))</f>
        <v>http://innisfree-taiwan.myshopify.com/cdn/shop/files/logo.png?v=1767594135</v>
      </c>
      <c r="T189" s="28" t="str">
        <f t="array" ref="T189">INDEX('raw-sheet'!$A$2:$ZZ$1000, ROW(T188), MATCH(T$1, 'raw-sheet'!$A$1:$ZZ$1, 0))</f>
        <v>https://innisfree-taiwan.myshopify.com/cdn/shop/files/logo.png?v=1767594135</v>
      </c>
      <c r="U189" s="28" t="str">
        <f t="array" ref="U189">INDEX('raw-sheet'!$A$2:$ZZ$1000, ROW(U188), MATCH(U$1, 'raw-sheet'!$A$1:$ZZ$1, 0))</f>
        <v>https://innisfree-taiwan.myshopify.com/collections/vitamin-c-brightening-series</v>
      </c>
      <c r="V189" s="28" t="str">
        <f t="array" ref="V189">INDEX('raw-sheet'!$A$2:$ZZ$1000, ROW(V188), MATCH(V$1, 'raw-sheet'!$A$1:$ZZ$1, 0))</f>
        <v>維他命C亮白系列 | INNISFREE Taiwan</v>
      </c>
      <c r="W189" s="28" t="str">
        <f t="array" ref="W189">INDEX('raw-sheet'!$A$2:$ZZ$1000, ROW(W188),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89" s="28" t="str">
        <f t="array" ref="X189">INDEX('raw-sheet'!$A$2:$ZZ$1000, ROW(X188), MATCH(X$1, 'raw-sheet'!$A$1:$ZZ$1, 0))</f>
        <v>summary_large_image</v>
      </c>
      <c r="Y189" s="30" t="s">
        <v>62</v>
      </c>
      <c r="Z189" s="28" t="str">
        <f>VLOOKUP($A189,'raw-schema'!$A:$R,14,0)</f>
        <v>Organization</v>
      </c>
      <c r="AA189" s="28">
        <f>VLOOKUP($A189,'raw-schema'!$A:$R,15,0)</f>
        <v>0</v>
      </c>
      <c r="AB189" s="28">
        <f>VLOOKUP($A189,'raw-schema'!$A:$R,16,0)</f>
        <v>0</v>
      </c>
      <c r="AC189" s="28">
        <f>VLOOKUP($A189,'raw-schema'!$A:$R,17,0)</f>
        <v>0</v>
      </c>
      <c r="AD189" s="28">
        <f>VLOOKUP($A189,'raw-schema'!$A:$R,18,0)</f>
        <v>0</v>
      </c>
      <c r="AE189" s="30" t="s">
        <v>66</v>
      </c>
    </row>
    <row r="190" spans="1:32" x14ac:dyDescent="0.3">
      <c r="A190" s="28" t="str">
        <f t="array" ref="A190">INDEX('raw-sheet'!$A$2:$ZZ$1000, ROW(A189), MATCH(A$1, 'raw-sheet'!$A$1:$ZZ$1, 0))</f>
        <v>https://innisfree-taiwan.myshopify.com/collections/vitamin-c-brightening-series?page=1</v>
      </c>
      <c r="B190" s="30" t="s">
        <v>11</v>
      </c>
      <c r="C190" s="28" t="str">
        <f t="array" ref="C190">INDEX('raw-sheet'!$A$2:$ZZ$1000, ROW(C189), MATCH(C$1, 'raw-sheet'!$A$1:$ZZ$1, 0))</f>
        <v>Product List</v>
      </c>
      <c r="D190" s="28">
        <f t="array" ref="D190">INDEX('raw-sheet'!$A$2:$ZZ$1000, ROW(D189), MATCH(D$1, 'raw-sheet'!$A$1:$ZZ$1, 0))</f>
        <v>200</v>
      </c>
      <c r="E190" s="30" t="str">
        <f t="shared" si="4"/>
        <v>Pass</v>
      </c>
      <c r="F190" s="28" t="str">
        <f t="array" ref="F190">INDEX('raw-sheet'!$A$2:$ZZ$1000, ROW(F189), MATCH(F$1, 'raw-sheet'!$A$1:$ZZ$1, 0))</f>
        <v>維他命C亮白系列_x000D_ | INNISFREE Taiwan</v>
      </c>
      <c r="G190" s="30" t="s">
        <v>11</v>
      </c>
      <c r="H190" s="28">
        <f t="array" ref="H190">INDEX('raw-sheet'!$A$2:$ZZ$1000, ROW(H189), MATCH(H$1, 'raw-sheet'!$A$1:$ZZ$1, 0))</f>
        <v>0</v>
      </c>
      <c r="I190" s="30" t="s">
        <v>61</v>
      </c>
      <c r="J190" s="28" t="str">
        <f t="array" ref="J190">INDEX('raw-sheet'!$A$2:$ZZ$1000, ROW(J189), MATCH(J$1, 'raw-sheet'!$A$1:$ZZ$1, 0))</f>
        <v>維他命C亮白系列</v>
      </c>
      <c r="K190" s="28" t="str">
        <f t="array" ref="K190">INDEX('raw-sheet'!$A$2:$ZZ$1000, ROW(K189), MATCH(K$1, 'raw-sheet'!$A$1:$ZZ$1, 0))</f>
        <v>1</v>
      </c>
      <c r="L190" s="30" t="s">
        <v>60</v>
      </c>
      <c r="M190" s="28" t="str">
        <f t="array" ref="M190">INDEX('raw-sheet'!$A$2:$ZZ$1000, ROW(M189), MATCH(M$1, 'raw-sheet'!$A$1:$ZZ$1, 0))</f>
        <v>https://innisfree-taiwan.myshopify.com/collections/vitamin-c-brightening-series</v>
      </c>
      <c r="N190" s="30" t="str">
        <f t="shared" si="5"/>
        <v>Not</v>
      </c>
      <c r="O190" s="28" t="str">
        <f t="array" ref="O190">INDEX('raw-sheet'!$A$2:$ZZ$1000, ROW(O189), MATCH(O$1, 'raw-sheet'!$A$1:$ZZ$1, 0))</f>
        <v>維他命C亮白系列 | INNISFREE Taiwan</v>
      </c>
      <c r="P190" s="28" t="str">
        <f t="array" ref="P190">INDEX('raw-sheet'!$A$2:$ZZ$1000, ROW(P189),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0" s="28" t="str">
        <f t="array" ref="Q190">INDEX('raw-sheet'!$A$2:$ZZ$1000, ROW(Q189), MATCH(Q$1, 'raw-sheet'!$A$1:$ZZ$1, 0))</f>
        <v>website</v>
      </c>
      <c r="R190" s="28" t="str">
        <f t="array" ref="R190">INDEX('raw-sheet'!$A$2:$ZZ$1000, ROW(R189), MATCH(R$1, 'raw-sheet'!$A$1:$ZZ$1, 0))</f>
        <v>INNISFREE Taiwan</v>
      </c>
      <c r="S190" s="28" t="str">
        <f t="array" ref="S190">INDEX('raw-sheet'!$A$2:$ZZ$1000, ROW(S189), MATCH(S$1, 'raw-sheet'!$A$1:$ZZ$1, 0))</f>
        <v>http://innisfree-taiwan.myshopify.com/cdn/shop/files/logo.png?v=1767594135</v>
      </c>
      <c r="T190" s="28" t="str">
        <f t="array" ref="T190">INDEX('raw-sheet'!$A$2:$ZZ$1000, ROW(T189), MATCH(T$1, 'raw-sheet'!$A$1:$ZZ$1, 0))</f>
        <v>https://innisfree-taiwan.myshopify.com/cdn/shop/files/logo.png?v=1767594135</v>
      </c>
      <c r="U190" s="28" t="str">
        <f t="array" ref="U190">INDEX('raw-sheet'!$A$2:$ZZ$1000, ROW(U189), MATCH(U$1, 'raw-sheet'!$A$1:$ZZ$1, 0))</f>
        <v>https://innisfree-taiwan.myshopify.com/collections/vitamin-c-brightening-series</v>
      </c>
      <c r="V190" s="28" t="str">
        <f t="array" ref="V190">INDEX('raw-sheet'!$A$2:$ZZ$1000, ROW(V189), MATCH(V$1, 'raw-sheet'!$A$1:$ZZ$1, 0))</f>
        <v>維他命C亮白系列 | INNISFREE Taiwan</v>
      </c>
      <c r="W190" s="28" t="str">
        <f t="array" ref="W190">INDEX('raw-sheet'!$A$2:$ZZ$1000, ROW(W189),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0" s="28" t="str">
        <f t="array" ref="X190">INDEX('raw-sheet'!$A$2:$ZZ$1000, ROW(X189), MATCH(X$1, 'raw-sheet'!$A$1:$ZZ$1, 0))</f>
        <v>summary_large_image</v>
      </c>
      <c r="Y190" s="30" t="s">
        <v>62</v>
      </c>
      <c r="Z190" s="28" t="str">
        <f>VLOOKUP($A190,'raw-schema'!$A:$R,14,0)</f>
        <v>Organization</v>
      </c>
      <c r="AA190" s="28">
        <f>VLOOKUP($A190,'raw-schema'!$A:$R,15,0)</f>
        <v>0</v>
      </c>
      <c r="AB190" s="28">
        <f>VLOOKUP($A190,'raw-schema'!$A:$R,16,0)</f>
        <v>0</v>
      </c>
      <c r="AC190" s="28">
        <f>VLOOKUP($A190,'raw-schema'!$A:$R,17,0)</f>
        <v>0</v>
      </c>
      <c r="AD190" s="28">
        <f>VLOOKUP($A190,'raw-schema'!$A:$R,18,0)</f>
        <v>0</v>
      </c>
      <c r="AE190" s="30" t="s">
        <v>66</v>
      </c>
      <c r="AF190" t="s">
        <v>65</v>
      </c>
    </row>
    <row r="191" spans="1:32" x14ac:dyDescent="0.3">
      <c r="A191" s="28" t="str">
        <f t="array" ref="A191">INDEX('raw-sheet'!$A$2:$ZZ$1000, ROW(A190), MATCH(A$1, 'raw-sheet'!$A$1:$ZZ$1, 0))</f>
        <v>https://innisfree-taiwan.myshopify.com/collections/vitamin-c-brightening-series?page=2</v>
      </c>
      <c r="B191" s="30" t="s">
        <v>11</v>
      </c>
      <c r="C191" s="28" t="str">
        <f t="array" ref="C191">INDEX('raw-sheet'!$A$2:$ZZ$1000, ROW(C190), MATCH(C$1, 'raw-sheet'!$A$1:$ZZ$1, 0))</f>
        <v>Product List</v>
      </c>
      <c r="D191" s="28">
        <f t="array" ref="D191">INDEX('raw-sheet'!$A$2:$ZZ$1000, ROW(D190), MATCH(D$1, 'raw-sheet'!$A$1:$ZZ$1, 0))</f>
        <v>200</v>
      </c>
      <c r="E191" s="30" t="str">
        <f t="shared" si="4"/>
        <v>Pass</v>
      </c>
      <c r="F191" s="28" t="str">
        <f t="array" ref="F191">INDEX('raw-sheet'!$A$2:$ZZ$1000, ROW(F190), MATCH(F$1, 'raw-sheet'!$A$1:$ZZ$1, 0))</f>
        <v>維他命C亮白系列_x000D_ – Page 2 | INNISFREE Taiwan</v>
      </c>
      <c r="G191" s="30" t="s">
        <v>11</v>
      </c>
      <c r="H191" s="28">
        <f t="array" ref="H191">INDEX('raw-sheet'!$A$2:$ZZ$1000, ROW(H190), MATCH(H$1, 'raw-sheet'!$A$1:$ZZ$1, 0))</f>
        <v>0</v>
      </c>
      <c r="I191" s="30" t="s">
        <v>61</v>
      </c>
      <c r="J191" s="28" t="str">
        <f t="array" ref="J191">INDEX('raw-sheet'!$A$2:$ZZ$1000, ROW(J190), MATCH(J$1, 'raw-sheet'!$A$1:$ZZ$1, 0))</f>
        <v>維他命C亮白系列</v>
      </c>
      <c r="K191" s="28" t="str">
        <f t="array" ref="K191">INDEX('raw-sheet'!$A$2:$ZZ$1000, ROW(K190), MATCH(K$1, 'raw-sheet'!$A$1:$ZZ$1, 0))</f>
        <v>1</v>
      </c>
      <c r="L191" s="30" t="s">
        <v>60</v>
      </c>
      <c r="M191" s="28" t="str">
        <f t="array" ref="M191">INDEX('raw-sheet'!$A$2:$ZZ$1000, ROW(M190), MATCH(M$1, 'raw-sheet'!$A$1:$ZZ$1, 0))</f>
        <v>https://innisfree-taiwan.myshopify.com/collections/vitamin-c-brightening-series?page=2</v>
      </c>
      <c r="N191" s="30" t="str">
        <f t="shared" si="5"/>
        <v>Pass</v>
      </c>
      <c r="O191" s="28" t="str">
        <f t="array" ref="O191">INDEX('raw-sheet'!$A$2:$ZZ$1000, ROW(O190), MATCH(O$1, 'raw-sheet'!$A$1:$ZZ$1, 0))</f>
        <v>維他命C亮白系列 | INNISFREE Taiwan</v>
      </c>
      <c r="P191" s="28" t="str">
        <f t="array" ref="P191">INDEX('raw-sheet'!$A$2:$ZZ$1000, ROW(P190),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1" s="28" t="str">
        <f t="array" ref="Q191">INDEX('raw-sheet'!$A$2:$ZZ$1000, ROW(Q190), MATCH(Q$1, 'raw-sheet'!$A$1:$ZZ$1, 0))</f>
        <v>website</v>
      </c>
      <c r="R191" s="28" t="str">
        <f t="array" ref="R191">INDEX('raw-sheet'!$A$2:$ZZ$1000, ROW(R190), MATCH(R$1, 'raw-sheet'!$A$1:$ZZ$1, 0))</f>
        <v>INNISFREE Taiwan</v>
      </c>
      <c r="S191" s="28" t="str">
        <f t="array" ref="S191">INDEX('raw-sheet'!$A$2:$ZZ$1000, ROW(S190), MATCH(S$1, 'raw-sheet'!$A$1:$ZZ$1, 0))</f>
        <v>http://innisfree-taiwan.myshopify.com/cdn/shop/files/logo.png?v=1767594135</v>
      </c>
      <c r="T191" s="28" t="str">
        <f t="array" ref="T191">INDEX('raw-sheet'!$A$2:$ZZ$1000, ROW(T190), MATCH(T$1, 'raw-sheet'!$A$1:$ZZ$1, 0))</f>
        <v>https://innisfree-taiwan.myshopify.com/cdn/shop/files/logo.png?v=1767594135</v>
      </c>
      <c r="U191" s="28" t="str">
        <f t="array" ref="U191">INDEX('raw-sheet'!$A$2:$ZZ$1000, ROW(U190), MATCH(U$1, 'raw-sheet'!$A$1:$ZZ$1, 0))</f>
        <v>https://innisfree-taiwan.myshopify.com/collections/vitamin-c-brightening-series?page=2</v>
      </c>
      <c r="V191" s="28" t="str">
        <f t="array" ref="V191">INDEX('raw-sheet'!$A$2:$ZZ$1000, ROW(V190), MATCH(V$1, 'raw-sheet'!$A$1:$ZZ$1, 0))</f>
        <v>維他命C亮白系列 | INNISFREE Taiwan</v>
      </c>
      <c r="W191" s="28" t="str">
        <f t="array" ref="W191">INDEX('raw-sheet'!$A$2:$ZZ$1000, ROW(W190),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1" s="28" t="str">
        <f t="array" ref="X191">INDEX('raw-sheet'!$A$2:$ZZ$1000, ROW(X190), MATCH(X$1, 'raw-sheet'!$A$1:$ZZ$1, 0))</f>
        <v>summary_large_image</v>
      </c>
      <c r="Y191" s="30" t="s">
        <v>62</v>
      </c>
      <c r="Z191" s="28" t="str">
        <f>VLOOKUP($A191,'raw-schema'!$A:$R,14,0)</f>
        <v>Organization</v>
      </c>
      <c r="AA191" s="28">
        <f>VLOOKUP($A191,'raw-schema'!$A:$R,15,0)</f>
        <v>0</v>
      </c>
      <c r="AB191" s="28">
        <f>VLOOKUP($A191,'raw-schema'!$A:$R,16,0)</f>
        <v>0</v>
      </c>
      <c r="AC191" s="28">
        <f>VLOOKUP($A191,'raw-schema'!$A:$R,17,0)</f>
        <v>0</v>
      </c>
      <c r="AD191" s="28">
        <f>VLOOKUP($A191,'raw-schema'!$A:$R,18,0)</f>
        <v>0</v>
      </c>
      <c r="AE191" s="30" t="s">
        <v>66</v>
      </c>
      <c r="AF191" t="s">
        <v>65</v>
      </c>
    </row>
    <row r="192" spans="1:32" x14ac:dyDescent="0.3">
      <c r="A192" s="28" t="str">
        <f t="array" ref="A192">INDEX('raw-sheet'!$A$2:$ZZ$1000, ROW(A191), MATCH(A$1, 'raw-sheet'!$A$1:$ZZ$1, 0))</f>
        <v>https://innisfree-taiwan.myshopify.com/collections/volcanic-mud-pore-conditioning-series</v>
      </c>
      <c r="B192" s="30" t="s">
        <v>11</v>
      </c>
      <c r="C192" s="28" t="str">
        <f t="array" ref="C192">INDEX('raw-sheet'!$A$2:$ZZ$1000, ROW(C191), MATCH(C$1, 'raw-sheet'!$A$1:$ZZ$1, 0))</f>
        <v>Product List</v>
      </c>
      <c r="D192" s="28">
        <f t="array" ref="D192">INDEX('raw-sheet'!$A$2:$ZZ$1000, ROW(D191), MATCH(D$1, 'raw-sheet'!$A$1:$ZZ$1, 0))</f>
        <v>200</v>
      </c>
      <c r="E192" s="30" t="str">
        <f t="shared" si="4"/>
        <v>Pass</v>
      </c>
      <c r="F192" s="28" t="str">
        <f t="array" ref="F192">INDEX('raw-sheet'!$A$2:$ZZ$1000, ROW(F191), MATCH(F$1, 'raw-sheet'!$A$1:$ZZ$1, 0))</f>
        <v>火山泥毛孔調理系列_x000D_ | INNISFREE Taiwan</v>
      </c>
      <c r="G192" s="30" t="s">
        <v>11</v>
      </c>
      <c r="H192" s="28">
        <f t="array" ref="H192">INDEX('raw-sheet'!$A$2:$ZZ$1000, ROW(H191), MATCH(H$1, 'raw-sheet'!$A$1:$ZZ$1, 0))</f>
        <v>0</v>
      </c>
      <c r="I192" s="30" t="s">
        <v>61</v>
      </c>
      <c r="J192" s="28" t="str">
        <f t="array" ref="J192">INDEX('raw-sheet'!$A$2:$ZZ$1000, ROW(J191), MATCH(J$1, 'raw-sheet'!$A$1:$ZZ$1, 0))</f>
        <v>火山泥毛孔調理系列</v>
      </c>
      <c r="K192" s="28" t="str">
        <f t="array" ref="K192">INDEX('raw-sheet'!$A$2:$ZZ$1000, ROW(K191), MATCH(K$1, 'raw-sheet'!$A$1:$ZZ$1, 0))</f>
        <v>1</v>
      </c>
      <c r="L192" s="30" t="s">
        <v>11</v>
      </c>
      <c r="M192" s="28" t="str">
        <f t="array" ref="M192">INDEX('raw-sheet'!$A$2:$ZZ$1000, ROW(M191), MATCH(M$1, 'raw-sheet'!$A$1:$ZZ$1, 0))</f>
        <v>https://innisfree-taiwan.myshopify.com/collections/volcanic-mud-pore-conditioning-series</v>
      </c>
      <c r="N192" s="30" t="str">
        <f t="shared" si="5"/>
        <v>Pass</v>
      </c>
      <c r="O192" s="28" t="str">
        <f t="array" ref="O192">INDEX('raw-sheet'!$A$2:$ZZ$1000, ROW(O191), MATCH(O$1, 'raw-sheet'!$A$1:$ZZ$1, 0))</f>
        <v>火山泥毛孔調理系列 | INNISFREE Taiwan</v>
      </c>
      <c r="P192" s="28" t="str">
        <f t="array" ref="P192">INDEX('raw-sheet'!$A$2:$ZZ$1000, ROW(P191),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2" s="28" t="str">
        <f t="array" ref="Q192">INDEX('raw-sheet'!$A$2:$ZZ$1000, ROW(Q191), MATCH(Q$1, 'raw-sheet'!$A$1:$ZZ$1, 0))</f>
        <v>website</v>
      </c>
      <c r="R192" s="28" t="str">
        <f t="array" ref="R192">INDEX('raw-sheet'!$A$2:$ZZ$1000, ROW(R191), MATCH(R$1, 'raw-sheet'!$A$1:$ZZ$1, 0))</f>
        <v>INNISFREE Taiwan</v>
      </c>
      <c r="S192" s="28" t="str">
        <f t="array" ref="S192">INDEX('raw-sheet'!$A$2:$ZZ$1000, ROW(S191), MATCH(S$1, 'raw-sheet'!$A$1:$ZZ$1, 0))</f>
        <v>http://innisfree-taiwan.myshopify.com/cdn/shop/files/logo.png?v=1767594135</v>
      </c>
      <c r="T192" s="28" t="str">
        <f t="array" ref="T192">INDEX('raw-sheet'!$A$2:$ZZ$1000, ROW(T191), MATCH(T$1, 'raw-sheet'!$A$1:$ZZ$1, 0))</f>
        <v>https://innisfree-taiwan.myshopify.com/cdn/shop/files/logo.png?v=1767594135</v>
      </c>
      <c r="U192" s="28" t="str">
        <f t="array" ref="U192">INDEX('raw-sheet'!$A$2:$ZZ$1000, ROW(U191), MATCH(U$1, 'raw-sheet'!$A$1:$ZZ$1, 0))</f>
        <v>https://innisfree-taiwan.myshopify.com/collections/volcanic-mud-pore-conditioning-series</v>
      </c>
      <c r="V192" s="28" t="str">
        <f t="array" ref="V192">INDEX('raw-sheet'!$A$2:$ZZ$1000, ROW(V191), MATCH(V$1, 'raw-sheet'!$A$1:$ZZ$1, 0))</f>
        <v>火山泥毛孔調理系列 | INNISFREE Taiwan</v>
      </c>
      <c r="W192" s="28" t="str">
        <f t="array" ref="W192">INDEX('raw-sheet'!$A$2:$ZZ$1000, ROW(W191),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2" s="28" t="str">
        <f t="array" ref="X192">INDEX('raw-sheet'!$A$2:$ZZ$1000, ROW(X191), MATCH(X$1, 'raw-sheet'!$A$1:$ZZ$1, 0))</f>
        <v>summary_large_image</v>
      </c>
      <c r="Y192" s="30" t="s">
        <v>56</v>
      </c>
      <c r="Z192" s="28" t="str">
        <f>VLOOKUP($A192,'raw-schema'!$A:$R,14,0)</f>
        <v>Organization</v>
      </c>
      <c r="AA192" s="28">
        <f>VLOOKUP($A192,'raw-schema'!$A:$R,15,0)</f>
        <v>0</v>
      </c>
      <c r="AB192" s="28">
        <f>VLOOKUP($A192,'raw-schema'!$A:$R,16,0)</f>
        <v>0</v>
      </c>
      <c r="AC192" s="28">
        <f>VLOOKUP($A192,'raw-schema'!$A:$R,17,0)</f>
        <v>0</v>
      </c>
      <c r="AD192" s="28">
        <f>VLOOKUP($A192,'raw-schema'!$A:$R,18,0)</f>
        <v>0</v>
      </c>
      <c r="AE192" s="30" t="s">
        <v>66</v>
      </c>
    </row>
    <row r="193" spans="1:31" x14ac:dyDescent="0.3">
      <c r="A193" s="28" t="str">
        <f t="array" ref="A193">INDEX('raw-sheet'!$A$2:$ZZ$1000, ROW(A192), MATCH(A$1, 'raw-sheet'!$A$1:$ZZ$1, 0))</f>
        <v>https://innisfree-taiwan.myshopify.com/collections/winnie-family</v>
      </c>
      <c r="B193" s="30" t="s">
        <v>11</v>
      </c>
      <c r="C193" s="28" t="str">
        <f t="array" ref="C193">INDEX('raw-sheet'!$A$2:$ZZ$1000, ROW(C192), MATCH(C$1, 'raw-sheet'!$A$1:$ZZ$1, 0))</f>
        <v>Product List</v>
      </c>
      <c r="D193" s="28">
        <f t="array" ref="D193">INDEX('raw-sheet'!$A$2:$ZZ$1000, ROW(D192), MATCH(D$1, 'raw-sheet'!$A$1:$ZZ$1, 0))</f>
        <v>200</v>
      </c>
      <c r="E193" s="30" t="str">
        <f t="shared" si="4"/>
        <v>Pass</v>
      </c>
      <c r="F193" s="28" t="str">
        <f t="array" ref="F193">INDEX('raw-sheet'!$A$2:$ZZ$1000, ROW(F192), MATCH(F$1, 'raw-sheet'!$A$1:$ZZ$1, 0))</f>
        <v>維尼家族系列_x000D_ | INNISFREE Taiwan</v>
      </c>
      <c r="G193" s="30" t="s">
        <v>11</v>
      </c>
      <c r="H193" s="28">
        <f t="array" ref="H193">INDEX('raw-sheet'!$A$2:$ZZ$1000, ROW(H192), MATCH(H$1, 'raw-sheet'!$A$1:$ZZ$1, 0))</f>
        <v>0</v>
      </c>
      <c r="I193" s="30" t="s">
        <v>61</v>
      </c>
      <c r="J193" s="28" t="str">
        <f t="array" ref="J193">INDEX('raw-sheet'!$A$2:$ZZ$1000, ROW(J192), MATCH(J$1, 'raw-sheet'!$A$1:$ZZ$1, 0))</f>
        <v>維尼家族系列</v>
      </c>
      <c r="K193" s="28" t="str">
        <f t="array" ref="K193">INDEX('raw-sheet'!$A$2:$ZZ$1000, ROW(K192), MATCH(K$1, 'raw-sheet'!$A$1:$ZZ$1, 0))</f>
        <v>1</v>
      </c>
      <c r="L193" s="30" t="s">
        <v>11</v>
      </c>
      <c r="M193" s="28" t="str">
        <f t="array" ref="M193">INDEX('raw-sheet'!$A$2:$ZZ$1000, ROW(M192), MATCH(M$1, 'raw-sheet'!$A$1:$ZZ$1, 0))</f>
        <v>https://innisfree-taiwan.myshopify.com/collections/winnie-family</v>
      </c>
      <c r="N193" s="30" t="str">
        <f t="shared" si="5"/>
        <v>Pass</v>
      </c>
      <c r="O193" s="28" t="str">
        <f t="array" ref="O193">INDEX('raw-sheet'!$A$2:$ZZ$1000, ROW(O192), MATCH(O$1, 'raw-sheet'!$A$1:$ZZ$1, 0))</f>
        <v>維尼家族系列 | INNISFREE Taiwan</v>
      </c>
      <c r="P193" s="28" t="str">
        <f t="array" ref="P193">INDEX('raw-sheet'!$A$2:$ZZ$1000, ROW(P192),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3" s="28" t="str">
        <f t="array" ref="Q193">INDEX('raw-sheet'!$A$2:$ZZ$1000, ROW(Q192), MATCH(Q$1, 'raw-sheet'!$A$1:$ZZ$1, 0))</f>
        <v>website</v>
      </c>
      <c r="R193" s="28" t="str">
        <f t="array" ref="R193">INDEX('raw-sheet'!$A$2:$ZZ$1000, ROW(R192), MATCH(R$1, 'raw-sheet'!$A$1:$ZZ$1, 0))</f>
        <v>INNISFREE Taiwan</v>
      </c>
      <c r="S193" s="28" t="str">
        <f t="array" ref="S193">INDEX('raw-sheet'!$A$2:$ZZ$1000, ROW(S192), MATCH(S$1, 'raw-sheet'!$A$1:$ZZ$1, 0))</f>
        <v>http://innisfree-taiwan.myshopify.com/cdn/shop/files/logo.png?v=1767594135</v>
      </c>
      <c r="T193" s="28" t="str">
        <f t="array" ref="T193">INDEX('raw-sheet'!$A$2:$ZZ$1000, ROW(T192), MATCH(T$1, 'raw-sheet'!$A$1:$ZZ$1, 0))</f>
        <v>https://innisfree-taiwan.myshopify.com/cdn/shop/files/logo.png?v=1767594135</v>
      </c>
      <c r="U193" s="28" t="str">
        <f t="array" ref="U193">INDEX('raw-sheet'!$A$2:$ZZ$1000, ROW(U192), MATCH(U$1, 'raw-sheet'!$A$1:$ZZ$1, 0))</f>
        <v>https://innisfree-taiwan.myshopify.com/collections/winnie-family</v>
      </c>
      <c r="V193" s="28" t="str">
        <f t="array" ref="V193">INDEX('raw-sheet'!$A$2:$ZZ$1000, ROW(V192), MATCH(V$1, 'raw-sheet'!$A$1:$ZZ$1, 0))</f>
        <v>維尼家族系列 | INNISFREE Taiwan</v>
      </c>
      <c r="W193" s="28" t="str">
        <f t="array" ref="W193">INDEX('raw-sheet'!$A$2:$ZZ$1000, ROW(W192),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3" s="28" t="str">
        <f t="array" ref="X193">INDEX('raw-sheet'!$A$2:$ZZ$1000, ROW(X192), MATCH(X$1, 'raw-sheet'!$A$1:$ZZ$1, 0))</f>
        <v>summary_large_image</v>
      </c>
      <c r="Y193" s="30" t="s">
        <v>56</v>
      </c>
      <c r="Z193" s="28" t="str">
        <f>VLOOKUP($A193,'raw-schema'!$A:$R,14,0)</f>
        <v>Organization</v>
      </c>
      <c r="AA193" s="28">
        <f>VLOOKUP($A193,'raw-schema'!$A:$R,15,0)</f>
        <v>0</v>
      </c>
      <c r="AB193" s="28">
        <f>VLOOKUP($A193,'raw-schema'!$A:$R,16,0)</f>
        <v>0</v>
      </c>
      <c r="AC193" s="28">
        <f>VLOOKUP($A193,'raw-schema'!$A:$R,17,0)</f>
        <v>0</v>
      </c>
      <c r="AD193" s="28">
        <f>VLOOKUP($A193,'raw-schema'!$A:$R,18,0)</f>
        <v>0</v>
      </c>
      <c r="AE193" s="30" t="s">
        <v>66</v>
      </c>
    </row>
    <row r="194" spans="1:31" x14ac:dyDescent="0.3">
      <c r="A194" s="28" t="str">
        <f t="array" ref="A194">INDEX('raw-sheet'!$A$2:$ZZ$1000, ROW(A193), MATCH(A$1, 'raw-sheet'!$A$1:$ZZ$1, 0))</f>
        <v>https://innisfree-taiwan.myshopify.com/collections/官網限定</v>
      </c>
      <c r="B194" s="30" t="s">
        <v>67</v>
      </c>
      <c r="C194" s="28" t="str">
        <f t="array" ref="C194">INDEX('raw-sheet'!$A$2:$ZZ$1000, ROW(C193), MATCH(C$1, 'raw-sheet'!$A$1:$ZZ$1, 0))</f>
        <v>Product List</v>
      </c>
      <c r="D194" s="28">
        <f t="array" ref="D194">INDEX('raw-sheet'!$A$2:$ZZ$1000, ROW(D193), MATCH(D$1, 'raw-sheet'!$A$1:$ZZ$1, 0))</f>
        <v>200</v>
      </c>
      <c r="E194" s="30" t="str">
        <f t="shared" ref="E194:E257" si="6">IF(D194=200,"Pass","Not")</f>
        <v>Pass</v>
      </c>
      <c r="F194" s="28" t="str">
        <f t="array" ref="F194">INDEX('raw-sheet'!$A$2:$ZZ$1000, ROW(F193), MATCH(F$1, 'raw-sheet'!$A$1:$ZZ$1, 0))</f>
        <v>官網限定_x000D_ | INNISFREE Taiwan</v>
      </c>
      <c r="G194" s="30" t="s">
        <v>11</v>
      </c>
      <c r="H194" s="28">
        <f t="array" ref="H194">INDEX('raw-sheet'!$A$2:$ZZ$1000, ROW(H193), MATCH(H$1, 'raw-sheet'!$A$1:$ZZ$1, 0))</f>
        <v>0</v>
      </c>
      <c r="I194" s="30" t="s">
        <v>61</v>
      </c>
      <c r="J194" s="28" t="str">
        <f t="array" ref="J194">INDEX('raw-sheet'!$A$2:$ZZ$1000, ROW(J193), MATCH(J$1, 'raw-sheet'!$A$1:$ZZ$1, 0))</f>
        <v>官網限定</v>
      </c>
      <c r="K194" s="28" t="str">
        <f t="array" ref="K194">INDEX('raw-sheet'!$A$2:$ZZ$1000, ROW(K193), MATCH(K$1, 'raw-sheet'!$A$1:$ZZ$1, 0))</f>
        <v>1</v>
      </c>
      <c r="L194" s="30" t="s">
        <v>11</v>
      </c>
      <c r="M194" s="28" t="str">
        <f t="array" ref="M194">INDEX('raw-sheet'!$A$2:$ZZ$1000, ROW(M193), MATCH(M$1, 'raw-sheet'!$A$1:$ZZ$1, 0))</f>
        <v>https://innisfree-taiwan.myshopify.com/collections/官網限定</v>
      </c>
      <c r="N194" s="30" t="str">
        <f t="shared" ref="N194:N257" si="7">IF(A194=M194,"Pass","Not")</f>
        <v>Pass</v>
      </c>
      <c r="O194" s="28" t="str">
        <f t="array" ref="O194">INDEX('raw-sheet'!$A$2:$ZZ$1000, ROW(O193), MATCH(O$1, 'raw-sheet'!$A$1:$ZZ$1, 0))</f>
        <v>官網限定 | INNISFREE Taiwan</v>
      </c>
      <c r="P194" s="28" t="str">
        <f t="array" ref="P194">INDEX('raw-sheet'!$A$2:$ZZ$1000, ROW(P193),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4" s="28" t="str">
        <f t="array" ref="Q194">INDEX('raw-sheet'!$A$2:$ZZ$1000, ROW(Q193), MATCH(Q$1, 'raw-sheet'!$A$1:$ZZ$1, 0))</f>
        <v>website</v>
      </c>
      <c r="R194" s="28" t="str">
        <f t="array" ref="R194">INDEX('raw-sheet'!$A$2:$ZZ$1000, ROW(R193), MATCH(R$1, 'raw-sheet'!$A$1:$ZZ$1, 0))</f>
        <v>INNISFREE Taiwan</v>
      </c>
      <c r="S194" s="28" t="str">
        <f t="array" ref="S194">INDEX('raw-sheet'!$A$2:$ZZ$1000, ROW(S193), MATCH(S$1, 'raw-sheet'!$A$1:$ZZ$1, 0))</f>
        <v>http://innisfree-taiwan.myshopify.com/cdn/shop/files/logo.png?v=1767594135</v>
      </c>
      <c r="T194" s="28" t="str">
        <f t="array" ref="T194">INDEX('raw-sheet'!$A$2:$ZZ$1000, ROW(T193), MATCH(T$1, 'raw-sheet'!$A$1:$ZZ$1, 0))</f>
        <v>https://innisfree-taiwan.myshopify.com/cdn/shop/files/logo.png?v=1767594135</v>
      </c>
      <c r="U194" s="28" t="str">
        <f t="array" ref="U194">INDEX('raw-sheet'!$A$2:$ZZ$1000, ROW(U193), MATCH(U$1, 'raw-sheet'!$A$1:$ZZ$1, 0))</f>
        <v>https://innisfree-taiwan.myshopify.com/collections/%e5%ae%98%e7%b6%b2%e9%99%90%e5%ae%9a</v>
      </c>
      <c r="V194" s="28" t="str">
        <f t="array" ref="V194">INDEX('raw-sheet'!$A$2:$ZZ$1000, ROW(V193), MATCH(V$1, 'raw-sheet'!$A$1:$ZZ$1, 0))</f>
        <v>官網限定 | INNISFREE Taiwan</v>
      </c>
      <c r="W194" s="28" t="str">
        <f t="array" ref="W194">INDEX('raw-sheet'!$A$2:$ZZ$1000, ROW(W193),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4" s="28" t="str">
        <f t="array" ref="X194">INDEX('raw-sheet'!$A$2:$ZZ$1000, ROW(X193), MATCH(X$1, 'raw-sheet'!$A$1:$ZZ$1, 0))</f>
        <v>summary_large_image</v>
      </c>
      <c r="Y194" s="30" t="s">
        <v>56</v>
      </c>
      <c r="Z194" s="28" t="str">
        <f>VLOOKUP($A194,'raw-schema'!$A:$R,14,0)</f>
        <v>Organization</v>
      </c>
      <c r="AA194" s="28">
        <f>VLOOKUP($A194,'raw-schema'!$A:$R,15,0)</f>
        <v>0</v>
      </c>
      <c r="AB194" s="28">
        <f>VLOOKUP($A194,'raw-schema'!$A:$R,16,0)</f>
        <v>0</v>
      </c>
      <c r="AC194" s="28">
        <f>VLOOKUP($A194,'raw-schema'!$A:$R,17,0)</f>
        <v>0</v>
      </c>
      <c r="AD194" s="28">
        <f>VLOOKUP($A194,'raw-schema'!$A:$R,18,0)</f>
        <v>0</v>
      </c>
      <c r="AE194" s="30" t="s">
        <v>66</v>
      </c>
    </row>
    <row r="195" spans="1:31" x14ac:dyDescent="0.3">
      <c r="A195" s="28" t="str">
        <f t="array" ref="A195">INDEX('raw-sheet'!$A$2:$ZZ$1000, ROW(A194), MATCH(A$1, 'raw-sheet'!$A$1:$ZZ$1, 0))</f>
        <v>https://innisfree-taiwan.myshopify.com/pages/about-brand-inni</v>
      </c>
      <c r="B195" s="30" t="s">
        <v>11</v>
      </c>
      <c r="C195" s="28" t="str">
        <f t="array" ref="C195">INDEX('raw-sheet'!$A$2:$ZZ$1000, ROW(C194), MATCH(C$1, 'raw-sheet'!$A$1:$ZZ$1, 0))</f>
        <v>Page (No PLP / PDP)</v>
      </c>
      <c r="D195" s="28">
        <f t="array" ref="D195">INDEX('raw-sheet'!$A$2:$ZZ$1000, ROW(D194), MATCH(D$1, 'raw-sheet'!$A$1:$ZZ$1, 0))</f>
        <v>200</v>
      </c>
      <c r="E195" s="30" t="str">
        <f t="shared" si="6"/>
        <v>Pass</v>
      </c>
      <c r="F195" s="28" t="str">
        <f t="array" ref="F195">INDEX('raw-sheet'!$A$2:$ZZ$1000, ROW(F194), MATCH(F$1, 'raw-sheet'!$A$1:$ZZ$1, 0))</f>
        <v>品牌故事_x000D_ | INNISFREE Taiwan</v>
      </c>
      <c r="G195" s="30" t="s">
        <v>11</v>
      </c>
      <c r="H195" s="28" t="str">
        <f t="array" ref="H195">INDEX('raw-sheet'!$A$2:$ZZ$1000, ROW(H194), MATCH(H$1, 'raw-sheet'!$A$1:$ZZ$1, 0))</f>
        <v>innisfree是將濟州島賜予的大自然恩惠融入產品，為消費者打造健康與美麗，致力於環保綠色生活的自然主義美妝品牌！濟州島擁有獨特的地理及氣候環境，豐富的火山灰土讓濟州島擁有肥沃的土壤，有豐富礦物質水源、適宜的氣溫與雨量，孕育出優質的天然原料。</v>
      </c>
      <c r="I195" s="30" t="s">
        <v>11</v>
      </c>
      <c r="J195" s="28">
        <f t="array" ref="J195">INDEX('raw-sheet'!$A$2:$ZZ$1000, ROW(J194), MATCH(J$1, 'raw-sheet'!$A$1:$ZZ$1, 0))</f>
        <v>0</v>
      </c>
      <c r="K195" s="28" t="str">
        <f t="array" ref="K195">INDEX('raw-sheet'!$A$2:$ZZ$1000, ROW(K194), MATCH(K$1, 'raw-sheet'!$A$1:$ZZ$1, 0))</f>
        <v>0</v>
      </c>
      <c r="L195" s="30" t="s">
        <v>61</v>
      </c>
      <c r="M195" s="28" t="str">
        <f t="array" ref="M195">INDEX('raw-sheet'!$A$2:$ZZ$1000, ROW(M194), MATCH(M$1, 'raw-sheet'!$A$1:$ZZ$1, 0))</f>
        <v>https://innisfree-taiwan.myshopify.com/pages/about-brand-inni</v>
      </c>
      <c r="N195" s="30" t="str">
        <f t="shared" si="7"/>
        <v>Pass</v>
      </c>
      <c r="O195" s="28" t="str">
        <f t="array" ref="O195">INDEX('raw-sheet'!$A$2:$ZZ$1000, ROW(O194), MATCH(O$1, 'raw-sheet'!$A$1:$ZZ$1, 0))</f>
        <v>品牌故事 | INNISFREE Taiwan</v>
      </c>
      <c r="P195" s="28" t="str">
        <f t="array" ref="P195">INDEX('raw-sheet'!$A$2:$ZZ$1000, ROW(P194), MATCH(P$1, 'raw-sheet'!$A$1:$ZZ$1, 0))</f>
        <v>innisfree是將濟州島賜予的大自然恩惠融入產品，為消費者打造健康與美麗，致力於環保綠色生活的自然主義美妝品牌！濟州島擁有獨特的地理及氣候環境，豐富的火山灰土讓濟州島擁有肥沃的土壤，有豐富礦物質水源、適宜的氣溫與雨量，孕育出優質的天然原料。</v>
      </c>
      <c r="Q195" s="28" t="str">
        <f t="array" ref="Q195">INDEX('raw-sheet'!$A$2:$ZZ$1000, ROW(Q194), MATCH(Q$1, 'raw-sheet'!$A$1:$ZZ$1, 0))</f>
        <v>website</v>
      </c>
      <c r="R195" s="28" t="str">
        <f t="array" ref="R195">INDEX('raw-sheet'!$A$2:$ZZ$1000, ROW(R194), MATCH(R$1, 'raw-sheet'!$A$1:$ZZ$1, 0))</f>
        <v>INNISFREE Taiwan</v>
      </c>
      <c r="S195" s="28" t="str">
        <f t="array" ref="S195">INDEX('raw-sheet'!$A$2:$ZZ$1000, ROW(S194), MATCH(S$1, 'raw-sheet'!$A$1:$ZZ$1, 0))</f>
        <v>http://innisfree-taiwan.myshopify.com/cdn/shop/files/logo.png?v=1767594135</v>
      </c>
      <c r="T195" s="28" t="str">
        <f t="array" ref="T195">INDEX('raw-sheet'!$A$2:$ZZ$1000, ROW(T194), MATCH(T$1, 'raw-sheet'!$A$1:$ZZ$1, 0))</f>
        <v>https://innisfree-taiwan.myshopify.com/cdn/shop/files/logo.png?v=1767594135</v>
      </c>
      <c r="U195" s="28" t="str">
        <f t="array" ref="U195">INDEX('raw-sheet'!$A$2:$ZZ$1000, ROW(U194), MATCH(U$1, 'raw-sheet'!$A$1:$ZZ$1, 0))</f>
        <v>https://innisfree-taiwan.myshopify.com/pages/about-brand-inni</v>
      </c>
      <c r="V195" s="28" t="str">
        <f t="array" ref="V195">INDEX('raw-sheet'!$A$2:$ZZ$1000, ROW(V194), MATCH(V$1, 'raw-sheet'!$A$1:$ZZ$1, 0))</f>
        <v>品牌故事 | INNISFREE Taiwan</v>
      </c>
      <c r="W195" s="28" t="str">
        <f t="array" ref="W195">INDEX('raw-sheet'!$A$2:$ZZ$1000, ROW(W194), MATCH(W$1, 'raw-sheet'!$A$1:$ZZ$1, 0))</f>
        <v>innisfree是將濟州島賜予的大自然恩惠融入產品，為消費者打造健康與美麗，致力於環保綠色生活的自然主義美妝品牌！濟州島擁有獨特的地理及氣候環境，豐富的火山灰土讓濟州島擁有肥沃的土壤，有豐富礦物質水源、適宜的氣溫與雨量，孕育出優質的天然原料。</v>
      </c>
      <c r="X195" s="28" t="str">
        <f t="array" ref="X195">INDEX('raw-sheet'!$A$2:$ZZ$1000, ROW(X194), MATCH(X$1, 'raw-sheet'!$A$1:$ZZ$1, 0))</f>
        <v>summary_large_image</v>
      </c>
      <c r="Y195" s="30" t="s">
        <v>11</v>
      </c>
      <c r="Z195" s="28" t="str">
        <f>VLOOKUP($A195,'raw-schema'!$A:$R,14,0)</f>
        <v>Organization</v>
      </c>
      <c r="AA195" s="28">
        <f>VLOOKUP($A195,'raw-schema'!$A:$R,15,0)</f>
        <v>0</v>
      </c>
      <c r="AB195" s="28">
        <f>VLOOKUP($A195,'raw-schema'!$A:$R,16,0)</f>
        <v>0</v>
      </c>
      <c r="AC195" s="28">
        <f>VLOOKUP($A195,'raw-schema'!$A:$R,17,0)</f>
        <v>0</v>
      </c>
      <c r="AD195" s="28">
        <f>VLOOKUP($A195,'raw-schema'!$A:$R,18,0)</f>
        <v>0</v>
      </c>
      <c r="AE195" s="30" t="s">
        <v>57</v>
      </c>
    </row>
    <row r="196" spans="1:31" x14ac:dyDescent="0.3">
      <c r="A196" s="28" t="str">
        <f t="array" ref="A196">INDEX('raw-sheet'!$A$2:$ZZ$1000, ROW(A195), MATCH(A$1, 'raw-sheet'!$A$1:$ZZ$1, 0))</f>
        <v>https://innisfree-taiwan.myshopify.com/pages/about-campaign-gfc</v>
      </c>
      <c r="B196" s="30" t="s">
        <v>11</v>
      </c>
      <c r="C196" s="28" t="str">
        <f t="array" ref="C196">INDEX('raw-sheet'!$A$2:$ZZ$1000, ROW(C195), MATCH(C$1, 'raw-sheet'!$A$1:$ZZ$1, 0))</f>
        <v>Page (No PLP / PDP)</v>
      </c>
      <c r="D196" s="28">
        <f t="array" ref="D196">INDEX('raw-sheet'!$A$2:$ZZ$1000, ROW(D195), MATCH(D$1, 'raw-sheet'!$A$1:$ZZ$1, 0))</f>
        <v>200</v>
      </c>
      <c r="E196" s="30" t="str">
        <f t="shared" si="6"/>
        <v>Pass</v>
      </c>
      <c r="F196" s="28" t="str">
        <f t="array" ref="F196">INDEX('raw-sheet'!$A$2:$ZZ$1000, ROW(F195), MATCH(F$1, 'raw-sheet'!$A$1:$ZZ$1, 0))</f>
        <v>About Campaign Green Forest_x000D_ | INNISFREE Taiwan</v>
      </c>
      <c r="G196" s="30" t="s">
        <v>11</v>
      </c>
      <c r="H196" s="28">
        <f t="array" ref="H196">INDEX('raw-sheet'!$A$2:$ZZ$1000, ROW(H195), MATCH(H$1, 'raw-sheet'!$A$1:$ZZ$1, 0))</f>
        <v>0</v>
      </c>
      <c r="I196" s="30" t="s">
        <v>61</v>
      </c>
      <c r="J196" s="28">
        <f t="array" ref="J196">INDEX('raw-sheet'!$A$2:$ZZ$1000, ROW(J195), MATCH(J$1, 'raw-sheet'!$A$1:$ZZ$1, 0))</f>
        <v>0</v>
      </c>
      <c r="K196" s="28" t="str">
        <f t="array" ref="K196">INDEX('raw-sheet'!$A$2:$ZZ$1000, ROW(K195), MATCH(K$1, 'raw-sheet'!$A$1:$ZZ$1, 0))</f>
        <v>0</v>
      </c>
      <c r="L196" s="30" t="s">
        <v>61</v>
      </c>
      <c r="M196" s="28" t="str">
        <f t="array" ref="M196">INDEX('raw-sheet'!$A$2:$ZZ$1000, ROW(M195), MATCH(M$1, 'raw-sheet'!$A$1:$ZZ$1, 0))</f>
        <v>https://innisfree-taiwan.myshopify.com/pages/about-campaign-gfc</v>
      </c>
      <c r="N196" s="30" t="str">
        <f t="shared" si="7"/>
        <v>Pass</v>
      </c>
      <c r="O196" s="28" t="str">
        <f t="array" ref="O196">INDEX('raw-sheet'!$A$2:$ZZ$1000, ROW(O195), MATCH(O$1, 'raw-sheet'!$A$1:$ZZ$1, 0))</f>
        <v>About Campaign Green Forest | INNISFREE Taiwan</v>
      </c>
      <c r="P196" s="28" t="str">
        <f t="array" ref="P196">INDEX('raw-sheet'!$A$2:$ZZ$1000, ROW(P195),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6" s="28" t="str">
        <f t="array" ref="Q196">INDEX('raw-sheet'!$A$2:$ZZ$1000, ROW(Q195), MATCH(Q$1, 'raw-sheet'!$A$1:$ZZ$1, 0))</f>
        <v>website</v>
      </c>
      <c r="R196" s="28" t="str">
        <f t="array" ref="R196">INDEX('raw-sheet'!$A$2:$ZZ$1000, ROW(R195), MATCH(R$1, 'raw-sheet'!$A$1:$ZZ$1, 0))</f>
        <v>INNISFREE Taiwan</v>
      </c>
      <c r="S196" s="28" t="str">
        <f t="array" ref="S196">INDEX('raw-sheet'!$A$2:$ZZ$1000, ROW(S195), MATCH(S$1, 'raw-sheet'!$A$1:$ZZ$1, 0))</f>
        <v>http://innisfree-taiwan.myshopify.com/cdn/shop/files/logo.png?v=1767594135</v>
      </c>
      <c r="T196" s="28" t="str">
        <f t="array" ref="T196">INDEX('raw-sheet'!$A$2:$ZZ$1000, ROW(T195), MATCH(T$1, 'raw-sheet'!$A$1:$ZZ$1, 0))</f>
        <v>https://innisfree-taiwan.myshopify.com/cdn/shop/files/logo.png?v=1767594135</v>
      </c>
      <c r="U196" s="28" t="str">
        <f t="array" ref="U196">INDEX('raw-sheet'!$A$2:$ZZ$1000, ROW(U195), MATCH(U$1, 'raw-sheet'!$A$1:$ZZ$1, 0))</f>
        <v>https://innisfree-taiwan.myshopify.com/pages/about-campaign-gfc</v>
      </c>
      <c r="V196" s="28" t="str">
        <f t="array" ref="V196">INDEX('raw-sheet'!$A$2:$ZZ$1000, ROW(V195), MATCH(V$1, 'raw-sheet'!$A$1:$ZZ$1, 0))</f>
        <v>About Campaign Green Forest | INNISFREE Taiwan</v>
      </c>
      <c r="W196" s="28" t="str">
        <f t="array" ref="W196">INDEX('raw-sheet'!$A$2:$ZZ$1000, ROW(W195),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6" s="28" t="str">
        <f t="array" ref="X196">INDEX('raw-sheet'!$A$2:$ZZ$1000, ROW(X195), MATCH(X$1, 'raw-sheet'!$A$1:$ZZ$1, 0))</f>
        <v>summary_large_image</v>
      </c>
      <c r="Y196" s="30" t="s">
        <v>56</v>
      </c>
      <c r="Z196" s="28" t="str">
        <f>VLOOKUP($A196,'raw-schema'!$A:$R,14,0)</f>
        <v>Organization</v>
      </c>
      <c r="AA196" s="28">
        <f>VLOOKUP($A196,'raw-schema'!$A:$R,15,0)</f>
        <v>0</v>
      </c>
      <c r="AB196" s="28">
        <f>VLOOKUP($A196,'raw-schema'!$A:$R,16,0)</f>
        <v>0</v>
      </c>
      <c r="AC196" s="28">
        <f>VLOOKUP($A196,'raw-schema'!$A:$R,17,0)</f>
        <v>0</v>
      </c>
      <c r="AD196" s="28">
        <f>VLOOKUP($A196,'raw-schema'!$A:$R,18,0)</f>
        <v>0</v>
      </c>
      <c r="AE196" s="30" t="s">
        <v>57</v>
      </c>
    </row>
    <row r="197" spans="1:31" x14ac:dyDescent="0.3">
      <c r="A197" s="28" t="str">
        <f t="array" ref="A197">INDEX('raw-sheet'!$A$2:$ZZ$1000, ROW(A196), MATCH(A$1, 'raw-sheet'!$A$1:$ZZ$1, 0))</f>
        <v>https://innisfree-taiwan.myshopify.com/pages/about-ingredients-bija</v>
      </c>
      <c r="B197" s="30" t="s">
        <v>11</v>
      </c>
      <c r="C197" s="28" t="str">
        <f t="array" ref="C197">INDEX('raw-sheet'!$A$2:$ZZ$1000, ROW(C196), MATCH(C$1, 'raw-sheet'!$A$1:$ZZ$1, 0))</f>
        <v>Page (No PLP / PDP)</v>
      </c>
      <c r="D197" s="28">
        <f t="array" ref="D197">INDEX('raw-sheet'!$A$2:$ZZ$1000, ROW(D196), MATCH(D$1, 'raw-sheet'!$A$1:$ZZ$1, 0))</f>
        <v>200</v>
      </c>
      <c r="E197" s="30" t="str">
        <f t="shared" si="6"/>
        <v>Pass</v>
      </c>
      <c r="F197" s="28" t="str">
        <f t="array" ref="F197">INDEX('raw-sheet'!$A$2:$ZZ$1000, ROW(F196), MATCH(F$1, 'raw-sheet'!$A$1:$ZZ$1, 0))</f>
        <v>About Ingredients Bija_x000D_ | INNISFREE Taiwan</v>
      </c>
      <c r="G197" s="30" t="s">
        <v>11</v>
      </c>
      <c r="H197" s="28">
        <f t="array" ref="H197">INDEX('raw-sheet'!$A$2:$ZZ$1000, ROW(H196), MATCH(H$1, 'raw-sheet'!$A$1:$ZZ$1, 0))</f>
        <v>0</v>
      </c>
      <c r="I197" s="30" t="s">
        <v>61</v>
      </c>
      <c r="J197" s="28">
        <f t="array" ref="J197">INDEX('raw-sheet'!$A$2:$ZZ$1000, ROW(J196), MATCH(J$1, 'raw-sheet'!$A$1:$ZZ$1, 0))</f>
        <v>0</v>
      </c>
      <c r="K197" s="28" t="str">
        <f t="array" ref="K197">INDEX('raw-sheet'!$A$2:$ZZ$1000, ROW(K196), MATCH(K$1, 'raw-sheet'!$A$1:$ZZ$1, 0))</f>
        <v>0</v>
      </c>
      <c r="L197" s="30" t="s">
        <v>61</v>
      </c>
      <c r="M197" s="28" t="str">
        <f t="array" ref="M197">INDEX('raw-sheet'!$A$2:$ZZ$1000, ROW(M196), MATCH(M$1, 'raw-sheet'!$A$1:$ZZ$1, 0))</f>
        <v>https://innisfree-taiwan.myshopify.com/pages/about-ingredients-bija</v>
      </c>
      <c r="N197" s="30" t="str">
        <f t="shared" si="7"/>
        <v>Pass</v>
      </c>
      <c r="O197" s="28" t="str">
        <f t="array" ref="O197">INDEX('raw-sheet'!$A$2:$ZZ$1000, ROW(O196), MATCH(O$1, 'raw-sheet'!$A$1:$ZZ$1, 0))</f>
        <v>About Ingredients Bija | INNISFREE Taiwan</v>
      </c>
      <c r="P197" s="28" t="str">
        <f t="array" ref="P197">INDEX('raw-sheet'!$A$2:$ZZ$1000, ROW(P196),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7" s="28" t="str">
        <f t="array" ref="Q197">INDEX('raw-sheet'!$A$2:$ZZ$1000, ROW(Q196), MATCH(Q$1, 'raw-sheet'!$A$1:$ZZ$1, 0))</f>
        <v>website</v>
      </c>
      <c r="R197" s="28" t="str">
        <f t="array" ref="R197">INDEX('raw-sheet'!$A$2:$ZZ$1000, ROW(R196), MATCH(R$1, 'raw-sheet'!$A$1:$ZZ$1, 0))</f>
        <v>INNISFREE Taiwan</v>
      </c>
      <c r="S197" s="28" t="str">
        <f t="array" ref="S197">INDEX('raw-sheet'!$A$2:$ZZ$1000, ROW(S196), MATCH(S$1, 'raw-sheet'!$A$1:$ZZ$1, 0))</f>
        <v>http://innisfree-taiwan.myshopify.com/cdn/shop/files/logo.png?v=1767594135</v>
      </c>
      <c r="T197" s="28" t="str">
        <f t="array" ref="T197">INDEX('raw-sheet'!$A$2:$ZZ$1000, ROW(T196), MATCH(T$1, 'raw-sheet'!$A$1:$ZZ$1, 0))</f>
        <v>https://innisfree-taiwan.myshopify.com/cdn/shop/files/logo.png?v=1767594135</v>
      </c>
      <c r="U197" s="28" t="str">
        <f t="array" ref="U197">INDEX('raw-sheet'!$A$2:$ZZ$1000, ROW(U196), MATCH(U$1, 'raw-sheet'!$A$1:$ZZ$1, 0))</f>
        <v>https://innisfree-taiwan.myshopify.com/pages/about-ingredients-bija</v>
      </c>
      <c r="V197" s="28" t="str">
        <f t="array" ref="V197">INDEX('raw-sheet'!$A$2:$ZZ$1000, ROW(V196), MATCH(V$1, 'raw-sheet'!$A$1:$ZZ$1, 0))</f>
        <v>About Ingredients Bija | INNISFREE Taiwan</v>
      </c>
      <c r="W197" s="28" t="str">
        <f t="array" ref="W197">INDEX('raw-sheet'!$A$2:$ZZ$1000, ROW(W196),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7" s="28" t="str">
        <f t="array" ref="X197">INDEX('raw-sheet'!$A$2:$ZZ$1000, ROW(X196), MATCH(X$1, 'raw-sheet'!$A$1:$ZZ$1, 0))</f>
        <v>summary_large_image</v>
      </c>
      <c r="Y197" s="30" t="s">
        <v>56</v>
      </c>
      <c r="Z197" s="28" t="str">
        <f>VLOOKUP($A197,'raw-schema'!$A:$R,14,0)</f>
        <v>Organization</v>
      </c>
      <c r="AA197" s="28">
        <f>VLOOKUP($A197,'raw-schema'!$A:$R,15,0)</f>
        <v>0</v>
      </c>
      <c r="AB197" s="28">
        <f>VLOOKUP($A197,'raw-schema'!$A:$R,16,0)</f>
        <v>0</v>
      </c>
      <c r="AC197" s="28">
        <f>VLOOKUP($A197,'raw-schema'!$A:$R,17,0)</f>
        <v>0</v>
      </c>
      <c r="AD197" s="28">
        <f>VLOOKUP($A197,'raw-schema'!$A:$R,18,0)</f>
        <v>0</v>
      </c>
      <c r="AE197" s="30" t="s">
        <v>57</v>
      </c>
    </row>
    <row r="198" spans="1:31" x14ac:dyDescent="0.3">
      <c r="A198" s="28" t="str">
        <f t="array" ref="A198">INDEX('raw-sheet'!$A$2:$ZZ$1000, ROW(A197), MATCH(A$1, 'raw-sheet'!$A$1:$ZZ$1, 0))</f>
        <v>https://innisfree-taiwan.myshopify.com/pages/about-ingredients-cherry-blossom</v>
      </c>
      <c r="B198" s="30" t="s">
        <v>11</v>
      </c>
      <c r="C198" s="28" t="str">
        <f t="array" ref="C198">INDEX('raw-sheet'!$A$2:$ZZ$1000, ROW(C197), MATCH(C$1, 'raw-sheet'!$A$1:$ZZ$1, 0))</f>
        <v>Page (No PLP / PDP)</v>
      </c>
      <c r="D198" s="28">
        <f t="array" ref="D198">INDEX('raw-sheet'!$A$2:$ZZ$1000, ROW(D197), MATCH(D$1, 'raw-sheet'!$A$1:$ZZ$1, 0))</f>
        <v>200</v>
      </c>
      <c r="E198" s="30" t="str">
        <f t="shared" si="6"/>
        <v>Pass</v>
      </c>
      <c r="F198" s="28" t="str">
        <f t="array" ref="F198">INDEX('raw-sheet'!$A$2:$ZZ$1000, ROW(F197), MATCH(F$1, 'raw-sheet'!$A$1:$ZZ$1, 0))</f>
        <v>About Ingredients Cherry Blossom_x000D_ | INNISFREE Taiwan</v>
      </c>
      <c r="G198" s="30" t="s">
        <v>11</v>
      </c>
      <c r="H198" s="28">
        <f t="array" ref="H198">INDEX('raw-sheet'!$A$2:$ZZ$1000, ROW(H197), MATCH(H$1, 'raw-sheet'!$A$1:$ZZ$1, 0))</f>
        <v>0</v>
      </c>
      <c r="I198" s="30" t="s">
        <v>61</v>
      </c>
      <c r="J198" s="28">
        <f t="array" ref="J198">INDEX('raw-sheet'!$A$2:$ZZ$1000, ROW(J197), MATCH(J$1, 'raw-sheet'!$A$1:$ZZ$1, 0))</f>
        <v>0</v>
      </c>
      <c r="K198" s="28" t="str">
        <f t="array" ref="K198">INDEX('raw-sheet'!$A$2:$ZZ$1000, ROW(K197), MATCH(K$1, 'raw-sheet'!$A$1:$ZZ$1, 0))</f>
        <v>0</v>
      </c>
      <c r="L198" s="30" t="s">
        <v>61</v>
      </c>
      <c r="M198" s="28" t="str">
        <f t="array" ref="M198">INDEX('raw-sheet'!$A$2:$ZZ$1000, ROW(M197), MATCH(M$1, 'raw-sheet'!$A$1:$ZZ$1, 0))</f>
        <v>https://innisfree-taiwan.myshopify.com/pages/about-ingredients-cherry-blossom</v>
      </c>
      <c r="N198" s="30" t="str">
        <f t="shared" si="7"/>
        <v>Pass</v>
      </c>
      <c r="O198" s="28" t="str">
        <f t="array" ref="O198">INDEX('raw-sheet'!$A$2:$ZZ$1000, ROW(O197), MATCH(O$1, 'raw-sheet'!$A$1:$ZZ$1, 0))</f>
        <v>About Ingredients Cherry Blossom | INNISFREE Taiwan</v>
      </c>
      <c r="P198" s="28" t="str">
        <f t="array" ref="P198">INDEX('raw-sheet'!$A$2:$ZZ$1000, ROW(P197),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8" s="28" t="str">
        <f t="array" ref="Q198">INDEX('raw-sheet'!$A$2:$ZZ$1000, ROW(Q197), MATCH(Q$1, 'raw-sheet'!$A$1:$ZZ$1, 0))</f>
        <v>website</v>
      </c>
      <c r="R198" s="28" t="str">
        <f t="array" ref="R198">INDEX('raw-sheet'!$A$2:$ZZ$1000, ROW(R197), MATCH(R$1, 'raw-sheet'!$A$1:$ZZ$1, 0))</f>
        <v>INNISFREE Taiwan</v>
      </c>
      <c r="S198" s="28" t="str">
        <f t="array" ref="S198">INDEX('raw-sheet'!$A$2:$ZZ$1000, ROW(S197), MATCH(S$1, 'raw-sheet'!$A$1:$ZZ$1, 0))</f>
        <v>http://innisfree-taiwan.myshopify.com/cdn/shop/files/logo.png?v=1767594135</v>
      </c>
      <c r="T198" s="28" t="str">
        <f t="array" ref="T198">INDEX('raw-sheet'!$A$2:$ZZ$1000, ROW(T197), MATCH(T$1, 'raw-sheet'!$A$1:$ZZ$1, 0))</f>
        <v>https://innisfree-taiwan.myshopify.com/cdn/shop/files/logo.png?v=1767594135</v>
      </c>
      <c r="U198" s="28" t="str">
        <f t="array" ref="U198">INDEX('raw-sheet'!$A$2:$ZZ$1000, ROW(U197), MATCH(U$1, 'raw-sheet'!$A$1:$ZZ$1, 0))</f>
        <v>https://innisfree-taiwan.myshopify.com/pages/about-ingredients-cherry-blossom</v>
      </c>
      <c r="V198" s="28" t="str">
        <f t="array" ref="V198">INDEX('raw-sheet'!$A$2:$ZZ$1000, ROW(V197), MATCH(V$1, 'raw-sheet'!$A$1:$ZZ$1, 0))</f>
        <v>About Ingredients Cherry Blossom | INNISFREE Taiwan</v>
      </c>
      <c r="W198" s="28" t="str">
        <f t="array" ref="W198">INDEX('raw-sheet'!$A$2:$ZZ$1000, ROW(W197),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8" s="28" t="str">
        <f t="array" ref="X198">INDEX('raw-sheet'!$A$2:$ZZ$1000, ROW(X197), MATCH(X$1, 'raw-sheet'!$A$1:$ZZ$1, 0))</f>
        <v>summary_large_image</v>
      </c>
      <c r="Y198" s="30" t="s">
        <v>56</v>
      </c>
      <c r="Z198" s="28" t="str">
        <f>VLOOKUP($A198,'raw-schema'!$A:$R,14,0)</f>
        <v>Organization</v>
      </c>
      <c r="AA198" s="28">
        <f>VLOOKUP($A198,'raw-schema'!$A:$R,15,0)</f>
        <v>0</v>
      </c>
      <c r="AB198" s="28">
        <f>VLOOKUP($A198,'raw-schema'!$A:$R,16,0)</f>
        <v>0</v>
      </c>
      <c r="AC198" s="28">
        <f>VLOOKUP($A198,'raw-schema'!$A:$R,17,0)</f>
        <v>0</v>
      </c>
      <c r="AD198" s="28">
        <f>VLOOKUP($A198,'raw-schema'!$A:$R,18,0)</f>
        <v>0</v>
      </c>
      <c r="AE198" s="30" t="s">
        <v>57</v>
      </c>
    </row>
    <row r="199" spans="1:31" x14ac:dyDescent="0.3">
      <c r="A199" s="28" t="str">
        <f t="array" ref="A199">INDEX('raw-sheet'!$A$2:$ZZ$1000, ROW(A198), MATCH(A$1, 'raw-sheet'!$A$1:$ZZ$1, 0))</f>
        <v>https://innisfree-taiwan.myshopify.com/pages/about-ingredients-green-barley</v>
      </c>
      <c r="B199" s="30" t="s">
        <v>11</v>
      </c>
      <c r="C199" s="28" t="str">
        <f t="array" ref="C199">INDEX('raw-sheet'!$A$2:$ZZ$1000, ROW(C198), MATCH(C$1, 'raw-sheet'!$A$1:$ZZ$1, 0))</f>
        <v>Page (No PLP / PDP)</v>
      </c>
      <c r="D199" s="28">
        <f t="array" ref="D199">INDEX('raw-sheet'!$A$2:$ZZ$1000, ROW(D198), MATCH(D$1, 'raw-sheet'!$A$1:$ZZ$1, 0))</f>
        <v>200</v>
      </c>
      <c r="E199" s="30" t="str">
        <f t="shared" si="6"/>
        <v>Pass</v>
      </c>
      <c r="F199" s="28" t="str">
        <f t="array" ref="F199">INDEX('raw-sheet'!$A$2:$ZZ$1000, ROW(F198), MATCH(F$1, 'raw-sheet'!$A$1:$ZZ$1, 0))</f>
        <v>About Ingredients Green Barley_x000D_ | INNISFREE Taiwan</v>
      </c>
      <c r="G199" s="30" t="s">
        <v>11</v>
      </c>
      <c r="H199" s="28">
        <f t="array" ref="H199">INDEX('raw-sheet'!$A$2:$ZZ$1000, ROW(H198), MATCH(H$1, 'raw-sheet'!$A$1:$ZZ$1, 0))</f>
        <v>0</v>
      </c>
      <c r="I199" s="30" t="s">
        <v>61</v>
      </c>
      <c r="J199" s="28">
        <f t="array" ref="J199">INDEX('raw-sheet'!$A$2:$ZZ$1000, ROW(J198), MATCH(J$1, 'raw-sheet'!$A$1:$ZZ$1, 0))</f>
        <v>0</v>
      </c>
      <c r="K199" s="28" t="str">
        <f t="array" ref="K199">INDEX('raw-sheet'!$A$2:$ZZ$1000, ROW(K198), MATCH(K$1, 'raw-sheet'!$A$1:$ZZ$1, 0))</f>
        <v>0</v>
      </c>
      <c r="L199" s="30" t="s">
        <v>61</v>
      </c>
      <c r="M199" s="28" t="str">
        <f t="array" ref="M199">INDEX('raw-sheet'!$A$2:$ZZ$1000, ROW(M198), MATCH(M$1, 'raw-sheet'!$A$1:$ZZ$1, 0))</f>
        <v>https://innisfree-taiwan.myshopify.com/pages/about-ingredients-green-barley</v>
      </c>
      <c r="N199" s="30" t="str">
        <f t="shared" si="7"/>
        <v>Pass</v>
      </c>
      <c r="O199" s="28" t="str">
        <f t="array" ref="O199">INDEX('raw-sheet'!$A$2:$ZZ$1000, ROW(O198), MATCH(O$1, 'raw-sheet'!$A$1:$ZZ$1, 0))</f>
        <v>About Ingredients Green Barley | INNISFREE Taiwan</v>
      </c>
      <c r="P199" s="28" t="str">
        <f t="array" ref="P199">INDEX('raw-sheet'!$A$2:$ZZ$1000, ROW(P198),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199" s="28" t="str">
        <f t="array" ref="Q199">INDEX('raw-sheet'!$A$2:$ZZ$1000, ROW(Q198), MATCH(Q$1, 'raw-sheet'!$A$1:$ZZ$1, 0))</f>
        <v>website</v>
      </c>
      <c r="R199" s="28" t="str">
        <f t="array" ref="R199">INDEX('raw-sheet'!$A$2:$ZZ$1000, ROW(R198), MATCH(R$1, 'raw-sheet'!$A$1:$ZZ$1, 0))</f>
        <v>INNISFREE Taiwan</v>
      </c>
      <c r="S199" s="28" t="str">
        <f t="array" ref="S199">INDEX('raw-sheet'!$A$2:$ZZ$1000, ROW(S198), MATCH(S$1, 'raw-sheet'!$A$1:$ZZ$1, 0))</f>
        <v>http://innisfree-taiwan.myshopify.com/cdn/shop/files/logo.png?v=1767594135</v>
      </c>
      <c r="T199" s="28" t="str">
        <f t="array" ref="T199">INDEX('raw-sheet'!$A$2:$ZZ$1000, ROW(T198), MATCH(T$1, 'raw-sheet'!$A$1:$ZZ$1, 0))</f>
        <v>https://innisfree-taiwan.myshopify.com/cdn/shop/files/logo.png?v=1767594135</v>
      </c>
      <c r="U199" s="28" t="str">
        <f t="array" ref="U199">INDEX('raw-sheet'!$A$2:$ZZ$1000, ROW(U198), MATCH(U$1, 'raw-sheet'!$A$1:$ZZ$1, 0))</f>
        <v>https://innisfree-taiwan.myshopify.com/pages/about-ingredients-green-barley</v>
      </c>
      <c r="V199" s="28" t="str">
        <f t="array" ref="V199">INDEX('raw-sheet'!$A$2:$ZZ$1000, ROW(V198), MATCH(V$1, 'raw-sheet'!$A$1:$ZZ$1, 0))</f>
        <v>About Ingredients Green Barley | INNISFREE Taiwan</v>
      </c>
      <c r="W199" s="28" t="str">
        <f t="array" ref="W199">INDEX('raw-sheet'!$A$2:$ZZ$1000, ROW(W198),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199" s="28" t="str">
        <f t="array" ref="X199">INDEX('raw-sheet'!$A$2:$ZZ$1000, ROW(X198), MATCH(X$1, 'raw-sheet'!$A$1:$ZZ$1, 0))</f>
        <v>summary_large_image</v>
      </c>
      <c r="Y199" s="30" t="s">
        <v>56</v>
      </c>
      <c r="Z199" s="28" t="str">
        <f>VLOOKUP($A199,'raw-schema'!$A:$R,14,0)</f>
        <v>Organization</v>
      </c>
      <c r="AA199" s="28">
        <f>VLOOKUP($A199,'raw-schema'!$A:$R,15,0)</f>
        <v>0</v>
      </c>
      <c r="AB199" s="28">
        <f>VLOOKUP($A199,'raw-schema'!$A:$R,16,0)</f>
        <v>0</v>
      </c>
      <c r="AC199" s="28">
        <f>VLOOKUP($A199,'raw-schema'!$A:$R,17,0)</f>
        <v>0</v>
      </c>
      <c r="AD199" s="28">
        <f>VLOOKUP($A199,'raw-schema'!$A:$R,18,0)</f>
        <v>0</v>
      </c>
      <c r="AE199" s="30" t="s">
        <v>57</v>
      </c>
    </row>
    <row r="200" spans="1:31" x14ac:dyDescent="0.3">
      <c r="A200" s="28" t="str">
        <f t="array" ref="A200">INDEX('raw-sheet'!$A$2:$ZZ$1000, ROW(A199), MATCH(A$1, 'raw-sheet'!$A$1:$ZZ$1, 0))</f>
        <v>https://innisfree-taiwan.myshopify.com/pages/about-ingredients-green-tea</v>
      </c>
      <c r="B200" s="30" t="s">
        <v>11</v>
      </c>
      <c r="C200" s="28" t="str">
        <f t="array" ref="C200">INDEX('raw-sheet'!$A$2:$ZZ$1000, ROW(C199), MATCH(C$1, 'raw-sheet'!$A$1:$ZZ$1, 0))</f>
        <v>Page (No PLP / PDP)</v>
      </c>
      <c r="D200" s="28">
        <f t="array" ref="D200">INDEX('raw-sheet'!$A$2:$ZZ$1000, ROW(D199), MATCH(D$1, 'raw-sheet'!$A$1:$ZZ$1, 0))</f>
        <v>200</v>
      </c>
      <c r="E200" s="30" t="str">
        <f t="shared" si="6"/>
        <v>Pass</v>
      </c>
      <c r="F200" s="28" t="str">
        <f t="array" ref="F200">INDEX('raw-sheet'!$A$2:$ZZ$1000, ROW(F199), MATCH(F$1, 'raw-sheet'!$A$1:$ZZ$1, 0))</f>
        <v>About Ingredients Green Tea_x000D_ | INNISFREE Taiwan</v>
      </c>
      <c r="G200" s="30" t="s">
        <v>11</v>
      </c>
      <c r="H200" s="28">
        <f t="array" ref="H200">INDEX('raw-sheet'!$A$2:$ZZ$1000, ROW(H199), MATCH(H$1, 'raw-sheet'!$A$1:$ZZ$1, 0))</f>
        <v>0</v>
      </c>
      <c r="I200" s="30" t="s">
        <v>61</v>
      </c>
      <c r="J200" s="28">
        <f t="array" ref="J200">INDEX('raw-sheet'!$A$2:$ZZ$1000, ROW(J199), MATCH(J$1, 'raw-sheet'!$A$1:$ZZ$1, 0))</f>
        <v>0</v>
      </c>
      <c r="K200" s="28" t="str">
        <f t="array" ref="K200">INDEX('raw-sheet'!$A$2:$ZZ$1000, ROW(K199), MATCH(K$1, 'raw-sheet'!$A$1:$ZZ$1, 0))</f>
        <v>0</v>
      </c>
      <c r="L200" s="30" t="s">
        <v>61</v>
      </c>
      <c r="M200" s="28" t="str">
        <f t="array" ref="M200">INDEX('raw-sheet'!$A$2:$ZZ$1000, ROW(M199), MATCH(M$1, 'raw-sheet'!$A$1:$ZZ$1, 0))</f>
        <v>https://innisfree-taiwan.myshopify.com/pages/about-ingredients-green-tea</v>
      </c>
      <c r="N200" s="30" t="str">
        <f t="shared" si="7"/>
        <v>Pass</v>
      </c>
      <c r="O200" s="28" t="str">
        <f t="array" ref="O200">INDEX('raw-sheet'!$A$2:$ZZ$1000, ROW(O199), MATCH(O$1, 'raw-sheet'!$A$1:$ZZ$1, 0))</f>
        <v>About Ingredients Green Tea | INNISFREE Taiwan</v>
      </c>
      <c r="P200" s="28" t="str">
        <f t="array" ref="P200">INDEX('raw-sheet'!$A$2:$ZZ$1000, ROW(P199),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0" s="28" t="str">
        <f t="array" ref="Q200">INDEX('raw-sheet'!$A$2:$ZZ$1000, ROW(Q199), MATCH(Q$1, 'raw-sheet'!$A$1:$ZZ$1, 0))</f>
        <v>website</v>
      </c>
      <c r="R200" s="28" t="str">
        <f t="array" ref="R200">INDEX('raw-sheet'!$A$2:$ZZ$1000, ROW(R199), MATCH(R$1, 'raw-sheet'!$A$1:$ZZ$1, 0))</f>
        <v>INNISFREE Taiwan</v>
      </c>
      <c r="S200" s="28" t="str">
        <f t="array" ref="S200">INDEX('raw-sheet'!$A$2:$ZZ$1000, ROW(S199), MATCH(S$1, 'raw-sheet'!$A$1:$ZZ$1, 0))</f>
        <v>http://innisfree-taiwan.myshopify.com/cdn/shop/files/logo.png?v=1767594135</v>
      </c>
      <c r="T200" s="28" t="str">
        <f t="array" ref="T200">INDEX('raw-sheet'!$A$2:$ZZ$1000, ROW(T199), MATCH(T$1, 'raw-sheet'!$A$1:$ZZ$1, 0))</f>
        <v>https://innisfree-taiwan.myshopify.com/cdn/shop/files/logo.png?v=1767594135</v>
      </c>
      <c r="U200" s="28" t="str">
        <f t="array" ref="U200">INDEX('raw-sheet'!$A$2:$ZZ$1000, ROW(U199), MATCH(U$1, 'raw-sheet'!$A$1:$ZZ$1, 0))</f>
        <v>https://innisfree-taiwan.myshopify.com/pages/about-ingredients-green-tea</v>
      </c>
      <c r="V200" s="28" t="str">
        <f t="array" ref="V200">INDEX('raw-sheet'!$A$2:$ZZ$1000, ROW(V199), MATCH(V$1, 'raw-sheet'!$A$1:$ZZ$1, 0))</f>
        <v>About Ingredients Green Tea | INNISFREE Taiwan</v>
      </c>
      <c r="W200" s="28" t="str">
        <f t="array" ref="W200">INDEX('raw-sheet'!$A$2:$ZZ$1000, ROW(W199),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0" s="28" t="str">
        <f t="array" ref="X200">INDEX('raw-sheet'!$A$2:$ZZ$1000, ROW(X199), MATCH(X$1, 'raw-sheet'!$A$1:$ZZ$1, 0))</f>
        <v>summary_large_image</v>
      </c>
      <c r="Y200" s="30" t="s">
        <v>56</v>
      </c>
      <c r="Z200" s="28" t="str">
        <f>VLOOKUP($A200,'raw-schema'!$A:$R,14,0)</f>
        <v>Organization</v>
      </c>
      <c r="AA200" s="28">
        <f>VLOOKUP($A200,'raw-schema'!$A:$R,15,0)</f>
        <v>0</v>
      </c>
      <c r="AB200" s="28">
        <f>VLOOKUP($A200,'raw-schema'!$A:$R,16,0)</f>
        <v>0</v>
      </c>
      <c r="AC200" s="28">
        <f>VLOOKUP($A200,'raw-schema'!$A:$R,17,0)</f>
        <v>0</v>
      </c>
      <c r="AD200" s="28">
        <f>VLOOKUP($A200,'raw-schema'!$A:$R,18,0)</f>
        <v>0</v>
      </c>
      <c r="AE200" s="30" t="s">
        <v>57</v>
      </c>
    </row>
    <row r="201" spans="1:31" x14ac:dyDescent="0.3">
      <c r="A201" s="28" t="str">
        <f t="array" ref="A201">INDEX('raw-sheet'!$A$2:$ZZ$1000, ROW(A200), MATCH(A$1, 'raw-sheet'!$A$1:$ZZ$1, 0))</f>
        <v>https://innisfree-taiwan.myshopify.com/pages/about-ingredients-lava-seawater</v>
      </c>
      <c r="B201" s="30" t="s">
        <v>11</v>
      </c>
      <c r="C201" s="28" t="str">
        <f t="array" ref="C201">INDEX('raw-sheet'!$A$2:$ZZ$1000, ROW(C200), MATCH(C$1, 'raw-sheet'!$A$1:$ZZ$1, 0))</f>
        <v>Page (No PLP / PDP)</v>
      </c>
      <c r="D201" s="28">
        <f t="array" ref="D201">INDEX('raw-sheet'!$A$2:$ZZ$1000, ROW(D200), MATCH(D$1, 'raw-sheet'!$A$1:$ZZ$1, 0))</f>
        <v>200</v>
      </c>
      <c r="E201" s="30" t="str">
        <f t="shared" si="6"/>
        <v>Pass</v>
      </c>
      <c r="F201" s="28" t="str">
        <f t="array" ref="F201">INDEX('raw-sheet'!$A$2:$ZZ$1000, ROW(F200), MATCH(F$1, 'raw-sheet'!$A$1:$ZZ$1, 0))</f>
        <v>About Ingredients Lava Seawater_x000D_ | INNISFREE Taiwan</v>
      </c>
      <c r="G201" s="30" t="s">
        <v>11</v>
      </c>
      <c r="H201" s="28">
        <f t="array" ref="H201">INDEX('raw-sheet'!$A$2:$ZZ$1000, ROW(H200), MATCH(H$1, 'raw-sheet'!$A$1:$ZZ$1, 0))</f>
        <v>0</v>
      </c>
      <c r="I201" s="30" t="s">
        <v>61</v>
      </c>
      <c r="J201" s="28">
        <f t="array" ref="J201">INDEX('raw-sheet'!$A$2:$ZZ$1000, ROW(J200), MATCH(J$1, 'raw-sheet'!$A$1:$ZZ$1, 0))</f>
        <v>0</v>
      </c>
      <c r="K201" s="28" t="str">
        <f t="array" ref="K201">INDEX('raw-sheet'!$A$2:$ZZ$1000, ROW(K200), MATCH(K$1, 'raw-sheet'!$A$1:$ZZ$1, 0))</f>
        <v>0</v>
      </c>
      <c r="L201" s="30" t="s">
        <v>61</v>
      </c>
      <c r="M201" s="28" t="str">
        <f t="array" ref="M201">INDEX('raw-sheet'!$A$2:$ZZ$1000, ROW(M200), MATCH(M$1, 'raw-sheet'!$A$1:$ZZ$1, 0))</f>
        <v>https://innisfree-taiwan.myshopify.com/pages/about-ingredients-lava-seawater</v>
      </c>
      <c r="N201" s="30" t="str">
        <f t="shared" si="7"/>
        <v>Pass</v>
      </c>
      <c r="O201" s="28" t="str">
        <f t="array" ref="O201">INDEX('raw-sheet'!$A$2:$ZZ$1000, ROW(O200), MATCH(O$1, 'raw-sheet'!$A$1:$ZZ$1, 0))</f>
        <v>About Ingredients Lava Seawater | INNISFREE Taiwan</v>
      </c>
      <c r="P201" s="28" t="str">
        <f t="array" ref="P201">INDEX('raw-sheet'!$A$2:$ZZ$1000, ROW(P200),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1" s="28" t="str">
        <f t="array" ref="Q201">INDEX('raw-sheet'!$A$2:$ZZ$1000, ROW(Q200), MATCH(Q$1, 'raw-sheet'!$A$1:$ZZ$1, 0))</f>
        <v>website</v>
      </c>
      <c r="R201" s="28" t="str">
        <f t="array" ref="R201">INDEX('raw-sheet'!$A$2:$ZZ$1000, ROW(R200), MATCH(R$1, 'raw-sheet'!$A$1:$ZZ$1, 0))</f>
        <v>INNISFREE Taiwan</v>
      </c>
      <c r="S201" s="28" t="str">
        <f t="array" ref="S201">INDEX('raw-sheet'!$A$2:$ZZ$1000, ROW(S200), MATCH(S$1, 'raw-sheet'!$A$1:$ZZ$1, 0))</f>
        <v>http://innisfree-taiwan.myshopify.com/cdn/shop/files/logo.png?v=1767594135</v>
      </c>
      <c r="T201" s="28" t="str">
        <f t="array" ref="T201">INDEX('raw-sheet'!$A$2:$ZZ$1000, ROW(T200), MATCH(T$1, 'raw-sheet'!$A$1:$ZZ$1, 0))</f>
        <v>https://innisfree-taiwan.myshopify.com/cdn/shop/files/logo.png?v=1767594135</v>
      </c>
      <c r="U201" s="28" t="str">
        <f t="array" ref="U201">INDEX('raw-sheet'!$A$2:$ZZ$1000, ROW(U200), MATCH(U$1, 'raw-sheet'!$A$1:$ZZ$1, 0))</f>
        <v>https://innisfree-taiwan.myshopify.com/pages/about-ingredients-lava-seawater</v>
      </c>
      <c r="V201" s="28" t="str">
        <f t="array" ref="V201">INDEX('raw-sheet'!$A$2:$ZZ$1000, ROW(V200), MATCH(V$1, 'raw-sheet'!$A$1:$ZZ$1, 0))</f>
        <v>About Ingredients Lava Seawater | INNISFREE Taiwan</v>
      </c>
      <c r="W201" s="28" t="str">
        <f t="array" ref="W201">INDEX('raw-sheet'!$A$2:$ZZ$1000, ROW(W200),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1" s="28" t="str">
        <f t="array" ref="X201">INDEX('raw-sheet'!$A$2:$ZZ$1000, ROW(X200), MATCH(X$1, 'raw-sheet'!$A$1:$ZZ$1, 0))</f>
        <v>summary_large_image</v>
      </c>
      <c r="Y201" s="30" t="s">
        <v>56</v>
      </c>
      <c r="Z201" s="28" t="str">
        <f>VLOOKUP($A201,'raw-schema'!$A:$R,14,0)</f>
        <v>Organization</v>
      </c>
      <c r="AA201" s="28">
        <f>VLOOKUP($A201,'raw-schema'!$A:$R,15,0)</f>
        <v>0</v>
      </c>
      <c r="AB201" s="28">
        <f>VLOOKUP($A201,'raw-schema'!$A:$R,16,0)</f>
        <v>0</v>
      </c>
      <c r="AC201" s="28">
        <f>VLOOKUP($A201,'raw-schema'!$A:$R,17,0)</f>
        <v>0</v>
      </c>
      <c r="AD201" s="28">
        <f>VLOOKUP($A201,'raw-schema'!$A:$R,18,0)</f>
        <v>0</v>
      </c>
      <c r="AE201" s="30" t="s">
        <v>57</v>
      </c>
    </row>
    <row r="202" spans="1:31" x14ac:dyDescent="0.3">
      <c r="A202" s="28" t="str">
        <f t="array" ref="A202">INDEX('raw-sheet'!$A$2:$ZZ$1000, ROW(A201), MATCH(A$1, 'raw-sheet'!$A$1:$ZZ$1, 0))</f>
        <v>https://innisfree-taiwan.myshopify.com/pages/about-ingredients-marine-seaweed</v>
      </c>
      <c r="B202" s="30" t="s">
        <v>11</v>
      </c>
      <c r="C202" s="28" t="str">
        <f t="array" ref="C202">INDEX('raw-sheet'!$A$2:$ZZ$1000, ROW(C201), MATCH(C$1, 'raw-sheet'!$A$1:$ZZ$1, 0))</f>
        <v>Page (No PLP / PDP)</v>
      </c>
      <c r="D202" s="28">
        <f t="array" ref="D202">INDEX('raw-sheet'!$A$2:$ZZ$1000, ROW(D201), MATCH(D$1, 'raw-sheet'!$A$1:$ZZ$1, 0))</f>
        <v>200</v>
      </c>
      <c r="E202" s="30" t="str">
        <f t="shared" si="6"/>
        <v>Pass</v>
      </c>
      <c r="F202" s="28" t="str">
        <f t="array" ref="F202">INDEX('raw-sheet'!$A$2:$ZZ$1000, ROW(F201), MATCH(F$1, 'raw-sheet'!$A$1:$ZZ$1, 0))</f>
        <v>About Ingredients Marine Seaweed_x000D_ | INNISFREE Taiwan</v>
      </c>
      <c r="G202" s="30" t="s">
        <v>11</v>
      </c>
      <c r="H202" s="28">
        <f t="array" ref="H202">INDEX('raw-sheet'!$A$2:$ZZ$1000, ROW(H201), MATCH(H$1, 'raw-sheet'!$A$1:$ZZ$1, 0))</f>
        <v>0</v>
      </c>
      <c r="I202" s="30" t="s">
        <v>61</v>
      </c>
      <c r="J202" s="28">
        <f t="array" ref="J202">INDEX('raw-sheet'!$A$2:$ZZ$1000, ROW(J201), MATCH(J$1, 'raw-sheet'!$A$1:$ZZ$1, 0))</f>
        <v>0</v>
      </c>
      <c r="K202" s="28" t="str">
        <f t="array" ref="K202">INDEX('raw-sheet'!$A$2:$ZZ$1000, ROW(K201), MATCH(K$1, 'raw-sheet'!$A$1:$ZZ$1, 0))</f>
        <v>0</v>
      </c>
      <c r="L202" s="30" t="s">
        <v>61</v>
      </c>
      <c r="M202" s="28" t="str">
        <f t="array" ref="M202">INDEX('raw-sheet'!$A$2:$ZZ$1000, ROW(M201), MATCH(M$1, 'raw-sheet'!$A$1:$ZZ$1, 0))</f>
        <v>https://innisfree-taiwan.myshopify.com/pages/about-ingredients-marine-seaweed</v>
      </c>
      <c r="N202" s="30" t="str">
        <f t="shared" si="7"/>
        <v>Pass</v>
      </c>
      <c r="O202" s="28" t="str">
        <f t="array" ref="O202">INDEX('raw-sheet'!$A$2:$ZZ$1000, ROW(O201), MATCH(O$1, 'raw-sheet'!$A$1:$ZZ$1, 0))</f>
        <v>About Ingredients Marine Seaweed | INNISFREE Taiwan</v>
      </c>
      <c r="P202" s="28" t="str">
        <f t="array" ref="P202">INDEX('raw-sheet'!$A$2:$ZZ$1000, ROW(P201),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2" s="28" t="str">
        <f t="array" ref="Q202">INDEX('raw-sheet'!$A$2:$ZZ$1000, ROW(Q201), MATCH(Q$1, 'raw-sheet'!$A$1:$ZZ$1, 0))</f>
        <v>website</v>
      </c>
      <c r="R202" s="28" t="str">
        <f t="array" ref="R202">INDEX('raw-sheet'!$A$2:$ZZ$1000, ROW(R201), MATCH(R$1, 'raw-sheet'!$A$1:$ZZ$1, 0))</f>
        <v>INNISFREE Taiwan</v>
      </c>
      <c r="S202" s="28" t="str">
        <f t="array" ref="S202">INDEX('raw-sheet'!$A$2:$ZZ$1000, ROW(S201), MATCH(S$1, 'raw-sheet'!$A$1:$ZZ$1, 0))</f>
        <v>http://innisfree-taiwan.myshopify.com/cdn/shop/files/logo.png?v=1767594135</v>
      </c>
      <c r="T202" s="28" t="str">
        <f t="array" ref="T202">INDEX('raw-sheet'!$A$2:$ZZ$1000, ROW(T201), MATCH(T$1, 'raw-sheet'!$A$1:$ZZ$1, 0))</f>
        <v>https://innisfree-taiwan.myshopify.com/cdn/shop/files/logo.png?v=1767594135</v>
      </c>
      <c r="U202" s="28" t="str">
        <f t="array" ref="U202">INDEX('raw-sheet'!$A$2:$ZZ$1000, ROW(U201), MATCH(U$1, 'raw-sheet'!$A$1:$ZZ$1, 0))</f>
        <v>https://innisfree-taiwan.myshopify.com/pages/about-ingredients-marine-seaweed</v>
      </c>
      <c r="V202" s="28" t="str">
        <f t="array" ref="V202">INDEX('raw-sheet'!$A$2:$ZZ$1000, ROW(V201), MATCH(V$1, 'raw-sheet'!$A$1:$ZZ$1, 0))</f>
        <v>About Ingredients Marine Seaweed | INNISFREE Taiwan</v>
      </c>
      <c r="W202" s="28" t="str">
        <f t="array" ref="W202">INDEX('raw-sheet'!$A$2:$ZZ$1000, ROW(W201),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2" s="28" t="str">
        <f t="array" ref="X202">INDEX('raw-sheet'!$A$2:$ZZ$1000, ROW(X201), MATCH(X$1, 'raw-sheet'!$A$1:$ZZ$1, 0))</f>
        <v>summary_large_image</v>
      </c>
      <c r="Y202" s="30" t="s">
        <v>56</v>
      </c>
      <c r="Z202" s="28" t="str">
        <f>VLOOKUP($A202,'raw-schema'!$A:$R,14,0)</f>
        <v>Organization</v>
      </c>
      <c r="AA202" s="28">
        <f>VLOOKUP($A202,'raw-schema'!$A:$R,15,0)</f>
        <v>0</v>
      </c>
      <c r="AB202" s="28">
        <f>VLOOKUP($A202,'raw-schema'!$A:$R,16,0)</f>
        <v>0</v>
      </c>
      <c r="AC202" s="28">
        <f>VLOOKUP($A202,'raw-schema'!$A:$R,17,0)</f>
        <v>0</v>
      </c>
      <c r="AD202" s="28">
        <f>VLOOKUP($A202,'raw-schema'!$A:$R,18,0)</f>
        <v>0</v>
      </c>
      <c r="AE202" s="30" t="s">
        <v>57</v>
      </c>
    </row>
    <row r="203" spans="1:31" x14ac:dyDescent="0.3">
      <c r="A203" s="28" t="str">
        <f t="array" ref="A203">INDEX('raw-sheet'!$A$2:$ZZ$1000, ROW(A202), MATCH(A$1, 'raw-sheet'!$A$1:$ZZ$1, 0))</f>
        <v>https://innisfree-taiwan.myshopify.com/pages/about-ingredients-orchid</v>
      </c>
      <c r="B203" s="30" t="s">
        <v>11</v>
      </c>
      <c r="C203" s="28" t="str">
        <f t="array" ref="C203">INDEX('raw-sheet'!$A$2:$ZZ$1000, ROW(C202), MATCH(C$1, 'raw-sheet'!$A$1:$ZZ$1, 0))</f>
        <v>Page (No PLP / PDP)</v>
      </c>
      <c r="D203" s="28">
        <f t="array" ref="D203">INDEX('raw-sheet'!$A$2:$ZZ$1000, ROW(D202), MATCH(D$1, 'raw-sheet'!$A$1:$ZZ$1, 0))</f>
        <v>200</v>
      </c>
      <c r="E203" s="30" t="str">
        <f t="shared" si="6"/>
        <v>Pass</v>
      </c>
      <c r="F203" s="28" t="str">
        <f t="array" ref="F203">INDEX('raw-sheet'!$A$2:$ZZ$1000, ROW(F202), MATCH(F$1, 'raw-sheet'!$A$1:$ZZ$1, 0))</f>
        <v>About Ingredients Orchid_x000D_ | INNISFREE Taiwan</v>
      </c>
      <c r="G203" s="30" t="s">
        <v>11</v>
      </c>
      <c r="H203" s="28">
        <f t="array" ref="H203">INDEX('raw-sheet'!$A$2:$ZZ$1000, ROW(H202), MATCH(H$1, 'raw-sheet'!$A$1:$ZZ$1, 0))</f>
        <v>0</v>
      </c>
      <c r="I203" s="30" t="s">
        <v>61</v>
      </c>
      <c r="J203" s="28">
        <f t="array" ref="J203">INDEX('raw-sheet'!$A$2:$ZZ$1000, ROW(J202), MATCH(J$1, 'raw-sheet'!$A$1:$ZZ$1, 0))</f>
        <v>0</v>
      </c>
      <c r="K203" s="28" t="str">
        <f t="array" ref="K203">INDEX('raw-sheet'!$A$2:$ZZ$1000, ROW(K202), MATCH(K$1, 'raw-sheet'!$A$1:$ZZ$1, 0))</f>
        <v>0</v>
      </c>
      <c r="L203" s="30" t="s">
        <v>61</v>
      </c>
      <c r="M203" s="28" t="str">
        <f t="array" ref="M203">INDEX('raw-sheet'!$A$2:$ZZ$1000, ROW(M202), MATCH(M$1, 'raw-sheet'!$A$1:$ZZ$1, 0))</f>
        <v>https://innisfree-taiwan.myshopify.com/pages/about-ingredients-orchid</v>
      </c>
      <c r="N203" s="30" t="str">
        <f t="shared" si="7"/>
        <v>Pass</v>
      </c>
      <c r="O203" s="28" t="str">
        <f t="array" ref="O203">INDEX('raw-sheet'!$A$2:$ZZ$1000, ROW(O202), MATCH(O$1, 'raw-sheet'!$A$1:$ZZ$1, 0))</f>
        <v>About Ingredients Orchid | INNISFREE Taiwan</v>
      </c>
      <c r="P203" s="28" t="str">
        <f t="array" ref="P203">INDEX('raw-sheet'!$A$2:$ZZ$1000, ROW(P202),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3" s="28" t="str">
        <f t="array" ref="Q203">INDEX('raw-sheet'!$A$2:$ZZ$1000, ROW(Q202), MATCH(Q$1, 'raw-sheet'!$A$1:$ZZ$1, 0))</f>
        <v>website</v>
      </c>
      <c r="R203" s="28" t="str">
        <f t="array" ref="R203">INDEX('raw-sheet'!$A$2:$ZZ$1000, ROW(R202), MATCH(R$1, 'raw-sheet'!$A$1:$ZZ$1, 0))</f>
        <v>INNISFREE Taiwan</v>
      </c>
      <c r="S203" s="28" t="str">
        <f t="array" ref="S203">INDEX('raw-sheet'!$A$2:$ZZ$1000, ROW(S202), MATCH(S$1, 'raw-sheet'!$A$1:$ZZ$1, 0))</f>
        <v>http://innisfree-taiwan.myshopify.com/cdn/shop/files/logo.png?v=1767594135</v>
      </c>
      <c r="T203" s="28" t="str">
        <f t="array" ref="T203">INDEX('raw-sheet'!$A$2:$ZZ$1000, ROW(T202), MATCH(T$1, 'raw-sheet'!$A$1:$ZZ$1, 0))</f>
        <v>https://innisfree-taiwan.myshopify.com/cdn/shop/files/logo.png?v=1767594135</v>
      </c>
      <c r="U203" s="28" t="str">
        <f t="array" ref="U203">INDEX('raw-sheet'!$A$2:$ZZ$1000, ROW(U202), MATCH(U$1, 'raw-sheet'!$A$1:$ZZ$1, 0))</f>
        <v>https://innisfree-taiwan.myshopify.com/pages/about-ingredients-orchid</v>
      </c>
      <c r="V203" s="28" t="str">
        <f t="array" ref="V203">INDEX('raw-sheet'!$A$2:$ZZ$1000, ROW(V202), MATCH(V$1, 'raw-sheet'!$A$1:$ZZ$1, 0))</f>
        <v>About Ingredients Orchid | INNISFREE Taiwan</v>
      </c>
      <c r="W203" s="28" t="str">
        <f t="array" ref="W203">INDEX('raw-sheet'!$A$2:$ZZ$1000, ROW(W202),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3" s="28" t="str">
        <f t="array" ref="X203">INDEX('raw-sheet'!$A$2:$ZZ$1000, ROW(X202), MATCH(X$1, 'raw-sheet'!$A$1:$ZZ$1, 0))</f>
        <v>summary_large_image</v>
      </c>
      <c r="Y203" s="30" t="s">
        <v>56</v>
      </c>
      <c r="Z203" s="28" t="str">
        <f>VLOOKUP($A203,'raw-schema'!$A:$R,14,0)</f>
        <v>Organization</v>
      </c>
      <c r="AA203" s="28">
        <f>VLOOKUP($A203,'raw-schema'!$A:$R,15,0)</f>
        <v>0</v>
      </c>
      <c r="AB203" s="28">
        <f>VLOOKUP($A203,'raw-schema'!$A:$R,16,0)</f>
        <v>0</v>
      </c>
      <c r="AC203" s="28">
        <f>VLOOKUP($A203,'raw-schema'!$A:$R,17,0)</f>
        <v>0</v>
      </c>
      <c r="AD203" s="28">
        <f>VLOOKUP($A203,'raw-schema'!$A:$R,18,0)</f>
        <v>0</v>
      </c>
      <c r="AE203" s="30" t="s">
        <v>57</v>
      </c>
    </row>
    <row r="204" spans="1:31" x14ac:dyDescent="0.3">
      <c r="A204" s="28" t="str">
        <f t="array" ref="A204">INDEX('raw-sheet'!$A$2:$ZZ$1000, ROW(A203), MATCH(A$1, 'raw-sheet'!$A$1:$ZZ$1, 0))</f>
        <v>https://innisfree-taiwan.myshopify.com/pages/about-ingredients-phytoncide</v>
      </c>
      <c r="B204" s="30" t="s">
        <v>11</v>
      </c>
      <c r="C204" s="28" t="str">
        <f t="array" ref="C204">INDEX('raw-sheet'!$A$2:$ZZ$1000, ROW(C203), MATCH(C$1, 'raw-sheet'!$A$1:$ZZ$1, 0))</f>
        <v>Page (No PLP / PDP)</v>
      </c>
      <c r="D204" s="28">
        <f t="array" ref="D204">INDEX('raw-sheet'!$A$2:$ZZ$1000, ROW(D203), MATCH(D$1, 'raw-sheet'!$A$1:$ZZ$1, 0))</f>
        <v>200</v>
      </c>
      <c r="E204" s="30" t="str">
        <f t="shared" si="6"/>
        <v>Pass</v>
      </c>
      <c r="F204" s="28" t="str">
        <f t="array" ref="F204">INDEX('raw-sheet'!$A$2:$ZZ$1000, ROW(F203), MATCH(F$1, 'raw-sheet'!$A$1:$ZZ$1, 0))</f>
        <v>About Ingredients Phytoncide_x000D_ | INNISFREE Taiwan</v>
      </c>
      <c r="G204" s="30" t="s">
        <v>11</v>
      </c>
      <c r="H204" s="28">
        <f t="array" ref="H204">INDEX('raw-sheet'!$A$2:$ZZ$1000, ROW(H203), MATCH(H$1, 'raw-sheet'!$A$1:$ZZ$1, 0))</f>
        <v>0</v>
      </c>
      <c r="I204" s="30" t="s">
        <v>61</v>
      </c>
      <c r="J204" s="28">
        <f t="array" ref="J204">INDEX('raw-sheet'!$A$2:$ZZ$1000, ROW(J203), MATCH(J$1, 'raw-sheet'!$A$1:$ZZ$1, 0))</f>
        <v>0</v>
      </c>
      <c r="K204" s="28" t="str">
        <f t="array" ref="K204">INDEX('raw-sheet'!$A$2:$ZZ$1000, ROW(K203), MATCH(K$1, 'raw-sheet'!$A$1:$ZZ$1, 0))</f>
        <v>0</v>
      </c>
      <c r="L204" s="30" t="s">
        <v>61</v>
      </c>
      <c r="M204" s="28" t="str">
        <f t="array" ref="M204">INDEX('raw-sheet'!$A$2:$ZZ$1000, ROW(M203), MATCH(M$1, 'raw-sheet'!$A$1:$ZZ$1, 0))</f>
        <v>https://innisfree-taiwan.myshopify.com/pages/about-ingredients-phytoncide</v>
      </c>
      <c r="N204" s="30" t="str">
        <f t="shared" si="7"/>
        <v>Pass</v>
      </c>
      <c r="O204" s="28" t="str">
        <f t="array" ref="O204">INDEX('raw-sheet'!$A$2:$ZZ$1000, ROW(O203), MATCH(O$1, 'raw-sheet'!$A$1:$ZZ$1, 0))</f>
        <v>About Ingredients Phytoncide | INNISFREE Taiwan</v>
      </c>
      <c r="P204" s="28" t="str">
        <f t="array" ref="P204">INDEX('raw-sheet'!$A$2:$ZZ$1000, ROW(P203),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4" s="28" t="str">
        <f t="array" ref="Q204">INDEX('raw-sheet'!$A$2:$ZZ$1000, ROW(Q203), MATCH(Q$1, 'raw-sheet'!$A$1:$ZZ$1, 0))</f>
        <v>website</v>
      </c>
      <c r="R204" s="28" t="str">
        <f t="array" ref="R204">INDEX('raw-sheet'!$A$2:$ZZ$1000, ROW(R203), MATCH(R$1, 'raw-sheet'!$A$1:$ZZ$1, 0))</f>
        <v>INNISFREE Taiwan</v>
      </c>
      <c r="S204" s="28" t="str">
        <f t="array" ref="S204">INDEX('raw-sheet'!$A$2:$ZZ$1000, ROW(S203), MATCH(S$1, 'raw-sheet'!$A$1:$ZZ$1, 0))</f>
        <v>http://innisfree-taiwan.myshopify.com/cdn/shop/files/logo.png?v=1767594135</v>
      </c>
      <c r="T204" s="28" t="str">
        <f t="array" ref="T204">INDEX('raw-sheet'!$A$2:$ZZ$1000, ROW(T203), MATCH(T$1, 'raw-sheet'!$A$1:$ZZ$1, 0))</f>
        <v>https://innisfree-taiwan.myshopify.com/cdn/shop/files/logo.png?v=1767594135</v>
      </c>
      <c r="U204" s="28" t="str">
        <f t="array" ref="U204">INDEX('raw-sheet'!$A$2:$ZZ$1000, ROW(U203), MATCH(U$1, 'raw-sheet'!$A$1:$ZZ$1, 0))</f>
        <v>https://innisfree-taiwan.myshopify.com/pages/about-ingredients-phytoncide</v>
      </c>
      <c r="V204" s="28" t="str">
        <f t="array" ref="V204">INDEX('raw-sheet'!$A$2:$ZZ$1000, ROW(V203), MATCH(V$1, 'raw-sheet'!$A$1:$ZZ$1, 0))</f>
        <v>About Ingredients Phytoncide | INNISFREE Taiwan</v>
      </c>
      <c r="W204" s="28" t="str">
        <f t="array" ref="W204">INDEX('raw-sheet'!$A$2:$ZZ$1000, ROW(W203),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4" s="28" t="str">
        <f t="array" ref="X204">INDEX('raw-sheet'!$A$2:$ZZ$1000, ROW(X203), MATCH(X$1, 'raw-sheet'!$A$1:$ZZ$1, 0))</f>
        <v>summary_large_image</v>
      </c>
      <c r="Y204" s="30" t="s">
        <v>56</v>
      </c>
      <c r="Z204" s="28" t="str">
        <f>VLOOKUP($A204,'raw-schema'!$A:$R,14,0)</f>
        <v>Organization</v>
      </c>
      <c r="AA204" s="28">
        <f>VLOOKUP($A204,'raw-schema'!$A:$R,15,0)</f>
        <v>0</v>
      </c>
      <c r="AB204" s="28">
        <f>VLOOKUP($A204,'raw-schema'!$A:$R,16,0)</f>
        <v>0</v>
      </c>
      <c r="AC204" s="28">
        <f>VLOOKUP($A204,'raw-schema'!$A:$R,17,0)</f>
        <v>0</v>
      </c>
      <c r="AD204" s="28">
        <f>VLOOKUP($A204,'raw-schema'!$A:$R,18,0)</f>
        <v>0</v>
      </c>
      <c r="AE204" s="30" t="s">
        <v>57</v>
      </c>
    </row>
    <row r="205" spans="1:31" x14ac:dyDescent="0.3">
      <c r="A205" s="28" t="str">
        <f t="array" ref="A205">INDEX('raw-sheet'!$A$2:$ZZ$1000, ROW(A204), MATCH(A$1, 'raw-sheet'!$A$1:$ZZ$1, 0))</f>
        <v>https://innisfree-taiwan.myshopify.com/pages/about-ingredients-pomegranate</v>
      </c>
      <c r="B205" s="30" t="s">
        <v>11</v>
      </c>
      <c r="C205" s="28" t="str">
        <f t="array" ref="C205">INDEX('raw-sheet'!$A$2:$ZZ$1000, ROW(C204), MATCH(C$1, 'raw-sheet'!$A$1:$ZZ$1, 0))</f>
        <v>Page (No PLP / PDP)</v>
      </c>
      <c r="D205" s="28">
        <f t="array" ref="D205">INDEX('raw-sheet'!$A$2:$ZZ$1000, ROW(D204), MATCH(D$1, 'raw-sheet'!$A$1:$ZZ$1, 0))</f>
        <v>200</v>
      </c>
      <c r="E205" s="30" t="str">
        <f t="shared" si="6"/>
        <v>Pass</v>
      </c>
      <c r="F205" s="28" t="str">
        <f t="array" ref="F205">INDEX('raw-sheet'!$A$2:$ZZ$1000, ROW(F204), MATCH(F$1, 'raw-sheet'!$A$1:$ZZ$1, 0))</f>
        <v>About Ingredients Pomegranate_x000D_ | INNISFREE Taiwan</v>
      </c>
      <c r="G205" s="30" t="s">
        <v>11</v>
      </c>
      <c r="H205" s="28">
        <f t="array" ref="H205">INDEX('raw-sheet'!$A$2:$ZZ$1000, ROW(H204), MATCH(H$1, 'raw-sheet'!$A$1:$ZZ$1, 0))</f>
        <v>0</v>
      </c>
      <c r="I205" s="30" t="s">
        <v>61</v>
      </c>
      <c r="J205" s="28">
        <f t="array" ref="J205">INDEX('raw-sheet'!$A$2:$ZZ$1000, ROW(J204), MATCH(J$1, 'raw-sheet'!$A$1:$ZZ$1, 0))</f>
        <v>0</v>
      </c>
      <c r="K205" s="28" t="str">
        <f t="array" ref="K205">INDEX('raw-sheet'!$A$2:$ZZ$1000, ROW(K204), MATCH(K$1, 'raw-sheet'!$A$1:$ZZ$1, 0))</f>
        <v>0</v>
      </c>
      <c r="L205" s="30" t="s">
        <v>61</v>
      </c>
      <c r="M205" s="28" t="str">
        <f t="array" ref="M205">INDEX('raw-sheet'!$A$2:$ZZ$1000, ROW(M204), MATCH(M$1, 'raw-sheet'!$A$1:$ZZ$1, 0))</f>
        <v>https://innisfree-taiwan.myshopify.com/pages/about-ingredients-pomegranate</v>
      </c>
      <c r="N205" s="30" t="str">
        <f t="shared" si="7"/>
        <v>Pass</v>
      </c>
      <c r="O205" s="28" t="str">
        <f t="array" ref="O205">INDEX('raw-sheet'!$A$2:$ZZ$1000, ROW(O204), MATCH(O$1, 'raw-sheet'!$A$1:$ZZ$1, 0))</f>
        <v>About Ingredients Pomegranate | INNISFREE Taiwan</v>
      </c>
      <c r="P205" s="28" t="str">
        <f t="array" ref="P205">INDEX('raw-sheet'!$A$2:$ZZ$1000, ROW(P204),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5" s="28" t="str">
        <f t="array" ref="Q205">INDEX('raw-sheet'!$A$2:$ZZ$1000, ROW(Q204), MATCH(Q$1, 'raw-sheet'!$A$1:$ZZ$1, 0))</f>
        <v>website</v>
      </c>
      <c r="R205" s="28" t="str">
        <f t="array" ref="R205">INDEX('raw-sheet'!$A$2:$ZZ$1000, ROW(R204), MATCH(R$1, 'raw-sheet'!$A$1:$ZZ$1, 0))</f>
        <v>INNISFREE Taiwan</v>
      </c>
      <c r="S205" s="28" t="str">
        <f t="array" ref="S205">INDEX('raw-sheet'!$A$2:$ZZ$1000, ROW(S204), MATCH(S$1, 'raw-sheet'!$A$1:$ZZ$1, 0))</f>
        <v>http://innisfree-taiwan.myshopify.com/cdn/shop/files/logo.png?v=1767594135</v>
      </c>
      <c r="T205" s="28" t="str">
        <f t="array" ref="T205">INDEX('raw-sheet'!$A$2:$ZZ$1000, ROW(T204), MATCH(T$1, 'raw-sheet'!$A$1:$ZZ$1, 0))</f>
        <v>https://innisfree-taiwan.myshopify.com/cdn/shop/files/logo.png?v=1767594135</v>
      </c>
      <c r="U205" s="28" t="str">
        <f t="array" ref="U205">INDEX('raw-sheet'!$A$2:$ZZ$1000, ROW(U204), MATCH(U$1, 'raw-sheet'!$A$1:$ZZ$1, 0))</f>
        <v>https://innisfree-taiwan.myshopify.com/pages/about-ingredients-pomegranate</v>
      </c>
      <c r="V205" s="28" t="str">
        <f t="array" ref="V205">INDEX('raw-sheet'!$A$2:$ZZ$1000, ROW(V204), MATCH(V$1, 'raw-sheet'!$A$1:$ZZ$1, 0))</f>
        <v>About Ingredients Pomegranate | INNISFREE Taiwan</v>
      </c>
      <c r="W205" s="28" t="str">
        <f t="array" ref="W205">INDEX('raw-sheet'!$A$2:$ZZ$1000, ROW(W204),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5" s="28" t="str">
        <f t="array" ref="X205">INDEX('raw-sheet'!$A$2:$ZZ$1000, ROW(X204), MATCH(X$1, 'raw-sheet'!$A$1:$ZZ$1, 0))</f>
        <v>summary_large_image</v>
      </c>
      <c r="Y205" s="30" t="s">
        <v>56</v>
      </c>
      <c r="Z205" s="28" t="str">
        <f>VLOOKUP($A205,'raw-schema'!$A:$R,14,0)</f>
        <v>Organization</v>
      </c>
      <c r="AA205" s="28">
        <f>VLOOKUP($A205,'raw-schema'!$A:$R,15,0)</f>
        <v>0</v>
      </c>
      <c r="AB205" s="28">
        <f>VLOOKUP($A205,'raw-schema'!$A:$R,16,0)</f>
        <v>0</v>
      </c>
      <c r="AC205" s="28">
        <f>VLOOKUP($A205,'raw-schema'!$A:$R,17,0)</f>
        <v>0</v>
      </c>
      <c r="AD205" s="28">
        <f>VLOOKUP($A205,'raw-schema'!$A:$R,18,0)</f>
        <v>0</v>
      </c>
      <c r="AE205" s="30" t="s">
        <v>57</v>
      </c>
    </row>
    <row r="206" spans="1:31" x14ac:dyDescent="0.3">
      <c r="A206" s="28" t="str">
        <f t="array" ref="A206">INDEX('raw-sheet'!$A$2:$ZZ$1000, ROW(A205), MATCH(A$1, 'raw-sheet'!$A$1:$ZZ$1, 0))</f>
        <v>https://innisfree-taiwan.myshopify.com/pages/about-ingredients-soybean</v>
      </c>
      <c r="B206" s="30" t="s">
        <v>11</v>
      </c>
      <c r="C206" s="28" t="str">
        <f t="array" ref="C206">INDEX('raw-sheet'!$A$2:$ZZ$1000, ROW(C205), MATCH(C$1, 'raw-sheet'!$A$1:$ZZ$1, 0))</f>
        <v>Page (No PLP / PDP)</v>
      </c>
      <c r="D206" s="28">
        <f t="array" ref="D206">INDEX('raw-sheet'!$A$2:$ZZ$1000, ROW(D205), MATCH(D$1, 'raw-sheet'!$A$1:$ZZ$1, 0))</f>
        <v>200</v>
      </c>
      <c r="E206" s="30" t="str">
        <f t="shared" si="6"/>
        <v>Pass</v>
      </c>
      <c r="F206" s="28" t="str">
        <f t="array" ref="F206">INDEX('raw-sheet'!$A$2:$ZZ$1000, ROW(F205), MATCH(F$1, 'raw-sheet'!$A$1:$ZZ$1, 0))</f>
        <v>About Ingredients Soybean_x000D_ | INNISFREE Taiwan</v>
      </c>
      <c r="G206" s="30" t="s">
        <v>11</v>
      </c>
      <c r="H206" s="28">
        <f t="array" ref="H206">INDEX('raw-sheet'!$A$2:$ZZ$1000, ROW(H205), MATCH(H$1, 'raw-sheet'!$A$1:$ZZ$1, 0))</f>
        <v>0</v>
      </c>
      <c r="I206" s="30" t="s">
        <v>61</v>
      </c>
      <c r="J206" s="28">
        <f t="array" ref="J206">INDEX('raw-sheet'!$A$2:$ZZ$1000, ROW(J205), MATCH(J$1, 'raw-sheet'!$A$1:$ZZ$1, 0))</f>
        <v>0</v>
      </c>
      <c r="K206" s="28" t="str">
        <f t="array" ref="K206">INDEX('raw-sheet'!$A$2:$ZZ$1000, ROW(K205), MATCH(K$1, 'raw-sheet'!$A$1:$ZZ$1, 0))</f>
        <v>0</v>
      </c>
      <c r="L206" s="30" t="s">
        <v>61</v>
      </c>
      <c r="M206" s="28" t="str">
        <f t="array" ref="M206">INDEX('raw-sheet'!$A$2:$ZZ$1000, ROW(M205), MATCH(M$1, 'raw-sheet'!$A$1:$ZZ$1, 0))</f>
        <v>https://innisfree-taiwan.myshopify.com/pages/about-ingredients-soybean</v>
      </c>
      <c r="N206" s="30" t="str">
        <f t="shared" si="7"/>
        <v>Pass</v>
      </c>
      <c r="O206" s="28" t="str">
        <f t="array" ref="O206">INDEX('raw-sheet'!$A$2:$ZZ$1000, ROW(O205), MATCH(O$1, 'raw-sheet'!$A$1:$ZZ$1, 0))</f>
        <v>About Ingredients Soybean | INNISFREE Taiwan</v>
      </c>
      <c r="P206" s="28" t="str">
        <f t="array" ref="P206">INDEX('raw-sheet'!$A$2:$ZZ$1000, ROW(P205),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6" s="28" t="str">
        <f t="array" ref="Q206">INDEX('raw-sheet'!$A$2:$ZZ$1000, ROW(Q205), MATCH(Q$1, 'raw-sheet'!$A$1:$ZZ$1, 0))</f>
        <v>website</v>
      </c>
      <c r="R206" s="28" t="str">
        <f t="array" ref="R206">INDEX('raw-sheet'!$A$2:$ZZ$1000, ROW(R205), MATCH(R$1, 'raw-sheet'!$A$1:$ZZ$1, 0))</f>
        <v>INNISFREE Taiwan</v>
      </c>
      <c r="S206" s="28" t="str">
        <f t="array" ref="S206">INDEX('raw-sheet'!$A$2:$ZZ$1000, ROW(S205), MATCH(S$1, 'raw-sheet'!$A$1:$ZZ$1, 0))</f>
        <v>http://innisfree-taiwan.myshopify.com/cdn/shop/files/logo.png?v=1767594135</v>
      </c>
      <c r="T206" s="28" t="str">
        <f t="array" ref="T206">INDEX('raw-sheet'!$A$2:$ZZ$1000, ROW(T205), MATCH(T$1, 'raw-sheet'!$A$1:$ZZ$1, 0))</f>
        <v>https://innisfree-taiwan.myshopify.com/cdn/shop/files/logo.png?v=1767594135</v>
      </c>
      <c r="U206" s="28" t="str">
        <f t="array" ref="U206">INDEX('raw-sheet'!$A$2:$ZZ$1000, ROW(U205), MATCH(U$1, 'raw-sheet'!$A$1:$ZZ$1, 0))</f>
        <v>https://innisfree-taiwan.myshopify.com/pages/about-ingredients-soybean</v>
      </c>
      <c r="V206" s="28" t="str">
        <f t="array" ref="V206">INDEX('raw-sheet'!$A$2:$ZZ$1000, ROW(V205), MATCH(V$1, 'raw-sheet'!$A$1:$ZZ$1, 0))</f>
        <v>About Ingredients Soybean | INNISFREE Taiwan</v>
      </c>
      <c r="W206" s="28" t="str">
        <f t="array" ref="W206">INDEX('raw-sheet'!$A$2:$ZZ$1000, ROW(W205),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6" s="28" t="str">
        <f t="array" ref="X206">INDEX('raw-sheet'!$A$2:$ZZ$1000, ROW(X205), MATCH(X$1, 'raw-sheet'!$A$1:$ZZ$1, 0))</f>
        <v>summary_large_image</v>
      </c>
      <c r="Y206" s="30" t="s">
        <v>56</v>
      </c>
      <c r="Z206" s="28" t="str">
        <f>VLOOKUP($A206,'raw-schema'!$A:$R,14,0)</f>
        <v>Organization</v>
      </c>
      <c r="AA206" s="28">
        <f>VLOOKUP($A206,'raw-schema'!$A:$R,15,0)</f>
        <v>0</v>
      </c>
      <c r="AB206" s="28">
        <f>VLOOKUP($A206,'raw-schema'!$A:$R,16,0)</f>
        <v>0</v>
      </c>
      <c r="AC206" s="28">
        <f>VLOOKUP($A206,'raw-schema'!$A:$R,17,0)</f>
        <v>0</v>
      </c>
      <c r="AD206" s="28">
        <f>VLOOKUP($A206,'raw-schema'!$A:$R,18,0)</f>
        <v>0</v>
      </c>
      <c r="AE206" s="30" t="s">
        <v>57</v>
      </c>
    </row>
    <row r="207" spans="1:31" x14ac:dyDescent="0.3">
      <c r="A207" s="28" t="str">
        <f t="array" ref="A207">INDEX('raw-sheet'!$A$2:$ZZ$1000, ROW(A206), MATCH(A$1, 'raw-sheet'!$A$1:$ZZ$1, 0))</f>
        <v>https://innisfree-taiwan.myshopify.com/pages/about-ingredients-tangerine</v>
      </c>
      <c r="B207" s="30" t="s">
        <v>11</v>
      </c>
      <c r="C207" s="28" t="str">
        <f t="array" ref="C207">INDEX('raw-sheet'!$A$2:$ZZ$1000, ROW(C206), MATCH(C$1, 'raw-sheet'!$A$1:$ZZ$1, 0))</f>
        <v>Page (No PLP / PDP)</v>
      </c>
      <c r="D207" s="28">
        <f t="array" ref="D207">INDEX('raw-sheet'!$A$2:$ZZ$1000, ROW(D206), MATCH(D$1, 'raw-sheet'!$A$1:$ZZ$1, 0))</f>
        <v>200</v>
      </c>
      <c r="E207" s="30" t="str">
        <f t="shared" si="6"/>
        <v>Pass</v>
      </c>
      <c r="F207" s="28" t="str">
        <f t="array" ref="F207">INDEX('raw-sheet'!$A$2:$ZZ$1000, ROW(F206), MATCH(F$1, 'raw-sheet'!$A$1:$ZZ$1, 0))</f>
        <v>About Ingredients Tangerine_x000D_ | INNISFREE Taiwan</v>
      </c>
      <c r="G207" s="30" t="s">
        <v>11</v>
      </c>
      <c r="H207" s="28">
        <f t="array" ref="H207">INDEX('raw-sheet'!$A$2:$ZZ$1000, ROW(H206), MATCH(H$1, 'raw-sheet'!$A$1:$ZZ$1, 0))</f>
        <v>0</v>
      </c>
      <c r="I207" s="30" t="s">
        <v>61</v>
      </c>
      <c r="J207" s="28">
        <f t="array" ref="J207">INDEX('raw-sheet'!$A$2:$ZZ$1000, ROW(J206), MATCH(J$1, 'raw-sheet'!$A$1:$ZZ$1, 0))</f>
        <v>0</v>
      </c>
      <c r="K207" s="28" t="str">
        <f t="array" ref="K207">INDEX('raw-sheet'!$A$2:$ZZ$1000, ROW(K206), MATCH(K$1, 'raw-sheet'!$A$1:$ZZ$1, 0))</f>
        <v>0</v>
      </c>
      <c r="L207" s="30" t="s">
        <v>61</v>
      </c>
      <c r="M207" s="28" t="str">
        <f t="array" ref="M207">INDEX('raw-sheet'!$A$2:$ZZ$1000, ROW(M206), MATCH(M$1, 'raw-sheet'!$A$1:$ZZ$1, 0))</f>
        <v>https://innisfree-taiwan.myshopify.com/pages/about-ingredients-tangerine</v>
      </c>
      <c r="N207" s="30" t="str">
        <f t="shared" si="7"/>
        <v>Pass</v>
      </c>
      <c r="O207" s="28" t="str">
        <f t="array" ref="O207">INDEX('raw-sheet'!$A$2:$ZZ$1000, ROW(O206), MATCH(O$1, 'raw-sheet'!$A$1:$ZZ$1, 0))</f>
        <v>About Ingredients Tangerine | INNISFREE Taiwan</v>
      </c>
      <c r="P207" s="28" t="str">
        <f t="array" ref="P207">INDEX('raw-sheet'!$A$2:$ZZ$1000, ROW(P206),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7" s="28" t="str">
        <f t="array" ref="Q207">INDEX('raw-sheet'!$A$2:$ZZ$1000, ROW(Q206), MATCH(Q$1, 'raw-sheet'!$A$1:$ZZ$1, 0))</f>
        <v>website</v>
      </c>
      <c r="R207" s="28" t="str">
        <f t="array" ref="R207">INDEX('raw-sheet'!$A$2:$ZZ$1000, ROW(R206), MATCH(R$1, 'raw-sheet'!$A$1:$ZZ$1, 0))</f>
        <v>INNISFREE Taiwan</v>
      </c>
      <c r="S207" s="28" t="str">
        <f t="array" ref="S207">INDEX('raw-sheet'!$A$2:$ZZ$1000, ROW(S206), MATCH(S$1, 'raw-sheet'!$A$1:$ZZ$1, 0))</f>
        <v>http://innisfree-taiwan.myshopify.com/cdn/shop/files/logo.png?v=1767594135</v>
      </c>
      <c r="T207" s="28" t="str">
        <f t="array" ref="T207">INDEX('raw-sheet'!$A$2:$ZZ$1000, ROW(T206), MATCH(T$1, 'raw-sheet'!$A$1:$ZZ$1, 0))</f>
        <v>https://innisfree-taiwan.myshopify.com/cdn/shop/files/logo.png?v=1767594135</v>
      </c>
      <c r="U207" s="28" t="str">
        <f t="array" ref="U207">INDEX('raw-sheet'!$A$2:$ZZ$1000, ROW(U206), MATCH(U$1, 'raw-sheet'!$A$1:$ZZ$1, 0))</f>
        <v>https://innisfree-taiwan.myshopify.com/pages/about-ingredients-tangerine</v>
      </c>
      <c r="V207" s="28" t="str">
        <f t="array" ref="V207">INDEX('raw-sheet'!$A$2:$ZZ$1000, ROW(V206), MATCH(V$1, 'raw-sheet'!$A$1:$ZZ$1, 0))</f>
        <v>About Ingredients Tangerine | INNISFREE Taiwan</v>
      </c>
      <c r="W207" s="28" t="str">
        <f t="array" ref="W207">INDEX('raw-sheet'!$A$2:$ZZ$1000, ROW(W206),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7" s="28" t="str">
        <f t="array" ref="X207">INDEX('raw-sheet'!$A$2:$ZZ$1000, ROW(X206), MATCH(X$1, 'raw-sheet'!$A$1:$ZZ$1, 0))</f>
        <v>summary_large_image</v>
      </c>
      <c r="Y207" s="30" t="s">
        <v>56</v>
      </c>
      <c r="Z207" s="28" t="str">
        <f>VLOOKUP($A207,'raw-schema'!$A:$R,14,0)</f>
        <v>Organization</v>
      </c>
      <c r="AA207" s="28">
        <f>VLOOKUP($A207,'raw-schema'!$A:$R,15,0)</f>
        <v>0</v>
      </c>
      <c r="AB207" s="28">
        <f>VLOOKUP($A207,'raw-schema'!$A:$R,16,0)</f>
        <v>0</v>
      </c>
      <c r="AC207" s="28">
        <f>VLOOKUP($A207,'raw-schema'!$A:$R,17,0)</f>
        <v>0</v>
      </c>
      <c r="AD207" s="28">
        <f>VLOOKUP($A207,'raw-schema'!$A:$R,18,0)</f>
        <v>0</v>
      </c>
      <c r="AE207" s="30" t="s">
        <v>57</v>
      </c>
    </row>
    <row r="208" spans="1:31" x14ac:dyDescent="0.3">
      <c r="A208" s="28" t="str">
        <f t="array" ref="A208">INDEX('raw-sheet'!$A$2:$ZZ$1000, ROW(A207), MATCH(A$1, 'raw-sheet'!$A$1:$ZZ$1, 0))</f>
        <v>https://innisfree-taiwan.myshopify.com/pages/about-ingredients-volcanic</v>
      </c>
      <c r="B208" s="30" t="s">
        <v>11</v>
      </c>
      <c r="C208" s="28" t="str">
        <f t="array" ref="C208">INDEX('raw-sheet'!$A$2:$ZZ$1000, ROW(C207), MATCH(C$1, 'raw-sheet'!$A$1:$ZZ$1, 0))</f>
        <v>Page (No PLP / PDP)</v>
      </c>
      <c r="D208" s="28">
        <f t="array" ref="D208">INDEX('raw-sheet'!$A$2:$ZZ$1000, ROW(D207), MATCH(D$1, 'raw-sheet'!$A$1:$ZZ$1, 0))</f>
        <v>200</v>
      </c>
      <c r="E208" s="30" t="str">
        <f t="shared" si="6"/>
        <v>Pass</v>
      </c>
      <c r="F208" s="28" t="str">
        <f t="array" ref="F208">INDEX('raw-sheet'!$A$2:$ZZ$1000, ROW(F207), MATCH(F$1, 'raw-sheet'!$A$1:$ZZ$1, 0))</f>
        <v>About Ingredients Volcanic_x000D_ | INNISFREE Taiwan</v>
      </c>
      <c r="G208" s="30" t="s">
        <v>11</v>
      </c>
      <c r="H208" s="28">
        <f t="array" ref="H208">INDEX('raw-sheet'!$A$2:$ZZ$1000, ROW(H207), MATCH(H$1, 'raw-sheet'!$A$1:$ZZ$1, 0))</f>
        <v>0</v>
      </c>
      <c r="I208" s="30" t="s">
        <v>61</v>
      </c>
      <c r="J208" s="28">
        <f t="array" ref="J208">INDEX('raw-sheet'!$A$2:$ZZ$1000, ROW(J207), MATCH(J$1, 'raw-sheet'!$A$1:$ZZ$1, 0))</f>
        <v>0</v>
      </c>
      <c r="K208" s="28" t="str">
        <f t="array" ref="K208">INDEX('raw-sheet'!$A$2:$ZZ$1000, ROW(K207), MATCH(K$1, 'raw-sheet'!$A$1:$ZZ$1, 0))</f>
        <v>0</v>
      </c>
      <c r="L208" s="30" t="s">
        <v>61</v>
      </c>
      <c r="M208" s="28" t="str">
        <f t="array" ref="M208">INDEX('raw-sheet'!$A$2:$ZZ$1000, ROW(M207), MATCH(M$1, 'raw-sheet'!$A$1:$ZZ$1, 0))</f>
        <v>https://innisfree-taiwan.myshopify.com/pages/about-ingredients-volcanic</v>
      </c>
      <c r="N208" s="30" t="str">
        <f t="shared" si="7"/>
        <v>Pass</v>
      </c>
      <c r="O208" s="28" t="str">
        <f t="array" ref="O208">INDEX('raw-sheet'!$A$2:$ZZ$1000, ROW(O207), MATCH(O$1, 'raw-sheet'!$A$1:$ZZ$1, 0))</f>
        <v>About Ingredients Volcanic | INNISFREE Taiwan</v>
      </c>
      <c r="P208" s="28" t="str">
        <f t="array" ref="P208">INDEX('raw-sheet'!$A$2:$ZZ$1000, ROW(P207),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8" s="28" t="str">
        <f t="array" ref="Q208">INDEX('raw-sheet'!$A$2:$ZZ$1000, ROW(Q207), MATCH(Q$1, 'raw-sheet'!$A$1:$ZZ$1, 0))</f>
        <v>website</v>
      </c>
      <c r="R208" s="28" t="str">
        <f t="array" ref="R208">INDEX('raw-sheet'!$A$2:$ZZ$1000, ROW(R207), MATCH(R$1, 'raw-sheet'!$A$1:$ZZ$1, 0))</f>
        <v>INNISFREE Taiwan</v>
      </c>
      <c r="S208" s="28" t="str">
        <f t="array" ref="S208">INDEX('raw-sheet'!$A$2:$ZZ$1000, ROW(S207), MATCH(S$1, 'raw-sheet'!$A$1:$ZZ$1, 0))</f>
        <v>http://innisfree-taiwan.myshopify.com/cdn/shop/files/logo.png?v=1767594135</v>
      </c>
      <c r="T208" s="28" t="str">
        <f t="array" ref="T208">INDEX('raw-sheet'!$A$2:$ZZ$1000, ROW(T207), MATCH(T$1, 'raw-sheet'!$A$1:$ZZ$1, 0))</f>
        <v>https://innisfree-taiwan.myshopify.com/cdn/shop/files/logo.png?v=1767594135</v>
      </c>
      <c r="U208" s="28" t="str">
        <f t="array" ref="U208">INDEX('raw-sheet'!$A$2:$ZZ$1000, ROW(U207), MATCH(U$1, 'raw-sheet'!$A$1:$ZZ$1, 0))</f>
        <v>https://innisfree-taiwan.myshopify.com/pages/about-ingredients-volcanic</v>
      </c>
      <c r="V208" s="28" t="str">
        <f t="array" ref="V208">INDEX('raw-sheet'!$A$2:$ZZ$1000, ROW(V207), MATCH(V$1, 'raw-sheet'!$A$1:$ZZ$1, 0))</f>
        <v>About Ingredients Volcanic | INNISFREE Taiwan</v>
      </c>
      <c r="W208" s="28" t="str">
        <f t="array" ref="W208">INDEX('raw-sheet'!$A$2:$ZZ$1000, ROW(W207),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8" s="28" t="str">
        <f t="array" ref="X208">INDEX('raw-sheet'!$A$2:$ZZ$1000, ROW(X207), MATCH(X$1, 'raw-sheet'!$A$1:$ZZ$1, 0))</f>
        <v>summary_large_image</v>
      </c>
      <c r="Y208" s="30" t="s">
        <v>56</v>
      </c>
      <c r="Z208" s="28" t="str">
        <f>VLOOKUP($A208,'raw-schema'!$A:$R,14,0)</f>
        <v>Organization</v>
      </c>
      <c r="AA208" s="28">
        <f>VLOOKUP($A208,'raw-schema'!$A:$R,15,0)</f>
        <v>0</v>
      </c>
      <c r="AB208" s="28">
        <f>VLOOKUP($A208,'raw-schema'!$A:$R,16,0)</f>
        <v>0</v>
      </c>
      <c r="AC208" s="28">
        <f>VLOOKUP($A208,'raw-schema'!$A:$R,17,0)</f>
        <v>0</v>
      </c>
      <c r="AD208" s="28">
        <f>VLOOKUP($A208,'raw-schema'!$A:$R,18,0)</f>
        <v>0</v>
      </c>
      <c r="AE208" s="30" t="s">
        <v>57</v>
      </c>
    </row>
    <row r="209" spans="1:32" x14ac:dyDescent="0.3">
      <c r="A209" s="28" t="str">
        <f t="array" ref="A209">INDEX('raw-sheet'!$A$2:$ZZ$1000, ROW(A208), MATCH(A$1, 'raw-sheet'!$A$1:$ZZ$1, 0))</f>
        <v>https://innisfree-taiwan.myshopify.com/pages/activate-account-form</v>
      </c>
      <c r="B209" s="30" t="s">
        <v>11</v>
      </c>
      <c r="C209" s="28" t="str">
        <f t="array" ref="C209">INDEX('raw-sheet'!$A$2:$ZZ$1000, ROW(C208), MATCH(C$1, 'raw-sheet'!$A$1:$ZZ$1, 0))</f>
        <v>Page (No PLP / PDP)</v>
      </c>
      <c r="D209" s="28">
        <f t="array" ref="D209">INDEX('raw-sheet'!$A$2:$ZZ$1000, ROW(D208), MATCH(D$1, 'raw-sheet'!$A$1:$ZZ$1, 0))</f>
        <v>200</v>
      </c>
      <c r="E209" s="30" t="str">
        <f t="shared" si="6"/>
        <v>Pass</v>
      </c>
      <c r="F209" s="28" t="str">
        <f t="array" ref="F209">INDEX('raw-sheet'!$A$2:$ZZ$1000, ROW(F208), MATCH(F$1, 'raw-sheet'!$A$1:$ZZ$1, 0))</f>
        <v>activate-account-form_x000D_ | INNISFREE Taiwan</v>
      </c>
      <c r="G209" s="30" t="s">
        <v>11</v>
      </c>
      <c r="H209" s="28">
        <f t="array" ref="H209">INDEX('raw-sheet'!$A$2:$ZZ$1000, ROW(H208), MATCH(H$1, 'raw-sheet'!$A$1:$ZZ$1, 0))</f>
        <v>0</v>
      </c>
      <c r="I209" s="30" t="s">
        <v>61</v>
      </c>
      <c r="J209" s="28">
        <f t="array" ref="J209">INDEX('raw-sheet'!$A$2:$ZZ$1000, ROW(J208), MATCH(J$1, 'raw-sheet'!$A$1:$ZZ$1, 0))</f>
        <v>0</v>
      </c>
      <c r="K209" s="28" t="str">
        <f t="array" ref="K209">INDEX('raw-sheet'!$A$2:$ZZ$1000, ROW(K208), MATCH(K$1, 'raw-sheet'!$A$1:$ZZ$1, 0))</f>
        <v>0</v>
      </c>
      <c r="L209" s="30" t="s">
        <v>61</v>
      </c>
      <c r="M209" s="28" t="str">
        <f t="array" ref="M209">INDEX('raw-sheet'!$A$2:$ZZ$1000, ROW(M208), MATCH(M$1, 'raw-sheet'!$A$1:$ZZ$1, 0))</f>
        <v>https://innisfree-taiwan.myshopify.com/pages/activate-account-form</v>
      </c>
      <c r="N209" s="30" t="str">
        <f t="shared" si="7"/>
        <v>Pass</v>
      </c>
      <c r="O209" s="28" t="str">
        <f t="array" ref="O209">INDEX('raw-sheet'!$A$2:$ZZ$1000, ROW(O208), MATCH(O$1, 'raw-sheet'!$A$1:$ZZ$1, 0))</f>
        <v>activate-account-form | INNISFREE Taiwan</v>
      </c>
      <c r="P209" s="28" t="str">
        <f t="array" ref="P209">INDEX('raw-sheet'!$A$2:$ZZ$1000, ROW(P208),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09" s="28" t="str">
        <f t="array" ref="Q209">INDEX('raw-sheet'!$A$2:$ZZ$1000, ROW(Q208), MATCH(Q$1, 'raw-sheet'!$A$1:$ZZ$1, 0))</f>
        <v>website</v>
      </c>
      <c r="R209" s="28" t="str">
        <f t="array" ref="R209">INDEX('raw-sheet'!$A$2:$ZZ$1000, ROW(R208), MATCH(R$1, 'raw-sheet'!$A$1:$ZZ$1, 0))</f>
        <v>INNISFREE Taiwan</v>
      </c>
      <c r="S209" s="28" t="str">
        <f t="array" ref="S209">INDEX('raw-sheet'!$A$2:$ZZ$1000, ROW(S208), MATCH(S$1, 'raw-sheet'!$A$1:$ZZ$1, 0))</f>
        <v>http://innisfree-taiwan.myshopify.com/cdn/shop/files/logo.png?v=1767594135</v>
      </c>
      <c r="T209" s="28" t="str">
        <f t="array" ref="T209">INDEX('raw-sheet'!$A$2:$ZZ$1000, ROW(T208), MATCH(T$1, 'raw-sheet'!$A$1:$ZZ$1, 0))</f>
        <v>https://innisfree-taiwan.myshopify.com/cdn/shop/files/logo.png?v=1767594135</v>
      </c>
      <c r="U209" s="28" t="str">
        <f t="array" ref="U209">INDEX('raw-sheet'!$A$2:$ZZ$1000, ROW(U208), MATCH(U$1, 'raw-sheet'!$A$1:$ZZ$1, 0))</f>
        <v>https://innisfree-taiwan.myshopify.com/pages/activate-account-form</v>
      </c>
      <c r="V209" s="28" t="str">
        <f t="array" ref="V209">INDEX('raw-sheet'!$A$2:$ZZ$1000, ROW(V208), MATCH(V$1, 'raw-sheet'!$A$1:$ZZ$1, 0))</f>
        <v>activate-account-form | INNISFREE Taiwan</v>
      </c>
      <c r="W209" s="28" t="str">
        <f t="array" ref="W209">INDEX('raw-sheet'!$A$2:$ZZ$1000, ROW(W208),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09" s="28" t="str">
        <f t="array" ref="X209">INDEX('raw-sheet'!$A$2:$ZZ$1000, ROW(X208), MATCH(X$1, 'raw-sheet'!$A$1:$ZZ$1, 0))</f>
        <v>summary_large_image</v>
      </c>
      <c r="Y209" s="30" t="s">
        <v>56</v>
      </c>
      <c r="Z209" s="28" t="str">
        <f>VLOOKUP($A209,'raw-schema'!$A:$R,14,0)</f>
        <v>Organization</v>
      </c>
      <c r="AA209" s="28">
        <f>VLOOKUP($A209,'raw-schema'!$A:$R,15,0)</f>
        <v>0</v>
      </c>
      <c r="AB209" s="28">
        <f>VLOOKUP($A209,'raw-schema'!$A:$R,16,0)</f>
        <v>0</v>
      </c>
      <c r="AC209" s="28">
        <f>VLOOKUP($A209,'raw-schema'!$A:$R,17,0)</f>
        <v>0</v>
      </c>
      <c r="AD209" s="28">
        <f>VLOOKUP($A209,'raw-schema'!$A:$R,18,0)</f>
        <v>0</v>
      </c>
      <c r="AE209" s="30" t="s">
        <v>57</v>
      </c>
    </row>
    <row r="210" spans="1:32" x14ac:dyDescent="0.3">
      <c r="A210" s="28" t="str">
        <f t="array" ref="A210">INDEX('raw-sheet'!$A$2:$ZZ$1000, ROW(A209), MATCH(A$1, 'raw-sheet'!$A$1:$ZZ$1, 0))</f>
        <v>https://innisfree-taiwan.myshopify.com/pages/contact</v>
      </c>
      <c r="B210" s="30" t="s">
        <v>11</v>
      </c>
      <c r="C210" s="28" t="str">
        <f t="array" ref="C210">INDEX('raw-sheet'!$A$2:$ZZ$1000, ROW(C209), MATCH(C$1, 'raw-sheet'!$A$1:$ZZ$1, 0))</f>
        <v>Page (No PLP / PDP)</v>
      </c>
      <c r="D210" s="28">
        <f t="array" ref="D210">INDEX('raw-sheet'!$A$2:$ZZ$1000, ROW(D209), MATCH(D$1, 'raw-sheet'!$A$1:$ZZ$1, 0))</f>
        <v>200</v>
      </c>
      <c r="E210" s="30" t="str">
        <f t="shared" si="6"/>
        <v>Pass</v>
      </c>
      <c r="F210" s="28" t="str">
        <f t="array" ref="F210">INDEX('raw-sheet'!$A$2:$ZZ$1000, ROW(F209), MATCH(F$1, 'raw-sheet'!$A$1:$ZZ$1, 0))</f>
        <v>退貨須知_x000D_ | INNISFREE Taiwan</v>
      </c>
      <c r="G210" s="30" t="s">
        <v>60</v>
      </c>
      <c r="H210" s="28" t="str">
        <f t="array" ref="H210">INDEX('raw-sheet'!$A$2:$ZZ$1000, ROW(H209), MATCH(H$1, 'raw-sheet'!$A$1:$ZZ$1, 0))</f>
        <v>若有任何問題，歡迎聯繫我們，客服電話：0800-600-308，innisfree台灣官方網站諮詢回覆時間：週一至週五 9:00~18:00（國定假日及週末休息）。</v>
      </c>
      <c r="I210" s="30" t="s">
        <v>11</v>
      </c>
      <c r="J210" s="28" t="str">
        <f t="array" ref="J210">INDEX('raw-sheet'!$A$2:$ZZ$1000, ROW(J209), MATCH(J$1, 'raw-sheet'!$A$1:$ZZ$1, 0))</f>
        <v>聯絡客服</v>
      </c>
      <c r="K210" s="28" t="str">
        <f t="array" ref="K210">INDEX('raw-sheet'!$A$2:$ZZ$1000, ROW(K209), MATCH(K$1, 'raw-sheet'!$A$1:$ZZ$1, 0))</f>
        <v>1</v>
      </c>
      <c r="L210" s="30" t="s">
        <v>11</v>
      </c>
      <c r="M210" s="28" t="str">
        <f t="array" ref="M210">INDEX('raw-sheet'!$A$2:$ZZ$1000, ROW(M209), MATCH(M$1, 'raw-sheet'!$A$1:$ZZ$1, 0))</f>
        <v>https://innisfree-taiwan.myshopify.com/pages/contact</v>
      </c>
      <c r="N210" s="30" t="str">
        <f t="shared" si="7"/>
        <v>Pass</v>
      </c>
      <c r="O210" s="28" t="str">
        <f t="array" ref="O210">INDEX('raw-sheet'!$A$2:$ZZ$1000, ROW(O209), MATCH(O$1, 'raw-sheet'!$A$1:$ZZ$1, 0))</f>
        <v>退貨須知 | INNISFREE Taiwan</v>
      </c>
      <c r="P210" s="28" t="str">
        <f t="array" ref="P210">INDEX('raw-sheet'!$A$2:$ZZ$1000, ROW(P209), MATCH(P$1, 'raw-sheet'!$A$1:$ZZ$1, 0))</f>
        <v>若有任何問題，歡迎聯繫我們，客服電話：0800-600-308，innisfree台灣官方網站諮詢回覆時間：週一至週五 9:00~18:00（國定假日及週末休息）。</v>
      </c>
      <c r="Q210" s="28" t="str">
        <f t="array" ref="Q210">INDEX('raw-sheet'!$A$2:$ZZ$1000, ROW(Q209), MATCH(Q$1, 'raw-sheet'!$A$1:$ZZ$1, 0))</f>
        <v>website</v>
      </c>
      <c r="R210" s="28" t="str">
        <f t="array" ref="R210">INDEX('raw-sheet'!$A$2:$ZZ$1000, ROW(R209), MATCH(R$1, 'raw-sheet'!$A$1:$ZZ$1, 0))</f>
        <v>INNISFREE Taiwan</v>
      </c>
      <c r="S210" s="28" t="str">
        <f t="array" ref="S210">INDEX('raw-sheet'!$A$2:$ZZ$1000, ROW(S209), MATCH(S$1, 'raw-sheet'!$A$1:$ZZ$1, 0))</f>
        <v>http://innisfree-taiwan.myshopify.com/cdn/shop/files/logo.png?v=1767594135</v>
      </c>
      <c r="T210" s="28" t="str">
        <f t="array" ref="T210">INDEX('raw-sheet'!$A$2:$ZZ$1000, ROW(T209), MATCH(T$1, 'raw-sheet'!$A$1:$ZZ$1, 0))</f>
        <v>https://innisfree-taiwan.myshopify.com/cdn/shop/files/logo.png?v=1767594135</v>
      </c>
      <c r="U210" s="28" t="str">
        <f t="array" ref="U210">INDEX('raw-sheet'!$A$2:$ZZ$1000, ROW(U209), MATCH(U$1, 'raw-sheet'!$A$1:$ZZ$1, 0))</f>
        <v>https://innisfree-taiwan.myshopify.com/pages/contact</v>
      </c>
      <c r="V210" s="28" t="str">
        <f t="array" ref="V210">INDEX('raw-sheet'!$A$2:$ZZ$1000, ROW(V209), MATCH(V$1, 'raw-sheet'!$A$1:$ZZ$1, 0))</f>
        <v>退貨須知 | INNISFREE Taiwan</v>
      </c>
      <c r="W210" s="28" t="str">
        <f t="array" ref="W210">INDEX('raw-sheet'!$A$2:$ZZ$1000, ROW(W209), MATCH(W$1, 'raw-sheet'!$A$1:$ZZ$1, 0))</f>
        <v>若有任何問題，歡迎聯繫我們，客服電話：0800-600-308，innisfree台灣官方網站諮詢回覆時間：週一至週五 9:00~18:00（國定假日及週末休息）。</v>
      </c>
      <c r="X210" s="28" t="str">
        <f t="array" ref="X210">INDEX('raw-sheet'!$A$2:$ZZ$1000, ROW(X209), MATCH(X$1, 'raw-sheet'!$A$1:$ZZ$1, 0))</f>
        <v>summary_large_image</v>
      </c>
      <c r="Y210" s="30" t="s">
        <v>68</v>
      </c>
      <c r="Z210" s="28" t="str">
        <f>VLOOKUP($A210,'raw-schema'!$A:$R,14,0)</f>
        <v>Organization</v>
      </c>
      <c r="AA210" s="28">
        <f>VLOOKUP($A210,'raw-schema'!$A:$R,15,0)</f>
        <v>0</v>
      </c>
      <c r="AB210" s="28">
        <f>VLOOKUP($A210,'raw-schema'!$A:$R,16,0)</f>
        <v>0</v>
      </c>
      <c r="AC210" s="28">
        <f>VLOOKUP($A210,'raw-schema'!$A:$R,17,0)</f>
        <v>0</v>
      </c>
      <c r="AD210" s="28">
        <f>VLOOKUP($A210,'raw-schema'!$A:$R,18,0)</f>
        <v>0</v>
      </c>
      <c r="AE210" s="30" t="s">
        <v>57</v>
      </c>
    </row>
    <row r="211" spans="1:32" x14ac:dyDescent="0.3">
      <c r="A211" s="28" t="str">
        <f t="array" ref="A211">INDEX('raw-sheet'!$A$2:$ZZ$1000, ROW(A210), MATCH(A$1, 'raw-sheet'!$A$1:$ZZ$1, 0))</f>
        <v>https://innisfree-taiwan.myshopify.com/pages/edit-account</v>
      </c>
      <c r="B211" s="30" t="s">
        <v>11</v>
      </c>
      <c r="C211" s="28" t="str">
        <f t="array" ref="C211">INDEX('raw-sheet'!$A$2:$ZZ$1000, ROW(C210), MATCH(C$1, 'raw-sheet'!$A$1:$ZZ$1, 0))</f>
        <v>Page (No PLP / PDP)</v>
      </c>
      <c r="D211" s="28">
        <f t="array" ref="D211">INDEX('raw-sheet'!$A$2:$ZZ$1000, ROW(D210), MATCH(D$1, 'raw-sheet'!$A$1:$ZZ$1, 0))</f>
        <v>200</v>
      </c>
      <c r="E211" s="30" t="str">
        <f t="shared" si="6"/>
        <v>Pass</v>
      </c>
      <c r="F211" s="28" t="str">
        <f t="array" ref="F211">INDEX('raw-sheet'!$A$2:$ZZ$1000, ROW(F210), MATCH(F$1, 'raw-sheet'!$A$1:$ZZ$1, 0))</f>
        <v>我的會員帳戶_x000D_ | INNISFREE Taiwan</v>
      </c>
      <c r="G211" s="30" t="s">
        <v>60</v>
      </c>
      <c r="H211" s="28" t="str">
        <f t="array" ref="H211">INDEX('raw-sheet'!$A$2:$ZZ$1000, ROW(H210), MATCH(H$1, 'raw-sheet'!$A$1:$ZZ$1, 0))</f>
        <v>確認訂單狀態、修改會員資料、1對1諮詢服務、折扣碼、活動資訊等</v>
      </c>
      <c r="I211" s="30" t="s">
        <v>60</v>
      </c>
      <c r="J211" s="28" t="str">
        <f t="array" ref="J211">INDEX('raw-sheet'!$A$2:$ZZ$1000, ROW(J210), MATCH(J$1, 'raw-sheet'!$A$1:$ZZ$1, 0))</f>
        <v>管理會員資訊</v>
      </c>
      <c r="K211" s="28" t="str">
        <f t="array" ref="K211">INDEX('raw-sheet'!$A$2:$ZZ$1000, ROW(K210), MATCH(K$1, 'raw-sheet'!$A$1:$ZZ$1, 0))</f>
        <v>1</v>
      </c>
      <c r="L211" s="30" t="s">
        <v>11</v>
      </c>
      <c r="M211" s="28" t="str">
        <f t="array" ref="M211">INDEX('raw-sheet'!$A$2:$ZZ$1000, ROW(M210), MATCH(M$1, 'raw-sheet'!$A$1:$ZZ$1, 0))</f>
        <v>https://innisfree-taiwan.myshopify.com/pages/edit-account</v>
      </c>
      <c r="N211" s="30" t="str">
        <f t="shared" si="7"/>
        <v>Pass</v>
      </c>
      <c r="O211" s="28" t="str">
        <f t="array" ref="O211">INDEX('raw-sheet'!$A$2:$ZZ$1000, ROW(O210), MATCH(O$1, 'raw-sheet'!$A$1:$ZZ$1, 0))</f>
        <v>我的會員帳戶 | INNISFREE Taiwan</v>
      </c>
      <c r="P211" s="28" t="str">
        <f t="array" ref="P211">INDEX('raw-sheet'!$A$2:$ZZ$1000, ROW(P210), MATCH(P$1, 'raw-sheet'!$A$1:$ZZ$1, 0))</f>
        <v>確認訂單狀態、修改會員資料、1對1諮詢服務、折扣碼、活動資訊等</v>
      </c>
      <c r="Q211" s="28" t="str">
        <f t="array" ref="Q211">INDEX('raw-sheet'!$A$2:$ZZ$1000, ROW(Q210), MATCH(Q$1, 'raw-sheet'!$A$1:$ZZ$1, 0))</f>
        <v>website</v>
      </c>
      <c r="R211" s="28" t="str">
        <f t="array" ref="R211">INDEX('raw-sheet'!$A$2:$ZZ$1000, ROW(R210), MATCH(R$1, 'raw-sheet'!$A$1:$ZZ$1, 0))</f>
        <v>INNISFREE Taiwan</v>
      </c>
      <c r="S211" s="28" t="str">
        <f t="array" ref="S211">INDEX('raw-sheet'!$A$2:$ZZ$1000, ROW(S210), MATCH(S$1, 'raw-sheet'!$A$1:$ZZ$1, 0))</f>
        <v>http://innisfree-taiwan.myshopify.com/cdn/shop/files/logo.png?v=1767594135</v>
      </c>
      <c r="T211" s="28" t="str">
        <f t="array" ref="T211">INDEX('raw-sheet'!$A$2:$ZZ$1000, ROW(T210), MATCH(T$1, 'raw-sheet'!$A$1:$ZZ$1, 0))</f>
        <v>https://innisfree-taiwan.myshopify.com/cdn/shop/files/logo.png?v=1767594135</v>
      </c>
      <c r="U211" s="28" t="str">
        <f t="array" ref="U211">INDEX('raw-sheet'!$A$2:$ZZ$1000, ROW(U210), MATCH(U$1, 'raw-sheet'!$A$1:$ZZ$1, 0))</f>
        <v>https://innisfree-taiwan.myshopify.com/pages/edit-account</v>
      </c>
      <c r="V211" s="28" t="str">
        <f t="array" ref="V211">INDEX('raw-sheet'!$A$2:$ZZ$1000, ROW(V210), MATCH(V$1, 'raw-sheet'!$A$1:$ZZ$1, 0))</f>
        <v>我的會員帳戶 | INNISFREE Taiwan</v>
      </c>
      <c r="W211" s="28" t="str">
        <f t="array" ref="W211">INDEX('raw-sheet'!$A$2:$ZZ$1000, ROW(W210), MATCH(W$1, 'raw-sheet'!$A$1:$ZZ$1, 0))</f>
        <v>確認訂單狀態、修改會員資料、1對1諮詢服務、折扣碼、活動資訊等</v>
      </c>
      <c r="X211" s="28" t="str">
        <f t="array" ref="X211">INDEX('raw-sheet'!$A$2:$ZZ$1000, ROW(X210), MATCH(X$1, 'raw-sheet'!$A$1:$ZZ$1, 0))</f>
        <v>summary_large_image</v>
      </c>
      <c r="Y211" s="30" t="s">
        <v>62</v>
      </c>
      <c r="Z211" s="28" t="str">
        <f>VLOOKUP($A211,'raw-schema'!$A:$R,14,0)</f>
        <v>Organization</v>
      </c>
      <c r="AA211" s="28">
        <f>VLOOKUP($A211,'raw-schema'!$A:$R,15,0)</f>
        <v>0</v>
      </c>
      <c r="AB211" s="28">
        <f>VLOOKUP($A211,'raw-schema'!$A:$R,16,0)</f>
        <v>0</v>
      </c>
      <c r="AC211" s="28">
        <f>VLOOKUP($A211,'raw-schema'!$A:$R,17,0)</f>
        <v>0</v>
      </c>
      <c r="AD211" s="28">
        <f>VLOOKUP($A211,'raw-schema'!$A:$R,18,0)</f>
        <v>0</v>
      </c>
      <c r="AE211" s="30" t="s">
        <v>57</v>
      </c>
    </row>
    <row r="212" spans="1:32" x14ac:dyDescent="0.3">
      <c r="A212" s="28" t="str">
        <f t="array" ref="A212">INDEX('raw-sheet'!$A$2:$ZZ$1000, ROW(A211), MATCH(A$1, 'raw-sheet'!$A$1:$ZZ$1, 0))</f>
        <v>https://innisfree-taiwan.myshopify.com/pages/employ-whatwd</v>
      </c>
      <c r="B212" s="30" t="s">
        <v>11</v>
      </c>
      <c r="C212" s="28" t="str">
        <f t="array" ref="C212">INDEX('raw-sheet'!$A$2:$ZZ$1000, ROW(C211), MATCH(C$1, 'raw-sheet'!$A$1:$ZZ$1, 0))</f>
        <v>Page (No PLP / PDP)</v>
      </c>
      <c r="D212" s="28">
        <f t="array" ref="D212">INDEX('raw-sheet'!$A$2:$ZZ$1000, ROW(D211), MATCH(D$1, 'raw-sheet'!$A$1:$ZZ$1, 0))</f>
        <v>200</v>
      </c>
      <c r="E212" s="30" t="str">
        <f t="shared" si="6"/>
        <v>Pass</v>
      </c>
      <c r="F212" s="28" t="str">
        <f t="array" ref="F212">INDEX('raw-sheet'!$A$2:$ZZ$1000, ROW(F211), MATCH(F$1, 'raw-sheet'!$A$1:$ZZ$1, 0))</f>
        <v>我們的工作_x000D_ | INNISFREE Taiwan</v>
      </c>
      <c r="G212" s="30" t="s">
        <v>11</v>
      </c>
      <c r="H212" s="28">
        <f t="array" ref="H212">INDEX('raw-sheet'!$A$2:$ZZ$1000, ROW(H211), MATCH(H$1, 'raw-sheet'!$A$1:$ZZ$1, 0))</f>
        <v>0</v>
      </c>
      <c r="I212" s="30" t="s">
        <v>61</v>
      </c>
      <c r="J212" s="28" t="str">
        <f t="array" ref="J212">INDEX('raw-sheet'!$A$2:$ZZ$1000, ROW(J211), MATCH(J$1, 'raw-sheet'!$A$1:$ZZ$1, 0))</f>
        <v>我們的工作</v>
      </c>
      <c r="K212" s="28" t="str">
        <f t="array" ref="K212">INDEX('raw-sheet'!$A$2:$ZZ$1000, ROW(K211), MATCH(K$1, 'raw-sheet'!$A$1:$ZZ$1, 0))</f>
        <v>1</v>
      </c>
      <c r="L212" s="30" t="s">
        <v>11</v>
      </c>
      <c r="M212" s="28" t="str">
        <f t="array" ref="M212">INDEX('raw-sheet'!$A$2:$ZZ$1000, ROW(M211), MATCH(M$1, 'raw-sheet'!$A$1:$ZZ$1, 0))</f>
        <v>https://innisfree-taiwan.myshopify.com/pages/employ-whatwd</v>
      </c>
      <c r="N212" s="30" t="str">
        <f t="shared" si="7"/>
        <v>Pass</v>
      </c>
      <c r="O212" s="28" t="str">
        <f t="array" ref="O212">INDEX('raw-sheet'!$A$2:$ZZ$1000, ROW(O211), MATCH(O$1, 'raw-sheet'!$A$1:$ZZ$1, 0))</f>
        <v>我們的工作 | INNISFREE Taiwan</v>
      </c>
      <c r="P212" s="28" t="str">
        <f t="array" ref="P212">INDEX('raw-sheet'!$A$2:$ZZ$1000, ROW(P211),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12" s="28" t="str">
        <f t="array" ref="Q212">INDEX('raw-sheet'!$A$2:$ZZ$1000, ROW(Q211), MATCH(Q$1, 'raw-sheet'!$A$1:$ZZ$1, 0))</f>
        <v>website</v>
      </c>
      <c r="R212" s="28" t="str">
        <f t="array" ref="R212">INDEX('raw-sheet'!$A$2:$ZZ$1000, ROW(R211), MATCH(R$1, 'raw-sheet'!$A$1:$ZZ$1, 0))</f>
        <v>INNISFREE Taiwan</v>
      </c>
      <c r="S212" s="28" t="str">
        <f t="array" ref="S212">INDEX('raw-sheet'!$A$2:$ZZ$1000, ROW(S211), MATCH(S$1, 'raw-sheet'!$A$1:$ZZ$1, 0))</f>
        <v>http://innisfree-taiwan.myshopify.com/cdn/shop/files/logo.png?v=1767594135</v>
      </c>
      <c r="T212" s="28" t="str">
        <f t="array" ref="T212">INDEX('raw-sheet'!$A$2:$ZZ$1000, ROW(T211), MATCH(T$1, 'raw-sheet'!$A$1:$ZZ$1, 0))</f>
        <v>https://innisfree-taiwan.myshopify.com/cdn/shop/files/logo.png?v=1767594135</v>
      </c>
      <c r="U212" s="28" t="str">
        <f t="array" ref="U212">INDEX('raw-sheet'!$A$2:$ZZ$1000, ROW(U211), MATCH(U$1, 'raw-sheet'!$A$1:$ZZ$1, 0))</f>
        <v>https://innisfree-taiwan.myshopify.com/pages/employ-whatwd</v>
      </c>
      <c r="V212" s="28" t="str">
        <f t="array" ref="V212">INDEX('raw-sheet'!$A$2:$ZZ$1000, ROW(V211), MATCH(V$1, 'raw-sheet'!$A$1:$ZZ$1, 0))</f>
        <v>我們的工作 | INNISFREE Taiwan</v>
      </c>
      <c r="W212" s="28" t="str">
        <f t="array" ref="W212">INDEX('raw-sheet'!$A$2:$ZZ$1000, ROW(W211),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12" s="28" t="str">
        <f t="array" ref="X212">INDEX('raw-sheet'!$A$2:$ZZ$1000, ROW(X211), MATCH(X$1, 'raw-sheet'!$A$1:$ZZ$1, 0))</f>
        <v>summary_large_image</v>
      </c>
      <c r="Y212" s="30" t="s">
        <v>56</v>
      </c>
      <c r="Z212" s="28" t="str">
        <f>VLOOKUP($A212,'raw-schema'!$A:$R,14,0)</f>
        <v>Organization</v>
      </c>
      <c r="AA212" s="28">
        <f>VLOOKUP($A212,'raw-schema'!$A:$R,15,0)</f>
        <v>0</v>
      </c>
      <c r="AB212" s="28">
        <f>VLOOKUP($A212,'raw-schema'!$A:$R,16,0)</f>
        <v>0</v>
      </c>
      <c r="AC212" s="28">
        <f>VLOOKUP($A212,'raw-schema'!$A:$R,17,0)</f>
        <v>0</v>
      </c>
      <c r="AD212" s="28">
        <f>VLOOKUP($A212,'raw-schema'!$A:$R,18,0)</f>
        <v>0</v>
      </c>
      <c r="AE212" s="30" t="s">
        <v>57</v>
      </c>
    </row>
    <row r="213" spans="1:32" x14ac:dyDescent="0.3">
      <c r="A213" s="28" t="str">
        <f t="array" ref="A213">INDEX('raw-sheet'!$A$2:$ZZ$1000, ROW(A212), MATCH(A$1, 'raw-sheet'!$A$1:$ZZ$1, 0))</f>
        <v>https://innisfree-taiwan.myshopify.com/pages/employ-whatwsf</v>
      </c>
      <c r="B213" s="30" t="s">
        <v>11</v>
      </c>
      <c r="C213" s="28" t="str">
        <f t="array" ref="C213">INDEX('raw-sheet'!$A$2:$ZZ$1000, ROW(C212), MATCH(C$1, 'raw-sheet'!$A$1:$ZZ$1, 0))</f>
        <v>Page (No PLP / PDP)</v>
      </c>
      <c r="D213" s="28">
        <f t="array" ref="D213">INDEX('raw-sheet'!$A$2:$ZZ$1000, ROW(D212), MATCH(D$1, 'raw-sheet'!$A$1:$ZZ$1, 0))</f>
        <v>200</v>
      </c>
      <c r="E213" s="30" t="str">
        <f t="shared" si="6"/>
        <v>Pass</v>
      </c>
      <c r="F213" s="28" t="str">
        <f t="array" ref="F213">INDEX('raw-sheet'!$A$2:$ZZ$1000, ROW(F212), MATCH(F$1, 'raw-sheet'!$A$1:$ZZ$1, 0))</f>
        <v>我們的理念_x000D_ | INNISFREE Taiwan</v>
      </c>
      <c r="G213" s="30" t="s">
        <v>11</v>
      </c>
      <c r="H213" s="28">
        <f t="array" ref="H213">INDEX('raw-sheet'!$A$2:$ZZ$1000, ROW(H212), MATCH(H$1, 'raw-sheet'!$A$1:$ZZ$1, 0))</f>
        <v>0</v>
      </c>
      <c r="I213" s="30" t="s">
        <v>61</v>
      </c>
      <c r="J213" s="28" t="str">
        <f t="array" ref="J213">INDEX('raw-sheet'!$A$2:$ZZ$1000, ROW(J212), MATCH(J$1, 'raw-sheet'!$A$1:$ZZ$1, 0))</f>
        <v>我們的理念</v>
      </c>
      <c r="K213" s="28" t="str">
        <f t="array" ref="K213">INDEX('raw-sheet'!$A$2:$ZZ$1000, ROW(K212), MATCH(K$1, 'raw-sheet'!$A$1:$ZZ$1, 0))</f>
        <v>1</v>
      </c>
      <c r="L213" s="30" t="s">
        <v>11</v>
      </c>
      <c r="M213" s="28" t="str">
        <f t="array" ref="M213">INDEX('raw-sheet'!$A$2:$ZZ$1000, ROW(M212), MATCH(M$1, 'raw-sheet'!$A$1:$ZZ$1, 0))</f>
        <v>https://innisfree-taiwan.myshopify.com/pages/employ-whatwsf</v>
      </c>
      <c r="N213" s="30" t="str">
        <f t="shared" si="7"/>
        <v>Pass</v>
      </c>
      <c r="O213" s="28" t="str">
        <f t="array" ref="O213">INDEX('raw-sheet'!$A$2:$ZZ$1000, ROW(O212), MATCH(O$1, 'raw-sheet'!$A$1:$ZZ$1, 0))</f>
        <v>我們的理念 | INNISFREE Taiwan</v>
      </c>
      <c r="P213" s="28" t="str">
        <f t="array" ref="P213">INDEX('raw-sheet'!$A$2:$ZZ$1000, ROW(P212),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13" s="28" t="str">
        <f t="array" ref="Q213">INDEX('raw-sheet'!$A$2:$ZZ$1000, ROW(Q212), MATCH(Q$1, 'raw-sheet'!$A$1:$ZZ$1, 0))</f>
        <v>website</v>
      </c>
      <c r="R213" s="28" t="str">
        <f t="array" ref="R213">INDEX('raw-sheet'!$A$2:$ZZ$1000, ROW(R212), MATCH(R$1, 'raw-sheet'!$A$1:$ZZ$1, 0))</f>
        <v>INNISFREE Taiwan</v>
      </c>
      <c r="S213" s="28" t="str">
        <f t="array" ref="S213">INDEX('raw-sheet'!$A$2:$ZZ$1000, ROW(S212), MATCH(S$1, 'raw-sheet'!$A$1:$ZZ$1, 0))</f>
        <v>http://innisfree-taiwan.myshopify.com/cdn/shop/files/logo.png?v=1767594135</v>
      </c>
      <c r="T213" s="28" t="str">
        <f t="array" ref="T213">INDEX('raw-sheet'!$A$2:$ZZ$1000, ROW(T212), MATCH(T$1, 'raw-sheet'!$A$1:$ZZ$1, 0))</f>
        <v>https://innisfree-taiwan.myshopify.com/cdn/shop/files/logo.png?v=1767594135</v>
      </c>
      <c r="U213" s="28" t="str">
        <f t="array" ref="U213">INDEX('raw-sheet'!$A$2:$ZZ$1000, ROW(U212), MATCH(U$1, 'raw-sheet'!$A$1:$ZZ$1, 0))</f>
        <v>https://innisfree-taiwan.myshopify.com/pages/employ-whatwsf</v>
      </c>
      <c r="V213" s="28" t="str">
        <f t="array" ref="V213">INDEX('raw-sheet'!$A$2:$ZZ$1000, ROW(V212), MATCH(V$1, 'raw-sheet'!$A$1:$ZZ$1, 0))</f>
        <v>我們的理念 | INNISFREE Taiwan</v>
      </c>
      <c r="W213" s="28" t="str">
        <f t="array" ref="W213">INDEX('raw-sheet'!$A$2:$ZZ$1000, ROW(W212),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13" s="28" t="str">
        <f t="array" ref="X213">INDEX('raw-sheet'!$A$2:$ZZ$1000, ROW(X212), MATCH(X$1, 'raw-sheet'!$A$1:$ZZ$1, 0))</f>
        <v>summary_large_image</v>
      </c>
      <c r="Y213" s="30" t="s">
        <v>56</v>
      </c>
      <c r="Z213" s="28" t="str">
        <f>VLOOKUP($A213,'raw-schema'!$A:$R,14,0)</f>
        <v>Organization</v>
      </c>
      <c r="AA213" s="28">
        <f>VLOOKUP($A213,'raw-schema'!$A:$R,15,0)</f>
        <v>0</v>
      </c>
      <c r="AB213" s="28">
        <f>VLOOKUP($A213,'raw-schema'!$A:$R,16,0)</f>
        <v>0</v>
      </c>
      <c r="AC213" s="28">
        <f>VLOOKUP($A213,'raw-schema'!$A:$R,17,0)</f>
        <v>0</v>
      </c>
      <c r="AD213" s="28">
        <f>VLOOKUP($A213,'raw-schema'!$A:$R,18,0)</f>
        <v>0</v>
      </c>
      <c r="AE213" s="30" t="s">
        <v>57</v>
      </c>
    </row>
    <row r="214" spans="1:32" x14ac:dyDescent="0.3">
      <c r="A214" s="28" t="str">
        <f t="array" ref="A214">INDEX('raw-sheet'!$A$2:$ZZ$1000, ROW(A213), MATCH(A$1, 'raw-sheet'!$A$1:$ZZ$1, 0))</f>
        <v>https://innisfree-taiwan.myshopify.com/pages/exchange-return</v>
      </c>
      <c r="B214" s="30" t="s">
        <v>11</v>
      </c>
      <c r="C214" s="28" t="str">
        <f t="array" ref="C214">INDEX('raw-sheet'!$A$2:$ZZ$1000, ROW(C213), MATCH(C$1, 'raw-sheet'!$A$1:$ZZ$1, 0))</f>
        <v>Page (No PLP / PDP)</v>
      </c>
      <c r="D214" s="28">
        <f t="array" ref="D214">INDEX('raw-sheet'!$A$2:$ZZ$1000, ROW(D213), MATCH(D$1, 'raw-sheet'!$A$1:$ZZ$1, 0))</f>
        <v>200</v>
      </c>
      <c r="E214" s="30" t="str">
        <f t="shared" si="6"/>
        <v>Pass</v>
      </c>
      <c r="F214" s="28" t="str">
        <f t="array" ref="F214">INDEX('raw-sheet'!$A$2:$ZZ$1000, ROW(F213), MATCH(F$1, 'raw-sheet'!$A$1:$ZZ$1, 0))</f>
        <v>退貨須知_x000D_ | INNISFREE Taiwan</v>
      </c>
      <c r="G214" s="30" t="s">
        <v>60</v>
      </c>
      <c r="H214" s="28" t="str">
        <f t="array" ref="H214">INDEX('raw-sheet'!$A$2:$ZZ$1000, ROW(H213), MATCH(H$1, 'raw-sheet'!$A$1:$ZZ$1, 0))</f>
        <v>innisfree台灣官方網站線上購物，退貨需於到貨7天內進行申請，且商品為未開封的狀態，並僅接受整筆退貨。</v>
      </c>
      <c r="I214" s="30" t="s">
        <v>11</v>
      </c>
      <c r="J214" s="28" t="str">
        <f t="array" ref="J214">INDEX('raw-sheet'!$A$2:$ZZ$1000, ROW(J213), MATCH(J$1, 'raw-sheet'!$A$1:$ZZ$1, 0))</f>
        <v>退貨須知</v>
      </c>
      <c r="K214" s="28" t="str">
        <f t="array" ref="K214">INDEX('raw-sheet'!$A$2:$ZZ$1000, ROW(K213), MATCH(K$1, 'raw-sheet'!$A$1:$ZZ$1, 0))</f>
        <v>1</v>
      </c>
      <c r="L214" s="30" t="s">
        <v>11</v>
      </c>
      <c r="M214" s="28" t="str">
        <f t="array" ref="M214">INDEX('raw-sheet'!$A$2:$ZZ$1000, ROW(M213), MATCH(M$1, 'raw-sheet'!$A$1:$ZZ$1, 0))</f>
        <v>https://innisfree-taiwan.myshopify.com/pages/exchange-return</v>
      </c>
      <c r="N214" s="30" t="str">
        <f t="shared" si="7"/>
        <v>Pass</v>
      </c>
      <c r="O214" s="28" t="str">
        <f t="array" ref="O214">INDEX('raw-sheet'!$A$2:$ZZ$1000, ROW(O213), MATCH(O$1, 'raw-sheet'!$A$1:$ZZ$1, 0))</f>
        <v>退貨須知 | INNISFREE Taiwan</v>
      </c>
      <c r="P214" s="28" t="str">
        <f t="array" ref="P214">INDEX('raw-sheet'!$A$2:$ZZ$1000, ROW(P213), MATCH(P$1, 'raw-sheet'!$A$1:$ZZ$1, 0))</f>
        <v>innisfree台灣官方網站線上購物，退貨需於到貨7天內進行申請，且商品為未開封的狀態，並僅接受整筆退貨。</v>
      </c>
      <c r="Q214" s="28" t="str">
        <f t="array" ref="Q214">INDEX('raw-sheet'!$A$2:$ZZ$1000, ROW(Q213), MATCH(Q$1, 'raw-sheet'!$A$1:$ZZ$1, 0))</f>
        <v>website</v>
      </c>
      <c r="R214" s="28" t="str">
        <f t="array" ref="R214">INDEX('raw-sheet'!$A$2:$ZZ$1000, ROW(R213), MATCH(R$1, 'raw-sheet'!$A$1:$ZZ$1, 0))</f>
        <v>INNISFREE Taiwan</v>
      </c>
      <c r="S214" s="28" t="str">
        <f t="array" ref="S214">INDEX('raw-sheet'!$A$2:$ZZ$1000, ROW(S213), MATCH(S$1, 'raw-sheet'!$A$1:$ZZ$1, 0))</f>
        <v>http://innisfree-taiwan.myshopify.com/cdn/shop/files/logo.png?v=1767594135</v>
      </c>
      <c r="T214" s="28" t="str">
        <f t="array" ref="T214">INDEX('raw-sheet'!$A$2:$ZZ$1000, ROW(T213), MATCH(T$1, 'raw-sheet'!$A$1:$ZZ$1, 0))</f>
        <v>https://innisfree-taiwan.myshopify.com/cdn/shop/files/logo.png?v=1767594135</v>
      </c>
      <c r="U214" s="28" t="str">
        <f t="array" ref="U214">INDEX('raw-sheet'!$A$2:$ZZ$1000, ROW(U213), MATCH(U$1, 'raw-sheet'!$A$1:$ZZ$1, 0))</f>
        <v>https://innisfree-taiwan.myshopify.com/pages/exchange-return</v>
      </c>
      <c r="V214" s="28" t="str">
        <f t="array" ref="V214">INDEX('raw-sheet'!$A$2:$ZZ$1000, ROW(V213), MATCH(V$1, 'raw-sheet'!$A$1:$ZZ$1, 0))</f>
        <v>退貨須知 | INNISFREE Taiwan</v>
      </c>
      <c r="W214" s="28" t="str">
        <f t="array" ref="W214">INDEX('raw-sheet'!$A$2:$ZZ$1000, ROW(W213), MATCH(W$1, 'raw-sheet'!$A$1:$ZZ$1, 0))</f>
        <v>innisfree台灣官方網站線上購物，退貨需於到貨7天內進行申請，且商品為未開封的狀態，並僅接受整筆退貨。</v>
      </c>
      <c r="X214" s="28" t="str">
        <f t="array" ref="X214">INDEX('raw-sheet'!$A$2:$ZZ$1000, ROW(X213), MATCH(X$1, 'raw-sheet'!$A$1:$ZZ$1, 0))</f>
        <v>summary_large_image</v>
      </c>
      <c r="Y214" s="30" t="s">
        <v>68</v>
      </c>
      <c r="Z214" s="28" t="str">
        <f>VLOOKUP($A214,'raw-schema'!$A:$R,14,0)</f>
        <v>Organization</v>
      </c>
      <c r="AA214" s="28">
        <f>VLOOKUP($A214,'raw-schema'!$A:$R,15,0)</f>
        <v>0</v>
      </c>
      <c r="AB214" s="28">
        <f>VLOOKUP($A214,'raw-schema'!$A:$R,16,0)</f>
        <v>0</v>
      </c>
      <c r="AC214" s="28">
        <f>VLOOKUP($A214,'raw-schema'!$A:$R,17,0)</f>
        <v>0</v>
      </c>
      <c r="AD214" s="28">
        <f>VLOOKUP($A214,'raw-schema'!$A:$R,18,0)</f>
        <v>0</v>
      </c>
      <c r="AE214" s="30" t="s">
        <v>57</v>
      </c>
    </row>
    <row r="215" spans="1:32" x14ac:dyDescent="0.3">
      <c r="A215" s="28" t="str">
        <f t="array" ref="A215">INDEX('raw-sheet'!$A$2:$ZZ$1000, ROW(A214), MATCH(A$1, 'raw-sheet'!$A$1:$ZZ$1, 0))</f>
        <v>https://innisfree-taiwan.myshopify.com/pages/faq</v>
      </c>
      <c r="B215" s="30" t="s">
        <v>11</v>
      </c>
      <c r="C215" s="28" t="str">
        <f t="array" ref="C215">INDEX('raw-sheet'!$A$2:$ZZ$1000, ROW(C214), MATCH(C$1, 'raw-sheet'!$A$1:$ZZ$1, 0))</f>
        <v>Page (No PLP / PDP)</v>
      </c>
      <c r="D215" s="28">
        <f t="array" ref="D215">INDEX('raw-sheet'!$A$2:$ZZ$1000, ROW(D214), MATCH(D$1, 'raw-sheet'!$A$1:$ZZ$1, 0))</f>
        <v>200</v>
      </c>
      <c r="E215" s="30" t="str">
        <f t="shared" si="6"/>
        <v>Pass</v>
      </c>
      <c r="F215" s="28" t="str">
        <f t="array" ref="F215">INDEX('raw-sheet'!$A$2:$ZZ$1000, ROW(F214), MATCH(F$1, 'raw-sheet'!$A$1:$ZZ$1, 0))</f>
        <v>常見問題_x000D_ | INNISFREE Taiwan</v>
      </c>
      <c r="G215" s="30" t="s">
        <v>11</v>
      </c>
      <c r="H215" s="28" t="str">
        <f t="array" ref="H215">INDEX('raw-sheet'!$A$2:$ZZ$1000, ROW(H214), MATCH(H$1, 'raw-sheet'!$A$1:$ZZ$1, 0))</f>
        <v>有哪些付款方式？目前可使用信用卡或Line Pay進行結帳。1.信用卡：僅接受台灣地區發行的VISA, Master, JCB, Union Pay。2.Line Pay於Line Pay的付款頁面確認金額及輸入付款密碼後即可完成付款。</v>
      </c>
      <c r="I215" s="30" t="s">
        <v>11</v>
      </c>
      <c r="J215" s="28" t="str">
        <f t="array" ref="J215">INDEX('raw-sheet'!$A$2:$ZZ$1000, ROW(J214), MATCH(J$1, 'raw-sheet'!$A$1:$ZZ$1, 0))</f>
        <v>常見問題</v>
      </c>
      <c r="K215" s="28" t="str">
        <f t="array" ref="K215">INDEX('raw-sheet'!$A$2:$ZZ$1000, ROW(K214), MATCH(K$1, 'raw-sheet'!$A$1:$ZZ$1, 0))</f>
        <v>1</v>
      </c>
      <c r="L215" s="30" t="s">
        <v>11</v>
      </c>
      <c r="M215" s="28" t="str">
        <f t="array" ref="M215">INDEX('raw-sheet'!$A$2:$ZZ$1000, ROW(M214), MATCH(M$1, 'raw-sheet'!$A$1:$ZZ$1, 0))</f>
        <v>https://innisfree-taiwan.myshopify.com/pages/faq</v>
      </c>
      <c r="N215" s="30" t="str">
        <f t="shared" si="7"/>
        <v>Pass</v>
      </c>
      <c r="O215" s="28" t="str">
        <f t="array" ref="O215">INDEX('raw-sheet'!$A$2:$ZZ$1000, ROW(O214), MATCH(O$1, 'raw-sheet'!$A$1:$ZZ$1, 0))</f>
        <v>常見問題 | INNISFREE Taiwan</v>
      </c>
      <c r="P215" s="28" t="str">
        <f t="array" ref="P215">INDEX('raw-sheet'!$A$2:$ZZ$1000, ROW(P214), MATCH(P$1, 'raw-sheet'!$A$1:$ZZ$1, 0))</f>
        <v>有哪些付款方式？目前可使用信用卡或Line Pay進行結帳。1.信用卡：僅接受台灣地區發行的VISA, Master, JCB, Union Pay。2.Line Pay於Line Pay的付款頁面確認金額及輸入付款密碼後即可完成付款。</v>
      </c>
      <c r="Q215" s="28" t="str">
        <f t="array" ref="Q215">INDEX('raw-sheet'!$A$2:$ZZ$1000, ROW(Q214), MATCH(Q$1, 'raw-sheet'!$A$1:$ZZ$1, 0))</f>
        <v>website</v>
      </c>
      <c r="R215" s="28" t="str">
        <f t="array" ref="R215">INDEX('raw-sheet'!$A$2:$ZZ$1000, ROW(R214), MATCH(R$1, 'raw-sheet'!$A$1:$ZZ$1, 0))</f>
        <v>INNISFREE Taiwan</v>
      </c>
      <c r="S215" s="28" t="str">
        <f t="array" ref="S215">INDEX('raw-sheet'!$A$2:$ZZ$1000, ROW(S214), MATCH(S$1, 'raw-sheet'!$A$1:$ZZ$1, 0))</f>
        <v>http://innisfree-taiwan.myshopify.com/cdn/shop/files/logo.png?v=1767594135</v>
      </c>
      <c r="T215" s="28" t="str">
        <f t="array" ref="T215">INDEX('raw-sheet'!$A$2:$ZZ$1000, ROW(T214), MATCH(T$1, 'raw-sheet'!$A$1:$ZZ$1, 0))</f>
        <v>https://innisfree-taiwan.myshopify.com/cdn/shop/files/logo.png?v=1767594135</v>
      </c>
      <c r="U215" s="28" t="str">
        <f t="array" ref="U215">INDEX('raw-sheet'!$A$2:$ZZ$1000, ROW(U214), MATCH(U$1, 'raw-sheet'!$A$1:$ZZ$1, 0))</f>
        <v>https://innisfree-taiwan.myshopify.com/pages/faq</v>
      </c>
      <c r="V215" s="28" t="str">
        <f t="array" ref="V215">INDEX('raw-sheet'!$A$2:$ZZ$1000, ROW(V214), MATCH(V$1, 'raw-sheet'!$A$1:$ZZ$1, 0))</f>
        <v>常見問題 | INNISFREE Taiwan</v>
      </c>
      <c r="W215" s="28" t="str">
        <f t="array" ref="W215">INDEX('raw-sheet'!$A$2:$ZZ$1000, ROW(W214), MATCH(W$1, 'raw-sheet'!$A$1:$ZZ$1, 0))</f>
        <v>有哪些付款方式？目前可使用信用卡或Line Pay進行結帳。1.信用卡：僅接受台灣地區發行的VISA, Master, JCB, Union Pay。2.Line Pay於Line Pay的付款頁面確認金額及輸入付款密碼後即可完成付款。</v>
      </c>
      <c r="X215" s="28" t="str">
        <f t="array" ref="X215">INDEX('raw-sheet'!$A$2:$ZZ$1000, ROW(X214), MATCH(X$1, 'raw-sheet'!$A$1:$ZZ$1, 0))</f>
        <v>summary_large_image</v>
      </c>
      <c r="Y215" s="30" t="s">
        <v>11</v>
      </c>
      <c r="Z215" s="28" t="str">
        <f>VLOOKUP($A215,'raw-schema'!$A:$R,14,0)</f>
        <v>Organization</v>
      </c>
      <c r="AA215" s="28">
        <f>VLOOKUP($A215,'raw-schema'!$A:$R,15,0)</f>
        <v>0</v>
      </c>
      <c r="AB215" s="28">
        <f>VLOOKUP($A215,'raw-schema'!$A:$R,16,0)</f>
        <v>0</v>
      </c>
      <c r="AC215" s="28">
        <f>VLOOKUP($A215,'raw-schema'!$A:$R,17,0)</f>
        <v>0</v>
      </c>
      <c r="AD215" s="28">
        <f>VLOOKUP($A215,'raw-schema'!$A:$R,18,0)</f>
        <v>0</v>
      </c>
      <c r="AE215" s="30" t="s">
        <v>57</v>
      </c>
    </row>
    <row r="216" spans="1:32" x14ac:dyDescent="0.3">
      <c r="A216" s="28" t="str">
        <f t="array" ref="A216">INDEX('raw-sheet'!$A$2:$ZZ$1000, ROW(A215), MATCH(A$1, 'raw-sheet'!$A$1:$ZZ$1, 0))</f>
        <v>https://innisfree-taiwan.myshopify.com/pages/membership</v>
      </c>
      <c r="B216" s="30" t="s">
        <v>11</v>
      </c>
      <c r="C216" s="28" t="str">
        <f t="array" ref="C216">INDEX('raw-sheet'!$A$2:$ZZ$1000, ROW(C215), MATCH(C$1, 'raw-sheet'!$A$1:$ZZ$1, 0))</f>
        <v>Page (No PLP / PDP)</v>
      </c>
      <c r="D216" s="28">
        <f t="array" ref="D216">INDEX('raw-sheet'!$A$2:$ZZ$1000, ROW(D215), MATCH(D$1, 'raw-sheet'!$A$1:$ZZ$1, 0))</f>
        <v>200</v>
      </c>
      <c r="E216" s="30" t="str">
        <f t="shared" si="6"/>
        <v>Pass</v>
      </c>
      <c r="F216" s="28" t="str">
        <f t="array" ref="F216">INDEX('raw-sheet'!$A$2:$ZZ$1000, ROW(F215), MATCH(F$1, 'raw-sheet'!$A$1:$ZZ$1, 0))</f>
        <v>會員制度_x000D_ | INNISFREE Taiwan</v>
      </c>
      <c r="G216" s="30" t="s">
        <v>11</v>
      </c>
      <c r="H216" s="28" t="str">
        <f t="array" ref="H216">INDEX('raw-sheet'!$A$2:$ZZ$1000, ROW(H215), MATCH(H$1, 'raw-sheet'!$A$1:$ZZ$1, 0))</f>
        <v>免費註冊innisfree會員即可收到臉部保養、身體保養、頭髮保養及彩妝商品的最新資訊，並隨時查看您的專屬優惠、生日優惠和會員點數等重要訊息。</v>
      </c>
      <c r="I216" s="30" t="s">
        <v>11</v>
      </c>
      <c r="J216" s="28" t="str">
        <f t="array" ref="J216">INDEX('raw-sheet'!$A$2:$ZZ$1000, ROW(J215), MATCH(J$1, 'raw-sheet'!$A$1:$ZZ$1, 0))</f>
        <v>加入會員</v>
      </c>
      <c r="K216" s="28" t="str">
        <f t="array" ref="K216">INDEX('raw-sheet'!$A$2:$ZZ$1000, ROW(K215), MATCH(K$1, 'raw-sheet'!$A$1:$ZZ$1, 0))</f>
        <v>1</v>
      </c>
      <c r="L216" s="30" t="s">
        <v>11</v>
      </c>
      <c r="M216" s="28" t="str">
        <f t="array" ref="M216">INDEX('raw-sheet'!$A$2:$ZZ$1000, ROW(M215), MATCH(M$1, 'raw-sheet'!$A$1:$ZZ$1, 0))</f>
        <v>https://innisfree-taiwan.myshopify.com/pages/membership</v>
      </c>
      <c r="N216" s="30" t="str">
        <f t="shared" si="7"/>
        <v>Pass</v>
      </c>
      <c r="O216" s="28" t="str">
        <f t="array" ref="O216">INDEX('raw-sheet'!$A$2:$ZZ$1000, ROW(O215), MATCH(O$1, 'raw-sheet'!$A$1:$ZZ$1, 0))</f>
        <v>會員制度 | INNISFREE Taiwan</v>
      </c>
      <c r="P216" s="28" t="str">
        <f t="array" ref="P216">INDEX('raw-sheet'!$A$2:$ZZ$1000, ROW(P215), MATCH(P$1, 'raw-sheet'!$A$1:$ZZ$1, 0))</f>
        <v>免費註冊innisfree會員即可收到臉部保養、身體保養、頭髮保養及彩妝商品的最新資訊，並隨時查看您的專屬優惠、生日優惠和會員點數等重要訊息。</v>
      </c>
      <c r="Q216" s="28" t="str">
        <f t="array" ref="Q216">INDEX('raw-sheet'!$A$2:$ZZ$1000, ROW(Q215), MATCH(Q$1, 'raw-sheet'!$A$1:$ZZ$1, 0))</f>
        <v>website</v>
      </c>
      <c r="R216" s="28" t="str">
        <f t="array" ref="R216">INDEX('raw-sheet'!$A$2:$ZZ$1000, ROW(R215), MATCH(R$1, 'raw-sheet'!$A$1:$ZZ$1, 0))</f>
        <v>INNISFREE Taiwan</v>
      </c>
      <c r="S216" s="28" t="str">
        <f t="array" ref="S216">INDEX('raw-sheet'!$A$2:$ZZ$1000, ROW(S215), MATCH(S$1, 'raw-sheet'!$A$1:$ZZ$1, 0))</f>
        <v>http://innisfree-taiwan.myshopify.com/cdn/shop/files/logo.png?v=1767594135</v>
      </c>
      <c r="T216" s="28" t="str">
        <f t="array" ref="T216">INDEX('raw-sheet'!$A$2:$ZZ$1000, ROW(T215), MATCH(T$1, 'raw-sheet'!$A$1:$ZZ$1, 0))</f>
        <v>https://innisfree-taiwan.myshopify.com/cdn/shop/files/logo.png?v=1767594135</v>
      </c>
      <c r="U216" s="28" t="str">
        <f t="array" ref="U216">INDEX('raw-sheet'!$A$2:$ZZ$1000, ROW(U215), MATCH(U$1, 'raw-sheet'!$A$1:$ZZ$1, 0))</f>
        <v>https://innisfree-taiwan.myshopify.com/pages/membership</v>
      </c>
      <c r="V216" s="28" t="str">
        <f t="array" ref="V216">INDEX('raw-sheet'!$A$2:$ZZ$1000, ROW(V215), MATCH(V$1, 'raw-sheet'!$A$1:$ZZ$1, 0))</f>
        <v>會員制度 | INNISFREE Taiwan</v>
      </c>
      <c r="W216" s="28" t="str">
        <f t="array" ref="W216">INDEX('raw-sheet'!$A$2:$ZZ$1000, ROW(W215), MATCH(W$1, 'raw-sheet'!$A$1:$ZZ$1, 0))</f>
        <v>免費註冊innisfree會員即可收到臉部保養、身體保養、頭髮保養及彩妝商品的最新資訊，並隨時查看您的專屬優惠、生日優惠和會員點數等重要訊息。</v>
      </c>
      <c r="X216" s="28" t="str">
        <f t="array" ref="X216">INDEX('raw-sheet'!$A$2:$ZZ$1000, ROW(X215), MATCH(X$1, 'raw-sheet'!$A$1:$ZZ$1, 0))</f>
        <v>summary_large_image</v>
      </c>
      <c r="Y216" s="30" t="s">
        <v>11</v>
      </c>
      <c r="Z216" s="28" t="str">
        <f>VLOOKUP($A216,'raw-schema'!$A:$R,14,0)</f>
        <v>Organization</v>
      </c>
      <c r="AA216" s="28">
        <f>VLOOKUP($A216,'raw-schema'!$A:$R,15,0)</f>
        <v>0</v>
      </c>
      <c r="AB216" s="28">
        <f>VLOOKUP($A216,'raw-schema'!$A:$R,16,0)</f>
        <v>0</v>
      </c>
      <c r="AC216" s="28">
        <f>VLOOKUP($A216,'raw-schema'!$A:$R,17,0)</f>
        <v>0</v>
      </c>
      <c r="AD216" s="28">
        <f>VLOOKUP($A216,'raw-schema'!$A:$R,18,0)</f>
        <v>0</v>
      </c>
      <c r="AE216" s="30" t="s">
        <v>57</v>
      </c>
    </row>
    <row r="217" spans="1:32" x14ac:dyDescent="0.3">
      <c r="A217" s="28" t="str">
        <f t="array" ref="A217">INDEX('raw-sheet'!$A$2:$ZZ$1000, ROW(A216), MATCH(A$1, 'raw-sheet'!$A$1:$ZZ$1, 0))</f>
        <v>https://innisfree-taiwan.myshopify.com/pages/membership-benefit</v>
      </c>
      <c r="B217" s="30" t="s">
        <v>11</v>
      </c>
      <c r="C217" s="28" t="str">
        <f t="array" ref="C217">INDEX('raw-sheet'!$A$2:$ZZ$1000, ROW(C216), MATCH(C$1, 'raw-sheet'!$A$1:$ZZ$1, 0))</f>
        <v>Page (No PLP / PDP)</v>
      </c>
      <c r="D217" s="28">
        <f t="array" ref="D217">INDEX('raw-sheet'!$A$2:$ZZ$1000, ROW(D216), MATCH(D$1, 'raw-sheet'!$A$1:$ZZ$1, 0))</f>
        <v>200</v>
      </c>
      <c r="E217" s="30" t="str">
        <f t="shared" si="6"/>
        <v>Pass</v>
      </c>
      <c r="F217" s="28" t="str">
        <f t="array" ref="F217">INDEX('raw-sheet'!$A$2:$ZZ$1000, ROW(F216), MATCH(F$1, 'raw-sheet'!$A$1:$ZZ$1, 0))</f>
        <v>會員權益_x000D_ | INNISFREE Taiwan</v>
      </c>
      <c r="G217" s="30" t="s">
        <v>11</v>
      </c>
      <c r="H217" s="28">
        <f t="array" ref="H217">INDEX('raw-sheet'!$A$2:$ZZ$1000, ROW(H216), MATCH(H$1, 'raw-sheet'!$A$1:$ZZ$1, 0))</f>
        <v>0</v>
      </c>
      <c r="I217" s="30" t="s">
        <v>61</v>
      </c>
      <c r="J217" s="28" t="str">
        <f t="array" ref="J217">INDEX('raw-sheet'!$A$2:$ZZ$1000, ROW(J216), MATCH(J$1, 'raw-sheet'!$A$1:$ZZ$1, 0))</f>
        <v>會員權益</v>
      </c>
      <c r="K217" s="28" t="str">
        <f t="array" ref="K217">INDEX('raw-sheet'!$A$2:$ZZ$1000, ROW(K216), MATCH(K$1, 'raw-sheet'!$A$1:$ZZ$1, 0))</f>
        <v>1</v>
      </c>
      <c r="L217" s="30" t="s">
        <v>11</v>
      </c>
      <c r="M217" s="28" t="str">
        <f t="array" ref="M217">INDEX('raw-sheet'!$A$2:$ZZ$1000, ROW(M216), MATCH(M$1, 'raw-sheet'!$A$1:$ZZ$1, 0))</f>
        <v>https://innisfree-taiwan.myshopify.com/pages/membership-benefit</v>
      </c>
      <c r="N217" s="30" t="str">
        <f t="shared" si="7"/>
        <v>Pass</v>
      </c>
      <c r="O217" s="28" t="str">
        <f t="array" ref="O217">INDEX('raw-sheet'!$A$2:$ZZ$1000, ROW(O216), MATCH(O$1, 'raw-sheet'!$A$1:$ZZ$1, 0))</f>
        <v>會員權益 | INNISFREE Taiwan</v>
      </c>
      <c r="P217" s="28" t="str">
        <f t="array" ref="P217">INDEX('raw-sheet'!$A$2:$ZZ$1000, ROW(P216),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17" s="28" t="str">
        <f t="array" ref="Q217">INDEX('raw-sheet'!$A$2:$ZZ$1000, ROW(Q216), MATCH(Q$1, 'raw-sheet'!$A$1:$ZZ$1, 0))</f>
        <v>website</v>
      </c>
      <c r="R217" s="28" t="str">
        <f t="array" ref="R217">INDEX('raw-sheet'!$A$2:$ZZ$1000, ROW(R216), MATCH(R$1, 'raw-sheet'!$A$1:$ZZ$1, 0))</f>
        <v>INNISFREE Taiwan</v>
      </c>
      <c r="S217" s="28" t="str">
        <f t="array" ref="S217">INDEX('raw-sheet'!$A$2:$ZZ$1000, ROW(S216), MATCH(S$1, 'raw-sheet'!$A$1:$ZZ$1, 0))</f>
        <v>http://innisfree-taiwan.myshopify.com/cdn/shop/files/logo.png?v=1767594135</v>
      </c>
      <c r="T217" s="28" t="str">
        <f t="array" ref="T217">INDEX('raw-sheet'!$A$2:$ZZ$1000, ROW(T216), MATCH(T$1, 'raw-sheet'!$A$1:$ZZ$1, 0))</f>
        <v>https://innisfree-taiwan.myshopify.com/cdn/shop/files/logo.png?v=1767594135</v>
      </c>
      <c r="U217" s="28" t="str">
        <f t="array" ref="U217">INDEX('raw-sheet'!$A$2:$ZZ$1000, ROW(U216), MATCH(U$1, 'raw-sheet'!$A$1:$ZZ$1, 0))</f>
        <v>https://innisfree-taiwan.myshopify.com/pages/membership-benefit</v>
      </c>
      <c r="V217" s="28" t="str">
        <f t="array" ref="V217">INDEX('raw-sheet'!$A$2:$ZZ$1000, ROW(V216), MATCH(V$1, 'raw-sheet'!$A$1:$ZZ$1, 0))</f>
        <v>會員權益 | INNISFREE Taiwan</v>
      </c>
      <c r="W217" s="28" t="str">
        <f t="array" ref="W217">INDEX('raw-sheet'!$A$2:$ZZ$1000, ROW(W216),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17" s="28" t="str">
        <f t="array" ref="X217">INDEX('raw-sheet'!$A$2:$ZZ$1000, ROW(X216), MATCH(X$1, 'raw-sheet'!$A$1:$ZZ$1, 0))</f>
        <v>summary_large_image</v>
      </c>
      <c r="Y217" s="30" t="s">
        <v>56</v>
      </c>
      <c r="Z217" s="28" t="str">
        <f>VLOOKUP($A217,'raw-schema'!$A:$R,14,0)</f>
        <v>Organization</v>
      </c>
      <c r="AA217" s="28">
        <f>VLOOKUP($A217,'raw-schema'!$A:$R,15,0)</f>
        <v>0</v>
      </c>
      <c r="AB217" s="28">
        <f>VLOOKUP($A217,'raw-schema'!$A:$R,16,0)</f>
        <v>0</v>
      </c>
      <c r="AC217" s="28">
        <f>VLOOKUP($A217,'raw-schema'!$A:$R,17,0)</f>
        <v>0</v>
      </c>
      <c r="AD217" s="28">
        <f>VLOOKUP($A217,'raw-schema'!$A:$R,18,0)</f>
        <v>0</v>
      </c>
      <c r="AE217" s="30" t="s">
        <v>57</v>
      </c>
    </row>
    <row r="218" spans="1:32" x14ac:dyDescent="0.3">
      <c r="A218" s="28" t="str">
        <f t="array" ref="A218">INDEX('raw-sheet'!$A$2:$ZZ$1000, ROW(A217), MATCH(A$1, 'raw-sheet'!$A$1:$ZZ$1, 0))</f>
        <v>https://innisfree-taiwan.myshopify.com/pages/order-list</v>
      </c>
      <c r="B218" s="30" t="s">
        <v>11</v>
      </c>
      <c r="C218" s="28" t="str">
        <f t="array" ref="C218">INDEX('raw-sheet'!$A$2:$ZZ$1000, ROW(C217), MATCH(C$1, 'raw-sheet'!$A$1:$ZZ$1, 0))</f>
        <v>Page (No PLP / PDP)</v>
      </c>
      <c r="D218" s="28">
        <f t="array" ref="D218">INDEX('raw-sheet'!$A$2:$ZZ$1000, ROW(D217), MATCH(D$1, 'raw-sheet'!$A$1:$ZZ$1, 0))</f>
        <v>200</v>
      </c>
      <c r="E218" s="30" t="str">
        <f t="shared" si="6"/>
        <v>Pass</v>
      </c>
      <c r="F218" s="28" t="str">
        <f t="array" ref="F218">INDEX('raw-sheet'!$A$2:$ZZ$1000, ROW(F217), MATCH(F$1, 'raw-sheet'!$A$1:$ZZ$1, 0))</f>
        <v>我的會員帳戶_x000D_ | INNISFREE Taiwan</v>
      </c>
      <c r="G218" s="30" t="s">
        <v>60</v>
      </c>
      <c r="H218" s="28" t="str">
        <f t="array" ref="H218">INDEX('raw-sheet'!$A$2:$ZZ$1000, ROW(H217), MATCH(H$1, 'raw-sheet'!$A$1:$ZZ$1, 0))</f>
        <v>確認訂單狀態、修改會員資料、1對1諮詢服務、折扣碼、活動資訊等</v>
      </c>
      <c r="I218" s="30" t="s">
        <v>60</v>
      </c>
      <c r="J218" s="28" t="str">
        <f t="array" ref="J218">INDEX('raw-sheet'!$A$2:$ZZ$1000, ROW(J217), MATCH(J$1, 'raw-sheet'!$A$1:$ZZ$1, 0))</f>
        <v>線上歷史訂單</v>
      </c>
      <c r="K218" s="28" t="str">
        <f t="array" ref="K218">INDEX('raw-sheet'!$A$2:$ZZ$1000, ROW(K217), MATCH(K$1, 'raw-sheet'!$A$1:$ZZ$1, 0))</f>
        <v>1</v>
      </c>
      <c r="L218" s="30" t="s">
        <v>11</v>
      </c>
      <c r="M218" s="28" t="str">
        <f t="array" ref="M218">INDEX('raw-sheet'!$A$2:$ZZ$1000, ROW(M217), MATCH(M$1, 'raw-sheet'!$A$1:$ZZ$1, 0))</f>
        <v>https://innisfree-taiwan.myshopify.com/pages/order-list</v>
      </c>
      <c r="N218" s="30" t="str">
        <f t="shared" si="7"/>
        <v>Pass</v>
      </c>
      <c r="O218" s="28" t="str">
        <f t="array" ref="O218">INDEX('raw-sheet'!$A$2:$ZZ$1000, ROW(O217), MATCH(O$1, 'raw-sheet'!$A$1:$ZZ$1, 0))</f>
        <v>我的會員帳戶 | INNISFREE Taiwan</v>
      </c>
      <c r="P218" s="28" t="str">
        <f t="array" ref="P218">INDEX('raw-sheet'!$A$2:$ZZ$1000, ROW(P217), MATCH(P$1, 'raw-sheet'!$A$1:$ZZ$1, 0))</f>
        <v>確認訂單狀態、修改會員資料、1對1諮詢服務、折扣碼、活動資訊等</v>
      </c>
      <c r="Q218" s="28" t="str">
        <f t="array" ref="Q218">INDEX('raw-sheet'!$A$2:$ZZ$1000, ROW(Q217), MATCH(Q$1, 'raw-sheet'!$A$1:$ZZ$1, 0))</f>
        <v>website</v>
      </c>
      <c r="R218" s="28" t="str">
        <f t="array" ref="R218">INDEX('raw-sheet'!$A$2:$ZZ$1000, ROW(R217), MATCH(R$1, 'raw-sheet'!$A$1:$ZZ$1, 0))</f>
        <v>INNISFREE Taiwan</v>
      </c>
      <c r="S218" s="28" t="str">
        <f t="array" ref="S218">INDEX('raw-sheet'!$A$2:$ZZ$1000, ROW(S217), MATCH(S$1, 'raw-sheet'!$A$1:$ZZ$1, 0))</f>
        <v>http://innisfree-taiwan.myshopify.com/cdn/shop/files/logo.png?v=1767594135</v>
      </c>
      <c r="T218" s="28" t="str">
        <f t="array" ref="T218">INDEX('raw-sheet'!$A$2:$ZZ$1000, ROW(T217), MATCH(T$1, 'raw-sheet'!$A$1:$ZZ$1, 0))</f>
        <v>https://innisfree-taiwan.myshopify.com/cdn/shop/files/logo.png?v=1767594135</v>
      </c>
      <c r="U218" s="28" t="str">
        <f t="array" ref="U218">INDEX('raw-sheet'!$A$2:$ZZ$1000, ROW(U217), MATCH(U$1, 'raw-sheet'!$A$1:$ZZ$1, 0))</f>
        <v>https://innisfree-taiwan.myshopify.com/pages/order-list</v>
      </c>
      <c r="V218" s="28" t="str">
        <f t="array" ref="V218">INDEX('raw-sheet'!$A$2:$ZZ$1000, ROW(V217), MATCH(V$1, 'raw-sheet'!$A$1:$ZZ$1, 0))</f>
        <v>我的會員帳戶 | INNISFREE Taiwan</v>
      </c>
      <c r="W218" s="28" t="str">
        <f t="array" ref="W218">INDEX('raw-sheet'!$A$2:$ZZ$1000, ROW(W217), MATCH(W$1, 'raw-sheet'!$A$1:$ZZ$1, 0))</f>
        <v>確認訂單狀態、修改會員資料、1對1諮詢服務、折扣碼、活動資訊等</v>
      </c>
      <c r="X218" s="28" t="str">
        <f t="array" ref="X218">INDEX('raw-sheet'!$A$2:$ZZ$1000, ROW(X217), MATCH(X$1, 'raw-sheet'!$A$1:$ZZ$1, 0))</f>
        <v>summary_large_image</v>
      </c>
      <c r="Y218" s="30" t="s">
        <v>62</v>
      </c>
      <c r="Z218" s="28" t="str">
        <f>VLOOKUP($A218,'raw-schema'!$A:$R,14,0)</f>
        <v>Organization</v>
      </c>
      <c r="AA218" s="28">
        <f>VLOOKUP($A218,'raw-schema'!$A:$R,15,0)</f>
        <v>0</v>
      </c>
      <c r="AB218" s="28">
        <f>VLOOKUP($A218,'raw-schema'!$A:$R,16,0)</f>
        <v>0</v>
      </c>
      <c r="AC218" s="28">
        <f>VLOOKUP($A218,'raw-schema'!$A:$R,17,0)</f>
        <v>0</v>
      </c>
      <c r="AD218" s="28">
        <f>VLOOKUP($A218,'raw-schema'!$A:$R,18,0)</f>
        <v>0</v>
      </c>
      <c r="AE218" s="30" t="s">
        <v>57</v>
      </c>
    </row>
    <row r="219" spans="1:32" x14ac:dyDescent="0.3">
      <c r="A219" s="28" t="str">
        <f t="array" ref="A219">INDEX('raw-sheet'!$A$2:$ZZ$1000, ROW(A218), MATCH(A$1, 'raw-sheet'!$A$1:$ZZ$1, 0))</f>
        <v>https://innisfree-taiwan.myshopify.com/pages/point-list</v>
      </c>
      <c r="B219" s="30" t="s">
        <v>11</v>
      </c>
      <c r="C219" s="28" t="str">
        <f t="array" ref="C219">INDEX('raw-sheet'!$A$2:$ZZ$1000, ROW(C218), MATCH(C$1, 'raw-sheet'!$A$1:$ZZ$1, 0))</f>
        <v>Page (No PLP / PDP)</v>
      </c>
      <c r="D219" s="28">
        <f t="array" ref="D219">INDEX('raw-sheet'!$A$2:$ZZ$1000, ROW(D218), MATCH(D$1, 'raw-sheet'!$A$1:$ZZ$1, 0))</f>
        <v>200</v>
      </c>
      <c r="E219" s="30" t="str">
        <f t="shared" si="6"/>
        <v>Pass</v>
      </c>
      <c r="F219" s="28" t="str">
        <f t="array" ref="F219">INDEX('raw-sheet'!$A$2:$ZZ$1000, ROW(F218), MATCH(F$1, 'raw-sheet'!$A$1:$ZZ$1, 0))</f>
        <v>我的會員帳戶_x000D_ | INNISFREE Taiwan</v>
      </c>
      <c r="G219" s="30" t="s">
        <v>60</v>
      </c>
      <c r="H219" s="28" t="str">
        <f t="array" ref="H219">INDEX('raw-sheet'!$A$2:$ZZ$1000, ROW(H218), MATCH(H$1, 'raw-sheet'!$A$1:$ZZ$1, 0))</f>
        <v>確認訂單狀態、修改會員資料、1對1諮詢服務、折扣碼、活動資訊等</v>
      </c>
      <c r="I219" s="30" t="s">
        <v>60</v>
      </c>
      <c r="J219" s="28" t="str">
        <f t="array" ref="J219">INDEX('raw-sheet'!$A$2:$ZZ$1000, ROW(J218), MATCH(J$1, 'raw-sheet'!$A$1:$ZZ$1, 0))</f>
        <v>管理點數</v>
      </c>
      <c r="K219" s="28" t="str">
        <f t="array" ref="K219">INDEX('raw-sheet'!$A$2:$ZZ$1000, ROW(K218), MATCH(K$1, 'raw-sheet'!$A$1:$ZZ$1, 0))</f>
        <v>1</v>
      </c>
      <c r="L219" s="30" t="s">
        <v>11</v>
      </c>
      <c r="M219" s="28" t="str">
        <f t="array" ref="M219">INDEX('raw-sheet'!$A$2:$ZZ$1000, ROW(M218), MATCH(M$1, 'raw-sheet'!$A$1:$ZZ$1, 0))</f>
        <v>https://innisfree-taiwan.myshopify.com/pages/point-list</v>
      </c>
      <c r="N219" s="30" t="str">
        <f t="shared" si="7"/>
        <v>Pass</v>
      </c>
      <c r="O219" s="28" t="str">
        <f t="array" ref="O219">INDEX('raw-sheet'!$A$2:$ZZ$1000, ROW(O218), MATCH(O$1, 'raw-sheet'!$A$1:$ZZ$1, 0))</f>
        <v>我的會員帳戶 | INNISFREE Taiwan</v>
      </c>
      <c r="P219" s="28" t="str">
        <f t="array" ref="P219">INDEX('raw-sheet'!$A$2:$ZZ$1000, ROW(P218), MATCH(P$1, 'raw-sheet'!$A$1:$ZZ$1, 0))</f>
        <v>確認訂單狀態、修改會員資料、1對1諮詢服務、折扣碼、活動資訊等</v>
      </c>
      <c r="Q219" s="28" t="str">
        <f t="array" ref="Q219">INDEX('raw-sheet'!$A$2:$ZZ$1000, ROW(Q218), MATCH(Q$1, 'raw-sheet'!$A$1:$ZZ$1, 0))</f>
        <v>website</v>
      </c>
      <c r="R219" s="28" t="str">
        <f t="array" ref="R219">INDEX('raw-sheet'!$A$2:$ZZ$1000, ROW(R218), MATCH(R$1, 'raw-sheet'!$A$1:$ZZ$1, 0))</f>
        <v>INNISFREE Taiwan</v>
      </c>
      <c r="S219" s="28" t="str">
        <f t="array" ref="S219">INDEX('raw-sheet'!$A$2:$ZZ$1000, ROW(S218), MATCH(S$1, 'raw-sheet'!$A$1:$ZZ$1, 0))</f>
        <v>http://innisfree-taiwan.myshopify.com/cdn/shop/files/logo.png?v=1767594135</v>
      </c>
      <c r="T219" s="28" t="str">
        <f t="array" ref="T219">INDEX('raw-sheet'!$A$2:$ZZ$1000, ROW(T218), MATCH(T$1, 'raw-sheet'!$A$1:$ZZ$1, 0))</f>
        <v>https://innisfree-taiwan.myshopify.com/cdn/shop/files/logo.png?v=1767594135</v>
      </c>
      <c r="U219" s="28" t="str">
        <f t="array" ref="U219">INDEX('raw-sheet'!$A$2:$ZZ$1000, ROW(U218), MATCH(U$1, 'raw-sheet'!$A$1:$ZZ$1, 0))</f>
        <v>https://innisfree-taiwan.myshopify.com/pages/point-list</v>
      </c>
      <c r="V219" s="28" t="str">
        <f t="array" ref="V219">INDEX('raw-sheet'!$A$2:$ZZ$1000, ROW(V218), MATCH(V$1, 'raw-sheet'!$A$1:$ZZ$1, 0))</f>
        <v>我的會員帳戶 | INNISFREE Taiwan</v>
      </c>
      <c r="W219" s="28" t="str">
        <f t="array" ref="W219">INDEX('raw-sheet'!$A$2:$ZZ$1000, ROW(W218), MATCH(W$1, 'raw-sheet'!$A$1:$ZZ$1, 0))</f>
        <v>確認訂單狀態、修改會員資料、1對1諮詢服務、折扣碼、活動資訊等</v>
      </c>
      <c r="X219" s="28" t="str">
        <f t="array" ref="X219">INDEX('raw-sheet'!$A$2:$ZZ$1000, ROW(X218), MATCH(X$1, 'raw-sheet'!$A$1:$ZZ$1, 0))</f>
        <v>summary_large_image</v>
      </c>
      <c r="Y219" s="30" t="s">
        <v>62</v>
      </c>
      <c r="Z219" s="28" t="str">
        <f>VLOOKUP($A219,'raw-schema'!$A:$R,14,0)</f>
        <v>Organization</v>
      </c>
      <c r="AA219" s="28">
        <f>VLOOKUP($A219,'raw-schema'!$A:$R,15,0)</f>
        <v>0</v>
      </c>
      <c r="AB219" s="28">
        <f>VLOOKUP($A219,'raw-schema'!$A:$R,16,0)</f>
        <v>0</v>
      </c>
      <c r="AC219" s="28">
        <f>VLOOKUP($A219,'raw-schema'!$A:$R,17,0)</f>
        <v>0</v>
      </c>
      <c r="AD219" s="28">
        <f>VLOOKUP($A219,'raw-schema'!$A:$R,18,0)</f>
        <v>0</v>
      </c>
      <c r="AE219" s="30" t="s">
        <v>57</v>
      </c>
    </row>
    <row r="220" spans="1:32" x14ac:dyDescent="0.3">
      <c r="A220" s="28" t="str">
        <f t="array" ref="A220">INDEX('raw-sheet'!$A$2:$ZZ$1000, ROW(A219), MATCH(A$1, 'raw-sheet'!$A$1:$ZZ$1, 0))</f>
        <v>https://innisfree-taiwan.myshopify.com/pages/shopping-guide</v>
      </c>
      <c r="B220" s="30" t="s">
        <v>11</v>
      </c>
      <c r="C220" s="28" t="str">
        <f t="array" ref="C220">INDEX('raw-sheet'!$A$2:$ZZ$1000, ROW(C219), MATCH(C$1, 'raw-sheet'!$A$1:$ZZ$1, 0))</f>
        <v>Page (No PLP / PDP)</v>
      </c>
      <c r="D220" s="28">
        <f t="array" ref="D220">INDEX('raw-sheet'!$A$2:$ZZ$1000, ROW(D219), MATCH(D$1, 'raw-sheet'!$A$1:$ZZ$1, 0))</f>
        <v>200</v>
      </c>
      <c r="E220" s="30" t="str">
        <f t="shared" si="6"/>
        <v>Pass</v>
      </c>
      <c r="F220" s="28" t="str">
        <f t="array" ref="F220">INDEX('raw-sheet'!$A$2:$ZZ$1000, ROW(F219), MATCH(F$1, 'raw-sheet'!$A$1:$ZZ$1, 0))</f>
        <v>訂單資料_x000D_ | INNISFREE Taiwan</v>
      </c>
      <c r="G220" s="30" t="s">
        <v>11</v>
      </c>
      <c r="H220" s="28" t="str">
        <f t="array" ref="H220">INDEX('raw-sheet'!$A$2:$ZZ$1000, ROW(H219), MATCH(H$1, 'raw-sheet'!$A$1:$ZZ$1, 0))</f>
        <v>可查看您在innisfree台灣官方網站上訂單資訊及配送狀態。</v>
      </c>
      <c r="I220" s="30" t="s">
        <v>11</v>
      </c>
      <c r="J220" s="28" t="str">
        <f t="array" ref="J220">INDEX('raw-sheet'!$A$2:$ZZ$1000, ROW(J219), MATCH(J$1, 'raw-sheet'!$A$1:$ZZ$1, 0))</f>
        <v>訂單資料</v>
      </c>
      <c r="K220" s="28" t="str">
        <f t="array" ref="K220">INDEX('raw-sheet'!$A$2:$ZZ$1000, ROW(K219), MATCH(K$1, 'raw-sheet'!$A$1:$ZZ$1, 0))</f>
        <v>1</v>
      </c>
      <c r="L220" s="30" t="s">
        <v>11</v>
      </c>
      <c r="M220" s="28" t="str">
        <f t="array" ref="M220">INDEX('raw-sheet'!$A$2:$ZZ$1000, ROW(M219), MATCH(M$1, 'raw-sheet'!$A$1:$ZZ$1, 0))</f>
        <v>https://innisfree-taiwan.myshopify.com/pages/shopping-guide</v>
      </c>
      <c r="N220" s="30" t="str">
        <f t="shared" si="7"/>
        <v>Pass</v>
      </c>
      <c r="O220" s="28" t="str">
        <f t="array" ref="O220">INDEX('raw-sheet'!$A$2:$ZZ$1000, ROW(O219), MATCH(O$1, 'raw-sheet'!$A$1:$ZZ$1, 0))</f>
        <v>訂單資料 | INNISFREE Taiwan</v>
      </c>
      <c r="P220" s="28" t="str">
        <f t="array" ref="P220">INDEX('raw-sheet'!$A$2:$ZZ$1000, ROW(P219), MATCH(P$1, 'raw-sheet'!$A$1:$ZZ$1, 0))</f>
        <v>可查看您在innisfree台灣官方網站上訂單資訊及配送狀態。</v>
      </c>
      <c r="Q220" s="28" t="str">
        <f t="array" ref="Q220">INDEX('raw-sheet'!$A$2:$ZZ$1000, ROW(Q219), MATCH(Q$1, 'raw-sheet'!$A$1:$ZZ$1, 0))</f>
        <v>website</v>
      </c>
      <c r="R220" s="28" t="str">
        <f t="array" ref="R220">INDEX('raw-sheet'!$A$2:$ZZ$1000, ROW(R219), MATCH(R$1, 'raw-sheet'!$A$1:$ZZ$1, 0))</f>
        <v>INNISFREE Taiwan</v>
      </c>
      <c r="S220" s="28" t="str">
        <f t="array" ref="S220">INDEX('raw-sheet'!$A$2:$ZZ$1000, ROW(S219), MATCH(S$1, 'raw-sheet'!$A$1:$ZZ$1, 0))</f>
        <v>http://innisfree-taiwan.myshopify.com/cdn/shop/files/logo.png?v=1767594135</v>
      </c>
      <c r="T220" s="28" t="str">
        <f t="array" ref="T220">INDEX('raw-sheet'!$A$2:$ZZ$1000, ROW(T219), MATCH(T$1, 'raw-sheet'!$A$1:$ZZ$1, 0))</f>
        <v>https://innisfree-taiwan.myshopify.com/cdn/shop/files/logo.png?v=1767594135</v>
      </c>
      <c r="U220" s="28" t="str">
        <f t="array" ref="U220">INDEX('raw-sheet'!$A$2:$ZZ$1000, ROW(U219), MATCH(U$1, 'raw-sheet'!$A$1:$ZZ$1, 0))</f>
        <v>https://innisfree-taiwan.myshopify.com/pages/shopping-guide</v>
      </c>
      <c r="V220" s="28" t="str">
        <f t="array" ref="V220">INDEX('raw-sheet'!$A$2:$ZZ$1000, ROW(V219), MATCH(V$1, 'raw-sheet'!$A$1:$ZZ$1, 0))</f>
        <v>訂單資料 | INNISFREE Taiwan</v>
      </c>
      <c r="W220" s="28" t="str">
        <f t="array" ref="W220">INDEX('raw-sheet'!$A$2:$ZZ$1000, ROW(W219), MATCH(W$1, 'raw-sheet'!$A$1:$ZZ$1, 0))</f>
        <v>可查看您在innisfree台灣官方網站上訂單資訊及配送狀態。</v>
      </c>
      <c r="X220" s="28" t="str">
        <f t="array" ref="X220">INDEX('raw-sheet'!$A$2:$ZZ$1000, ROW(X219), MATCH(X$1, 'raw-sheet'!$A$1:$ZZ$1, 0))</f>
        <v>summary_large_image</v>
      </c>
      <c r="Y220" s="30" t="s">
        <v>11</v>
      </c>
      <c r="Z220" s="28" t="str">
        <f>VLOOKUP($A220,'raw-schema'!$A:$R,14,0)</f>
        <v>Organization</v>
      </c>
      <c r="AA220" s="28">
        <f>VLOOKUP($A220,'raw-schema'!$A:$R,15,0)</f>
        <v>0</v>
      </c>
      <c r="AB220" s="28">
        <f>VLOOKUP($A220,'raw-schema'!$A:$R,16,0)</f>
        <v>0</v>
      </c>
      <c r="AC220" s="28">
        <f>VLOOKUP($A220,'raw-schema'!$A:$R,17,0)</f>
        <v>0</v>
      </c>
      <c r="AD220" s="28">
        <f>VLOOKUP($A220,'raw-schema'!$A:$R,18,0)</f>
        <v>0</v>
      </c>
      <c r="AE220" s="30" t="s">
        <v>57</v>
      </c>
    </row>
    <row r="221" spans="1:32" x14ac:dyDescent="0.3">
      <c r="A221" s="28" t="str">
        <f t="array" ref="A221">INDEX('raw-sheet'!$A$2:$ZZ$1000, ROW(A220), MATCH(A$1, 'raw-sheet'!$A$1:$ZZ$1, 0))</f>
        <v>https://innisfree-taiwan.myshopify.com/pages/site-map</v>
      </c>
      <c r="B221" s="30" t="s">
        <v>11</v>
      </c>
      <c r="C221" s="28" t="str">
        <f t="array" ref="C221">INDEX('raw-sheet'!$A$2:$ZZ$1000, ROW(C220), MATCH(C$1, 'raw-sheet'!$A$1:$ZZ$1, 0))</f>
        <v>Page (No PLP / PDP)</v>
      </c>
      <c r="D221" s="28">
        <f t="array" ref="D221">INDEX('raw-sheet'!$A$2:$ZZ$1000, ROW(D220), MATCH(D$1, 'raw-sheet'!$A$1:$ZZ$1, 0))</f>
        <v>200</v>
      </c>
      <c r="E221" s="30" t="str">
        <f t="shared" si="6"/>
        <v>Pass</v>
      </c>
      <c r="F221" s="28" t="str">
        <f t="array" ref="F221">INDEX('raw-sheet'!$A$2:$ZZ$1000, ROW(F220), MATCH(F$1, 'raw-sheet'!$A$1:$ZZ$1, 0))</f>
        <v>網站地圖_x000D_ | INNISFREE Taiwan</v>
      </c>
      <c r="G221" s="30" t="s">
        <v>11</v>
      </c>
      <c r="H221" s="28" t="str">
        <f t="array" ref="H221">INDEX('raw-sheet'!$A$2:$ZZ$1000, ROW(H220), MATCH(H$1, 'raw-sheet'!$A$1:$ZZ$1, 0))</f>
        <v>全站完整導覽innisfree台灣官方網站內的所有頁面資訊。</v>
      </c>
      <c r="I221" s="30" t="s">
        <v>11</v>
      </c>
      <c r="J221" s="28" t="str">
        <f t="array" ref="J221">INDEX('raw-sheet'!$A$2:$ZZ$1000, ROW(J220), MATCH(J$1, 'raw-sheet'!$A$1:$ZZ$1, 0))</f>
        <v>網站地圖</v>
      </c>
      <c r="K221" s="28" t="str">
        <f t="array" ref="K221">INDEX('raw-sheet'!$A$2:$ZZ$1000, ROW(K220), MATCH(K$1, 'raw-sheet'!$A$1:$ZZ$1, 0))</f>
        <v>1</v>
      </c>
      <c r="L221" s="30" t="s">
        <v>11</v>
      </c>
      <c r="M221" s="28" t="str">
        <f t="array" ref="M221">INDEX('raw-sheet'!$A$2:$ZZ$1000, ROW(M220), MATCH(M$1, 'raw-sheet'!$A$1:$ZZ$1, 0))</f>
        <v>https://innisfree-taiwan.myshopify.com/pages/site-map</v>
      </c>
      <c r="N221" s="30" t="str">
        <f t="shared" si="7"/>
        <v>Pass</v>
      </c>
      <c r="O221" s="28" t="str">
        <f t="array" ref="O221">INDEX('raw-sheet'!$A$2:$ZZ$1000, ROW(O220), MATCH(O$1, 'raw-sheet'!$A$1:$ZZ$1, 0))</f>
        <v>網站地圖 | INNISFREE Taiwan</v>
      </c>
      <c r="P221" s="28" t="str">
        <f t="array" ref="P221">INDEX('raw-sheet'!$A$2:$ZZ$1000, ROW(P220), MATCH(P$1, 'raw-sheet'!$A$1:$ZZ$1, 0))</f>
        <v>全站完整導覽innisfree台灣官方網站內的所有頁面資訊。</v>
      </c>
      <c r="Q221" s="28" t="str">
        <f t="array" ref="Q221">INDEX('raw-sheet'!$A$2:$ZZ$1000, ROW(Q220), MATCH(Q$1, 'raw-sheet'!$A$1:$ZZ$1, 0))</f>
        <v>website</v>
      </c>
      <c r="R221" s="28" t="str">
        <f t="array" ref="R221">INDEX('raw-sheet'!$A$2:$ZZ$1000, ROW(R220), MATCH(R$1, 'raw-sheet'!$A$1:$ZZ$1, 0))</f>
        <v>INNISFREE Taiwan</v>
      </c>
      <c r="S221" s="28" t="str">
        <f t="array" ref="S221">INDEX('raw-sheet'!$A$2:$ZZ$1000, ROW(S220), MATCH(S$1, 'raw-sheet'!$A$1:$ZZ$1, 0))</f>
        <v>http://innisfree-taiwan.myshopify.com/cdn/shop/files/logo.png?v=1767594135</v>
      </c>
      <c r="T221" s="28" t="str">
        <f t="array" ref="T221">INDEX('raw-sheet'!$A$2:$ZZ$1000, ROW(T220), MATCH(T$1, 'raw-sheet'!$A$1:$ZZ$1, 0))</f>
        <v>https://innisfree-taiwan.myshopify.com/cdn/shop/files/logo.png?v=1767594135</v>
      </c>
      <c r="U221" s="28" t="str">
        <f t="array" ref="U221">INDEX('raw-sheet'!$A$2:$ZZ$1000, ROW(U220), MATCH(U$1, 'raw-sheet'!$A$1:$ZZ$1, 0))</f>
        <v>https://innisfree-taiwan.myshopify.com/pages/site-map</v>
      </c>
      <c r="V221" s="28" t="str">
        <f t="array" ref="V221">INDEX('raw-sheet'!$A$2:$ZZ$1000, ROW(V220), MATCH(V$1, 'raw-sheet'!$A$1:$ZZ$1, 0))</f>
        <v>網站地圖 | INNISFREE Taiwan</v>
      </c>
      <c r="W221" s="28" t="str">
        <f t="array" ref="W221">INDEX('raw-sheet'!$A$2:$ZZ$1000, ROW(W220), MATCH(W$1, 'raw-sheet'!$A$1:$ZZ$1, 0))</f>
        <v>全站完整導覽innisfree台灣官方網站內的所有頁面資訊。</v>
      </c>
      <c r="X221" s="28" t="str">
        <f t="array" ref="X221">INDEX('raw-sheet'!$A$2:$ZZ$1000, ROW(X220), MATCH(X$1, 'raw-sheet'!$A$1:$ZZ$1, 0))</f>
        <v>summary_large_image</v>
      </c>
      <c r="Y221" s="30" t="s">
        <v>11</v>
      </c>
      <c r="Z221" s="28" t="str">
        <f>VLOOKUP($A221,'raw-schema'!$A:$R,14,0)</f>
        <v>Organization</v>
      </c>
      <c r="AA221" s="28">
        <f>VLOOKUP($A221,'raw-schema'!$A:$R,15,0)</f>
        <v>0</v>
      </c>
      <c r="AB221" s="28">
        <f>VLOOKUP($A221,'raw-schema'!$A:$R,16,0)</f>
        <v>0</v>
      </c>
      <c r="AC221" s="28">
        <f>VLOOKUP($A221,'raw-schema'!$A:$R,17,0)</f>
        <v>0</v>
      </c>
      <c r="AD221" s="28">
        <f>VLOOKUP($A221,'raw-schema'!$A:$R,18,0)</f>
        <v>0</v>
      </c>
      <c r="AE221" s="30" t="s">
        <v>57</v>
      </c>
    </row>
    <row r="222" spans="1:32" x14ac:dyDescent="0.3">
      <c r="A222" s="28" t="str">
        <f t="array" ref="A222">INDEX('raw-sheet'!$A$2:$ZZ$1000, ROW(A221), MATCH(A$1, 'raw-sheet'!$A$1:$ZZ$1, 0))</f>
        <v>https://innisfree-taiwan.myshopify.com/pages/store-locator</v>
      </c>
      <c r="B222" s="30" t="s">
        <v>11</v>
      </c>
      <c r="C222" s="28" t="str">
        <f t="array" ref="C222">INDEX('raw-sheet'!$A$2:$ZZ$1000, ROW(C221), MATCH(C$1, 'raw-sheet'!$A$1:$ZZ$1, 0))</f>
        <v>Page (No PLP / PDP)</v>
      </c>
      <c r="D222" s="28">
        <f t="array" ref="D222">INDEX('raw-sheet'!$A$2:$ZZ$1000, ROW(D221), MATCH(D$1, 'raw-sheet'!$A$1:$ZZ$1, 0))</f>
        <v>200</v>
      </c>
      <c r="E222" s="30" t="str">
        <f t="shared" si="6"/>
        <v>Pass</v>
      </c>
      <c r="F222" s="28" t="str">
        <f t="array" ref="F222">INDEX('raw-sheet'!$A$2:$ZZ$1000, ROW(F221), MATCH(F$1, 'raw-sheet'!$A$1:$ZZ$1, 0))</f>
        <v>門市資訊_x000D_ | INNISFREE Taiwan</v>
      </c>
      <c r="G222" s="30" t="s">
        <v>11</v>
      </c>
      <c r="H222" s="28" t="str">
        <f t="array" ref="H222">INDEX('raw-sheet'!$A$2:$ZZ$1000, ROW(H221), MATCH(H$1, 'raw-sheet'!$A$1:$ZZ$1, 0))</f>
        <v>了解更多 innisfree 全台門市查詢、專櫃地點、營業時間等資訊。</v>
      </c>
      <c r="I222" s="30" t="s">
        <v>11</v>
      </c>
      <c r="J222" s="28" t="str">
        <f t="array" ref="J222">INDEX('raw-sheet'!$A$2:$ZZ$1000, ROW(J221), MATCH(J$1, 'raw-sheet'!$A$1:$ZZ$1, 0))</f>
        <v>門市資訊</v>
      </c>
      <c r="K222" s="28" t="str">
        <f t="array" ref="K222">INDEX('raw-sheet'!$A$2:$ZZ$1000, ROW(K221), MATCH(K$1, 'raw-sheet'!$A$1:$ZZ$1, 0))</f>
        <v>1</v>
      </c>
      <c r="L222" s="30" t="s">
        <v>11</v>
      </c>
      <c r="M222" s="28" t="str">
        <f t="array" ref="M222">INDEX('raw-sheet'!$A$2:$ZZ$1000, ROW(M221), MATCH(M$1, 'raw-sheet'!$A$1:$ZZ$1, 0))</f>
        <v>https://innisfree-taiwan.myshopify.com/pages/store-locator</v>
      </c>
      <c r="N222" s="30" t="str">
        <f t="shared" si="7"/>
        <v>Pass</v>
      </c>
      <c r="O222" s="28" t="str">
        <f t="array" ref="O222">INDEX('raw-sheet'!$A$2:$ZZ$1000, ROW(O221), MATCH(O$1, 'raw-sheet'!$A$1:$ZZ$1, 0))</f>
        <v>門市資訊 | INNISFREE Taiwan</v>
      </c>
      <c r="P222" s="28" t="str">
        <f t="array" ref="P222">INDEX('raw-sheet'!$A$2:$ZZ$1000, ROW(P221), MATCH(P$1, 'raw-sheet'!$A$1:$ZZ$1, 0))</f>
        <v>了解更多 innisfree 全台門市查詢、專櫃地點、營業時間等資訊。</v>
      </c>
      <c r="Q222" s="28" t="str">
        <f t="array" ref="Q222">INDEX('raw-sheet'!$A$2:$ZZ$1000, ROW(Q221), MATCH(Q$1, 'raw-sheet'!$A$1:$ZZ$1, 0))</f>
        <v>website</v>
      </c>
      <c r="R222" s="28" t="str">
        <f t="array" ref="R222">INDEX('raw-sheet'!$A$2:$ZZ$1000, ROW(R221), MATCH(R$1, 'raw-sheet'!$A$1:$ZZ$1, 0))</f>
        <v>INNISFREE Taiwan</v>
      </c>
      <c r="S222" s="28" t="str">
        <f t="array" ref="S222">INDEX('raw-sheet'!$A$2:$ZZ$1000, ROW(S221), MATCH(S$1, 'raw-sheet'!$A$1:$ZZ$1, 0))</f>
        <v>http://innisfree-taiwan.myshopify.com/cdn/shop/files/logo.png?v=1767594135</v>
      </c>
      <c r="T222" s="28" t="str">
        <f t="array" ref="T222">INDEX('raw-sheet'!$A$2:$ZZ$1000, ROW(T221), MATCH(T$1, 'raw-sheet'!$A$1:$ZZ$1, 0))</f>
        <v>https://innisfree-taiwan.myshopify.com/cdn/shop/files/logo.png?v=1767594135</v>
      </c>
      <c r="U222" s="28" t="str">
        <f t="array" ref="U222">INDEX('raw-sheet'!$A$2:$ZZ$1000, ROW(U221), MATCH(U$1, 'raw-sheet'!$A$1:$ZZ$1, 0))</f>
        <v>https://innisfree-taiwan.myshopify.com/pages/store-locator</v>
      </c>
      <c r="V222" s="28" t="str">
        <f t="array" ref="V222">INDEX('raw-sheet'!$A$2:$ZZ$1000, ROW(V221), MATCH(V$1, 'raw-sheet'!$A$1:$ZZ$1, 0))</f>
        <v>門市資訊 | INNISFREE Taiwan</v>
      </c>
      <c r="W222" s="28" t="str">
        <f t="array" ref="W222">INDEX('raw-sheet'!$A$2:$ZZ$1000, ROW(W221), MATCH(W$1, 'raw-sheet'!$A$1:$ZZ$1, 0))</f>
        <v>了解更多 innisfree 全台門市查詢、專櫃地點、營業時間等資訊。</v>
      </c>
      <c r="X222" s="28" t="str">
        <f t="array" ref="X222">INDEX('raw-sheet'!$A$2:$ZZ$1000, ROW(X221), MATCH(X$1, 'raw-sheet'!$A$1:$ZZ$1, 0))</f>
        <v>summary_large_image</v>
      </c>
      <c r="Y222" s="30" t="s">
        <v>11</v>
      </c>
      <c r="Z222" s="28" t="str">
        <f>VLOOKUP($A222,'raw-schema'!$A:$R,14,0)</f>
        <v>Organization</v>
      </c>
      <c r="AA222" s="28">
        <f>VLOOKUP($A222,'raw-schema'!$A:$R,15,0)</f>
        <v>0</v>
      </c>
      <c r="AB222" s="28">
        <f>VLOOKUP($A222,'raw-schema'!$A:$R,16,0)</f>
        <v>0</v>
      </c>
      <c r="AC222" s="28">
        <f>VLOOKUP($A222,'raw-schema'!$A:$R,17,0)</f>
        <v>0</v>
      </c>
      <c r="AD222" s="28">
        <f>VLOOKUP($A222,'raw-schema'!$A:$R,18,0)</f>
        <v>0</v>
      </c>
      <c r="AE222" s="30" t="s">
        <v>57</v>
      </c>
    </row>
    <row r="223" spans="1:32" x14ac:dyDescent="0.3">
      <c r="A223" s="28" t="str">
        <f t="array" ref="A223">INDEX('raw-sheet'!$A$2:$ZZ$1000, ROW(A222), MATCH(A$1, 'raw-sheet'!$A$1:$ZZ$1, 0))</f>
        <v>https://innisfree-taiwan.myshopify.com/pages/wishlist</v>
      </c>
      <c r="B223" s="30" t="s">
        <v>11</v>
      </c>
      <c r="C223" s="28" t="str">
        <f t="array" ref="C223">INDEX('raw-sheet'!$A$2:$ZZ$1000, ROW(C222), MATCH(C$1, 'raw-sheet'!$A$1:$ZZ$1, 0))</f>
        <v>Page (No PLP / PDP)</v>
      </c>
      <c r="D223" s="28">
        <f t="array" ref="D223">INDEX('raw-sheet'!$A$2:$ZZ$1000, ROW(D222), MATCH(D$1, 'raw-sheet'!$A$1:$ZZ$1, 0))</f>
        <v>200</v>
      </c>
      <c r="E223" s="30" t="str">
        <f t="shared" si="6"/>
        <v>Pass</v>
      </c>
      <c r="F223" s="28" t="str">
        <f t="array" ref="F223">INDEX('raw-sheet'!$A$2:$ZZ$1000, ROW(F222), MATCH(F$1, 'raw-sheet'!$A$1:$ZZ$1, 0))</f>
        <v>My Wishlist_x000D_ | INNISFREE Taiwan</v>
      </c>
      <c r="G223" s="30" t="s">
        <v>11</v>
      </c>
      <c r="H223" s="28">
        <f t="array" ref="H223">INDEX('raw-sheet'!$A$2:$ZZ$1000, ROW(H222), MATCH(H$1, 'raw-sheet'!$A$1:$ZZ$1, 0))</f>
        <v>0</v>
      </c>
      <c r="I223" s="30" t="s">
        <v>61</v>
      </c>
      <c r="J223" s="28" t="str">
        <f t="array" ref="J223">INDEX('raw-sheet'!$A$2:$ZZ$1000, ROW(J222), MATCH(J$1, 'raw-sheet'!$A$1:$ZZ$1, 0))</f>
        <v>My Wishlist</v>
      </c>
      <c r="K223" s="28" t="str">
        <f t="array" ref="K223">INDEX('raw-sheet'!$A$2:$ZZ$1000, ROW(K222), MATCH(K$1, 'raw-sheet'!$A$1:$ZZ$1, 0))</f>
        <v>1</v>
      </c>
      <c r="L223" s="30" t="s">
        <v>11</v>
      </c>
      <c r="M223" s="28" t="str">
        <f t="array" ref="M223">INDEX('raw-sheet'!$A$2:$ZZ$1000, ROW(M222), MATCH(M$1, 'raw-sheet'!$A$1:$ZZ$1, 0))</f>
        <v>https://innisfree-taiwan.myshopify.com/pages/wishlist</v>
      </c>
      <c r="N223" s="30" t="str">
        <f t="shared" si="7"/>
        <v>Pass</v>
      </c>
      <c r="O223" s="28" t="str">
        <f t="array" ref="O223">INDEX('raw-sheet'!$A$2:$ZZ$1000, ROW(O222), MATCH(O$1, 'raw-sheet'!$A$1:$ZZ$1, 0))</f>
        <v>My Wishlist | INNISFREE Taiwan</v>
      </c>
      <c r="P223" s="28" t="str">
        <f t="array" ref="P223">INDEX('raw-sheet'!$A$2:$ZZ$1000, ROW(P222),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23" s="28" t="str">
        <f t="array" ref="Q223">INDEX('raw-sheet'!$A$2:$ZZ$1000, ROW(Q222), MATCH(Q$1, 'raw-sheet'!$A$1:$ZZ$1, 0))</f>
        <v>website</v>
      </c>
      <c r="R223" s="28" t="str">
        <f t="array" ref="R223">INDEX('raw-sheet'!$A$2:$ZZ$1000, ROW(R222), MATCH(R$1, 'raw-sheet'!$A$1:$ZZ$1, 0))</f>
        <v>INNISFREE Taiwan</v>
      </c>
      <c r="S223" s="28" t="str">
        <f t="array" ref="S223">INDEX('raw-sheet'!$A$2:$ZZ$1000, ROW(S222), MATCH(S$1, 'raw-sheet'!$A$1:$ZZ$1, 0))</f>
        <v>http://innisfree-taiwan.myshopify.com/cdn/shop/files/logo.png?v=1767594135</v>
      </c>
      <c r="T223" s="28" t="str">
        <f t="array" ref="T223">INDEX('raw-sheet'!$A$2:$ZZ$1000, ROW(T222), MATCH(T$1, 'raw-sheet'!$A$1:$ZZ$1, 0))</f>
        <v>https://innisfree-taiwan.myshopify.com/cdn/shop/files/logo.png?v=1767594135</v>
      </c>
      <c r="U223" s="28" t="str">
        <f t="array" ref="U223">INDEX('raw-sheet'!$A$2:$ZZ$1000, ROW(U222), MATCH(U$1, 'raw-sheet'!$A$1:$ZZ$1, 0))</f>
        <v>https://innisfree-taiwan.myshopify.com/pages/wishlist</v>
      </c>
      <c r="V223" s="28" t="str">
        <f t="array" ref="V223">INDEX('raw-sheet'!$A$2:$ZZ$1000, ROW(V222), MATCH(V$1, 'raw-sheet'!$A$1:$ZZ$1, 0))</f>
        <v>My Wishlist | INNISFREE Taiwan</v>
      </c>
      <c r="W223" s="28" t="str">
        <f t="array" ref="W223">INDEX('raw-sheet'!$A$2:$ZZ$1000, ROW(W222),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23" s="28" t="str">
        <f t="array" ref="X223">INDEX('raw-sheet'!$A$2:$ZZ$1000, ROW(X222), MATCH(X$1, 'raw-sheet'!$A$1:$ZZ$1, 0))</f>
        <v>summary_large_image</v>
      </c>
      <c r="Y223" s="30" t="s">
        <v>56</v>
      </c>
      <c r="Z223" s="28" t="str">
        <f>VLOOKUP($A223,'raw-schema'!$A:$R,14,0)</f>
        <v>Organization</v>
      </c>
      <c r="AA223" s="28">
        <f>VLOOKUP($A223,'raw-schema'!$A:$R,15,0)</f>
        <v>0</v>
      </c>
      <c r="AB223" s="28">
        <f>VLOOKUP($A223,'raw-schema'!$A:$R,16,0)</f>
        <v>0</v>
      </c>
      <c r="AC223" s="28">
        <f>VLOOKUP($A223,'raw-schema'!$A:$R,17,0)</f>
        <v>0</v>
      </c>
      <c r="AD223" s="28">
        <f>VLOOKUP($A223,'raw-schema'!$A:$R,18,0)</f>
        <v>0</v>
      </c>
      <c r="AE223" s="30" t="s">
        <v>57</v>
      </c>
    </row>
    <row r="224" spans="1:32" x14ac:dyDescent="0.3">
      <c r="A224" s="28" t="str">
        <f t="array" ref="A224">INDEX('raw-sheet'!$A$2:$ZZ$1000, ROW(A223), MATCH(A$1, 'raw-sheet'!$A$1:$ZZ$1, 0))</f>
        <v>https://innisfree-taiwan.myshopify.com/policies/privacy-policy</v>
      </c>
      <c r="B224" s="30" t="s">
        <v>11</v>
      </c>
      <c r="C224" s="28">
        <f t="array" ref="C224">INDEX('raw-sheet'!$A$2:$ZZ$1000, ROW(C223), MATCH(C$1, 'raw-sheet'!$A$1:$ZZ$1, 0))</f>
        <v>0</v>
      </c>
      <c r="D224" s="28">
        <f t="array" ref="D224">INDEX('raw-sheet'!$A$2:$ZZ$1000, ROW(D223), MATCH(D$1, 'raw-sheet'!$A$1:$ZZ$1, 0))</f>
        <v>200</v>
      </c>
      <c r="E224" s="30" t="str">
        <f t="shared" si="6"/>
        <v>Pass</v>
      </c>
      <c r="F224" s="28" t="str">
        <f t="array" ref="F224">INDEX('raw-sheet'!$A$2:$ZZ$1000, ROW(F223), MATCH(F$1, 'raw-sheet'!$A$1:$ZZ$1, 0))</f>
        <v>隱私政策_x000D_ | INNISFREE Taiwan</v>
      </c>
      <c r="G224" s="30" t="s">
        <v>11</v>
      </c>
      <c r="H224" s="28">
        <f t="array" ref="H224">INDEX('raw-sheet'!$A$2:$ZZ$1000, ROW(H223), MATCH(H$1, 'raw-sheet'!$A$1:$ZZ$1, 0))</f>
        <v>0</v>
      </c>
      <c r="I224" s="30" t="s">
        <v>11</v>
      </c>
      <c r="J224" s="28" t="str">
        <f t="array" ref="J224">INDEX('raw-sheet'!$A$2:$ZZ$1000, ROW(J223), MATCH(J$1, 'raw-sheet'!$A$1:$ZZ$1, 0))</f>
        <v>隱私政策</v>
      </c>
      <c r="K224" s="28" t="str">
        <f t="array" ref="K224">INDEX('raw-sheet'!$A$2:$ZZ$1000, ROW(K223), MATCH(K$1, 'raw-sheet'!$A$1:$ZZ$1, 0))</f>
        <v>1</v>
      </c>
      <c r="L224" s="30" t="s">
        <v>11</v>
      </c>
      <c r="M224" s="28" t="str">
        <f t="array" ref="M224">INDEX('raw-sheet'!$A$2:$ZZ$1000, ROW(M223), MATCH(M$1, 'raw-sheet'!$A$1:$ZZ$1, 0))</f>
        <v>https://innisfree-taiwan.myshopify.com/policies/privacy-policy</v>
      </c>
      <c r="N224" s="30" t="str">
        <f t="shared" si="7"/>
        <v>Pass</v>
      </c>
      <c r="O224" s="28" t="str">
        <f t="array" ref="O224">INDEX('raw-sheet'!$A$2:$ZZ$1000, ROW(O223), MATCH(O$1, 'raw-sheet'!$A$1:$ZZ$1, 0))</f>
        <v>隱私政策 | INNISFREE Taiwan</v>
      </c>
      <c r="P224" s="28" t="str">
        <f t="array" ref="P224">INDEX('raw-sheet'!$A$2:$ZZ$1000, ROW(P223),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24" s="28" t="str">
        <f t="array" ref="Q224">INDEX('raw-sheet'!$A$2:$ZZ$1000, ROW(Q223), MATCH(Q$1, 'raw-sheet'!$A$1:$ZZ$1, 0))</f>
        <v>website</v>
      </c>
      <c r="R224" s="28" t="str">
        <f t="array" ref="R224">INDEX('raw-sheet'!$A$2:$ZZ$1000, ROW(R223), MATCH(R$1, 'raw-sheet'!$A$1:$ZZ$1, 0))</f>
        <v>INNISFREE Taiwan</v>
      </c>
      <c r="S224" s="28" t="str">
        <f t="array" ref="S224">INDEX('raw-sheet'!$A$2:$ZZ$1000, ROW(S223), MATCH(S$1, 'raw-sheet'!$A$1:$ZZ$1, 0))</f>
        <v>http://innisfree-taiwan.myshopify.com/cdn/shop/files/logo.png?v=1767594135</v>
      </c>
      <c r="T224" s="28" t="str">
        <f t="array" ref="T224">INDEX('raw-sheet'!$A$2:$ZZ$1000, ROW(T223), MATCH(T$1, 'raw-sheet'!$A$1:$ZZ$1, 0))</f>
        <v>https://innisfree-taiwan.myshopify.com/cdn/shop/files/logo.png?v=1767594135</v>
      </c>
      <c r="U224" s="28" t="str">
        <f t="array" ref="U224">INDEX('raw-sheet'!$A$2:$ZZ$1000, ROW(U223), MATCH(U$1, 'raw-sheet'!$A$1:$ZZ$1, 0))</f>
        <v>https://innisfree-taiwan.myshopify.com/policies/privacy-policy</v>
      </c>
      <c r="V224" s="28" t="str">
        <f t="array" ref="V224">INDEX('raw-sheet'!$A$2:$ZZ$1000, ROW(V223), MATCH(V$1, 'raw-sheet'!$A$1:$ZZ$1, 0))</f>
        <v>隱私政策 | INNISFREE Taiwan</v>
      </c>
      <c r="W224" s="28" t="str">
        <f t="array" ref="W224">INDEX('raw-sheet'!$A$2:$ZZ$1000, ROW(W223),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24" s="28" t="str">
        <f t="array" ref="X224">INDEX('raw-sheet'!$A$2:$ZZ$1000, ROW(X223), MATCH(X$1, 'raw-sheet'!$A$1:$ZZ$1, 0))</f>
        <v>summary_large_image</v>
      </c>
      <c r="Y224" s="30" t="s">
        <v>11</v>
      </c>
      <c r="Z224" s="28" t="str">
        <f>VLOOKUP($A224,'raw-schema'!$A:$R,14,0)</f>
        <v>Organization</v>
      </c>
      <c r="AA224" s="28">
        <f>VLOOKUP($A224,'raw-schema'!$A:$R,15,0)</f>
        <v>0</v>
      </c>
      <c r="AB224" s="28">
        <f>VLOOKUP($A224,'raw-schema'!$A:$R,16,0)</f>
        <v>0</v>
      </c>
      <c r="AC224" s="28">
        <f>VLOOKUP($A224,'raw-schema'!$A:$R,17,0)</f>
        <v>0</v>
      </c>
      <c r="AD224" s="28">
        <f>VLOOKUP($A224,'raw-schema'!$A:$R,18,0)</f>
        <v>0</v>
      </c>
      <c r="AE224" s="30" t="s">
        <v>11</v>
      </c>
      <c r="AF224" t="s">
        <v>59</v>
      </c>
    </row>
    <row r="225" spans="1:32" x14ac:dyDescent="0.3">
      <c r="A225" s="28" t="str">
        <f t="array" ref="A225">INDEX('raw-sheet'!$A$2:$ZZ$1000, ROW(A224), MATCH(A$1, 'raw-sheet'!$A$1:$ZZ$1, 0))</f>
        <v>https://innisfree-taiwan.myshopify.com/policies/terms-of-service</v>
      </c>
      <c r="B225" s="30" t="s">
        <v>11</v>
      </c>
      <c r="C225" s="28">
        <f t="array" ref="C225">INDEX('raw-sheet'!$A$2:$ZZ$1000, ROW(C224), MATCH(C$1, 'raw-sheet'!$A$1:$ZZ$1, 0))</f>
        <v>0</v>
      </c>
      <c r="D225" s="28">
        <f t="array" ref="D225">INDEX('raw-sheet'!$A$2:$ZZ$1000, ROW(D224), MATCH(D$1, 'raw-sheet'!$A$1:$ZZ$1, 0))</f>
        <v>200</v>
      </c>
      <c r="E225" s="30" t="str">
        <f t="shared" si="6"/>
        <v>Pass</v>
      </c>
      <c r="F225" s="28" t="str">
        <f t="array" ref="F225">INDEX('raw-sheet'!$A$2:$ZZ$1000, ROW(F224), MATCH(F$1, 'raw-sheet'!$A$1:$ZZ$1, 0))</f>
        <v>服務條款_x000D_ | INNISFREE Taiwan</v>
      </c>
      <c r="G225" s="30" t="s">
        <v>11</v>
      </c>
      <c r="H225" s="28">
        <f t="array" ref="H225">INDEX('raw-sheet'!$A$2:$ZZ$1000, ROW(H224), MATCH(H$1, 'raw-sheet'!$A$1:$ZZ$1, 0))</f>
        <v>0</v>
      </c>
      <c r="I225" s="30" t="s">
        <v>11</v>
      </c>
      <c r="J225" s="28" t="str">
        <f t="array" ref="J225">INDEX('raw-sheet'!$A$2:$ZZ$1000, ROW(J224), MATCH(J$1, 'raw-sheet'!$A$1:$ZZ$1, 0))</f>
        <v>服務條款</v>
      </c>
      <c r="K225" s="28" t="str">
        <f t="array" ref="K225">INDEX('raw-sheet'!$A$2:$ZZ$1000, ROW(K224), MATCH(K$1, 'raw-sheet'!$A$1:$ZZ$1, 0))</f>
        <v>1</v>
      </c>
      <c r="L225" s="30" t="s">
        <v>11</v>
      </c>
      <c r="M225" s="28" t="str">
        <f t="array" ref="M225">INDEX('raw-sheet'!$A$2:$ZZ$1000, ROW(M224), MATCH(M$1, 'raw-sheet'!$A$1:$ZZ$1, 0))</f>
        <v>https://innisfree-taiwan.myshopify.com/policies/terms-of-service</v>
      </c>
      <c r="N225" s="30" t="str">
        <f t="shared" si="7"/>
        <v>Pass</v>
      </c>
      <c r="O225" s="28" t="str">
        <f t="array" ref="O225">INDEX('raw-sheet'!$A$2:$ZZ$1000, ROW(O224), MATCH(O$1, 'raw-sheet'!$A$1:$ZZ$1, 0))</f>
        <v>服務條款 | INNISFREE Taiwan</v>
      </c>
      <c r="P225" s="28" t="str">
        <f t="array" ref="P225">INDEX('raw-sheet'!$A$2:$ZZ$1000, ROW(P224),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225" s="28" t="str">
        <f t="array" ref="Q225">INDEX('raw-sheet'!$A$2:$ZZ$1000, ROW(Q224), MATCH(Q$1, 'raw-sheet'!$A$1:$ZZ$1, 0))</f>
        <v>website</v>
      </c>
      <c r="R225" s="28" t="str">
        <f t="array" ref="R225">INDEX('raw-sheet'!$A$2:$ZZ$1000, ROW(R224), MATCH(R$1, 'raw-sheet'!$A$1:$ZZ$1, 0))</f>
        <v>INNISFREE Taiwan</v>
      </c>
      <c r="S225" s="28" t="str">
        <f t="array" ref="S225">INDEX('raw-sheet'!$A$2:$ZZ$1000, ROW(S224), MATCH(S$1, 'raw-sheet'!$A$1:$ZZ$1, 0))</f>
        <v>http://innisfree-taiwan.myshopify.com/cdn/shop/files/logo.png?v=1767594135</v>
      </c>
      <c r="T225" s="28" t="str">
        <f t="array" ref="T225">INDEX('raw-sheet'!$A$2:$ZZ$1000, ROW(T224), MATCH(T$1, 'raw-sheet'!$A$1:$ZZ$1, 0))</f>
        <v>https://innisfree-taiwan.myshopify.com/cdn/shop/files/logo.png?v=1767594135</v>
      </c>
      <c r="U225" s="28" t="str">
        <f t="array" ref="U225">INDEX('raw-sheet'!$A$2:$ZZ$1000, ROW(U224), MATCH(U$1, 'raw-sheet'!$A$1:$ZZ$1, 0))</f>
        <v>https://innisfree-taiwan.myshopify.com/policies/terms-of-service</v>
      </c>
      <c r="V225" s="28" t="str">
        <f t="array" ref="V225">INDEX('raw-sheet'!$A$2:$ZZ$1000, ROW(V224), MATCH(V$1, 'raw-sheet'!$A$1:$ZZ$1, 0))</f>
        <v>服務條款 | INNISFREE Taiwan</v>
      </c>
      <c r="W225" s="28" t="str">
        <f t="array" ref="W225">INDEX('raw-sheet'!$A$2:$ZZ$1000, ROW(W224),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225" s="28" t="str">
        <f t="array" ref="X225">INDEX('raw-sheet'!$A$2:$ZZ$1000, ROW(X224), MATCH(X$1, 'raw-sheet'!$A$1:$ZZ$1, 0))</f>
        <v>summary_large_image</v>
      </c>
      <c r="Y225" s="30" t="s">
        <v>11</v>
      </c>
      <c r="Z225" s="28" t="str">
        <f>VLOOKUP($A225,'raw-schema'!$A:$R,14,0)</f>
        <v>Organization</v>
      </c>
      <c r="AA225" s="28">
        <f>VLOOKUP($A225,'raw-schema'!$A:$R,15,0)</f>
        <v>0</v>
      </c>
      <c r="AB225" s="28">
        <f>VLOOKUP($A225,'raw-schema'!$A:$R,16,0)</f>
        <v>0</v>
      </c>
      <c r="AC225" s="28">
        <f>VLOOKUP($A225,'raw-schema'!$A:$R,17,0)</f>
        <v>0</v>
      </c>
      <c r="AD225" s="28">
        <f>VLOOKUP($A225,'raw-schema'!$A:$R,18,0)</f>
        <v>0</v>
      </c>
      <c r="AE225" s="30" t="s">
        <v>11</v>
      </c>
      <c r="AF225" t="s">
        <v>59</v>
      </c>
    </row>
    <row r="226" spans="1:32" x14ac:dyDescent="0.3">
      <c r="A226" s="28" t="str">
        <f t="array" ref="A226">INDEX('raw-sheet'!$A$2:$ZZ$1000, ROW(A225), MATCH(A$1, 'raw-sheet'!$A$1:$ZZ$1, 0))</f>
        <v>https://innisfree-taiwan.myshopify.com/products/02-rcapdrn</v>
      </c>
      <c r="B226" s="30" t="s">
        <v>11</v>
      </c>
      <c r="C226" s="28" t="str">
        <f t="array" ref="C226">INDEX('raw-sheet'!$A$2:$ZZ$1000, ROW(C225), MATCH(C$1, 'raw-sheet'!$A$1:$ZZ$1, 0))</f>
        <v>Product Detail</v>
      </c>
      <c r="D226" s="28">
        <f t="array" ref="D226">INDEX('raw-sheet'!$A$2:$ZZ$1000, ROW(D225), MATCH(D$1, 'raw-sheet'!$A$1:$ZZ$1, 0))</f>
        <v>200</v>
      </c>
      <c r="E226" s="30" t="str">
        <f t="shared" si="6"/>
        <v>Pass</v>
      </c>
      <c r="F226" s="28" t="str">
        <f t="array" ref="F226">INDEX('raw-sheet'!$A$2:$ZZ$1000, ROW(F225), MATCH(F$1, 'raw-sheet'!$A$1:$ZZ$1, 0))</f>
        <v>[2月限定]雙A爆亮水煮蛋肌組_x000D_ | INNISFREE Taiwan</v>
      </c>
      <c r="G226" s="30" t="s">
        <v>11</v>
      </c>
      <c r="H226" s="28" t="str">
        <f t="array" ref="H226">INDEX('raw-sheet'!$A$2:$ZZ$1000, ROW(H225), MATCH(H$1, 'raw-sheet'!$A$1:$ZZ$1, 0))</f>
        <v>1%A醇PDRN水光安瓶+A醇淨膚超修護安瓶 30ml [A醇2+1循環保養] 醫美小白也能無痛體驗不用針的水光奇蹟 每2日使用A醇安瓶溫和代謝老廢角質，改善痘痘粉刺困擾 第3日使用PDRN光安瓶加強煥膚，緊緻肌膚、減少細紋，同時改善毛孔粗大問題</v>
      </c>
      <c r="I226" s="30" t="s">
        <v>11</v>
      </c>
      <c r="J226" s="28" t="str">
        <f t="array" ref="J226">INDEX('raw-sheet'!$A$2:$ZZ$1000, ROW(J225), MATCH(J$1, 'raw-sheet'!$A$1:$ZZ$1, 0))</f>
        <v>[2月限定]雙A爆亮水煮蛋肌組</v>
      </c>
      <c r="K226" s="28" t="str">
        <f t="array" ref="K226">INDEX('raw-sheet'!$A$2:$ZZ$1000, ROW(K225), MATCH(K$1, 'raw-sheet'!$A$1:$ZZ$1, 0))</f>
        <v>1</v>
      </c>
      <c r="L226" s="30" t="s">
        <v>11</v>
      </c>
      <c r="M226" s="28" t="str">
        <f t="array" ref="M226">INDEX('raw-sheet'!$A$2:$ZZ$1000, ROW(M225), MATCH(M$1, 'raw-sheet'!$A$1:$ZZ$1, 0))</f>
        <v>https://innisfree-taiwan.myshopify.com/products/02-rcapdrn</v>
      </c>
      <c r="N226" s="30" t="str">
        <f t="shared" si="7"/>
        <v>Pass</v>
      </c>
      <c r="O226" s="28" t="str">
        <f t="array" ref="O226">INDEX('raw-sheet'!$A$2:$ZZ$1000, ROW(O225), MATCH(O$1, 'raw-sheet'!$A$1:$ZZ$1, 0))</f>
        <v>[2月限定]雙A爆亮水煮蛋肌組 | INNISFREE Taiwan</v>
      </c>
      <c r="P226" s="28" t="str">
        <f t="array" ref="P226">INDEX('raw-sheet'!$A$2:$ZZ$1000, ROW(P225), MATCH(P$1, 'raw-sheet'!$A$1:$ZZ$1, 0))</f>
        <v>1%A醇PDRN水光安瓶+A醇淨膚超修護安瓶 30ml [A醇2+1循環保養] 醫美小白也能無痛體驗不用針的水光奇蹟 每2日使用A醇安瓶溫和代謝老廢角質，改善痘痘粉刺困擾 第3日使用PDRN光安瓶加強煥膚，緊緻肌膚、減少細紋，同時改善毛孔粗大問題</v>
      </c>
      <c r="Q226" s="28" t="str">
        <f t="array" ref="Q226">INDEX('raw-sheet'!$A$2:$ZZ$1000, ROW(Q225), MATCH(Q$1, 'raw-sheet'!$A$1:$ZZ$1, 0))</f>
        <v>product</v>
      </c>
      <c r="R226" s="28" t="str">
        <f t="array" ref="R226">INDEX('raw-sheet'!$A$2:$ZZ$1000, ROW(R225), MATCH(R$1, 'raw-sheet'!$A$1:$ZZ$1, 0))</f>
        <v>INNISFREE Taiwan</v>
      </c>
      <c r="S226" s="28" t="str">
        <f t="array" ref="S226">INDEX('raw-sheet'!$A$2:$ZZ$1000, ROW(S225), MATCH(S$1, 'raw-sheet'!$A$1:$ZZ$1, 0))</f>
        <v>http://innisfree-taiwan.myshopify.com/cdn/shop/files/20260109_1725_ID0101_1.jpg?v=1770623248</v>
      </c>
      <c r="T226" s="28" t="str">
        <f t="array" ref="T226">INDEX('raw-sheet'!$A$2:$ZZ$1000, ROW(T225), MATCH(T$1, 'raw-sheet'!$A$1:$ZZ$1, 0))</f>
        <v>https://innisfree-taiwan.myshopify.com/cdn/shop/files/20260109_1725_ID0101_1.jpg?v=1770623248</v>
      </c>
      <c r="U226" s="28" t="str">
        <f t="array" ref="U226">INDEX('raw-sheet'!$A$2:$ZZ$1000, ROW(U225), MATCH(U$1, 'raw-sheet'!$A$1:$ZZ$1, 0))</f>
        <v>https://innisfree-taiwan.myshopify.com/products/02-rcapdrn</v>
      </c>
      <c r="V226" s="28" t="str">
        <f t="array" ref="V226">INDEX('raw-sheet'!$A$2:$ZZ$1000, ROW(V225), MATCH(V$1, 'raw-sheet'!$A$1:$ZZ$1, 0))</f>
        <v>[2月限定]雙A爆亮水煮蛋肌組 | INNISFREE Taiwan</v>
      </c>
      <c r="W226" s="28" t="str">
        <f t="array" ref="W226">INDEX('raw-sheet'!$A$2:$ZZ$1000, ROW(W225), MATCH(W$1, 'raw-sheet'!$A$1:$ZZ$1, 0))</f>
        <v>1%A醇PDRN水光安瓶+A醇淨膚超修護安瓶 30ml [A醇2+1循環保養] 醫美小白也能無痛體驗不用針的水光奇蹟 每2日使用A醇安瓶溫和代謝老廢角質，改善痘痘粉刺困擾 第3日使用PDRN光安瓶加強煥膚，緊緻肌膚、減少細紋，同時改善毛孔粗大問題</v>
      </c>
      <c r="X226" s="28" t="str">
        <f t="array" ref="X226">INDEX('raw-sheet'!$A$2:$ZZ$1000, ROW(X225), MATCH(X$1, 'raw-sheet'!$A$1:$ZZ$1, 0))</f>
        <v>summary_large_image</v>
      </c>
      <c r="Y226" s="30" t="s">
        <v>11</v>
      </c>
      <c r="Z226" s="28" t="str">
        <f>VLOOKUP($A226,'raw-schema'!$A:$R,14,0)</f>
        <v>Brand</v>
      </c>
      <c r="AA226" s="28" t="str">
        <f>VLOOKUP($A226,'raw-schema'!$A:$R,15,0)</f>
        <v>Offer</v>
      </c>
      <c r="AB226" s="28" t="str">
        <f>VLOOKUP($A226,'raw-schema'!$A:$R,16,0)</f>
        <v>Organization</v>
      </c>
      <c r="AC226" s="28" t="str">
        <f>VLOOKUP($A226,'raw-schema'!$A:$R,17,0)</f>
        <v>Product</v>
      </c>
      <c r="AD226" s="28">
        <f>VLOOKUP($A226,'raw-schema'!$A:$R,18,0)</f>
        <v>0</v>
      </c>
      <c r="AE226" s="30" t="s">
        <v>69</v>
      </c>
    </row>
    <row r="227" spans="1:32" x14ac:dyDescent="0.3">
      <c r="A227" s="28" t="str">
        <f t="array" ref="A227">INDEX('raw-sheet'!$A$2:$ZZ$1000, ROW(A226), MATCH(A$1, 'raw-sheet'!$A$1:$ZZ$1, 0))</f>
        <v>https://innisfree-taiwan.myshopify.com/products/aloe-revital-soothing-gel</v>
      </c>
      <c r="B227" s="30" t="s">
        <v>11</v>
      </c>
      <c r="C227" s="28" t="str">
        <f t="array" ref="C227">INDEX('raw-sheet'!$A$2:$ZZ$1000, ROW(C226), MATCH(C$1, 'raw-sheet'!$A$1:$ZZ$1, 0))</f>
        <v>Product Detail</v>
      </c>
      <c r="D227" s="28">
        <f t="array" ref="D227">INDEX('raw-sheet'!$A$2:$ZZ$1000, ROW(D226), MATCH(D$1, 'raw-sheet'!$A$1:$ZZ$1, 0))</f>
        <v>200</v>
      </c>
      <c r="E227" s="30" t="str">
        <f t="shared" si="6"/>
        <v>Pass</v>
      </c>
      <c r="F227" s="28" t="str">
        <f t="array" ref="F227">INDEX('raw-sheet'!$A$2:$ZZ$1000, ROW(F226), MATCH(F$1, 'raw-sheet'!$A$1:$ZZ$1, 0))</f>
        <v>蘆薈修護紓緩凝膠 300ml_x000D_ | INNISFREE Taiwan</v>
      </c>
      <c r="G227" s="30" t="s">
        <v>11</v>
      </c>
      <c r="H227" s="28" t="str">
        <f t="array" ref="H227">INDEX('raw-sheet'!$A$2:$ZZ$1000, ROW(H226), MATCH(H$1, 'raw-sheet'!$A$1:$ZZ$1, 0))</f>
        <v>為疲憊的肌膚即刻補充水分、恢復活力的鎮靜舒緩凝膠。</v>
      </c>
      <c r="I227" s="30" t="s">
        <v>11</v>
      </c>
      <c r="J227" s="28" t="str">
        <f t="array" ref="J227">INDEX('raw-sheet'!$A$2:$ZZ$1000, ROW(J226), MATCH(J$1, 'raw-sheet'!$A$1:$ZZ$1, 0))</f>
        <v>蘆薈修護紓緩凝膠 300ml</v>
      </c>
      <c r="K227" s="28" t="str">
        <f t="array" ref="K227">INDEX('raw-sheet'!$A$2:$ZZ$1000, ROW(K226), MATCH(K$1, 'raw-sheet'!$A$1:$ZZ$1, 0))</f>
        <v>1</v>
      </c>
      <c r="L227" s="30" t="s">
        <v>11</v>
      </c>
      <c r="M227" s="28" t="str">
        <f t="array" ref="M227">INDEX('raw-sheet'!$A$2:$ZZ$1000, ROW(M226), MATCH(M$1, 'raw-sheet'!$A$1:$ZZ$1, 0))</f>
        <v>https://innisfree-taiwan.myshopify.com/products/aloe-revital-soothing-gel</v>
      </c>
      <c r="N227" s="30" t="str">
        <f t="shared" si="7"/>
        <v>Pass</v>
      </c>
      <c r="O227" s="28" t="str">
        <f t="array" ref="O227">INDEX('raw-sheet'!$A$2:$ZZ$1000, ROW(O226), MATCH(O$1, 'raw-sheet'!$A$1:$ZZ$1, 0))</f>
        <v>蘆薈修護紓緩凝膠 300ml | INNISFREE Taiwan</v>
      </c>
      <c r="P227" s="28" t="str">
        <f t="array" ref="P227">INDEX('raw-sheet'!$A$2:$ZZ$1000, ROW(P226), MATCH(P$1, 'raw-sheet'!$A$1:$ZZ$1, 0))</f>
        <v>為疲憊的肌膚即刻補充水分、恢復活力的鎮靜舒緩凝膠。</v>
      </c>
      <c r="Q227" s="28" t="str">
        <f t="array" ref="Q227">INDEX('raw-sheet'!$A$2:$ZZ$1000, ROW(Q226), MATCH(Q$1, 'raw-sheet'!$A$1:$ZZ$1, 0))</f>
        <v>product</v>
      </c>
      <c r="R227" s="28" t="str">
        <f t="array" ref="R227">INDEX('raw-sheet'!$A$2:$ZZ$1000, ROW(R226), MATCH(R$1, 'raw-sheet'!$A$1:$ZZ$1, 0))</f>
        <v>INNISFREE Taiwan</v>
      </c>
      <c r="S227" s="28" t="str">
        <f t="array" ref="S227">INDEX('raw-sheet'!$A$2:$ZZ$1000, ROW(S226), MATCH(S$1, 'raw-sheet'!$A$1:$ZZ$1, 0))</f>
        <v>http://innisfree-taiwan.myshopify.com/cdn/shop/files/pdp_mig_5bf3dd34_20241203_5_ID0101_1_jpg.jpg?v=1768543115</v>
      </c>
      <c r="T227" s="28" t="str">
        <f t="array" ref="T227">INDEX('raw-sheet'!$A$2:$ZZ$1000, ROW(T226), MATCH(T$1, 'raw-sheet'!$A$1:$ZZ$1, 0))</f>
        <v>https://innisfree-taiwan.myshopify.com/cdn/shop/files/pdp_mig_5bf3dd34_20241203_5_ID0101_1_jpg.jpg?v=1768543115</v>
      </c>
      <c r="U227" s="28" t="str">
        <f t="array" ref="U227">INDEX('raw-sheet'!$A$2:$ZZ$1000, ROW(U226), MATCH(U$1, 'raw-sheet'!$A$1:$ZZ$1, 0))</f>
        <v>https://innisfree-taiwan.myshopify.com/products/aloe-revital-soothing-gel</v>
      </c>
      <c r="V227" s="28" t="str">
        <f t="array" ref="V227">INDEX('raw-sheet'!$A$2:$ZZ$1000, ROW(V226), MATCH(V$1, 'raw-sheet'!$A$1:$ZZ$1, 0))</f>
        <v>蘆薈修護紓緩凝膠 300ml | INNISFREE Taiwan</v>
      </c>
      <c r="W227" s="28" t="str">
        <f t="array" ref="W227">INDEX('raw-sheet'!$A$2:$ZZ$1000, ROW(W226), MATCH(W$1, 'raw-sheet'!$A$1:$ZZ$1, 0))</f>
        <v>為疲憊的肌膚即刻補充水分、恢復活力的鎮靜舒緩凝膠。</v>
      </c>
      <c r="X227" s="28" t="str">
        <f t="array" ref="X227">INDEX('raw-sheet'!$A$2:$ZZ$1000, ROW(X226), MATCH(X$1, 'raw-sheet'!$A$1:$ZZ$1, 0))</f>
        <v>summary_large_image</v>
      </c>
      <c r="Y227" s="30" t="s">
        <v>11</v>
      </c>
      <c r="Z227" s="28" t="str">
        <f>VLOOKUP($A227,'raw-schema'!$A:$R,14,0)</f>
        <v>Brand</v>
      </c>
      <c r="AA227" s="28" t="str">
        <f>VLOOKUP($A227,'raw-schema'!$A:$R,15,0)</f>
        <v>Offer</v>
      </c>
      <c r="AB227" s="28" t="str">
        <f>VLOOKUP($A227,'raw-schema'!$A:$R,16,0)</f>
        <v>Organization</v>
      </c>
      <c r="AC227" s="28" t="str">
        <f>VLOOKUP($A227,'raw-schema'!$A:$R,17,0)</f>
        <v>Product</v>
      </c>
      <c r="AD227" s="28">
        <f>VLOOKUP($A227,'raw-schema'!$A:$R,18,0)</f>
        <v>0</v>
      </c>
      <c r="AE227" s="30" t="s">
        <v>69</v>
      </c>
    </row>
    <row r="228" spans="1:32" x14ac:dyDescent="0.3">
      <c r="A228" s="28" t="str">
        <f t="array" ref="A228">INDEX('raw-sheet'!$A$2:$ZZ$1000, ROW(A227), MATCH(A$1, 'raw-sheet'!$A$1:$ZZ$1, 0))</f>
        <v>https://innisfree-taiwan.myshopify.com/products/bija-cica-balm-ex23</v>
      </c>
      <c r="B228" s="30" t="s">
        <v>11</v>
      </c>
      <c r="C228" s="28" t="str">
        <f t="array" ref="C228">INDEX('raw-sheet'!$A$2:$ZZ$1000, ROW(C227), MATCH(C$1, 'raw-sheet'!$A$1:$ZZ$1, 0))</f>
        <v>Product Detail</v>
      </c>
      <c r="D228" s="28">
        <f t="array" ref="D228">INDEX('raw-sheet'!$A$2:$ZZ$1000, ROW(D227), MATCH(D$1, 'raw-sheet'!$A$1:$ZZ$1, 0))</f>
        <v>200</v>
      </c>
      <c r="E228" s="30" t="str">
        <f t="shared" si="6"/>
        <v>Pass</v>
      </c>
      <c r="F228" s="28" t="str">
        <f t="array" ref="F228">INDEX('raw-sheet'!$A$2:$ZZ$1000, ROW(F227), MATCH(F$1, 'raw-sheet'!$A$1:$ZZ$1, 0))</f>
        <v>香榧積雪草修護霜 40ml_x000D_ | INNISFREE Taiwan</v>
      </c>
      <c r="G228" s="30" t="s">
        <v>11</v>
      </c>
      <c r="H228" s="28" t="str">
        <f t="array" ref="H228">INDEX('raw-sheet'!$A$2:$ZZ$1000, ROW(H227), MATCH(H$1, 'raw-sheet'!$A$1:$ZZ$1, 0))</f>
        <v>舒緩並調理問題肌膚的修護霜，有效修護及鎮靜肌膚。適合所有肌膚類型，想改善粉刺痘痘問題的顧客。</v>
      </c>
      <c r="I228" s="30" t="s">
        <v>60</v>
      </c>
      <c r="J228" s="28" t="str">
        <f t="array" ref="J228">INDEX('raw-sheet'!$A$2:$ZZ$1000, ROW(J227), MATCH(J$1, 'raw-sheet'!$A$1:$ZZ$1, 0))</f>
        <v>香榧積雪草修護霜 40ml</v>
      </c>
      <c r="K228" s="28" t="str">
        <f t="array" ref="K228">INDEX('raw-sheet'!$A$2:$ZZ$1000, ROW(K227), MATCH(K$1, 'raw-sheet'!$A$1:$ZZ$1, 0))</f>
        <v>1</v>
      </c>
      <c r="L228" s="30" t="s">
        <v>11</v>
      </c>
      <c r="M228" s="28" t="str">
        <f t="array" ref="M228">INDEX('raw-sheet'!$A$2:$ZZ$1000, ROW(M227), MATCH(M$1, 'raw-sheet'!$A$1:$ZZ$1, 0))</f>
        <v>https://innisfree-taiwan.myshopify.com/products/bija-cica-balm-ex23</v>
      </c>
      <c r="N228" s="30" t="str">
        <f t="shared" si="7"/>
        <v>Pass</v>
      </c>
      <c r="O228" s="28" t="str">
        <f t="array" ref="O228">INDEX('raw-sheet'!$A$2:$ZZ$1000, ROW(O227), MATCH(O$1, 'raw-sheet'!$A$1:$ZZ$1, 0))</f>
        <v>香榧積雪草修護霜 40ml | INNISFREE Taiwan</v>
      </c>
      <c r="P228" s="28" t="str">
        <f t="array" ref="P228">INDEX('raw-sheet'!$A$2:$ZZ$1000, ROW(P227), MATCH(P$1, 'raw-sheet'!$A$1:$ZZ$1, 0))</f>
        <v>舒緩並調理問題肌膚的修護霜，有效修護及鎮靜肌膚。適合所有肌膚類型，想改善粉刺痘痘問題的顧客。</v>
      </c>
      <c r="Q228" s="28" t="str">
        <f t="array" ref="Q228">INDEX('raw-sheet'!$A$2:$ZZ$1000, ROW(Q227), MATCH(Q$1, 'raw-sheet'!$A$1:$ZZ$1, 0))</f>
        <v>product</v>
      </c>
      <c r="R228" s="28" t="str">
        <f t="array" ref="R228">INDEX('raw-sheet'!$A$2:$ZZ$1000, ROW(R227), MATCH(R$1, 'raw-sheet'!$A$1:$ZZ$1, 0))</f>
        <v>INNISFREE Taiwan</v>
      </c>
      <c r="S228" s="28" t="str">
        <f t="array" ref="S228">INDEX('raw-sheet'!$A$2:$ZZ$1000, ROW(S227), MATCH(S$1, 'raw-sheet'!$A$1:$ZZ$1, 0))</f>
        <v>http://innisfree-taiwan.myshopify.com/cdn/shop/files/pdp_mig_d3e7341e_20260109_1271_ID0101_1_jpg.jpg?v=1768543080</v>
      </c>
      <c r="T228" s="28" t="str">
        <f t="array" ref="T228">INDEX('raw-sheet'!$A$2:$ZZ$1000, ROW(T227), MATCH(T$1, 'raw-sheet'!$A$1:$ZZ$1, 0))</f>
        <v>https://innisfree-taiwan.myshopify.com/cdn/shop/files/pdp_mig_d3e7341e_20260109_1271_ID0101_1_jpg.jpg?v=1768543080</v>
      </c>
      <c r="U228" s="28" t="str">
        <f t="array" ref="U228">INDEX('raw-sheet'!$A$2:$ZZ$1000, ROW(U227), MATCH(U$1, 'raw-sheet'!$A$1:$ZZ$1, 0))</f>
        <v>https://innisfree-taiwan.myshopify.com/products/bija-cica-balm-ex23</v>
      </c>
      <c r="V228" s="28" t="str">
        <f t="array" ref="V228">INDEX('raw-sheet'!$A$2:$ZZ$1000, ROW(V227), MATCH(V$1, 'raw-sheet'!$A$1:$ZZ$1, 0))</f>
        <v>香榧積雪草修護霜 40ml | INNISFREE Taiwan</v>
      </c>
      <c r="W228" s="28" t="str">
        <f t="array" ref="W228">INDEX('raw-sheet'!$A$2:$ZZ$1000, ROW(W227), MATCH(W$1, 'raw-sheet'!$A$1:$ZZ$1, 0))</f>
        <v>舒緩並調理問題肌膚的修護霜，有效修護及鎮靜肌膚。適合所有肌膚類型，想改善粉刺痘痘問題的顧客。</v>
      </c>
      <c r="X228" s="28" t="str">
        <f t="array" ref="X228">INDEX('raw-sheet'!$A$2:$ZZ$1000, ROW(X227), MATCH(X$1, 'raw-sheet'!$A$1:$ZZ$1, 0))</f>
        <v>summary_large_image</v>
      </c>
      <c r="Y228" s="30" t="s">
        <v>56</v>
      </c>
      <c r="Z228" s="28" t="str">
        <f>VLOOKUP($A228,'raw-schema'!$A:$R,14,0)</f>
        <v>Brand</v>
      </c>
      <c r="AA228" s="28" t="str">
        <f>VLOOKUP($A228,'raw-schema'!$A:$R,15,0)</f>
        <v>Offer</v>
      </c>
      <c r="AB228" s="28" t="str">
        <f>VLOOKUP($A228,'raw-schema'!$A:$R,16,0)</f>
        <v>Organization</v>
      </c>
      <c r="AC228" s="28" t="str">
        <f>VLOOKUP($A228,'raw-schema'!$A:$R,17,0)</f>
        <v>Product</v>
      </c>
      <c r="AD228" s="28">
        <f>VLOOKUP($A228,'raw-schema'!$A:$R,18,0)</f>
        <v>0</v>
      </c>
      <c r="AE228" s="30" t="s">
        <v>69</v>
      </c>
    </row>
    <row r="229" spans="1:32" x14ac:dyDescent="0.3">
      <c r="A229" s="28" t="str">
        <f t="array" ref="A229">INDEX('raw-sheet'!$A$2:$ZZ$1000, ROW(A228), MATCH(A$1, 'raw-sheet'!$A$1:$ZZ$1, 0))</f>
        <v>https://innisfree-taiwan.myshopify.com/products/bija-trouble-facial-foam23</v>
      </c>
      <c r="B229" s="30" t="s">
        <v>11</v>
      </c>
      <c r="C229" s="28" t="str">
        <f t="array" ref="C229">INDEX('raw-sheet'!$A$2:$ZZ$1000, ROW(C228), MATCH(C$1, 'raw-sheet'!$A$1:$ZZ$1, 0))</f>
        <v>Product Detail</v>
      </c>
      <c r="D229" s="28">
        <f t="array" ref="D229">INDEX('raw-sheet'!$A$2:$ZZ$1000, ROW(D228), MATCH(D$1, 'raw-sheet'!$A$1:$ZZ$1, 0))</f>
        <v>200</v>
      </c>
      <c r="E229" s="30" t="str">
        <f t="shared" si="6"/>
        <v>Pass</v>
      </c>
      <c r="F229" s="28" t="str">
        <f t="array" ref="F229">INDEX('raw-sheet'!$A$2:$ZZ$1000, ROW(F228), MATCH(F$1, 'raw-sheet'!$A$1:$ZZ$1, 0))</f>
        <v>香榧鬥荳潔面乳 150g_x000D_ | INNISFREE Taiwan</v>
      </c>
      <c r="G229" s="30" t="s">
        <v>11</v>
      </c>
      <c r="H229" s="28" t="str">
        <f t="array" ref="H229">INDEX('raw-sheet'!$A$2:$ZZ$1000, ROW(H228), MATCH(H$1, 'raw-sheet'!$A$1:$ZZ$1, 0))</f>
        <v>專為痘痘問題肌膚設計的潔面乳，綿密的泡沫可以徹底清除毛孔的髒汙，並舒緩不穩定的肌膚。 適合所有肌膚類型，想改善粉刺痘痘問題的顧客。</v>
      </c>
      <c r="I229" s="30" t="s">
        <v>11</v>
      </c>
      <c r="J229" s="28" t="str">
        <f t="array" ref="J229">INDEX('raw-sheet'!$A$2:$ZZ$1000, ROW(J228), MATCH(J$1, 'raw-sheet'!$A$1:$ZZ$1, 0))</f>
        <v>香榧鬥荳潔面乳 150g</v>
      </c>
      <c r="K229" s="28" t="str">
        <f t="array" ref="K229">INDEX('raw-sheet'!$A$2:$ZZ$1000, ROW(K228), MATCH(K$1, 'raw-sheet'!$A$1:$ZZ$1, 0))</f>
        <v>1</v>
      </c>
      <c r="L229" s="30" t="s">
        <v>11</v>
      </c>
      <c r="M229" s="28" t="str">
        <f t="array" ref="M229">INDEX('raw-sheet'!$A$2:$ZZ$1000, ROW(M228), MATCH(M$1, 'raw-sheet'!$A$1:$ZZ$1, 0))</f>
        <v>https://innisfree-taiwan.myshopify.com/products/bija-trouble-facial-foam23</v>
      </c>
      <c r="N229" s="30" t="str">
        <f t="shared" si="7"/>
        <v>Pass</v>
      </c>
      <c r="O229" s="28" t="str">
        <f t="array" ref="O229">INDEX('raw-sheet'!$A$2:$ZZ$1000, ROW(O228), MATCH(O$1, 'raw-sheet'!$A$1:$ZZ$1, 0))</f>
        <v>香榧鬥荳潔面乳 150g | INNISFREE Taiwan</v>
      </c>
      <c r="P229" s="28" t="str">
        <f t="array" ref="P229">INDEX('raw-sheet'!$A$2:$ZZ$1000, ROW(P228), MATCH(P$1, 'raw-sheet'!$A$1:$ZZ$1, 0))</f>
        <v>專為痘痘問題肌膚設計的潔面乳，綿密的泡沫可以徹底清除毛孔的髒汙，並舒緩不穩定的肌膚。 適合所有肌膚類型，想改善粉刺痘痘問題的顧客。</v>
      </c>
      <c r="Q229" s="28" t="str">
        <f t="array" ref="Q229">INDEX('raw-sheet'!$A$2:$ZZ$1000, ROW(Q228), MATCH(Q$1, 'raw-sheet'!$A$1:$ZZ$1, 0))</f>
        <v>product</v>
      </c>
      <c r="R229" s="28" t="str">
        <f t="array" ref="R229">INDEX('raw-sheet'!$A$2:$ZZ$1000, ROW(R228), MATCH(R$1, 'raw-sheet'!$A$1:$ZZ$1, 0))</f>
        <v>INNISFREE Taiwan</v>
      </c>
      <c r="S229" s="28" t="str">
        <f t="array" ref="S229">INDEX('raw-sheet'!$A$2:$ZZ$1000, ROW(S228), MATCH(S$1, 'raw-sheet'!$A$1:$ZZ$1, 0))</f>
        <v>http://innisfree-taiwan.myshopify.com/cdn/shop/files/pdp_mig_ccfa728a_20231129_296_ID0101_2_jpg.jpg?v=1768543114</v>
      </c>
      <c r="T229" s="28" t="str">
        <f t="array" ref="T229">INDEX('raw-sheet'!$A$2:$ZZ$1000, ROW(T228), MATCH(T$1, 'raw-sheet'!$A$1:$ZZ$1, 0))</f>
        <v>https://innisfree-taiwan.myshopify.com/cdn/shop/files/pdp_mig_ccfa728a_20231129_296_ID0101_2_jpg.jpg?v=1768543114</v>
      </c>
      <c r="U229" s="28" t="str">
        <f t="array" ref="U229">INDEX('raw-sheet'!$A$2:$ZZ$1000, ROW(U228), MATCH(U$1, 'raw-sheet'!$A$1:$ZZ$1, 0))</f>
        <v>https://innisfree-taiwan.myshopify.com/products/bija-trouble-facial-foam23</v>
      </c>
      <c r="V229" s="28" t="str">
        <f t="array" ref="V229">INDEX('raw-sheet'!$A$2:$ZZ$1000, ROW(V228), MATCH(V$1, 'raw-sheet'!$A$1:$ZZ$1, 0))</f>
        <v>香榧鬥荳潔面乳 150g | INNISFREE Taiwan</v>
      </c>
      <c r="W229" s="28" t="str">
        <f t="array" ref="W229">INDEX('raw-sheet'!$A$2:$ZZ$1000, ROW(W228), MATCH(W$1, 'raw-sheet'!$A$1:$ZZ$1, 0))</f>
        <v>專為痘痘問題肌膚設計的潔面乳，綿密的泡沫可以徹底清除毛孔的髒汙，並舒緩不穩定的肌膚。 適合所有肌膚類型，想改善粉刺痘痘問題的顧客。</v>
      </c>
      <c r="X229" s="28" t="str">
        <f t="array" ref="X229">INDEX('raw-sheet'!$A$2:$ZZ$1000, ROW(X228), MATCH(X$1, 'raw-sheet'!$A$1:$ZZ$1, 0))</f>
        <v>summary_large_image</v>
      </c>
      <c r="Y229" s="30" t="s">
        <v>11</v>
      </c>
      <c r="Z229" s="28" t="str">
        <f>VLOOKUP($A229,'raw-schema'!$A:$R,14,0)</f>
        <v>Brand</v>
      </c>
      <c r="AA229" s="28" t="str">
        <f>VLOOKUP($A229,'raw-schema'!$A:$R,15,0)</f>
        <v>Offer</v>
      </c>
      <c r="AB229" s="28" t="str">
        <f>VLOOKUP($A229,'raw-schema'!$A:$R,16,0)</f>
        <v>Organization</v>
      </c>
      <c r="AC229" s="28" t="str">
        <f>VLOOKUP($A229,'raw-schema'!$A:$R,17,0)</f>
        <v>Product</v>
      </c>
      <c r="AD229" s="28">
        <f>VLOOKUP($A229,'raw-schema'!$A:$R,18,0)</f>
        <v>0</v>
      </c>
      <c r="AE229" s="30" t="s">
        <v>69</v>
      </c>
    </row>
    <row r="230" spans="1:32" x14ac:dyDescent="0.3">
      <c r="A230" s="28" t="str">
        <f t="array" ref="A230">INDEX('raw-sheet'!$A$2:$ZZ$1000, ROW(A229), MATCH(A$1, 'raw-sheet'!$A$1:$ZZ$1, 0))</f>
        <v>https://innisfree-taiwan.myshopify.com/products/bija-trouble-lotion23</v>
      </c>
      <c r="B230" s="30" t="s">
        <v>11</v>
      </c>
      <c r="C230" s="28" t="str">
        <f t="array" ref="C230">INDEX('raw-sheet'!$A$2:$ZZ$1000, ROW(C229), MATCH(C$1, 'raw-sheet'!$A$1:$ZZ$1, 0))</f>
        <v>Product Detail</v>
      </c>
      <c r="D230" s="28">
        <f t="array" ref="D230">INDEX('raw-sheet'!$A$2:$ZZ$1000, ROW(D229), MATCH(D$1, 'raw-sheet'!$A$1:$ZZ$1, 0))</f>
        <v>200</v>
      </c>
      <c r="E230" s="30" t="str">
        <f t="shared" si="6"/>
        <v>Pass</v>
      </c>
      <c r="F230" s="28" t="str">
        <f t="array" ref="F230">INDEX('raw-sheet'!$A$2:$ZZ$1000, ROW(F229), MATCH(F$1, 'raw-sheet'!$A$1:$ZZ$1, 0))</f>
        <v>香榧鬥荳調理乳 100ml_x000D_ | INNISFREE Taiwan</v>
      </c>
      <c r="G230" s="30" t="s">
        <v>11</v>
      </c>
      <c r="H230" s="28" t="str">
        <f t="array" ref="H230">INDEX('raw-sheet'!$A$2:$ZZ$1000, ROW(H229), MATCH(H$1, 'raw-sheet'!$A$1:$ZZ$1, 0))</f>
        <v>專為痘痘問題肌膚設計的調理乳，提供清爽無負擔的舒緩保濕。 適合所有肌膚類型，想改善粉刺痘痘問題的顧客。</v>
      </c>
      <c r="I230" s="30" t="s">
        <v>11</v>
      </c>
      <c r="J230" s="28" t="str">
        <f t="array" ref="J230">INDEX('raw-sheet'!$A$2:$ZZ$1000, ROW(J229), MATCH(J$1, 'raw-sheet'!$A$1:$ZZ$1, 0))</f>
        <v>香榧鬥荳調理乳 100ml</v>
      </c>
      <c r="K230" s="28" t="str">
        <f t="array" ref="K230">INDEX('raw-sheet'!$A$2:$ZZ$1000, ROW(K229), MATCH(K$1, 'raw-sheet'!$A$1:$ZZ$1, 0))</f>
        <v>1</v>
      </c>
      <c r="L230" s="30" t="s">
        <v>11</v>
      </c>
      <c r="M230" s="28" t="str">
        <f t="array" ref="M230">INDEX('raw-sheet'!$A$2:$ZZ$1000, ROW(M229), MATCH(M$1, 'raw-sheet'!$A$1:$ZZ$1, 0))</f>
        <v>https://innisfree-taiwan.myshopify.com/products/bija-trouble-lotion23</v>
      </c>
      <c r="N230" s="30" t="str">
        <f t="shared" si="7"/>
        <v>Pass</v>
      </c>
      <c r="O230" s="28" t="str">
        <f t="array" ref="O230">INDEX('raw-sheet'!$A$2:$ZZ$1000, ROW(O229), MATCH(O$1, 'raw-sheet'!$A$1:$ZZ$1, 0))</f>
        <v>香榧鬥荳調理乳 100ml | INNISFREE Taiwan</v>
      </c>
      <c r="P230" s="28" t="str">
        <f t="array" ref="P230">INDEX('raw-sheet'!$A$2:$ZZ$1000, ROW(P229), MATCH(P$1, 'raw-sheet'!$A$1:$ZZ$1, 0))</f>
        <v>專為痘痘問題肌膚設計的調理乳，提供清爽無負擔的舒緩保濕。 適合所有肌膚類型，想改善粉刺痘痘問題的顧客。</v>
      </c>
      <c r="Q230" s="28" t="str">
        <f t="array" ref="Q230">INDEX('raw-sheet'!$A$2:$ZZ$1000, ROW(Q229), MATCH(Q$1, 'raw-sheet'!$A$1:$ZZ$1, 0))</f>
        <v>product</v>
      </c>
      <c r="R230" s="28" t="str">
        <f t="array" ref="R230">INDEX('raw-sheet'!$A$2:$ZZ$1000, ROW(R229), MATCH(R$1, 'raw-sheet'!$A$1:$ZZ$1, 0))</f>
        <v>INNISFREE Taiwan</v>
      </c>
      <c r="S230" s="28" t="str">
        <f t="array" ref="S230">INDEX('raw-sheet'!$A$2:$ZZ$1000, ROW(S229), MATCH(S$1, 'raw-sheet'!$A$1:$ZZ$1, 0))</f>
        <v>http://innisfree-taiwan.myshopify.com/cdn/shop/files/pdp_mig_9599f4d1_20231127_328_ID0101_1_jpg.jpg?v=1768543104</v>
      </c>
      <c r="T230" s="28" t="str">
        <f t="array" ref="T230">INDEX('raw-sheet'!$A$2:$ZZ$1000, ROW(T229), MATCH(T$1, 'raw-sheet'!$A$1:$ZZ$1, 0))</f>
        <v>https://innisfree-taiwan.myshopify.com/cdn/shop/files/pdp_mig_9599f4d1_20231127_328_ID0101_1_jpg.jpg?v=1768543104</v>
      </c>
      <c r="U230" s="28" t="str">
        <f t="array" ref="U230">INDEX('raw-sheet'!$A$2:$ZZ$1000, ROW(U229), MATCH(U$1, 'raw-sheet'!$A$1:$ZZ$1, 0))</f>
        <v>https://innisfree-taiwan.myshopify.com/products/bija-trouble-lotion23</v>
      </c>
      <c r="V230" s="28" t="str">
        <f t="array" ref="V230">INDEX('raw-sheet'!$A$2:$ZZ$1000, ROW(V229), MATCH(V$1, 'raw-sheet'!$A$1:$ZZ$1, 0))</f>
        <v>香榧鬥荳調理乳 100ml | INNISFREE Taiwan</v>
      </c>
      <c r="W230" s="28" t="str">
        <f t="array" ref="W230">INDEX('raw-sheet'!$A$2:$ZZ$1000, ROW(W229), MATCH(W$1, 'raw-sheet'!$A$1:$ZZ$1, 0))</f>
        <v>專為痘痘問題肌膚設計的調理乳，提供清爽無負擔的舒緩保濕。 適合所有肌膚類型，想改善粉刺痘痘問題的顧客。</v>
      </c>
      <c r="X230" s="28" t="str">
        <f t="array" ref="X230">INDEX('raw-sheet'!$A$2:$ZZ$1000, ROW(X229), MATCH(X$1, 'raw-sheet'!$A$1:$ZZ$1, 0))</f>
        <v>summary_large_image</v>
      </c>
      <c r="Y230" s="30" t="s">
        <v>11</v>
      </c>
      <c r="Z230" s="28" t="str">
        <f>VLOOKUP($A230,'raw-schema'!$A:$R,14,0)</f>
        <v>Brand</v>
      </c>
      <c r="AA230" s="28" t="str">
        <f>VLOOKUP($A230,'raw-schema'!$A:$R,15,0)</f>
        <v>Offer</v>
      </c>
      <c r="AB230" s="28" t="str">
        <f>VLOOKUP($A230,'raw-schema'!$A:$R,16,0)</f>
        <v>Organization</v>
      </c>
      <c r="AC230" s="28" t="str">
        <f>VLOOKUP($A230,'raw-schema'!$A:$R,17,0)</f>
        <v>Product</v>
      </c>
      <c r="AD230" s="28">
        <f>VLOOKUP($A230,'raw-schema'!$A:$R,18,0)</f>
        <v>0</v>
      </c>
      <c r="AE230" s="30" t="s">
        <v>69</v>
      </c>
    </row>
    <row r="231" spans="1:32" x14ac:dyDescent="0.3">
      <c r="A231" s="28" t="str">
        <f t="array" ref="A231">INDEX('raw-sheet'!$A$2:$ZZ$1000, ROW(A230), MATCH(A$1, 'raw-sheet'!$A$1:$ZZ$1, 0))</f>
        <v>https://innisfree-taiwan.myshopify.com/products/bija-trouble-skin-170ml-23</v>
      </c>
      <c r="B231" s="30" t="s">
        <v>70</v>
      </c>
      <c r="C231" s="28" t="str">
        <f t="array" ref="C231">INDEX('raw-sheet'!$A$2:$ZZ$1000, ROW(C230), MATCH(C$1, 'raw-sheet'!$A$1:$ZZ$1, 0))</f>
        <v>Product Detail</v>
      </c>
      <c r="D231" s="28">
        <f t="array" ref="D231">INDEX('raw-sheet'!$A$2:$ZZ$1000, ROW(D230), MATCH(D$1, 'raw-sheet'!$A$1:$ZZ$1, 0))</f>
        <v>200</v>
      </c>
      <c r="E231" s="30" t="str">
        <f t="shared" si="6"/>
        <v>Pass</v>
      </c>
      <c r="F231" s="28" t="str">
        <f t="array" ref="F231">INDEX('raw-sheet'!$A$2:$ZZ$1000, ROW(F230), MATCH(F$1, 'raw-sheet'!$A$1:$ZZ$1, 0))</f>
        <v>香榧鬥荳調理水 170ml_x000D_ | INNISFREE Taiwan</v>
      </c>
      <c r="G231" s="30" t="s">
        <v>11</v>
      </c>
      <c r="H231" s="28" t="str">
        <f t="array" ref="H231">INDEX('raw-sheet'!$A$2:$ZZ$1000, ROW(H230), MATCH(H$1, 'raw-sheet'!$A$1:$ZZ$1, 0))</f>
        <v>專為痘痘問題肌膚設計的調理水，溫和去除肌膚老廢角質。 適合所有肌膚類型，想改善粉刺痘痘問題的顧客。</v>
      </c>
      <c r="I231" s="30" t="s">
        <v>11</v>
      </c>
      <c r="J231" s="28" t="str">
        <f t="array" ref="J231">INDEX('raw-sheet'!$A$2:$ZZ$1000, ROW(J230), MATCH(J$1, 'raw-sheet'!$A$1:$ZZ$1, 0))</f>
        <v>香榧鬥荳調理水 170ml</v>
      </c>
      <c r="K231" s="28" t="str">
        <f t="array" ref="K231">INDEX('raw-sheet'!$A$2:$ZZ$1000, ROW(K230), MATCH(K$1, 'raw-sheet'!$A$1:$ZZ$1, 0))</f>
        <v>1</v>
      </c>
      <c r="L231" s="30" t="s">
        <v>11</v>
      </c>
      <c r="M231" s="28" t="str">
        <f t="array" ref="M231">INDEX('raw-sheet'!$A$2:$ZZ$1000, ROW(M230), MATCH(M$1, 'raw-sheet'!$A$1:$ZZ$1, 0))</f>
        <v>https://innisfree-taiwan.myshopify.com/products/bija-trouble-skin-170ml-23</v>
      </c>
      <c r="N231" s="30" t="str">
        <f t="shared" si="7"/>
        <v>Pass</v>
      </c>
      <c r="O231" s="28" t="str">
        <f t="array" ref="O231">INDEX('raw-sheet'!$A$2:$ZZ$1000, ROW(O230), MATCH(O$1, 'raw-sheet'!$A$1:$ZZ$1, 0))</f>
        <v>香榧鬥荳調理水 170ml | INNISFREE Taiwan</v>
      </c>
      <c r="P231" s="28" t="str">
        <f t="array" ref="P231">INDEX('raw-sheet'!$A$2:$ZZ$1000, ROW(P230), MATCH(P$1, 'raw-sheet'!$A$1:$ZZ$1, 0))</f>
        <v>專為痘痘問題肌膚設計的調理水，溫和去除肌膚老廢角質。 適合所有肌膚類型，想改善粉刺痘痘問題的顧客。</v>
      </c>
      <c r="Q231" s="28" t="str">
        <f t="array" ref="Q231">INDEX('raw-sheet'!$A$2:$ZZ$1000, ROW(Q230), MATCH(Q$1, 'raw-sheet'!$A$1:$ZZ$1, 0))</f>
        <v>product</v>
      </c>
      <c r="R231" s="28" t="str">
        <f t="array" ref="R231">INDEX('raw-sheet'!$A$2:$ZZ$1000, ROW(R230), MATCH(R$1, 'raw-sheet'!$A$1:$ZZ$1, 0))</f>
        <v>INNISFREE Taiwan</v>
      </c>
      <c r="S231" s="28" t="str">
        <f t="array" ref="S231">INDEX('raw-sheet'!$A$2:$ZZ$1000, ROW(S230), MATCH(S$1, 'raw-sheet'!$A$1:$ZZ$1, 0))</f>
        <v>http://innisfree-taiwan.myshopify.com/cdn/shop/files/pdp_mig_c17839af_20231127_297_ID0101_1_jpg.jpg?v=1768543105</v>
      </c>
      <c r="T231" s="28" t="str">
        <f t="array" ref="T231">INDEX('raw-sheet'!$A$2:$ZZ$1000, ROW(T230), MATCH(T$1, 'raw-sheet'!$A$1:$ZZ$1, 0))</f>
        <v>https://innisfree-taiwan.myshopify.com/cdn/shop/files/pdp_mig_c17839af_20231127_297_ID0101_1_jpg.jpg?v=1768543105</v>
      </c>
      <c r="U231" s="28" t="str">
        <f t="array" ref="U231">INDEX('raw-sheet'!$A$2:$ZZ$1000, ROW(U230), MATCH(U$1, 'raw-sheet'!$A$1:$ZZ$1, 0))</f>
        <v>https://innisfree-taiwan.myshopify.com/products/bija-trouble-skin-170ml-23</v>
      </c>
      <c r="V231" s="28" t="str">
        <f t="array" ref="V231">INDEX('raw-sheet'!$A$2:$ZZ$1000, ROW(V230), MATCH(V$1, 'raw-sheet'!$A$1:$ZZ$1, 0))</f>
        <v>香榧鬥荳調理水 170ml | INNISFREE Taiwan</v>
      </c>
      <c r="W231" s="28" t="str">
        <f t="array" ref="W231">INDEX('raw-sheet'!$A$2:$ZZ$1000, ROW(W230), MATCH(W$1, 'raw-sheet'!$A$1:$ZZ$1, 0))</f>
        <v>專為痘痘問題肌膚設計的調理水，溫和去除肌膚老廢角質。 適合所有肌膚類型，想改善粉刺痘痘問題的顧客。</v>
      </c>
      <c r="X231" s="28" t="str">
        <f t="array" ref="X231">INDEX('raw-sheet'!$A$2:$ZZ$1000, ROW(X230), MATCH(X$1, 'raw-sheet'!$A$1:$ZZ$1, 0))</f>
        <v>summary_large_image</v>
      </c>
      <c r="Y231" s="30" t="s">
        <v>11</v>
      </c>
      <c r="Z231" s="28" t="str">
        <f>VLOOKUP($A231,'raw-schema'!$A:$R,14,0)</f>
        <v>Brand</v>
      </c>
      <c r="AA231" s="28" t="str">
        <f>VLOOKUP($A231,'raw-schema'!$A:$R,15,0)</f>
        <v>Offer</v>
      </c>
      <c r="AB231" s="28" t="str">
        <f>VLOOKUP($A231,'raw-schema'!$A:$R,16,0)</f>
        <v>Organization</v>
      </c>
      <c r="AC231" s="28" t="str">
        <f>VLOOKUP($A231,'raw-schema'!$A:$R,17,0)</f>
        <v>Product</v>
      </c>
      <c r="AD231" s="28">
        <f>VLOOKUP($A231,'raw-schema'!$A:$R,18,0)</f>
        <v>0</v>
      </c>
      <c r="AE231" s="30" t="s">
        <v>69</v>
      </c>
    </row>
    <row r="232" spans="1:32" x14ac:dyDescent="0.3">
      <c r="A232" s="28" t="str">
        <f t="array" ref="A232">INDEX('raw-sheet'!$A$2:$ZZ$1000, ROW(A231), MATCH(A$1, 'raw-sheet'!$A$1:$ZZ$1, 0))</f>
        <v>https://innisfree-taiwan.myshopify.com/products/black-tea-youth-enhancing-oil-30ml</v>
      </c>
      <c r="B232" s="30" t="s">
        <v>11</v>
      </c>
      <c r="C232" s="28" t="str">
        <f t="array" ref="C232">INDEX('raw-sheet'!$A$2:$ZZ$1000, ROW(C231), MATCH(C$1, 'raw-sheet'!$A$1:$ZZ$1, 0))</f>
        <v>Product Detail</v>
      </c>
      <c r="D232" s="28">
        <f t="array" ref="D232">INDEX('raw-sheet'!$A$2:$ZZ$1000, ROW(D231), MATCH(D$1, 'raw-sheet'!$A$1:$ZZ$1, 0))</f>
        <v>200</v>
      </c>
      <c r="E232" s="30" t="str">
        <f t="shared" si="6"/>
        <v>Pass</v>
      </c>
      <c r="F232" s="28" t="str">
        <f t="array" ref="F232">INDEX('raw-sheet'!$A$2:$ZZ$1000, ROW(F231), MATCH(F$1, 'raw-sheet'!$A$1:$ZZ$1, 0))</f>
        <v>紅茶極效修護精華油 30ml_x000D_ | INNISFREE Taiwan</v>
      </c>
      <c r="G232" s="30" t="s">
        <v>11</v>
      </c>
      <c r="H232" s="28" t="str">
        <f t="array" ref="H232">INDEX('raw-sheet'!$A$2:$ZZ$1000, ROW(H231), MATCH(H$1, 'raw-sheet'!$A$1:$ZZ$1, 0))</f>
        <v>採用RESET肌膚重置修護科技™研發的精華油，改善肌膚疲憊感，讓肌膚恢復緊緻，擁有彈嫩透亮的好膚質。</v>
      </c>
      <c r="I232" s="30" t="s">
        <v>11</v>
      </c>
      <c r="J232" s="28" t="str">
        <f t="array" ref="J232">INDEX('raw-sheet'!$A$2:$ZZ$1000, ROW(J231), MATCH(J$1, 'raw-sheet'!$A$1:$ZZ$1, 0))</f>
        <v>紅茶極效修護精華油 30ml</v>
      </c>
      <c r="K232" s="28" t="str">
        <f t="array" ref="K232">INDEX('raw-sheet'!$A$2:$ZZ$1000, ROW(K231), MATCH(K$1, 'raw-sheet'!$A$1:$ZZ$1, 0))</f>
        <v>1</v>
      </c>
      <c r="L232" s="30" t="s">
        <v>11</v>
      </c>
      <c r="M232" s="28" t="str">
        <f t="array" ref="M232">INDEX('raw-sheet'!$A$2:$ZZ$1000, ROW(M231), MATCH(M$1, 'raw-sheet'!$A$1:$ZZ$1, 0))</f>
        <v>https://innisfree-taiwan.myshopify.com/products/black-tea-youth-enhancing-oil-30ml</v>
      </c>
      <c r="N232" s="30" t="str">
        <f t="shared" si="7"/>
        <v>Pass</v>
      </c>
      <c r="O232" s="28" t="str">
        <f t="array" ref="O232">INDEX('raw-sheet'!$A$2:$ZZ$1000, ROW(O231), MATCH(O$1, 'raw-sheet'!$A$1:$ZZ$1, 0))</f>
        <v>紅茶極效修護精華油 30ml | INNISFREE Taiwan</v>
      </c>
      <c r="P232" s="28" t="str">
        <f t="array" ref="P232">INDEX('raw-sheet'!$A$2:$ZZ$1000, ROW(P231), MATCH(P$1, 'raw-sheet'!$A$1:$ZZ$1, 0))</f>
        <v>採用RESET肌膚重置修護科技™研發的精華油，改善肌膚疲憊感，讓肌膚恢復緊緻，擁有彈嫩透亮的好膚質。</v>
      </c>
      <c r="Q232" s="28" t="str">
        <f t="array" ref="Q232">INDEX('raw-sheet'!$A$2:$ZZ$1000, ROW(Q231), MATCH(Q$1, 'raw-sheet'!$A$1:$ZZ$1, 0))</f>
        <v>product</v>
      </c>
      <c r="R232" s="28" t="str">
        <f t="array" ref="R232">INDEX('raw-sheet'!$A$2:$ZZ$1000, ROW(R231), MATCH(R$1, 'raw-sheet'!$A$1:$ZZ$1, 0))</f>
        <v>INNISFREE Taiwan</v>
      </c>
      <c r="S232" s="28" t="str">
        <f t="array" ref="S232">INDEX('raw-sheet'!$A$2:$ZZ$1000, ROW(S231), MATCH(S$1, 'raw-sheet'!$A$1:$ZZ$1, 0))</f>
        <v>http://innisfree-taiwan.myshopify.com/cdn/shop/files/pdp_mig_5729231f_20240306_1197_ID0101_1_jpg.jpg?v=1768543097</v>
      </c>
      <c r="T232" s="28" t="str">
        <f t="array" ref="T232">INDEX('raw-sheet'!$A$2:$ZZ$1000, ROW(T231), MATCH(T$1, 'raw-sheet'!$A$1:$ZZ$1, 0))</f>
        <v>https://innisfree-taiwan.myshopify.com/cdn/shop/files/pdp_mig_5729231f_20240306_1197_ID0101_1_jpg.jpg?v=1768543097</v>
      </c>
      <c r="U232" s="28" t="str">
        <f t="array" ref="U232">INDEX('raw-sheet'!$A$2:$ZZ$1000, ROW(U231), MATCH(U$1, 'raw-sheet'!$A$1:$ZZ$1, 0))</f>
        <v>https://innisfree-taiwan.myshopify.com/products/black-tea-youth-enhancing-oil-30ml</v>
      </c>
      <c r="V232" s="28" t="str">
        <f t="array" ref="V232">INDEX('raw-sheet'!$A$2:$ZZ$1000, ROW(V231), MATCH(V$1, 'raw-sheet'!$A$1:$ZZ$1, 0))</f>
        <v>紅茶極效修護精華油 30ml | INNISFREE Taiwan</v>
      </c>
      <c r="W232" s="28" t="str">
        <f t="array" ref="W232">INDEX('raw-sheet'!$A$2:$ZZ$1000, ROW(W231), MATCH(W$1, 'raw-sheet'!$A$1:$ZZ$1, 0))</f>
        <v>採用RESET肌膚重置修護科技™研發的精華油，改善肌膚疲憊感，讓肌膚恢復緊緻，擁有彈嫩透亮的好膚質。</v>
      </c>
      <c r="X232" s="28" t="str">
        <f t="array" ref="X232">INDEX('raw-sheet'!$A$2:$ZZ$1000, ROW(X231), MATCH(X$1, 'raw-sheet'!$A$1:$ZZ$1, 0))</f>
        <v>summary_large_image</v>
      </c>
      <c r="Y232" s="30" t="s">
        <v>11</v>
      </c>
      <c r="Z232" s="28" t="str">
        <f>VLOOKUP($A232,'raw-schema'!$A:$R,14,0)</f>
        <v>Brand</v>
      </c>
      <c r="AA232" s="28" t="str">
        <f>VLOOKUP($A232,'raw-schema'!$A:$R,15,0)</f>
        <v>Offer</v>
      </c>
      <c r="AB232" s="28" t="str">
        <f>VLOOKUP($A232,'raw-schema'!$A:$R,16,0)</f>
        <v>Organization</v>
      </c>
      <c r="AC232" s="28" t="str">
        <f>VLOOKUP($A232,'raw-schema'!$A:$R,17,0)</f>
        <v>Product</v>
      </c>
      <c r="AD232" s="28">
        <f>VLOOKUP($A232,'raw-schema'!$A:$R,18,0)</f>
        <v>0</v>
      </c>
      <c r="AE232" s="30" t="s">
        <v>69</v>
      </c>
    </row>
    <row r="233" spans="1:32" x14ac:dyDescent="0.3">
      <c r="A233" s="28" t="str">
        <f t="array" ref="A233">INDEX('raw-sheet'!$A$2:$ZZ$1000, ROW(A232), MATCH(A$1, 'raw-sheet'!$A$1:$ZZ$1, 0))</f>
        <v>https://innisfree-taiwan.myshopify.com/products/black-tea-youth-enhancing-treatment-essence-145ml</v>
      </c>
      <c r="B233" s="30" t="s">
        <v>11</v>
      </c>
      <c r="C233" s="28" t="str">
        <f t="array" ref="C233">INDEX('raw-sheet'!$A$2:$ZZ$1000, ROW(C232), MATCH(C$1, 'raw-sheet'!$A$1:$ZZ$1, 0))</f>
        <v>Product Detail</v>
      </c>
      <c r="D233" s="28">
        <f t="array" ref="D233">INDEX('raw-sheet'!$A$2:$ZZ$1000, ROW(D232), MATCH(D$1, 'raw-sheet'!$A$1:$ZZ$1, 0))</f>
        <v>200</v>
      </c>
      <c r="E233" s="30" t="str">
        <f t="shared" si="6"/>
        <v>Pass</v>
      </c>
      <c r="F233" s="28" t="str">
        <f t="array" ref="F233">INDEX('raw-sheet'!$A$2:$ZZ$1000, ROW(F232), MATCH(F$1, 'raw-sheet'!$A$1:$ZZ$1, 0))</f>
        <v>紅茶極效修護晶露 145ml_x000D_ | INNISFREE Taiwan</v>
      </c>
      <c r="G233" s="30" t="s">
        <v>11</v>
      </c>
      <c r="H233" s="28" t="str">
        <f t="array" ref="H233">INDEX('raw-sheet'!$A$2:$ZZ$1000, ROW(H232), MATCH(H$1, 'raw-sheet'!$A$1:$ZZ$1, 0))</f>
        <v>RESET肌膚重置修護科技™集中修護抗老，舒緩疲憊的肌膚，讓肌膚恢復緊緻，擁有彈嫩透亮好膚質的精華水。 適合經常熬夜或工作壓力大，肌膚缺乏活力和彈性的顧客。</v>
      </c>
      <c r="I233" s="30" t="s">
        <v>11</v>
      </c>
      <c r="J233" s="28" t="str">
        <f t="array" ref="J233">INDEX('raw-sheet'!$A$2:$ZZ$1000, ROW(J232), MATCH(J$1, 'raw-sheet'!$A$1:$ZZ$1, 0))</f>
        <v>紅茶極效修護晶露 145ml</v>
      </c>
      <c r="K233" s="28" t="str">
        <f t="array" ref="K233">INDEX('raw-sheet'!$A$2:$ZZ$1000, ROW(K232), MATCH(K$1, 'raw-sheet'!$A$1:$ZZ$1, 0))</f>
        <v>1</v>
      </c>
      <c r="L233" s="30" t="s">
        <v>11</v>
      </c>
      <c r="M233" s="28" t="str">
        <f t="array" ref="M233">INDEX('raw-sheet'!$A$2:$ZZ$1000, ROW(M232), MATCH(M$1, 'raw-sheet'!$A$1:$ZZ$1, 0))</f>
        <v>https://innisfree-taiwan.myshopify.com/products/black-tea-youth-enhancing-treatment-essence-145ml</v>
      </c>
      <c r="N233" s="30" t="str">
        <f t="shared" si="7"/>
        <v>Pass</v>
      </c>
      <c r="O233" s="28" t="str">
        <f t="array" ref="O233">INDEX('raw-sheet'!$A$2:$ZZ$1000, ROW(O232), MATCH(O$1, 'raw-sheet'!$A$1:$ZZ$1, 0))</f>
        <v>紅茶極效修護晶露 145ml | INNISFREE Taiwan</v>
      </c>
      <c r="P233" s="28" t="str">
        <f t="array" ref="P233">INDEX('raw-sheet'!$A$2:$ZZ$1000, ROW(P232), MATCH(P$1, 'raw-sheet'!$A$1:$ZZ$1, 0))</f>
        <v>RESET肌膚重置修護科技™集中修護抗老，舒緩疲憊的肌膚，讓肌膚恢復緊緻，擁有彈嫩透亮好膚質的精華水。 適合經常熬夜或工作壓力大，肌膚缺乏活力和彈性的顧客。</v>
      </c>
      <c r="Q233" s="28" t="str">
        <f t="array" ref="Q233">INDEX('raw-sheet'!$A$2:$ZZ$1000, ROW(Q232), MATCH(Q$1, 'raw-sheet'!$A$1:$ZZ$1, 0))</f>
        <v>product</v>
      </c>
      <c r="R233" s="28" t="str">
        <f t="array" ref="R233">INDEX('raw-sheet'!$A$2:$ZZ$1000, ROW(R232), MATCH(R$1, 'raw-sheet'!$A$1:$ZZ$1, 0))</f>
        <v>INNISFREE Taiwan</v>
      </c>
      <c r="S233" s="28" t="str">
        <f t="array" ref="S233">INDEX('raw-sheet'!$A$2:$ZZ$1000, ROW(S232), MATCH(S$1, 'raw-sheet'!$A$1:$ZZ$1, 0))</f>
        <v>http://innisfree-taiwan.myshopify.com/cdn/shop/files/pdp_mig_92a54f59_20251001_709_ID0101_1_jpg.jpg?v=1768543103</v>
      </c>
      <c r="T233" s="28" t="str">
        <f t="array" ref="T233">INDEX('raw-sheet'!$A$2:$ZZ$1000, ROW(T232), MATCH(T$1, 'raw-sheet'!$A$1:$ZZ$1, 0))</f>
        <v>https://innisfree-taiwan.myshopify.com/cdn/shop/files/pdp_mig_92a54f59_20251001_709_ID0101_1_jpg.jpg?v=1768543103</v>
      </c>
      <c r="U233" s="28" t="str">
        <f t="array" ref="U233">INDEX('raw-sheet'!$A$2:$ZZ$1000, ROW(U232), MATCH(U$1, 'raw-sheet'!$A$1:$ZZ$1, 0))</f>
        <v>https://innisfree-taiwan.myshopify.com/products/black-tea-youth-enhancing-treatment-essence-145ml</v>
      </c>
      <c r="V233" s="28" t="str">
        <f t="array" ref="V233">INDEX('raw-sheet'!$A$2:$ZZ$1000, ROW(V232), MATCH(V$1, 'raw-sheet'!$A$1:$ZZ$1, 0))</f>
        <v>紅茶極效修護晶露 145ml | INNISFREE Taiwan</v>
      </c>
      <c r="W233" s="28" t="str">
        <f t="array" ref="W233">INDEX('raw-sheet'!$A$2:$ZZ$1000, ROW(W232), MATCH(W$1, 'raw-sheet'!$A$1:$ZZ$1, 0))</f>
        <v>RESET肌膚重置修護科技™集中修護抗老，舒緩疲憊的肌膚，讓肌膚恢復緊緻，擁有彈嫩透亮好膚質的精華水。 適合經常熬夜或工作壓力大，肌膚缺乏活力和彈性的顧客。</v>
      </c>
      <c r="X233" s="28" t="str">
        <f t="array" ref="X233">INDEX('raw-sheet'!$A$2:$ZZ$1000, ROW(X232), MATCH(X$1, 'raw-sheet'!$A$1:$ZZ$1, 0))</f>
        <v>summary_large_image</v>
      </c>
      <c r="Y233" s="30" t="s">
        <v>11</v>
      </c>
      <c r="Z233" s="28" t="str">
        <f>VLOOKUP($A233,'raw-schema'!$A:$R,14,0)</f>
        <v>Brand</v>
      </c>
      <c r="AA233" s="28" t="str">
        <f>VLOOKUP($A233,'raw-schema'!$A:$R,15,0)</f>
        <v>Offer</v>
      </c>
      <c r="AB233" s="28" t="str">
        <f>VLOOKUP($A233,'raw-schema'!$A:$R,16,0)</f>
        <v>Organization</v>
      </c>
      <c r="AC233" s="28" t="str">
        <f>VLOOKUP($A233,'raw-schema'!$A:$R,17,0)</f>
        <v>Product</v>
      </c>
      <c r="AD233" s="28">
        <f>VLOOKUP($A233,'raw-schema'!$A:$R,18,0)</f>
        <v>0</v>
      </c>
      <c r="AE233" s="30" t="s">
        <v>69</v>
      </c>
    </row>
    <row r="234" spans="1:32" x14ac:dyDescent="0.3">
      <c r="A234" s="28" t="str">
        <f t="array" ref="A234">INDEX('raw-sheet'!$A$2:$ZZ$1000, ROW(A233), MATCH(A$1, 'raw-sheet'!$A$1:$ZZ$1, 0))</f>
        <v>https://innisfree-taiwan.myshopify.com/products/black-tea-youth-enhancing-treatment-essence-75ml</v>
      </c>
      <c r="B234" s="30" t="s">
        <v>11</v>
      </c>
      <c r="C234" s="28" t="str">
        <f t="array" ref="C234">INDEX('raw-sheet'!$A$2:$ZZ$1000, ROW(C233), MATCH(C$1, 'raw-sheet'!$A$1:$ZZ$1, 0))</f>
        <v>Product Detail</v>
      </c>
      <c r="D234" s="28">
        <f t="array" ref="D234">INDEX('raw-sheet'!$A$2:$ZZ$1000, ROW(D233), MATCH(D$1, 'raw-sheet'!$A$1:$ZZ$1, 0))</f>
        <v>200</v>
      </c>
      <c r="E234" s="30" t="str">
        <f t="shared" si="6"/>
        <v>Pass</v>
      </c>
      <c r="F234" s="28" t="str">
        <f t="array" ref="F234">INDEX('raw-sheet'!$A$2:$ZZ$1000, ROW(F233), MATCH(F$1, 'raw-sheet'!$A$1:$ZZ$1, 0))</f>
        <v>紅茶極效修護晶露 75ml_x000D_ | INNISFREE Taiwan</v>
      </c>
      <c r="G234" s="30" t="s">
        <v>11</v>
      </c>
      <c r="H234" s="28" t="str">
        <f t="array" ref="H234">INDEX('raw-sheet'!$A$2:$ZZ$1000, ROW(H233), MATCH(H$1, 'raw-sheet'!$A$1:$ZZ$1, 0))</f>
        <v>蘊含RESET肌膚重置修護科技™，修護受損疲憊的肌膚，讓肌膚恢復緊緻，擁有彈嫩透亮好膚質的精華水。 適合經常熬夜或工作壓力大，肌膚缺乏活力和彈性的顧客。</v>
      </c>
      <c r="I234" s="30" t="s">
        <v>11</v>
      </c>
      <c r="J234" s="28" t="str">
        <f t="array" ref="J234">INDEX('raw-sheet'!$A$2:$ZZ$1000, ROW(J233), MATCH(J$1, 'raw-sheet'!$A$1:$ZZ$1, 0))</f>
        <v>紅茶極效修護晶露 75ml</v>
      </c>
      <c r="K234" s="28" t="str">
        <f t="array" ref="K234">INDEX('raw-sheet'!$A$2:$ZZ$1000, ROW(K233), MATCH(K$1, 'raw-sheet'!$A$1:$ZZ$1, 0))</f>
        <v>1</v>
      </c>
      <c r="L234" s="30" t="s">
        <v>11</v>
      </c>
      <c r="M234" s="28" t="str">
        <f t="array" ref="M234">INDEX('raw-sheet'!$A$2:$ZZ$1000, ROW(M233), MATCH(M$1, 'raw-sheet'!$A$1:$ZZ$1, 0))</f>
        <v>https://innisfree-taiwan.myshopify.com/products/black-tea-youth-enhancing-treatment-essence-75ml</v>
      </c>
      <c r="N234" s="30" t="str">
        <f t="shared" si="7"/>
        <v>Pass</v>
      </c>
      <c r="O234" s="28" t="str">
        <f t="array" ref="O234">INDEX('raw-sheet'!$A$2:$ZZ$1000, ROW(O233), MATCH(O$1, 'raw-sheet'!$A$1:$ZZ$1, 0))</f>
        <v>紅茶極效修護晶露 75ml | INNISFREE Taiwan</v>
      </c>
      <c r="P234" s="28" t="str">
        <f t="array" ref="P234">INDEX('raw-sheet'!$A$2:$ZZ$1000, ROW(P233), MATCH(P$1, 'raw-sheet'!$A$1:$ZZ$1, 0))</f>
        <v>蘊含RESET肌膚重置修護科技™，修護受損疲憊的肌膚，讓肌膚恢復緊緻，擁有彈嫩透亮好膚質的精華水。 適合經常熬夜或工作壓力大，肌膚缺乏活力和彈性的顧客。</v>
      </c>
      <c r="Q234" s="28" t="str">
        <f t="array" ref="Q234">INDEX('raw-sheet'!$A$2:$ZZ$1000, ROW(Q233), MATCH(Q$1, 'raw-sheet'!$A$1:$ZZ$1, 0))</f>
        <v>product</v>
      </c>
      <c r="R234" s="28" t="str">
        <f t="array" ref="R234">INDEX('raw-sheet'!$A$2:$ZZ$1000, ROW(R233), MATCH(R$1, 'raw-sheet'!$A$1:$ZZ$1, 0))</f>
        <v>INNISFREE Taiwan</v>
      </c>
      <c r="S234" s="28" t="str">
        <f t="array" ref="S234">INDEX('raw-sheet'!$A$2:$ZZ$1000, ROW(S233), MATCH(S$1, 'raw-sheet'!$A$1:$ZZ$1, 0))</f>
        <v>http://innisfree-taiwan.myshopify.com/cdn/shop/files/pdp_mig_d8f608e3_20240306_972_ID0101_1_jpg.jpg?v=1768543103</v>
      </c>
      <c r="T234" s="28" t="str">
        <f t="array" ref="T234">INDEX('raw-sheet'!$A$2:$ZZ$1000, ROW(T233), MATCH(T$1, 'raw-sheet'!$A$1:$ZZ$1, 0))</f>
        <v>https://innisfree-taiwan.myshopify.com/cdn/shop/files/pdp_mig_d8f608e3_20240306_972_ID0101_1_jpg.jpg?v=1768543103</v>
      </c>
      <c r="U234" s="28" t="str">
        <f t="array" ref="U234">INDEX('raw-sheet'!$A$2:$ZZ$1000, ROW(U233), MATCH(U$1, 'raw-sheet'!$A$1:$ZZ$1, 0))</f>
        <v>https://innisfree-taiwan.myshopify.com/products/black-tea-youth-enhancing-treatment-essence-75ml</v>
      </c>
      <c r="V234" s="28" t="str">
        <f t="array" ref="V234">INDEX('raw-sheet'!$A$2:$ZZ$1000, ROW(V233), MATCH(V$1, 'raw-sheet'!$A$1:$ZZ$1, 0))</f>
        <v>紅茶極效修護晶露 75ml | INNISFREE Taiwan</v>
      </c>
      <c r="W234" s="28" t="str">
        <f t="array" ref="W234">INDEX('raw-sheet'!$A$2:$ZZ$1000, ROW(W233), MATCH(W$1, 'raw-sheet'!$A$1:$ZZ$1, 0))</f>
        <v>蘊含RESET肌膚重置修護科技™，修護受損疲憊的肌膚，讓肌膚恢復緊緻，擁有彈嫩透亮好膚質的精華水。 適合經常熬夜或工作壓力大，肌膚缺乏活力和彈性的顧客。</v>
      </c>
      <c r="X234" s="28" t="str">
        <f t="array" ref="X234">INDEX('raw-sheet'!$A$2:$ZZ$1000, ROW(X233), MATCH(X$1, 'raw-sheet'!$A$1:$ZZ$1, 0))</f>
        <v>summary_large_image</v>
      </c>
      <c r="Y234" s="30" t="s">
        <v>11</v>
      </c>
      <c r="Z234" s="28" t="str">
        <f>VLOOKUP($A234,'raw-schema'!$A:$R,14,0)</f>
        <v>Brand</v>
      </c>
      <c r="AA234" s="28" t="str">
        <f>VLOOKUP($A234,'raw-schema'!$A:$R,15,0)</f>
        <v>Offer</v>
      </c>
      <c r="AB234" s="28" t="str">
        <f>VLOOKUP($A234,'raw-schema'!$A:$R,16,0)</f>
        <v>Organization</v>
      </c>
      <c r="AC234" s="28" t="str">
        <f>VLOOKUP($A234,'raw-schema'!$A:$R,17,0)</f>
        <v>Product</v>
      </c>
      <c r="AD234" s="28">
        <f>VLOOKUP($A234,'raw-schema'!$A:$R,18,0)</f>
        <v>0</v>
      </c>
      <c r="AE234" s="30" t="s">
        <v>69</v>
      </c>
    </row>
    <row r="235" spans="1:32" x14ac:dyDescent="0.3">
      <c r="A235" s="28" t="str">
        <f t="array" ref="A235">INDEX('raw-sheet'!$A$2:$ZZ$1000, ROW(A234), MATCH(A$1, 'raw-sheet'!$A$1:$ZZ$1, 0))</f>
        <v>https://innisfree-taiwan.myshopify.com/products/chi-set3</v>
      </c>
      <c r="B235" s="30" t="s">
        <v>11</v>
      </c>
      <c r="C235" s="28" t="str">
        <f t="array" ref="C235">INDEX('raw-sheet'!$A$2:$ZZ$1000, ROW(C234), MATCH(C$1, 'raw-sheet'!$A$1:$ZZ$1, 0))</f>
        <v>Product Detail</v>
      </c>
      <c r="D235" s="28">
        <f t="array" ref="D235">INDEX('raw-sheet'!$A$2:$ZZ$1000, ROW(D234), MATCH(D$1, 'raw-sheet'!$A$1:$ZZ$1, 0))</f>
        <v>200</v>
      </c>
      <c r="E235" s="30" t="str">
        <f t="shared" si="6"/>
        <v>Pass</v>
      </c>
      <c r="F235" s="28" t="str">
        <f t="array" ref="F235">INDEX('raw-sheet'!$A$2:$ZZ$1000, ROW(F234), MATCH(F$1, 'raw-sheet'!$A$1:$ZZ$1, 0))</f>
        <v>【💖綺綺團購優惠】綠茶神經醯胺牛奶水三入囤貨組_x000D_ | INNISFREE Taiwan</v>
      </c>
      <c r="G235" s="30" t="s">
        <v>11</v>
      </c>
      <c r="H235" s="28" t="str">
        <f t="array" ref="H235">INDEX('raw-sheet'!$A$2:$ZZ$1000, ROW(H234), MATCH(H$1, 'raw-sheet'!$A$1:$ZZ$1, 0))</f>
        <v>富含超導綠茶保濕科技™和神經酰胺的輕盈配方，有助於強化肌膚保濕屏障，使肌膚恢復健康水潤的精華液。</v>
      </c>
      <c r="I235" s="30" t="s">
        <v>60</v>
      </c>
      <c r="J235" s="28" t="str">
        <f t="array" ref="J235">INDEX('raw-sheet'!$A$2:$ZZ$1000, ROW(J234), MATCH(J$1, 'raw-sheet'!$A$1:$ZZ$1, 0))</f>
        <v>【💖綺綺團購優惠】綠茶神經醯胺牛奶水三入囤貨組</v>
      </c>
      <c r="K235" s="28" t="str">
        <f t="array" ref="K235">INDEX('raw-sheet'!$A$2:$ZZ$1000, ROW(K234), MATCH(K$1, 'raw-sheet'!$A$1:$ZZ$1, 0))</f>
        <v>1</v>
      </c>
      <c r="L235" s="30" t="s">
        <v>11</v>
      </c>
      <c r="M235" s="28" t="str">
        <f t="array" ref="M235">INDEX('raw-sheet'!$A$2:$ZZ$1000, ROW(M234), MATCH(M$1, 'raw-sheet'!$A$1:$ZZ$1, 0))</f>
        <v>https://innisfree-taiwan.myshopify.com/products/chi-set3</v>
      </c>
      <c r="N235" s="30" t="str">
        <f t="shared" si="7"/>
        <v>Pass</v>
      </c>
      <c r="O235" s="28" t="str">
        <f t="array" ref="O235">INDEX('raw-sheet'!$A$2:$ZZ$1000, ROW(O234), MATCH(O$1, 'raw-sheet'!$A$1:$ZZ$1, 0))</f>
        <v>【💖綺綺團購優惠】綠茶神經醯胺牛奶水三入囤貨組 | INNISFREE Taiwan</v>
      </c>
      <c r="P235" s="28" t="str">
        <f t="array" ref="P235">INDEX('raw-sheet'!$A$2:$ZZ$1000, ROW(P234), MATCH(P$1, 'raw-sheet'!$A$1:$ZZ$1, 0))</f>
        <v>富含超導綠茶保濕科技™和神經酰胺的輕盈配方，有助於強化肌膚保濕屏障，使肌膚恢復健康水潤的精華液。</v>
      </c>
      <c r="Q235" s="28" t="str">
        <f t="array" ref="Q235">INDEX('raw-sheet'!$A$2:$ZZ$1000, ROW(Q234), MATCH(Q$1, 'raw-sheet'!$A$1:$ZZ$1, 0))</f>
        <v>product</v>
      </c>
      <c r="R235" s="28" t="str">
        <f t="array" ref="R235">INDEX('raw-sheet'!$A$2:$ZZ$1000, ROW(R234), MATCH(R$1, 'raw-sheet'!$A$1:$ZZ$1, 0))</f>
        <v>INNISFREE Taiwan</v>
      </c>
      <c r="S235" s="28" t="str">
        <f t="array" ref="S235">INDEX('raw-sheet'!$A$2:$ZZ$1000, ROW(S234), MATCH(S$1, 'raw-sheet'!$A$1:$ZZ$1, 0))</f>
        <v>http://innisfree-taiwan.myshopify.com/cdn/shop/files/20251127_1698_ID0101_1.jpg?v=1770623251</v>
      </c>
      <c r="T235" s="28" t="str">
        <f t="array" ref="T235">INDEX('raw-sheet'!$A$2:$ZZ$1000, ROW(T234), MATCH(T$1, 'raw-sheet'!$A$1:$ZZ$1, 0))</f>
        <v>https://innisfree-taiwan.myshopify.com/cdn/shop/files/20251127_1698_ID0101_1.jpg?v=1770623251</v>
      </c>
      <c r="U235" s="28" t="str">
        <f t="array" ref="U235">INDEX('raw-sheet'!$A$2:$ZZ$1000, ROW(U234), MATCH(U$1, 'raw-sheet'!$A$1:$ZZ$1, 0))</f>
        <v>https://innisfree-taiwan.myshopify.com/products/chi-set3</v>
      </c>
      <c r="V235" s="28" t="str">
        <f t="array" ref="V235">INDEX('raw-sheet'!$A$2:$ZZ$1000, ROW(V234), MATCH(V$1, 'raw-sheet'!$A$1:$ZZ$1, 0))</f>
        <v>【💖綺綺團購優惠】綠茶神經醯胺牛奶水三入囤貨組 | INNISFREE Taiwan</v>
      </c>
      <c r="W235" s="28" t="str">
        <f t="array" ref="W235">INDEX('raw-sheet'!$A$2:$ZZ$1000, ROW(W234), MATCH(W$1, 'raw-sheet'!$A$1:$ZZ$1, 0))</f>
        <v>富含超導綠茶保濕科技™和神經酰胺的輕盈配方，有助於強化肌膚保濕屏障，使肌膚恢復健康水潤的精華液。</v>
      </c>
      <c r="X235" s="28" t="str">
        <f t="array" ref="X235">INDEX('raw-sheet'!$A$2:$ZZ$1000, ROW(X234), MATCH(X$1, 'raw-sheet'!$A$1:$ZZ$1, 0))</f>
        <v>summary_large_image</v>
      </c>
      <c r="Y235" s="30" t="s">
        <v>56</v>
      </c>
      <c r="Z235" s="28" t="str">
        <f>VLOOKUP($A235,'raw-schema'!$A:$R,14,0)</f>
        <v>Brand</v>
      </c>
      <c r="AA235" s="28" t="str">
        <f>VLOOKUP($A235,'raw-schema'!$A:$R,15,0)</f>
        <v>Offer</v>
      </c>
      <c r="AB235" s="28" t="str">
        <f>VLOOKUP($A235,'raw-schema'!$A:$R,16,0)</f>
        <v>Organization</v>
      </c>
      <c r="AC235" s="28" t="str">
        <f>VLOOKUP($A235,'raw-schema'!$A:$R,17,0)</f>
        <v>Product</v>
      </c>
      <c r="AD235" s="28">
        <f>VLOOKUP($A235,'raw-schema'!$A:$R,18,0)</f>
        <v>0</v>
      </c>
      <c r="AE235" s="30" t="s">
        <v>69</v>
      </c>
    </row>
    <row r="236" spans="1:32" x14ac:dyDescent="0.3">
      <c r="A236" s="28" t="str">
        <f t="array" ref="A236">INDEX('raw-sheet'!$A$2:$ZZ$1000, ROW(A235), MATCH(A$1, 'raw-sheet'!$A$1:$ZZ$1, 0))</f>
        <v>https://innisfree-taiwan.myshopify.com/products/collagen-green-tea-ceramide-bounce-cream-refill</v>
      </c>
      <c r="B236" s="30" t="s">
        <v>11</v>
      </c>
      <c r="C236" s="28" t="str">
        <f t="array" ref="C236">INDEX('raw-sheet'!$A$2:$ZZ$1000, ROW(C235), MATCH(C$1, 'raw-sheet'!$A$1:$ZZ$1, 0))</f>
        <v>Product Detail</v>
      </c>
      <c r="D236" s="28">
        <f t="array" ref="D236">INDEX('raw-sheet'!$A$2:$ZZ$1000, ROW(D235), MATCH(D$1, 'raw-sheet'!$A$1:$ZZ$1, 0))</f>
        <v>200</v>
      </c>
      <c r="E236" s="30" t="str">
        <f t="shared" si="6"/>
        <v>Pass</v>
      </c>
      <c r="F236" s="28" t="str">
        <f t="array" ref="F236">INDEX('raw-sheet'!$A$2:$ZZ$1000, ROW(F235), MATCH(F$1, 'raw-sheet'!$A$1:$ZZ$1, 0))</f>
        <v>膠原胜肽緊緻澎澎霜 [補充包] 50ml_x000D_ | INNISFREE Taiwan</v>
      </c>
      <c r="G236" s="30" t="s">
        <v>11</v>
      </c>
      <c r="H236" s="28" t="str">
        <f t="array" ref="H236">INDEX('raw-sheet'!$A$2:$ZZ$1000, ROW(H235), MATCH(H$1, 'raw-sheet'!$A$1:$ZZ$1, 0))</f>
        <v>質地清爽不黏膩的緊緻霜，可有效滲透並保濕肌膚，同時增強肌膚彈性、改善毛孔問題。低頭族，年輕族群有預防保養需求，但不喜歡厚重質地的顧客。</v>
      </c>
      <c r="I236" s="30" t="s">
        <v>11</v>
      </c>
      <c r="J236" s="28" t="str">
        <f t="array" ref="J236">INDEX('raw-sheet'!$A$2:$ZZ$1000, ROW(J235), MATCH(J$1, 'raw-sheet'!$A$1:$ZZ$1, 0))</f>
        <v>膠原胜肽緊緻澎澎霜 [補充包] 50ml</v>
      </c>
      <c r="K236" s="28" t="str">
        <f t="array" ref="K236">INDEX('raw-sheet'!$A$2:$ZZ$1000, ROW(K235), MATCH(K$1, 'raw-sheet'!$A$1:$ZZ$1, 0))</f>
        <v>1</v>
      </c>
      <c r="L236" s="30" t="s">
        <v>11</v>
      </c>
      <c r="M236" s="28" t="str">
        <f t="array" ref="M236">INDEX('raw-sheet'!$A$2:$ZZ$1000, ROW(M235), MATCH(M$1, 'raw-sheet'!$A$1:$ZZ$1, 0))</f>
        <v>https://innisfree-taiwan.myshopify.com/products/collagen-green-tea-ceramide-bounce-cream-refill</v>
      </c>
      <c r="N236" s="30" t="str">
        <f t="shared" si="7"/>
        <v>Pass</v>
      </c>
      <c r="O236" s="28" t="str">
        <f t="array" ref="O236">INDEX('raw-sheet'!$A$2:$ZZ$1000, ROW(O235), MATCH(O$1, 'raw-sheet'!$A$1:$ZZ$1, 0))</f>
        <v>膠原胜肽緊緻澎澎霜 [補充包] 50ml | INNISFREE Taiwan</v>
      </c>
      <c r="P236" s="28" t="str">
        <f t="array" ref="P236">INDEX('raw-sheet'!$A$2:$ZZ$1000, ROW(P235), MATCH(P$1, 'raw-sheet'!$A$1:$ZZ$1, 0))</f>
        <v>質地清爽不黏膩的緊緻霜，可有效滲透並保濕肌膚，同時增強肌膚彈性、改善毛孔問題。低頭族，年輕族群有預防保養需求，但不喜歡厚重質地的顧客。</v>
      </c>
      <c r="Q236" s="28" t="str">
        <f t="array" ref="Q236">INDEX('raw-sheet'!$A$2:$ZZ$1000, ROW(Q235), MATCH(Q$1, 'raw-sheet'!$A$1:$ZZ$1, 0))</f>
        <v>product</v>
      </c>
      <c r="R236" s="28" t="str">
        <f t="array" ref="R236">INDEX('raw-sheet'!$A$2:$ZZ$1000, ROW(R235), MATCH(R$1, 'raw-sheet'!$A$1:$ZZ$1, 0))</f>
        <v>INNISFREE Taiwan</v>
      </c>
      <c r="S236" s="28" t="str">
        <f t="array" ref="S236">INDEX('raw-sheet'!$A$2:$ZZ$1000, ROW(S235), MATCH(S$1, 'raw-sheet'!$A$1:$ZZ$1, 0))</f>
        <v>http://innisfree-taiwan.myshopify.com/cdn/shop/files/pdp_mig_a27359f9_20260109_1285_ID0101_1_jpg.jpg?v=1768543076</v>
      </c>
      <c r="T236" s="28" t="str">
        <f t="array" ref="T236">INDEX('raw-sheet'!$A$2:$ZZ$1000, ROW(T235), MATCH(T$1, 'raw-sheet'!$A$1:$ZZ$1, 0))</f>
        <v>https://innisfree-taiwan.myshopify.com/cdn/shop/files/pdp_mig_a27359f9_20260109_1285_ID0101_1_jpg.jpg?v=1768543076</v>
      </c>
      <c r="U236" s="28" t="str">
        <f t="array" ref="U236">INDEX('raw-sheet'!$A$2:$ZZ$1000, ROW(U235), MATCH(U$1, 'raw-sheet'!$A$1:$ZZ$1, 0))</f>
        <v>https://innisfree-taiwan.myshopify.com/products/collagen-green-tea-ceramide-bounce-cream-refill</v>
      </c>
      <c r="V236" s="28" t="str">
        <f t="array" ref="V236">INDEX('raw-sheet'!$A$2:$ZZ$1000, ROW(V235), MATCH(V$1, 'raw-sheet'!$A$1:$ZZ$1, 0))</f>
        <v>膠原胜肽緊緻澎澎霜 [補充包] 50ml | INNISFREE Taiwan</v>
      </c>
      <c r="W236" s="28" t="str">
        <f t="array" ref="W236">INDEX('raw-sheet'!$A$2:$ZZ$1000, ROW(W235), MATCH(W$1, 'raw-sheet'!$A$1:$ZZ$1, 0))</f>
        <v>質地清爽不黏膩的緊緻霜，可有效滲透並保濕肌膚，同時增強肌膚彈性、改善毛孔問題。低頭族，年輕族群有預防保養需求，但不喜歡厚重質地的顧客。</v>
      </c>
      <c r="X236" s="28" t="str">
        <f t="array" ref="X236">INDEX('raw-sheet'!$A$2:$ZZ$1000, ROW(X235), MATCH(X$1, 'raw-sheet'!$A$1:$ZZ$1, 0))</f>
        <v>summary_large_image</v>
      </c>
      <c r="Y236" s="30" t="s">
        <v>11</v>
      </c>
      <c r="Z236" s="28" t="str">
        <f>VLOOKUP($A236,'raw-schema'!$A:$R,14,0)</f>
        <v>Brand</v>
      </c>
      <c r="AA236" s="28" t="str">
        <f>VLOOKUP($A236,'raw-schema'!$A:$R,15,0)</f>
        <v>Offer</v>
      </c>
      <c r="AB236" s="28" t="str">
        <f>VLOOKUP($A236,'raw-schema'!$A:$R,16,0)</f>
        <v>Organization</v>
      </c>
      <c r="AC236" s="28" t="str">
        <f>VLOOKUP($A236,'raw-schema'!$A:$R,17,0)</f>
        <v>Product</v>
      </c>
      <c r="AD236" s="28">
        <f>VLOOKUP($A236,'raw-schema'!$A:$R,18,0)</f>
        <v>0</v>
      </c>
      <c r="AE236" s="30" t="s">
        <v>69</v>
      </c>
    </row>
    <row r="237" spans="1:32" x14ac:dyDescent="0.3">
      <c r="A237" s="28" t="str">
        <f t="array" ref="A237">INDEX('raw-sheet'!$A$2:$ZZ$1000, ROW(A236), MATCH(A$1, 'raw-sheet'!$A$1:$ZZ$1, 0))</f>
        <v>https://innisfree-taiwan.myshopify.com/products/dan-set1</v>
      </c>
      <c r="B237" s="30" t="s">
        <v>11</v>
      </c>
      <c r="C237" s="28" t="str">
        <f t="array" ref="C237">INDEX('raw-sheet'!$A$2:$ZZ$1000, ROW(C236), MATCH(C$1, 'raw-sheet'!$A$1:$ZZ$1, 0))</f>
        <v>Product Detail</v>
      </c>
      <c r="D237" s="28">
        <f t="array" ref="D237">INDEX('raw-sheet'!$A$2:$ZZ$1000, ROW(D236), MATCH(D$1, 'raw-sheet'!$A$1:$ZZ$1, 0))</f>
        <v>200</v>
      </c>
      <c r="E237" s="30" t="str">
        <f t="shared" si="6"/>
        <v>Pass</v>
      </c>
      <c r="F237" s="28" t="str">
        <f t="array" ref="F237">INDEX('raw-sheet'!$A$2:$ZZ$1000, ROW(F236), MATCH(F$1, 'raw-sheet'!$A$1:$ZZ$1, 0))</f>
        <v>[💙單單限定優惠]牛奶肌水嫩緊緻保養組_x000D_ | INNISFREE Taiwan</v>
      </c>
      <c r="G237" s="30" t="s">
        <v>11</v>
      </c>
      <c r="H237" s="28" t="str">
        <f t="array" ref="H237">INDEX('raw-sheet'!$A$2:$ZZ$1000, ROW(H236), MATCH(H$1, 'raw-sheet'!$A$1:$ZZ$1, 0))</f>
        <v>綠茶神經醯胺牛奶水精華160ml+1%A醇PDRN水光安瓶25ml [先牛奶水後PDRN 進階保養] 推薦給肌膚暗沉粗糙、想緊緻毛孔及預防細紋的人，先用綠茶牛奶水精華深入保濕&amp;修復肌膚屏障、再用PDRN水光安瓶緊緻肌膚、減少細紋。</v>
      </c>
      <c r="I237" s="30" t="s">
        <v>60</v>
      </c>
      <c r="J237" s="28" t="str">
        <f t="array" ref="J237">INDEX('raw-sheet'!$A$2:$ZZ$1000, ROW(J236), MATCH(J$1, 'raw-sheet'!$A$1:$ZZ$1, 0))</f>
        <v>[💙單單限定優惠]牛奶肌水嫩緊緻保養組</v>
      </c>
      <c r="K237" s="28" t="str">
        <f t="array" ref="K237">INDEX('raw-sheet'!$A$2:$ZZ$1000, ROW(K236), MATCH(K$1, 'raw-sheet'!$A$1:$ZZ$1, 0))</f>
        <v>1</v>
      </c>
      <c r="L237" s="30" t="s">
        <v>11</v>
      </c>
      <c r="M237" s="28" t="str">
        <f t="array" ref="M237">INDEX('raw-sheet'!$A$2:$ZZ$1000, ROW(M236), MATCH(M$1, 'raw-sheet'!$A$1:$ZZ$1, 0))</f>
        <v>https://innisfree-taiwan.myshopify.com/products/dan-set1</v>
      </c>
      <c r="N237" s="30" t="str">
        <f t="shared" si="7"/>
        <v>Pass</v>
      </c>
      <c r="O237" s="28" t="str">
        <f t="array" ref="O237">INDEX('raw-sheet'!$A$2:$ZZ$1000, ROW(O236), MATCH(O$1, 'raw-sheet'!$A$1:$ZZ$1, 0))</f>
        <v>[💙單單限定優惠]牛奶肌水嫩緊緻保養組 | INNISFREE Taiwan</v>
      </c>
      <c r="P237" s="28" t="str">
        <f t="array" ref="P237">INDEX('raw-sheet'!$A$2:$ZZ$1000, ROW(P236), MATCH(P$1, 'raw-sheet'!$A$1:$ZZ$1, 0))</f>
        <v>綠茶神經醯胺牛奶水精華160ml+1%A醇PDRN水光安瓶25ml [先牛奶水後PDRN 進階保養] 推薦給肌膚暗沉粗糙、想緊緻毛孔及預防細紋的人，先用綠茶牛奶水精華深入保濕&amp;修復肌膚屏障、再用PDRN水光安瓶緊緻肌膚、減少細紋。</v>
      </c>
      <c r="Q237" s="28" t="str">
        <f t="array" ref="Q237">INDEX('raw-sheet'!$A$2:$ZZ$1000, ROW(Q236), MATCH(Q$1, 'raw-sheet'!$A$1:$ZZ$1, 0))</f>
        <v>product</v>
      </c>
      <c r="R237" s="28" t="str">
        <f t="array" ref="R237">INDEX('raw-sheet'!$A$2:$ZZ$1000, ROW(R236), MATCH(R$1, 'raw-sheet'!$A$1:$ZZ$1, 0))</f>
        <v>INNISFREE Taiwan</v>
      </c>
      <c r="S237" s="28" t="str">
        <f t="array" ref="S237">INDEX('raw-sheet'!$A$2:$ZZ$1000, ROW(S236), MATCH(S$1, 'raw-sheet'!$A$1:$ZZ$1, 0))</f>
        <v>http://innisfree-taiwan.myshopify.com/cdn/shop/files/20251226_1714_ID0101_1.jpg?v=1770623251</v>
      </c>
      <c r="T237" s="28" t="str">
        <f t="array" ref="T237">INDEX('raw-sheet'!$A$2:$ZZ$1000, ROW(T236), MATCH(T$1, 'raw-sheet'!$A$1:$ZZ$1, 0))</f>
        <v>https://innisfree-taiwan.myshopify.com/cdn/shop/files/20251226_1714_ID0101_1.jpg?v=1770623251</v>
      </c>
      <c r="U237" s="28" t="str">
        <f t="array" ref="U237">INDEX('raw-sheet'!$A$2:$ZZ$1000, ROW(U236), MATCH(U$1, 'raw-sheet'!$A$1:$ZZ$1, 0))</f>
        <v>https://innisfree-taiwan.myshopify.com/products/dan-set1</v>
      </c>
      <c r="V237" s="28" t="str">
        <f t="array" ref="V237">INDEX('raw-sheet'!$A$2:$ZZ$1000, ROW(V236), MATCH(V$1, 'raw-sheet'!$A$1:$ZZ$1, 0))</f>
        <v>[💙單單限定優惠]牛奶肌水嫩緊緻保養組 | INNISFREE Taiwan</v>
      </c>
      <c r="W237" s="28" t="str">
        <f t="array" ref="W237">INDEX('raw-sheet'!$A$2:$ZZ$1000, ROW(W236), MATCH(W$1, 'raw-sheet'!$A$1:$ZZ$1, 0))</f>
        <v>綠茶神經醯胺牛奶水精華160ml+1%A醇PDRN水光安瓶25ml [先牛奶水後PDRN 進階保養] 推薦給肌膚暗沉粗糙、想緊緻毛孔及預防細紋的人，先用綠茶牛奶水精華深入保濕&amp;修復肌膚屏障、再用PDRN水光安瓶緊緻肌膚、減少細紋。</v>
      </c>
      <c r="X237" s="28" t="str">
        <f t="array" ref="X237">INDEX('raw-sheet'!$A$2:$ZZ$1000, ROW(X236), MATCH(X$1, 'raw-sheet'!$A$1:$ZZ$1, 0))</f>
        <v>summary_large_image</v>
      </c>
      <c r="Y237" s="30" t="s">
        <v>56</v>
      </c>
      <c r="Z237" s="28" t="str">
        <f>VLOOKUP($A237,'raw-schema'!$A:$R,14,0)</f>
        <v>Brand</v>
      </c>
      <c r="AA237" s="28" t="str">
        <f>VLOOKUP($A237,'raw-schema'!$A:$R,15,0)</f>
        <v>Offer</v>
      </c>
      <c r="AB237" s="28" t="str">
        <f>VLOOKUP($A237,'raw-schema'!$A:$R,16,0)</f>
        <v>Organization</v>
      </c>
      <c r="AC237" s="28" t="str">
        <f>VLOOKUP($A237,'raw-schema'!$A:$R,17,0)</f>
        <v>Product</v>
      </c>
      <c r="AD237" s="28">
        <f>VLOOKUP($A237,'raw-schema'!$A:$R,18,0)</f>
        <v>0</v>
      </c>
      <c r="AE237" s="30" t="s">
        <v>69</v>
      </c>
    </row>
    <row r="238" spans="1:32" x14ac:dyDescent="0.3">
      <c r="A238" s="28" t="str">
        <f t="array" ref="A238">INDEX('raw-sheet'!$A$2:$ZZ$1000, ROW(A237), MATCH(A$1, 'raw-sheet'!$A$1:$ZZ$1, 0))</f>
        <v>https://innisfree-taiwan.myshopify.com/products/dan-set2</v>
      </c>
      <c r="B238" s="30" t="s">
        <v>11</v>
      </c>
      <c r="C238" s="28" t="str">
        <f t="array" ref="C238">INDEX('raw-sheet'!$A$2:$ZZ$1000, ROW(C237), MATCH(C$1, 'raw-sheet'!$A$1:$ZZ$1, 0))</f>
        <v>Product Detail</v>
      </c>
      <c r="D238" s="28">
        <f t="array" ref="D238">INDEX('raw-sheet'!$A$2:$ZZ$1000, ROW(D237), MATCH(D$1, 'raw-sheet'!$A$1:$ZZ$1, 0))</f>
        <v>200</v>
      </c>
      <c r="E238" s="30" t="str">
        <f t="shared" si="6"/>
        <v>Pass</v>
      </c>
      <c r="F238" s="28" t="str">
        <f t="array" ref="F238">INDEX('raw-sheet'!$A$2:$ZZ$1000, ROW(F237), MATCH(F$1, 'raw-sheet'!$A$1:$ZZ$1, 0))</f>
        <v>[💙單單限定優惠]雙A水煮蛋肌補水亮膚組_x000D_ | INNISFREE Taiwan</v>
      </c>
      <c r="G238" s="30" t="s">
        <v>11</v>
      </c>
      <c r="H238" s="28" t="str">
        <f t="array" ref="H238">INDEX('raw-sheet'!$A$2:$ZZ$1000, ROW(H237), MATCH(H$1, 'raw-sheet'!$A$1:$ZZ$1, 0))</f>
        <v>1%A醇PDRN水光安瓶25ml+A醇淨膚超修護安瓶 30ml+維他命C淨亮精華果凍面膜 25ml+1%A醇PDRN水光安瓶果凍面膜 24ml [A醇2+1循環保養] 醫美小白也能無痛體驗不用針的水光奇蹟 每2日使用A醇安瓶溫和代謝老廢角質，改善痘痘粉刺困擾 第3日使用PDRN光安瓶加強煥膚，緊緻肌膚、減少細紋，同時改善毛孔粗大問題</v>
      </c>
      <c r="I238" s="30" t="s">
        <v>11</v>
      </c>
      <c r="J238" s="28" t="str">
        <f t="array" ref="J238">INDEX('raw-sheet'!$A$2:$ZZ$1000, ROW(J237), MATCH(J$1, 'raw-sheet'!$A$1:$ZZ$1, 0))</f>
        <v>[💙單單限定優惠]雙A水煮蛋肌補水亮膚組</v>
      </c>
      <c r="K238" s="28" t="str">
        <f t="array" ref="K238">INDEX('raw-sheet'!$A$2:$ZZ$1000, ROW(K237), MATCH(K$1, 'raw-sheet'!$A$1:$ZZ$1, 0))</f>
        <v>1</v>
      </c>
      <c r="L238" s="30" t="s">
        <v>11</v>
      </c>
      <c r="M238" s="28" t="str">
        <f t="array" ref="M238">INDEX('raw-sheet'!$A$2:$ZZ$1000, ROW(M237), MATCH(M$1, 'raw-sheet'!$A$1:$ZZ$1, 0))</f>
        <v>https://innisfree-taiwan.myshopify.com/products/dan-set2</v>
      </c>
      <c r="N238" s="30" t="str">
        <f t="shared" si="7"/>
        <v>Pass</v>
      </c>
      <c r="O238" s="28" t="str">
        <f t="array" ref="O238">INDEX('raw-sheet'!$A$2:$ZZ$1000, ROW(O237), MATCH(O$1, 'raw-sheet'!$A$1:$ZZ$1, 0))</f>
        <v>[💙單單限定優惠]雙A水煮蛋肌補水亮膚組 | INNISFREE Taiwan</v>
      </c>
      <c r="P238" s="28" t="str">
        <f t="array" ref="P238">INDEX('raw-sheet'!$A$2:$ZZ$1000, ROW(P237), MATCH(P$1, 'raw-sheet'!$A$1:$ZZ$1, 0))</f>
        <v>1%A醇PDRN水光安瓶25ml+A醇淨膚超修護安瓶 30ml+維他命C淨亮精華果凍面膜 25ml+1%A醇PDRN水光安瓶果凍面膜 24ml [A醇2+1循環保養] 醫美小白也能無痛體驗不用針的水光奇蹟 每2日使用A醇安瓶溫和代謝老廢角質，改善痘痘粉刺困擾 第3日使用PDRN光安瓶加強煥膚，緊緻肌膚、減少細紋，同時改善毛孔粗大問題</v>
      </c>
      <c r="Q238" s="28" t="str">
        <f t="array" ref="Q238">INDEX('raw-sheet'!$A$2:$ZZ$1000, ROW(Q237), MATCH(Q$1, 'raw-sheet'!$A$1:$ZZ$1, 0))</f>
        <v>product</v>
      </c>
      <c r="R238" s="28" t="str">
        <f t="array" ref="R238">INDEX('raw-sheet'!$A$2:$ZZ$1000, ROW(R237), MATCH(R$1, 'raw-sheet'!$A$1:$ZZ$1, 0))</f>
        <v>INNISFREE Taiwan</v>
      </c>
      <c r="S238" s="28" t="str">
        <f t="array" ref="S238">INDEX('raw-sheet'!$A$2:$ZZ$1000, ROW(S237), MATCH(S$1, 'raw-sheet'!$A$1:$ZZ$1, 0))</f>
        <v>http://innisfree-taiwan.myshopify.com/cdn/shop/files/20251226_1715_ID0101_1.jpg?v=1770623248</v>
      </c>
      <c r="T238" s="28" t="str">
        <f t="array" ref="T238">INDEX('raw-sheet'!$A$2:$ZZ$1000, ROW(T237), MATCH(T$1, 'raw-sheet'!$A$1:$ZZ$1, 0))</f>
        <v>https://innisfree-taiwan.myshopify.com/cdn/shop/files/20251226_1715_ID0101_1.jpg?v=1770623248</v>
      </c>
      <c r="U238" s="28" t="str">
        <f t="array" ref="U238">INDEX('raw-sheet'!$A$2:$ZZ$1000, ROW(U237), MATCH(U$1, 'raw-sheet'!$A$1:$ZZ$1, 0))</f>
        <v>https://innisfree-taiwan.myshopify.com/products/dan-set2</v>
      </c>
      <c r="V238" s="28" t="str">
        <f t="array" ref="V238">INDEX('raw-sheet'!$A$2:$ZZ$1000, ROW(V237), MATCH(V$1, 'raw-sheet'!$A$1:$ZZ$1, 0))</f>
        <v>[💙單單限定優惠]雙A水煮蛋肌補水亮膚組 | INNISFREE Taiwan</v>
      </c>
      <c r="W238" s="28" t="str">
        <f t="array" ref="W238">INDEX('raw-sheet'!$A$2:$ZZ$1000, ROW(W237), MATCH(W$1, 'raw-sheet'!$A$1:$ZZ$1, 0))</f>
        <v>1%A醇PDRN水光安瓶25ml+A醇淨膚超修護安瓶 30ml+維他命C淨亮精華果凍面膜 25ml+1%A醇PDRN水光安瓶果凍面膜 24ml [A醇2+1循環保養] 醫美小白也能無痛體驗不用針的水光奇蹟 每2日使用A醇安瓶溫和代謝老廢角質，改善痘痘粉刺困擾 第3日使用PDRN光安瓶加強煥膚，緊緻肌膚、減少細紋，同時改善毛孔粗大問題</v>
      </c>
      <c r="X238" s="28" t="str">
        <f t="array" ref="X238">INDEX('raw-sheet'!$A$2:$ZZ$1000, ROW(X237), MATCH(X$1, 'raw-sheet'!$A$1:$ZZ$1, 0))</f>
        <v>summary_large_image</v>
      </c>
      <c r="Y238" s="30" t="s">
        <v>11</v>
      </c>
      <c r="Z238" s="28" t="str">
        <f>VLOOKUP($A238,'raw-schema'!$A:$R,14,0)</f>
        <v>Brand</v>
      </c>
      <c r="AA238" s="28" t="str">
        <f>VLOOKUP($A238,'raw-schema'!$A:$R,15,0)</f>
        <v>Offer</v>
      </c>
      <c r="AB238" s="28" t="str">
        <f>VLOOKUP($A238,'raw-schema'!$A:$R,16,0)</f>
        <v>Organization</v>
      </c>
      <c r="AC238" s="28" t="str">
        <f>VLOOKUP($A238,'raw-schema'!$A:$R,17,0)</f>
        <v>Product</v>
      </c>
      <c r="AD238" s="28">
        <f>VLOOKUP($A238,'raw-schema'!$A:$R,18,0)</f>
        <v>0</v>
      </c>
      <c r="AE238" s="30" t="s">
        <v>69</v>
      </c>
    </row>
    <row r="239" spans="1:32" x14ac:dyDescent="0.3">
      <c r="A239" s="28" t="str">
        <f t="array" ref="A239">INDEX('raw-sheet'!$A$2:$ZZ$1000, ROW(A238), MATCH(A$1, 'raw-sheet'!$A$1:$ZZ$1, 0))</f>
        <v>https://innisfree-taiwan.myshopify.com/products/dan-set3</v>
      </c>
      <c r="B239" s="30" t="s">
        <v>11</v>
      </c>
      <c r="C239" s="28" t="str">
        <f t="array" ref="C239">INDEX('raw-sheet'!$A$2:$ZZ$1000, ROW(C238), MATCH(C$1, 'raw-sheet'!$A$1:$ZZ$1, 0))</f>
        <v>Product Detail</v>
      </c>
      <c r="D239" s="28">
        <f t="array" ref="D239">INDEX('raw-sheet'!$A$2:$ZZ$1000, ROW(D238), MATCH(D$1, 'raw-sheet'!$A$1:$ZZ$1, 0))</f>
        <v>200</v>
      </c>
      <c r="E239" s="30" t="str">
        <f t="shared" si="6"/>
        <v>Pass</v>
      </c>
      <c r="F239" s="28" t="str">
        <f t="array" ref="F239">INDEX('raw-sheet'!$A$2:$ZZ$1000, ROW(F238), MATCH(F$1, 'raw-sheet'!$A$1:$ZZ$1, 0))</f>
        <v>[💙單單限定優惠]早C晚A緊緻亮膚組_x000D_ | INNISFREE Taiwan</v>
      </c>
      <c r="G239" s="30" t="s">
        <v>11</v>
      </c>
      <c r="H239" s="28" t="str">
        <f t="array" ref="H239">INDEX('raw-sheet'!$A$2:$ZZ$1000, ROW(H238), MATCH(H$1, 'raw-sheet'!$A$1:$ZZ$1, 0))</f>
        <v>維他命C淨亮棉片170ml (60片)+1%A醇PDRN水光安瓶25ml+1%A醇PDRN水光安瓶果凍面膜 推薦給想緊緻毛孔及預防細紋的人，醫美小白也能無痛煥膚打造水光奇肌！ 早上使用維生素C淡化斑點、改善暗沉 夜間使用PDRN水光安瓶緊緻肌膚、減少細紋，同時改善毛孔粗大問題</v>
      </c>
      <c r="I239" s="30" t="s">
        <v>11</v>
      </c>
      <c r="J239" s="28" t="str">
        <f t="array" ref="J239">INDEX('raw-sheet'!$A$2:$ZZ$1000, ROW(J238), MATCH(J$1, 'raw-sheet'!$A$1:$ZZ$1, 0))</f>
        <v>[💙單單限定優惠]早C晚A緊緻亮膚組</v>
      </c>
      <c r="K239" s="28" t="str">
        <f t="array" ref="K239">INDEX('raw-sheet'!$A$2:$ZZ$1000, ROW(K238), MATCH(K$1, 'raw-sheet'!$A$1:$ZZ$1, 0))</f>
        <v>1</v>
      </c>
      <c r="L239" s="30" t="s">
        <v>11</v>
      </c>
      <c r="M239" s="28" t="str">
        <f t="array" ref="M239">INDEX('raw-sheet'!$A$2:$ZZ$1000, ROW(M238), MATCH(M$1, 'raw-sheet'!$A$1:$ZZ$1, 0))</f>
        <v>https://innisfree-taiwan.myshopify.com/products/dan-set3</v>
      </c>
      <c r="N239" s="30" t="str">
        <f t="shared" si="7"/>
        <v>Pass</v>
      </c>
      <c r="O239" s="28" t="str">
        <f t="array" ref="O239">INDEX('raw-sheet'!$A$2:$ZZ$1000, ROW(O238), MATCH(O$1, 'raw-sheet'!$A$1:$ZZ$1, 0))</f>
        <v>[💙單單限定優惠]早C晚A緊緻亮膚組 | INNISFREE Taiwan</v>
      </c>
      <c r="P239" s="28" t="str">
        <f t="array" ref="P239">INDEX('raw-sheet'!$A$2:$ZZ$1000, ROW(P238), MATCH(P$1, 'raw-sheet'!$A$1:$ZZ$1, 0))</f>
        <v>維他命C淨亮棉片170ml (60片)+1%A醇PDRN水光安瓶25ml+1%A醇PDRN水光安瓶果凍面膜 推薦給想緊緻毛孔及預防細紋的人，醫美小白也能無痛煥膚打造水光奇肌！ 早上使用維生素C淡化斑點、改善暗沉 夜間使用PDRN水光安瓶緊緻肌膚、減少細紋，同時改善毛孔粗大問題</v>
      </c>
      <c r="Q239" s="28" t="str">
        <f t="array" ref="Q239">INDEX('raw-sheet'!$A$2:$ZZ$1000, ROW(Q238), MATCH(Q$1, 'raw-sheet'!$A$1:$ZZ$1, 0))</f>
        <v>product</v>
      </c>
      <c r="R239" s="28" t="str">
        <f t="array" ref="R239">INDEX('raw-sheet'!$A$2:$ZZ$1000, ROW(R238), MATCH(R$1, 'raw-sheet'!$A$1:$ZZ$1, 0))</f>
        <v>INNISFREE Taiwan</v>
      </c>
      <c r="S239" s="28" t="str">
        <f t="array" ref="S239">INDEX('raw-sheet'!$A$2:$ZZ$1000, ROW(S238), MATCH(S$1, 'raw-sheet'!$A$1:$ZZ$1, 0))</f>
        <v>http://innisfree-taiwan.myshopify.com/cdn/shop/files/20251226_1716_ID0101_1.jpg?v=1770623249</v>
      </c>
      <c r="T239" s="28" t="str">
        <f t="array" ref="T239">INDEX('raw-sheet'!$A$2:$ZZ$1000, ROW(T238), MATCH(T$1, 'raw-sheet'!$A$1:$ZZ$1, 0))</f>
        <v>https://innisfree-taiwan.myshopify.com/cdn/shop/files/20251226_1716_ID0101_1.jpg?v=1770623249</v>
      </c>
      <c r="U239" s="28" t="str">
        <f t="array" ref="U239">INDEX('raw-sheet'!$A$2:$ZZ$1000, ROW(U238), MATCH(U$1, 'raw-sheet'!$A$1:$ZZ$1, 0))</f>
        <v>https://innisfree-taiwan.myshopify.com/products/dan-set3</v>
      </c>
      <c r="V239" s="28" t="str">
        <f t="array" ref="V239">INDEX('raw-sheet'!$A$2:$ZZ$1000, ROW(V238), MATCH(V$1, 'raw-sheet'!$A$1:$ZZ$1, 0))</f>
        <v>[💙單單限定優惠]早C晚A緊緻亮膚組 | INNISFREE Taiwan</v>
      </c>
      <c r="W239" s="28" t="str">
        <f t="array" ref="W239">INDEX('raw-sheet'!$A$2:$ZZ$1000, ROW(W238), MATCH(W$1, 'raw-sheet'!$A$1:$ZZ$1, 0))</f>
        <v>維他命C淨亮棉片170ml (60片)+1%A醇PDRN水光安瓶25ml+1%A醇PDRN水光安瓶果凍面膜 推薦給想緊緻毛孔及預防細紋的人，醫美小白也能無痛煥膚打造水光奇肌！ 早上使用維生素C淡化斑點、改善暗沉 夜間使用PDRN水光安瓶緊緻肌膚、減少細紋，同時改善毛孔粗大問題</v>
      </c>
      <c r="X239" s="28" t="str">
        <f t="array" ref="X239">INDEX('raw-sheet'!$A$2:$ZZ$1000, ROW(X238), MATCH(X$1, 'raw-sheet'!$A$1:$ZZ$1, 0))</f>
        <v>summary_large_image</v>
      </c>
      <c r="Y239" s="30" t="s">
        <v>11</v>
      </c>
      <c r="Z239" s="28" t="str">
        <f>VLOOKUP($A239,'raw-schema'!$A:$R,14,0)</f>
        <v>Brand</v>
      </c>
      <c r="AA239" s="28" t="str">
        <f>VLOOKUP($A239,'raw-schema'!$A:$R,15,0)</f>
        <v>Offer</v>
      </c>
      <c r="AB239" s="28" t="str">
        <f>VLOOKUP($A239,'raw-schema'!$A:$R,16,0)</f>
        <v>Organization</v>
      </c>
      <c r="AC239" s="28" t="str">
        <f>VLOOKUP($A239,'raw-schema'!$A:$R,17,0)</f>
        <v>Product</v>
      </c>
      <c r="AD239" s="28">
        <f>VLOOKUP($A239,'raw-schema'!$A:$R,18,0)</f>
        <v>0</v>
      </c>
      <c r="AE239" s="30" t="s">
        <v>69</v>
      </c>
    </row>
    <row r="240" spans="1:32" x14ac:dyDescent="0.3">
      <c r="A240" s="28" t="str">
        <f t="array" ref="A240">INDEX('raw-sheet'!$A$2:$ZZ$1000, ROW(A239), MATCH(A$1, 'raw-sheet'!$A$1:$ZZ$1, 0))</f>
        <v>https://innisfree-taiwan.myshopify.com/products/dan-set4</v>
      </c>
      <c r="B240" s="30" t="s">
        <v>11</v>
      </c>
      <c r="C240" s="28" t="str">
        <f t="array" ref="C240">INDEX('raw-sheet'!$A$2:$ZZ$1000, ROW(C239), MATCH(C$1, 'raw-sheet'!$A$1:$ZZ$1, 0))</f>
        <v>Product Detail</v>
      </c>
      <c r="D240" s="28">
        <f t="array" ref="D240">INDEX('raw-sheet'!$A$2:$ZZ$1000, ROW(D239), MATCH(D$1, 'raw-sheet'!$A$1:$ZZ$1, 0))</f>
        <v>200</v>
      </c>
      <c r="E240" s="30" t="str">
        <f t="shared" si="6"/>
        <v>Pass</v>
      </c>
      <c r="F240" s="28" t="str">
        <f t="array" ref="F240">INDEX('raw-sheet'!$A$2:$ZZ$1000, ROW(F239), MATCH(F$1, 'raw-sheet'!$A$1:$ZZ$1, 0))</f>
        <v>[💙單單限定優惠]PDRN水光囤貨組_x000D_ | INNISFREE Taiwan</v>
      </c>
      <c r="G240" s="30" t="s">
        <v>11</v>
      </c>
      <c r="H240" s="28" t="str">
        <f t="array" ref="H240">INDEX('raw-sheet'!$A$2:$ZZ$1000, ROW(H239), MATCH(H$1, 'raw-sheet'!$A$1:$ZZ$1, 0))</f>
        <v>1%A醇PDRN水光安瓶 40ml*2瓶+1%A醇PDRN水光安瓶果凍面膜*2 添加A醇及綠茶PDRN™的煥膚安瓶，有效調理代謝角質、緊緻毛孔、改善肌膚彈性，擁有光滑緊緻的肌膚。適合追求水潤透亮肌膚，重視肌膚緊緻與彈力的顧客。</v>
      </c>
      <c r="I240" s="30" t="s">
        <v>11</v>
      </c>
      <c r="J240" s="28" t="str">
        <f t="array" ref="J240">INDEX('raw-sheet'!$A$2:$ZZ$1000, ROW(J239), MATCH(J$1, 'raw-sheet'!$A$1:$ZZ$1, 0))</f>
        <v>[💙單單限定優惠]PDRN水光囤貨組</v>
      </c>
      <c r="K240" s="28" t="str">
        <f t="array" ref="K240">INDEX('raw-sheet'!$A$2:$ZZ$1000, ROW(K239), MATCH(K$1, 'raw-sheet'!$A$1:$ZZ$1, 0))</f>
        <v>1</v>
      </c>
      <c r="L240" s="30" t="s">
        <v>11</v>
      </c>
      <c r="M240" s="28" t="str">
        <f t="array" ref="M240">INDEX('raw-sheet'!$A$2:$ZZ$1000, ROW(M239), MATCH(M$1, 'raw-sheet'!$A$1:$ZZ$1, 0))</f>
        <v>https://innisfree-taiwan.myshopify.com/products/dan-set4</v>
      </c>
      <c r="N240" s="30" t="str">
        <f t="shared" si="7"/>
        <v>Pass</v>
      </c>
      <c r="O240" s="28" t="str">
        <f t="array" ref="O240">INDEX('raw-sheet'!$A$2:$ZZ$1000, ROW(O239), MATCH(O$1, 'raw-sheet'!$A$1:$ZZ$1, 0))</f>
        <v>[💙單單限定優惠]PDRN水光囤貨組 | INNISFREE Taiwan</v>
      </c>
      <c r="P240" s="28" t="str">
        <f t="array" ref="P240">INDEX('raw-sheet'!$A$2:$ZZ$1000, ROW(P239), MATCH(P$1, 'raw-sheet'!$A$1:$ZZ$1, 0))</f>
        <v>1%A醇PDRN水光安瓶 40ml*2瓶+1%A醇PDRN水光安瓶果凍面膜*2 添加A醇及綠茶PDRN™的煥膚安瓶，有效調理代謝角質、緊緻毛孔、改善肌膚彈性，擁有光滑緊緻的肌膚。適合追求水潤透亮肌膚，重視肌膚緊緻與彈力的顧客。</v>
      </c>
      <c r="Q240" s="28" t="str">
        <f t="array" ref="Q240">INDEX('raw-sheet'!$A$2:$ZZ$1000, ROW(Q239), MATCH(Q$1, 'raw-sheet'!$A$1:$ZZ$1, 0))</f>
        <v>product</v>
      </c>
      <c r="R240" s="28" t="str">
        <f t="array" ref="R240">INDEX('raw-sheet'!$A$2:$ZZ$1000, ROW(R239), MATCH(R$1, 'raw-sheet'!$A$1:$ZZ$1, 0))</f>
        <v>INNISFREE Taiwan</v>
      </c>
      <c r="S240" s="28" t="str">
        <f t="array" ref="S240">INDEX('raw-sheet'!$A$2:$ZZ$1000, ROW(S239), MATCH(S$1, 'raw-sheet'!$A$1:$ZZ$1, 0))</f>
        <v>http://innisfree-taiwan.myshopify.com/cdn/shop/files/20251226_1717_ID0101_1.jpg?v=1770623248</v>
      </c>
      <c r="T240" s="28" t="str">
        <f t="array" ref="T240">INDEX('raw-sheet'!$A$2:$ZZ$1000, ROW(T239), MATCH(T$1, 'raw-sheet'!$A$1:$ZZ$1, 0))</f>
        <v>https://innisfree-taiwan.myshopify.com/cdn/shop/files/20251226_1717_ID0101_1.jpg?v=1770623248</v>
      </c>
      <c r="U240" s="28" t="str">
        <f t="array" ref="U240">INDEX('raw-sheet'!$A$2:$ZZ$1000, ROW(U239), MATCH(U$1, 'raw-sheet'!$A$1:$ZZ$1, 0))</f>
        <v>https://innisfree-taiwan.myshopify.com/products/dan-set4</v>
      </c>
      <c r="V240" s="28" t="str">
        <f t="array" ref="V240">INDEX('raw-sheet'!$A$2:$ZZ$1000, ROW(V239), MATCH(V$1, 'raw-sheet'!$A$1:$ZZ$1, 0))</f>
        <v>[💙單單限定優惠]PDRN水光囤貨組 | INNISFREE Taiwan</v>
      </c>
      <c r="W240" s="28" t="str">
        <f t="array" ref="W240">INDEX('raw-sheet'!$A$2:$ZZ$1000, ROW(W239), MATCH(W$1, 'raw-sheet'!$A$1:$ZZ$1, 0))</f>
        <v>1%A醇PDRN水光安瓶 40ml*2瓶+1%A醇PDRN水光安瓶果凍面膜*2 添加A醇及綠茶PDRN™的煥膚安瓶，有效調理代謝角質、緊緻毛孔、改善肌膚彈性，擁有光滑緊緻的肌膚。適合追求水潤透亮肌膚，重視肌膚緊緻與彈力的顧客。</v>
      </c>
      <c r="X240" s="28" t="str">
        <f t="array" ref="X240">INDEX('raw-sheet'!$A$2:$ZZ$1000, ROW(X239), MATCH(X$1, 'raw-sheet'!$A$1:$ZZ$1, 0))</f>
        <v>summary_large_image</v>
      </c>
      <c r="Y240" s="30" t="s">
        <v>11</v>
      </c>
      <c r="Z240" s="28" t="str">
        <f>VLOOKUP($A240,'raw-schema'!$A:$R,14,0)</f>
        <v>Brand</v>
      </c>
      <c r="AA240" s="28" t="str">
        <f>VLOOKUP($A240,'raw-schema'!$A:$R,15,0)</f>
        <v>Offer</v>
      </c>
      <c r="AB240" s="28" t="str">
        <f>VLOOKUP($A240,'raw-schema'!$A:$R,16,0)</f>
        <v>Organization</v>
      </c>
      <c r="AC240" s="28" t="str">
        <f>VLOOKUP($A240,'raw-schema'!$A:$R,17,0)</f>
        <v>Product</v>
      </c>
      <c r="AD240" s="28">
        <f>VLOOKUP($A240,'raw-schema'!$A:$R,18,0)</f>
        <v>0</v>
      </c>
      <c r="AE240" s="30" t="s">
        <v>69</v>
      </c>
    </row>
    <row r="241" spans="1:32" x14ac:dyDescent="0.3">
      <c r="A241" s="28" t="str">
        <f t="array" ref="A241">INDEX('raw-sheet'!$A$2:$ZZ$1000, ROW(A240), MATCH(A$1, 'raw-sheet'!$A$1:$ZZ$1, 0))</f>
        <v>https://innisfree-taiwan.myshopify.com/products/dev-test-bundle-product</v>
      </c>
      <c r="B241" s="30"/>
      <c r="C241" s="28" t="str">
        <f t="array" ref="C241">INDEX('raw-sheet'!$A$2:$ZZ$1000, ROW(C240), MATCH(C$1, 'raw-sheet'!$A$1:$ZZ$1, 0))</f>
        <v>Product Detail</v>
      </c>
      <c r="D241" s="28">
        <f t="array" ref="D241">INDEX('raw-sheet'!$A$2:$ZZ$1000, ROW(D240), MATCH(D$1, 'raw-sheet'!$A$1:$ZZ$1, 0))</f>
        <v>200</v>
      </c>
      <c r="E241" s="30" t="str">
        <f t="shared" si="6"/>
        <v>Pass</v>
      </c>
      <c r="F241" s="28" t="str">
        <f t="array" ref="F241">INDEX('raw-sheet'!$A$2:$ZZ$1000, ROW(F240), MATCH(F$1, 'raw-sheet'!$A$1:$ZZ$1, 0))</f>
        <v>[DEV-TEST] Bundle product_x000D_ | INNISFREE Taiwan</v>
      </c>
      <c r="G241" s="30"/>
      <c r="H241" s="28" t="str">
        <f t="array" ref="H241">INDEX('raw-sheet'!$A$2:$ZZ$1000, ROW(H240), MATCH(H$1, 'raw-sheet'!$A$1:$ZZ$1, 0))</f>
        <v>[DEV-TEST] Bundle product</v>
      </c>
      <c r="I241" s="30"/>
      <c r="J241" s="28" t="str">
        <f t="array" ref="J241">INDEX('raw-sheet'!$A$2:$ZZ$1000, ROW(J240), MATCH(J$1, 'raw-sheet'!$A$1:$ZZ$1, 0))</f>
        <v>[DEV-TEST] Bundle product</v>
      </c>
      <c r="K241" s="28" t="str">
        <f t="array" ref="K241">INDEX('raw-sheet'!$A$2:$ZZ$1000, ROW(K240), MATCH(K$1, 'raw-sheet'!$A$1:$ZZ$1, 0))</f>
        <v>1</v>
      </c>
      <c r="L241" s="30"/>
      <c r="M241" s="28" t="str">
        <f t="array" ref="M241">INDEX('raw-sheet'!$A$2:$ZZ$1000, ROW(M240), MATCH(M$1, 'raw-sheet'!$A$1:$ZZ$1, 0))</f>
        <v>https://innisfree-taiwan.myshopify.com/products/dev-test-bundle-product</v>
      </c>
      <c r="N241" s="30" t="str">
        <f t="shared" si="7"/>
        <v>Pass</v>
      </c>
      <c r="O241" s="28" t="str">
        <f t="array" ref="O241">INDEX('raw-sheet'!$A$2:$ZZ$1000, ROW(O240), MATCH(O$1, 'raw-sheet'!$A$1:$ZZ$1, 0))</f>
        <v>[DEV-TEST] Bundle product | INNISFREE Taiwan</v>
      </c>
      <c r="P241" s="28" t="str">
        <f t="array" ref="P241">INDEX('raw-sheet'!$A$2:$ZZ$1000, ROW(P240), MATCH(P$1, 'raw-sheet'!$A$1:$ZZ$1, 0))</f>
        <v>[DEV-TEST] Bundle product</v>
      </c>
      <c r="Q241" s="28" t="str">
        <f t="array" ref="Q241">INDEX('raw-sheet'!$A$2:$ZZ$1000, ROW(Q240), MATCH(Q$1, 'raw-sheet'!$A$1:$ZZ$1, 0))</f>
        <v>product</v>
      </c>
      <c r="R241" s="28" t="str">
        <f t="array" ref="R241">INDEX('raw-sheet'!$A$2:$ZZ$1000, ROW(R240), MATCH(R$1, 'raw-sheet'!$A$1:$ZZ$1, 0))</f>
        <v>INNISFREE Taiwan</v>
      </c>
      <c r="S241" s="28" t="str">
        <f t="array" ref="S241">INDEX('raw-sheet'!$A$2:$ZZ$1000, ROW(S240), MATCH(S$1, 'raw-sheet'!$A$1:$ZZ$1, 0))</f>
        <v>http://innisfree-taiwan.myshopify.com/cdn/shop/files/logo.png?v=1767594135</v>
      </c>
      <c r="T241" s="28" t="str">
        <f t="array" ref="T241">INDEX('raw-sheet'!$A$2:$ZZ$1000, ROW(T240), MATCH(T$1, 'raw-sheet'!$A$1:$ZZ$1, 0))</f>
        <v>https://innisfree-taiwan.myshopify.com/cdn/shop/files/logo.png?v=1767594135</v>
      </c>
      <c r="U241" s="28" t="str">
        <f t="array" ref="U241">INDEX('raw-sheet'!$A$2:$ZZ$1000, ROW(U240), MATCH(U$1, 'raw-sheet'!$A$1:$ZZ$1, 0))</f>
        <v>https://innisfree-taiwan.myshopify.com/products/dev-test-bundle-product</v>
      </c>
      <c r="V241" s="28" t="str">
        <f t="array" ref="V241">INDEX('raw-sheet'!$A$2:$ZZ$1000, ROW(V240), MATCH(V$1, 'raw-sheet'!$A$1:$ZZ$1, 0))</f>
        <v>[DEV-TEST] Bundle product | INNISFREE Taiwan</v>
      </c>
      <c r="W241" s="28" t="str">
        <f t="array" ref="W241">INDEX('raw-sheet'!$A$2:$ZZ$1000, ROW(W240), MATCH(W$1, 'raw-sheet'!$A$1:$ZZ$1, 0))</f>
        <v>[DEV-TEST] Bundle product</v>
      </c>
      <c r="X241" s="28" t="str">
        <f t="array" ref="X241">INDEX('raw-sheet'!$A$2:$ZZ$1000, ROW(X240), MATCH(X$1, 'raw-sheet'!$A$1:$ZZ$1, 0))</f>
        <v>summary_large_image</v>
      </c>
      <c r="Y241" s="30"/>
      <c r="Z241" s="28" t="str">
        <f>VLOOKUP($A241,'raw-schema'!$A:$R,14,0)</f>
        <v>Brand</v>
      </c>
      <c r="AA241" s="28" t="str">
        <f>VLOOKUP($A241,'raw-schema'!$A:$R,15,0)</f>
        <v>Offer</v>
      </c>
      <c r="AB241" s="28" t="str">
        <f>VLOOKUP($A241,'raw-schema'!$A:$R,16,0)</f>
        <v>Organization</v>
      </c>
      <c r="AC241" s="28" t="str">
        <f>VLOOKUP($A241,'raw-schema'!$A:$R,17,0)</f>
        <v>Product</v>
      </c>
      <c r="AD241" s="28" t="str">
        <f>VLOOKUP($A241,'raw-schema'!$A:$R,18,0)</f>
        <v>ProductGroup</v>
      </c>
      <c r="AE241" s="30"/>
      <c r="AF241" t="s">
        <v>71</v>
      </c>
    </row>
    <row r="242" spans="1:32" x14ac:dyDescent="0.3">
      <c r="A242" s="28" t="str">
        <f t="array" ref="A242">INDEX('raw-sheet'!$A$2:$ZZ$1000, ROW(A241), MATCH(A$1, 'raw-sheet'!$A$1:$ZZ$1, 0))</f>
        <v>https://innisfree-taiwan.myshopify.com/products/dewy-glowy-lipstick</v>
      </c>
      <c r="B242" s="30" t="s">
        <v>11</v>
      </c>
      <c r="C242" s="28" t="str">
        <f t="array" ref="C242">INDEX('raw-sheet'!$A$2:$ZZ$1000, ROW(C241), MATCH(C$1, 'raw-sheet'!$A$1:$ZZ$1, 0))</f>
        <v>Product Detail</v>
      </c>
      <c r="D242" s="28">
        <f t="array" ref="D242">INDEX('raw-sheet'!$A$2:$ZZ$1000, ROW(D241), MATCH(D$1, 'raw-sheet'!$A$1:$ZZ$1, 0))</f>
        <v>200</v>
      </c>
      <c r="E242" s="30" t="str">
        <f t="shared" si="6"/>
        <v>Pass</v>
      </c>
      <c r="F242" s="28" t="str">
        <f t="array" ref="F242">INDEX('raw-sheet'!$A$2:$ZZ$1000, ROW(F241), MATCH(F$1, 'raw-sheet'!$A$1:$ZZ$1, 0))</f>
        <v>晨露光透水感唇膏 3.5g_x000D_ | INNISFREE Taiwan</v>
      </c>
      <c r="G242" s="30" t="s">
        <v>11</v>
      </c>
      <c r="H242" s="28" t="str">
        <f t="array" ref="H242">INDEX('raw-sheet'!$A$2:$ZZ$1000, ROW(H241), MATCH(H$1, 'raw-sheet'!$A$1:$ZZ$1, 0))</f>
        <v>添加高光萃取配方，自然服貼打造光透、水潤的雙唇</v>
      </c>
      <c r="I242" s="30" t="s">
        <v>11</v>
      </c>
      <c r="J242" s="28" t="str">
        <f t="array" ref="J242">INDEX('raw-sheet'!$A$2:$ZZ$1000, ROW(J241), MATCH(J$1, 'raw-sheet'!$A$1:$ZZ$1, 0))</f>
        <v>晨露光透水感唇膏 3.5g</v>
      </c>
      <c r="K242" s="28" t="str">
        <f t="array" ref="K242">INDEX('raw-sheet'!$A$2:$ZZ$1000, ROW(K241), MATCH(K$1, 'raw-sheet'!$A$1:$ZZ$1, 0))</f>
        <v>1</v>
      </c>
      <c r="L242" s="30" t="s">
        <v>11</v>
      </c>
      <c r="M242" s="28" t="str">
        <f t="array" ref="M242">INDEX('raw-sheet'!$A$2:$ZZ$1000, ROW(M241), MATCH(M$1, 'raw-sheet'!$A$1:$ZZ$1, 0))</f>
        <v>https://innisfree-taiwan.myshopify.com/products/dewy-glowy-lipstick</v>
      </c>
      <c r="N242" s="30" t="str">
        <f t="shared" si="7"/>
        <v>Pass</v>
      </c>
      <c r="O242" s="28" t="str">
        <f t="array" ref="O242">INDEX('raw-sheet'!$A$2:$ZZ$1000, ROW(O241), MATCH(O$1, 'raw-sheet'!$A$1:$ZZ$1, 0))</f>
        <v>晨露光透水感唇膏 3.5g | INNISFREE Taiwan</v>
      </c>
      <c r="P242" s="28" t="str">
        <f t="array" ref="P242">INDEX('raw-sheet'!$A$2:$ZZ$1000, ROW(P241), MATCH(P$1, 'raw-sheet'!$A$1:$ZZ$1, 0))</f>
        <v>添加高光萃取配方，自然服貼打造光透、水潤的雙唇</v>
      </c>
      <c r="Q242" s="28" t="str">
        <f t="array" ref="Q242">INDEX('raw-sheet'!$A$2:$ZZ$1000, ROW(Q241), MATCH(Q$1, 'raw-sheet'!$A$1:$ZZ$1, 0))</f>
        <v>product</v>
      </c>
      <c r="R242" s="28" t="str">
        <f t="array" ref="R242">INDEX('raw-sheet'!$A$2:$ZZ$1000, ROW(R241), MATCH(R$1, 'raw-sheet'!$A$1:$ZZ$1, 0))</f>
        <v>INNISFREE Taiwan</v>
      </c>
      <c r="S242" s="28" t="str">
        <f t="array" ref="S242">INDEX('raw-sheet'!$A$2:$ZZ$1000, ROW(S241), MATCH(S$1, 'raw-sheet'!$A$1:$ZZ$1, 0))</f>
        <v>http://innisfree-taiwan.myshopify.com/cdn/shop/files/pdp_mig_518219b2_20240319_1335_ID0101_1_jpg.jpg?v=1768543075</v>
      </c>
      <c r="T242" s="28" t="str">
        <f t="array" ref="T242">INDEX('raw-sheet'!$A$2:$ZZ$1000, ROW(T241), MATCH(T$1, 'raw-sheet'!$A$1:$ZZ$1, 0))</f>
        <v>https://innisfree-taiwan.myshopify.com/cdn/shop/files/pdp_mig_518219b2_20240319_1335_ID0101_1_jpg.jpg?v=1768543075</v>
      </c>
      <c r="U242" s="28" t="str">
        <f t="array" ref="U242">INDEX('raw-sheet'!$A$2:$ZZ$1000, ROW(U241), MATCH(U$1, 'raw-sheet'!$A$1:$ZZ$1, 0))</f>
        <v>https://innisfree-taiwan.myshopify.com/products/dewy-glowy-lipstick</v>
      </c>
      <c r="V242" s="28" t="str">
        <f t="array" ref="V242">INDEX('raw-sheet'!$A$2:$ZZ$1000, ROW(V241), MATCH(V$1, 'raw-sheet'!$A$1:$ZZ$1, 0))</f>
        <v>晨露光透水感唇膏 3.5g | INNISFREE Taiwan</v>
      </c>
      <c r="W242" s="28" t="str">
        <f t="array" ref="W242">INDEX('raw-sheet'!$A$2:$ZZ$1000, ROW(W241), MATCH(W$1, 'raw-sheet'!$A$1:$ZZ$1, 0))</f>
        <v>添加高光萃取配方，自然服貼打造光透、水潤的雙唇</v>
      </c>
      <c r="X242" s="28" t="str">
        <f t="array" ref="X242">INDEX('raw-sheet'!$A$2:$ZZ$1000, ROW(X241), MATCH(X$1, 'raw-sheet'!$A$1:$ZZ$1, 0))</f>
        <v>summary_large_image</v>
      </c>
      <c r="Y242" s="30" t="s">
        <v>11</v>
      </c>
      <c r="Z242" s="28" t="str">
        <f>VLOOKUP($A242,'raw-schema'!$A:$R,14,0)</f>
        <v>Brand</v>
      </c>
      <c r="AA242" s="28" t="str">
        <f>VLOOKUP($A242,'raw-schema'!$A:$R,15,0)</f>
        <v>Offer</v>
      </c>
      <c r="AB242" s="28" t="str">
        <f>VLOOKUP($A242,'raw-schema'!$A:$R,16,0)</f>
        <v>Organization</v>
      </c>
      <c r="AC242" s="28" t="str">
        <f>VLOOKUP($A242,'raw-schema'!$A:$R,17,0)</f>
        <v>Product</v>
      </c>
      <c r="AD242" s="28" t="str">
        <f>VLOOKUP($A242,'raw-schema'!$A:$R,18,0)</f>
        <v>ProductGroup</v>
      </c>
      <c r="AE242" s="30" t="s">
        <v>69</v>
      </c>
    </row>
    <row r="243" spans="1:32" x14ac:dyDescent="0.3">
      <c r="A243" s="28" t="str">
        <f t="array" ref="A243">INDEX('raw-sheet'!$A$2:$ZZ$1000, ROW(A242), MATCH(A$1, 'raw-sheet'!$A$1:$ZZ$1, 0))</f>
        <v>https://innisfree-taiwan.myshopify.com/products/green-tea-amino-hydrating-cleansing-oil</v>
      </c>
      <c r="B243" s="30" t="s">
        <v>11</v>
      </c>
      <c r="C243" s="28" t="str">
        <f t="array" ref="C243">INDEX('raw-sheet'!$A$2:$ZZ$1000, ROW(C242), MATCH(C$1, 'raw-sheet'!$A$1:$ZZ$1, 0))</f>
        <v>Product Detail</v>
      </c>
      <c r="D243" s="28">
        <f t="array" ref="D243">INDEX('raw-sheet'!$A$2:$ZZ$1000, ROW(D242), MATCH(D$1, 'raw-sheet'!$A$1:$ZZ$1, 0))</f>
        <v>200</v>
      </c>
      <c r="E243" s="30" t="str">
        <f t="shared" si="6"/>
        <v>Pass</v>
      </c>
      <c r="F243" s="28" t="str">
        <f t="array" ref="F243">INDEX('raw-sheet'!$A$2:$ZZ$1000, ROW(F242), MATCH(F$1, 'raw-sheet'!$A$1:$ZZ$1, 0))</f>
        <v>綠茶保濕胺基酸卸妝油 150ml_x000D_ | INNISFREE Taiwan</v>
      </c>
      <c r="G243" s="30" t="s">
        <v>11</v>
      </c>
      <c r="H243" s="28" t="str">
        <f t="array" ref="H243">INDEX('raw-sheet'!$A$2:$ZZ$1000, ROW(H242), MATCH(H$1, 'raw-sheet'!$A$1:$ZZ$1, 0))</f>
        <v>富含綠茶萃取物與胺基酸複合物的清爽卸妝油，可以輕鬆卸除臉上的彩妝與髒汙，並使臉部肌膚柔嫩與潔淨。適合所有膚質。</v>
      </c>
      <c r="I243" s="30" t="s">
        <v>11</v>
      </c>
      <c r="J243" s="28" t="str">
        <f t="array" ref="J243">INDEX('raw-sheet'!$A$2:$ZZ$1000, ROW(J242), MATCH(J$1, 'raw-sheet'!$A$1:$ZZ$1, 0))</f>
        <v>綠茶保濕胺基酸卸妝油 150ml</v>
      </c>
      <c r="K243" s="28" t="str">
        <f t="array" ref="K243">INDEX('raw-sheet'!$A$2:$ZZ$1000, ROW(K242), MATCH(K$1, 'raw-sheet'!$A$1:$ZZ$1, 0))</f>
        <v>1</v>
      </c>
      <c r="L243" s="30" t="s">
        <v>11</v>
      </c>
      <c r="M243" s="28" t="str">
        <f t="array" ref="M243">INDEX('raw-sheet'!$A$2:$ZZ$1000, ROW(M242), MATCH(M$1, 'raw-sheet'!$A$1:$ZZ$1, 0))</f>
        <v>https://innisfree-taiwan.myshopify.com/products/green-tea-amino-hydrating-cleansing-oil</v>
      </c>
      <c r="N243" s="30" t="str">
        <f t="shared" si="7"/>
        <v>Pass</v>
      </c>
      <c r="O243" s="28" t="str">
        <f t="array" ref="O243">INDEX('raw-sheet'!$A$2:$ZZ$1000, ROW(O242), MATCH(O$1, 'raw-sheet'!$A$1:$ZZ$1, 0))</f>
        <v>綠茶保濕胺基酸卸妝油 150ml | INNISFREE Taiwan</v>
      </c>
      <c r="P243" s="28" t="str">
        <f t="array" ref="P243">INDEX('raw-sheet'!$A$2:$ZZ$1000, ROW(P242), MATCH(P$1, 'raw-sheet'!$A$1:$ZZ$1, 0))</f>
        <v>富含綠茶萃取物與胺基酸複合物的清爽卸妝油，可以輕鬆卸除臉上的彩妝與髒汙，並使臉部肌膚柔嫩與潔淨。適合所有膚質。</v>
      </c>
      <c r="Q243" s="28" t="str">
        <f t="array" ref="Q243">INDEX('raw-sheet'!$A$2:$ZZ$1000, ROW(Q242), MATCH(Q$1, 'raw-sheet'!$A$1:$ZZ$1, 0))</f>
        <v>product</v>
      </c>
      <c r="R243" s="28" t="str">
        <f t="array" ref="R243">INDEX('raw-sheet'!$A$2:$ZZ$1000, ROW(R242), MATCH(R$1, 'raw-sheet'!$A$1:$ZZ$1, 0))</f>
        <v>INNISFREE Taiwan</v>
      </c>
      <c r="S243" s="28" t="str">
        <f t="array" ref="S243">INDEX('raw-sheet'!$A$2:$ZZ$1000, ROW(S242), MATCH(S$1, 'raw-sheet'!$A$1:$ZZ$1, 0))</f>
        <v>http://innisfree-taiwan.myshopify.com/cdn/shop/files/pdp_mig_6279b020_20240129_1293_ID0101_1_jpg.jpg?v=1768543075</v>
      </c>
      <c r="T243" s="28" t="str">
        <f t="array" ref="T243">INDEX('raw-sheet'!$A$2:$ZZ$1000, ROW(T242), MATCH(T$1, 'raw-sheet'!$A$1:$ZZ$1, 0))</f>
        <v>https://innisfree-taiwan.myshopify.com/cdn/shop/files/pdp_mig_6279b020_20240129_1293_ID0101_1_jpg.jpg?v=1768543075</v>
      </c>
      <c r="U243" s="28" t="str">
        <f t="array" ref="U243">INDEX('raw-sheet'!$A$2:$ZZ$1000, ROW(U242), MATCH(U$1, 'raw-sheet'!$A$1:$ZZ$1, 0))</f>
        <v>https://innisfree-taiwan.myshopify.com/products/green-tea-amino-hydrating-cleansing-oil</v>
      </c>
      <c r="V243" s="28" t="str">
        <f t="array" ref="V243">INDEX('raw-sheet'!$A$2:$ZZ$1000, ROW(V242), MATCH(V$1, 'raw-sheet'!$A$1:$ZZ$1, 0))</f>
        <v>綠茶保濕胺基酸卸妝油 150ml | INNISFREE Taiwan</v>
      </c>
      <c r="W243" s="28" t="str">
        <f t="array" ref="W243">INDEX('raw-sheet'!$A$2:$ZZ$1000, ROW(W242), MATCH(W$1, 'raw-sheet'!$A$1:$ZZ$1, 0))</f>
        <v>富含綠茶萃取物與胺基酸複合物的清爽卸妝油，可以輕鬆卸除臉上的彩妝與髒汙，並使臉部肌膚柔嫩與潔淨。適合所有膚質。</v>
      </c>
      <c r="X243" s="28" t="str">
        <f t="array" ref="X243">INDEX('raw-sheet'!$A$2:$ZZ$1000, ROW(X242), MATCH(X$1, 'raw-sheet'!$A$1:$ZZ$1, 0))</f>
        <v>summary_large_image</v>
      </c>
      <c r="Y243" s="30" t="s">
        <v>11</v>
      </c>
      <c r="Z243" s="28" t="str">
        <f>VLOOKUP($A243,'raw-schema'!$A:$R,14,0)</f>
        <v>Brand</v>
      </c>
      <c r="AA243" s="28" t="str">
        <f>VLOOKUP($A243,'raw-schema'!$A:$R,15,0)</f>
        <v>Offer</v>
      </c>
      <c r="AB243" s="28" t="str">
        <f>VLOOKUP($A243,'raw-schema'!$A:$R,16,0)</f>
        <v>Organization</v>
      </c>
      <c r="AC243" s="28" t="str">
        <f>VLOOKUP($A243,'raw-schema'!$A:$R,17,0)</f>
        <v>Product</v>
      </c>
      <c r="AD243" s="28">
        <f>VLOOKUP($A243,'raw-schema'!$A:$R,18,0)</f>
        <v>0</v>
      </c>
      <c r="AE243" s="30" t="s">
        <v>69</v>
      </c>
    </row>
    <row r="244" spans="1:32" x14ac:dyDescent="0.3">
      <c r="A244" s="28" t="str">
        <f t="array" ref="A244">INDEX('raw-sheet'!$A$2:$ZZ$1000, ROW(A243), MATCH(A$1, 'raw-sheet'!$A$1:$ZZ$1, 0))</f>
        <v>https://innisfree-taiwan.myshopify.com/products/green-tea-amino-hydrating-cleansing-water</v>
      </c>
      <c r="B244" s="30" t="s">
        <v>11</v>
      </c>
      <c r="C244" s="28" t="str">
        <f t="array" ref="C244">INDEX('raw-sheet'!$A$2:$ZZ$1000, ROW(C243), MATCH(C$1, 'raw-sheet'!$A$1:$ZZ$1, 0))</f>
        <v>Product Detail</v>
      </c>
      <c r="D244" s="28">
        <f t="array" ref="D244">INDEX('raw-sheet'!$A$2:$ZZ$1000, ROW(D243), MATCH(D$1, 'raw-sheet'!$A$1:$ZZ$1, 0))</f>
        <v>200</v>
      </c>
      <c r="E244" s="30" t="str">
        <f t="shared" si="6"/>
        <v>Pass</v>
      </c>
      <c r="F244" s="28" t="str">
        <f t="array" ref="F244">INDEX('raw-sheet'!$A$2:$ZZ$1000, ROW(F243), MATCH(F$1, 'raw-sheet'!$A$1:$ZZ$1, 0))</f>
        <v>綠茶保濕胺基酸卸妝水 320ml_x000D_ | INNISFREE Taiwan</v>
      </c>
      <c r="G244" s="30" t="s">
        <v>11</v>
      </c>
      <c r="H244" s="28" t="str">
        <f t="array" ref="H244">INDEX('raw-sheet'!$A$2:$ZZ$1000, ROW(H243), MATCH(H$1, 'raw-sheet'!$A$1:$ZZ$1, 0))</f>
        <v>含有雙重鮮榨綠茶萃取與胺基酸複合物的清爽卸妝水，可以輕鬆卸除臉上的彩妝與髒汙，並使臉部肌膚柔嫩與潔淨。適用所有膚質。</v>
      </c>
      <c r="I244" s="30" t="s">
        <v>11</v>
      </c>
      <c r="J244" s="28" t="str">
        <f t="array" ref="J244">INDEX('raw-sheet'!$A$2:$ZZ$1000, ROW(J243), MATCH(J$1, 'raw-sheet'!$A$1:$ZZ$1, 0))</f>
        <v>綠茶保濕胺基酸卸妝水 320ml</v>
      </c>
      <c r="K244" s="28" t="str">
        <f t="array" ref="K244">INDEX('raw-sheet'!$A$2:$ZZ$1000, ROW(K243), MATCH(K$1, 'raw-sheet'!$A$1:$ZZ$1, 0))</f>
        <v>1</v>
      </c>
      <c r="L244" s="30" t="s">
        <v>11</v>
      </c>
      <c r="M244" s="28" t="str">
        <f t="array" ref="M244">INDEX('raw-sheet'!$A$2:$ZZ$1000, ROW(M243), MATCH(M$1, 'raw-sheet'!$A$1:$ZZ$1, 0))</f>
        <v>https://innisfree-taiwan.myshopify.com/products/green-tea-amino-hydrating-cleansing-water</v>
      </c>
      <c r="N244" s="30" t="str">
        <f t="shared" si="7"/>
        <v>Pass</v>
      </c>
      <c r="O244" s="28" t="str">
        <f t="array" ref="O244">INDEX('raw-sheet'!$A$2:$ZZ$1000, ROW(O243), MATCH(O$1, 'raw-sheet'!$A$1:$ZZ$1, 0))</f>
        <v>綠茶保濕胺基酸卸妝水 320ml | INNISFREE Taiwan</v>
      </c>
      <c r="P244" s="28" t="str">
        <f t="array" ref="P244">INDEX('raw-sheet'!$A$2:$ZZ$1000, ROW(P243), MATCH(P$1, 'raw-sheet'!$A$1:$ZZ$1, 0))</f>
        <v>含有雙重鮮榨綠茶萃取與胺基酸複合物的清爽卸妝水，可以輕鬆卸除臉上的彩妝與髒汙，並使臉部肌膚柔嫩與潔淨。適用所有膚質。</v>
      </c>
      <c r="Q244" s="28" t="str">
        <f t="array" ref="Q244">INDEX('raw-sheet'!$A$2:$ZZ$1000, ROW(Q243), MATCH(Q$1, 'raw-sheet'!$A$1:$ZZ$1, 0))</f>
        <v>product</v>
      </c>
      <c r="R244" s="28" t="str">
        <f t="array" ref="R244">INDEX('raw-sheet'!$A$2:$ZZ$1000, ROW(R243), MATCH(R$1, 'raw-sheet'!$A$1:$ZZ$1, 0))</f>
        <v>INNISFREE Taiwan</v>
      </c>
      <c r="S244" s="28" t="str">
        <f t="array" ref="S244">INDEX('raw-sheet'!$A$2:$ZZ$1000, ROW(S243), MATCH(S$1, 'raw-sheet'!$A$1:$ZZ$1, 0))</f>
        <v>http://innisfree-taiwan.myshopify.com/cdn/shop/files/pdp_mig_cbb8e6b3_20230731_839_ID0101_1_jpg.jpg?v=1768543105</v>
      </c>
      <c r="T244" s="28" t="str">
        <f t="array" ref="T244">INDEX('raw-sheet'!$A$2:$ZZ$1000, ROW(T243), MATCH(T$1, 'raw-sheet'!$A$1:$ZZ$1, 0))</f>
        <v>https://innisfree-taiwan.myshopify.com/cdn/shop/files/pdp_mig_cbb8e6b3_20230731_839_ID0101_1_jpg.jpg?v=1768543105</v>
      </c>
      <c r="U244" s="28" t="str">
        <f t="array" ref="U244">INDEX('raw-sheet'!$A$2:$ZZ$1000, ROW(U243), MATCH(U$1, 'raw-sheet'!$A$1:$ZZ$1, 0))</f>
        <v>https://innisfree-taiwan.myshopify.com/products/green-tea-amino-hydrating-cleansing-water</v>
      </c>
      <c r="V244" s="28" t="str">
        <f t="array" ref="V244">INDEX('raw-sheet'!$A$2:$ZZ$1000, ROW(V243), MATCH(V$1, 'raw-sheet'!$A$1:$ZZ$1, 0))</f>
        <v>綠茶保濕胺基酸卸妝水 320ml | INNISFREE Taiwan</v>
      </c>
      <c r="W244" s="28" t="str">
        <f t="array" ref="W244">INDEX('raw-sheet'!$A$2:$ZZ$1000, ROW(W243), MATCH(W$1, 'raw-sheet'!$A$1:$ZZ$1, 0))</f>
        <v>含有雙重鮮榨綠茶萃取與胺基酸複合物的清爽卸妝水，可以輕鬆卸除臉上的彩妝與髒汙，並使臉部肌膚柔嫩與潔淨。適用所有膚質。</v>
      </c>
      <c r="X244" s="28" t="str">
        <f t="array" ref="X244">INDEX('raw-sheet'!$A$2:$ZZ$1000, ROW(X243), MATCH(X$1, 'raw-sheet'!$A$1:$ZZ$1, 0))</f>
        <v>summary_large_image</v>
      </c>
      <c r="Y244" s="30" t="s">
        <v>11</v>
      </c>
      <c r="Z244" s="28" t="str">
        <f>VLOOKUP($A244,'raw-schema'!$A:$R,14,0)</f>
        <v>Brand</v>
      </c>
      <c r="AA244" s="28" t="str">
        <f>VLOOKUP($A244,'raw-schema'!$A:$R,15,0)</f>
        <v>Offer</v>
      </c>
      <c r="AB244" s="28" t="str">
        <f>VLOOKUP($A244,'raw-schema'!$A:$R,16,0)</f>
        <v>Organization</v>
      </c>
      <c r="AC244" s="28" t="str">
        <f>VLOOKUP($A244,'raw-schema'!$A:$R,17,0)</f>
        <v>Product</v>
      </c>
      <c r="AD244" s="28">
        <f>VLOOKUP($A244,'raw-schema'!$A:$R,18,0)</f>
        <v>0</v>
      </c>
      <c r="AE244" s="30" t="s">
        <v>69</v>
      </c>
    </row>
    <row r="245" spans="1:32" x14ac:dyDescent="0.3">
      <c r="A245" s="28" t="str">
        <f t="array" ref="A245">INDEX('raw-sheet'!$A$2:$ZZ$1000, ROW(A244), MATCH(A$1, 'raw-sheet'!$A$1:$ZZ$1, 0))</f>
        <v>https://innisfree-taiwan.myshopify.com/products/green-tea-pdrn-bounce-booster-eye-and-lip-serum</v>
      </c>
      <c r="B245" s="30" t="s">
        <v>11</v>
      </c>
      <c r="C245" s="28" t="str">
        <f t="array" ref="C245">INDEX('raw-sheet'!$A$2:$ZZ$1000, ROW(C244), MATCH(C$1, 'raw-sheet'!$A$1:$ZZ$1, 0))</f>
        <v>Product Detail</v>
      </c>
      <c r="D245" s="28">
        <f t="array" ref="D245">INDEX('raw-sheet'!$A$2:$ZZ$1000, ROW(D244), MATCH(D$1, 'raw-sheet'!$A$1:$ZZ$1, 0))</f>
        <v>200</v>
      </c>
      <c r="E245" s="30" t="str">
        <f t="shared" si="6"/>
        <v>Pass</v>
      </c>
      <c r="F245" s="28" t="str">
        <f t="array" ref="F245">INDEX('raw-sheet'!$A$2:$ZZ$1000, ROW(F244), MATCH(F$1, 'raw-sheet'!$A$1:$ZZ$1, 0))</f>
        <v>A醇PDRN眼醇撫紋精華_x000D_ | INNISFREE Taiwan</v>
      </c>
      <c r="G245" s="30" t="s">
        <v>11</v>
      </c>
      <c r="H245" s="28" t="str">
        <f t="array" ref="H245">INDEX('raw-sheet'!$A$2:$ZZ$1000, ROW(H244), MATCH(H$1, 'raw-sheet'!$A$1:$ZZ$1, 0))</f>
        <v>含有A醇、胜肽複合物和綠茶PDRN™，有效緊緻和撫平眼周和唇周出現的表情紋。</v>
      </c>
      <c r="I245" s="30" t="s">
        <v>11</v>
      </c>
      <c r="J245" s="28" t="str">
        <f t="array" ref="J245">INDEX('raw-sheet'!$A$2:$ZZ$1000, ROW(J244), MATCH(J$1, 'raw-sheet'!$A$1:$ZZ$1, 0))</f>
        <v>A醇PDRN眼醇撫紋精華</v>
      </c>
      <c r="K245" s="28" t="str">
        <f t="array" ref="K245">INDEX('raw-sheet'!$A$2:$ZZ$1000, ROW(K244), MATCH(K$1, 'raw-sheet'!$A$1:$ZZ$1, 0))</f>
        <v>1</v>
      </c>
      <c r="L245" s="30" t="s">
        <v>11</v>
      </c>
      <c r="M245" s="28" t="str">
        <f t="array" ref="M245">INDEX('raw-sheet'!$A$2:$ZZ$1000, ROW(M244), MATCH(M$1, 'raw-sheet'!$A$1:$ZZ$1, 0))</f>
        <v>https://innisfree-taiwan.myshopify.com/products/green-tea-pdrn-bounce-booster-eye-and-lip-serum</v>
      </c>
      <c r="N245" s="30" t="str">
        <f t="shared" si="7"/>
        <v>Pass</v>
      </c>
      <c r="O245" s="28" t="str">
        <f t="array" ref="O245">INDEX('raw-sheet'!$A$2:$ZZ$1000, ROW(O244), MATCH(O$1, 'raw-sheet'!$A$1:$ZZ$1, 0))</f>
        <v>A醇PDRN眼醇撫紋精華 | INNISFREE Taiwan</v>
      </c>
      <c r="P245" s="28" t="str">
        <f t="array" ref="P245">INDEX('raw-sheet'!$A$2:$ZZ$1000, ROW(P244), MATCH(P$1, 'raw-sheet'!$A$1:$ZZ$1, 0))</f>
        <v>含有A醇、胜肽複合物和綠茶PDRN™，有效緊緻和撫平眼周和唇周出現的表情紋。</v>
      </c>
      <c r="Q245" s="28" t="str">
        <f t="array" ref="Q245">INDEX('raw-sheet'!$A$2:$ZZ$1000, ROW(Q244), MATCH(Q$1, 'raw-sheet'!$A$1:$ZZ$1, 0))</f>
        <v>product</v>
      </c>
      <c r="R245" s="28" t="str">
        <f t="array" ref="R245">INDEX('raw-sheet'!$A$2:$ZZ$1000, ROW(R244), MATCH(R$1, 'raw-sheet'!$A$1:$ZZ$1, 0))</f>
        <v>INNISFREE Taiwan</v>
      </c>
      <c r="S245" s="28" t="str">
        <f t="array" ref="S245">INDEX('raw-sheet'!$A$2:$ZZ$1000, ROW(S244), MATCH(S$1, 'raw-sheet'!$A$1:$ZZ$1, 0))</f>
        <v>http://innisfree-taiwan.myshopify.com/cdn/shop/files/pdp_mig_5a64b93a_20260108_1718_ID0101_1_jpg.jpg?v=1768541487</v>
      </c>
      <c r="T245" s="28" t="str">
        <f t="array" ref="T245">INDEX('raw-sheet'!$A$2:$ZZ$1000, ROW(T244), MATCH(T$1, 'raw-sheet'!$A$1:$ZZ$1, 0))</f>
        <v>https://innisfree-taiwan.myshopify.com/cdn/shop/files/pdp_mig_5a64b93a_20260108_1718_ID0101_1_jpg.jpg?v=1768541487</v>
      </c>
      <c r="U245" s="28" t="str">
        <f t="array" ref="U245">INDEX('raw-sheet'!$A$2:$ZZ$1000, ROW(U244), MATCH(U$1, 'raw-sheet'!$A$1:$ZZ$1, 0))</f>
        <v>https://innisfree-taiwan.myshopify.com/products/green-tea-pdrn-bounce-booster-eye-and-lip-serum</v>
      </c>
      <c r="V245" s="28" t="str">
        <f t="array" ref="V245">INDEX('raw-sheet'!$A$2:$ZZ$1000, ROW(V244), MATCH(V$1, 'raw-sheet'!$A$1:$ZZ$1, 0))</f>
        <v>A醇PDRN眼醇撫紋精華 | INNISFREE Taiwan</v>
      </c>
      <c r="W245" s="28" t="str">
        <f t="array" ref="W245">INDEX('raw-sheet'!$A$2:$ZZ$1000, ROW(W244), MATCH(W$1, 'raw-sheet'!$A$1:$ZZ$1, 0))</f>
        <v>含有A醇、胜肽複合物和綠茶PDRN™，有效緊緻和撫平眼周和唇周出現的表情紋。</v>
      </c>
      <c r="X245" s="28" t="str">
        <f t="array" ref="X245">INDEX('raw-sheet'!$A$2:$ZZ$1000, ROW(X244), MATCH(X$1, 'raw-sheet'!$A$1:$ZZ$1, 0))</f>
        <v>summary_large_image</v>
      </c>
      <c r="Y245" s="30" t="s">
        <v>11</v>
      </c>
      <c r="Z245" s="28" t="str">
        <f>VLOOKUP($A245,'raw-schema'!$A:$R,14,0)</f>
        <v>Brand</v>
      </c>
      <c r="AA245" s="28" t="str">
        <f>VLOOKUP($A245,'raw-schema'!$A:$R,15,0)</f>
        <v>Offer</v>
      </c>
      <c r="AB245" s="28" t="str">
        <f>VLOOKUP($A245,'raw-schema'!$A:$R,16,0)</f>
        <v>Organization</v>
      </c>
      <c r="AC245" s="28" t="str">
        <f>VLOOKUP($A245,'raw-schema'!$A:$R,17,0)</f>
        <v>Product</v>
      </c>
      <c r="AD245" s="28">
        <f>VLOOKUP($A245,'raw-schema'!$A:$R,18,0)</f>
        <v>0</v>
      </c>
      <c r="AE245" s="30" t="s">
        <v>69</v>
      </c>
    </row>
    <row r="246" spans="1:32" x14ac:dyDescent="0.3">
      <c r="A246" s="28" t="str">
        <f t="array" ref="A246">INDEX('raw-sheet'!$A$2:$ZZ$1000, ROW(A245), MATCH(A$1, 'raw-sheet'!$A$1:$ZZ$1, 0))</f>
        <v>https://innisfree-taiwan.myshopify.com/products/green-tea-pdrn-skinbooster-ampoule-all-care-set</v>
      </c>
      <c r="B246" s="30" t="s">
        <v>11</v>
      </c>
      <c r="C246" s="28" t="str">
        <f t="array" ref="C246">INDEX('raw-sheet'!$A$2:$ZZ$1000, ROW(C245), MATCH(C$1, 'raw-sheet'!$A$1:$ZZ$1, 0))</f>
        <v>Product Detail</v>
      </c>
      <c r="D246" s="28">
        <f t="array" ref="D246">INDEX('raw-sheet'!$A$2:$ZZ$1000, ROW(D245), MATCH(D$1, 'raw-sheet'!$A$1:$ZZ$1, 0))</f>
        <v>200</v>
      </c>
      <c r="E246" s="30" t="str">
        <f t="shared" si="6"/>
        <v>Pass</v>
      </c>
      <c r="F246" s="28" t="str">
        <f t="array" ref="F246">INDEX('raw-sheet'!$A$2:$ZZ$1000, ROW(F245), MATCH(F$1, 'raw-sheet'!$A$1:$ZZ$1, 0))</f>
        <v>1%A醇PDRN水光奇蹟組_x000D_ | INNISFREE Taiwan</v>
      </c>
      <c r="G246" s="30" t="s">
        <v>11</v>
      </c>
      <c r="H246" s="28" t="str">
        <f t="array" ref="H246">INDEX('raw-sheet'!$A$2:$ZZ$1000, ROW(H245), MATCH(H$1, 'raw-sheet'!$A$1:$ZZ$1, 0))</f>
        <v>1%A醇PDRN水光安瓶 25ml*1+A醇PDRN水光奇蹟水 50ml*1+1%A醇PDRN水光安瓶果凍面膜*2</v>
      </c>
      <c r="I246" s="30" t="s">
        <v>11</v>
      </c>
      <c r="J246" s="28" t="str">
        <f t="array" ref="J246">INDEX('raw-sheet'!$A$2:$ZZ$1000, ROW(J245), MATCH(J$1, 'raw-sheet'!$A$1:$ZZ$1, 0))</f>
        <v>1%A醇PDRN水光奇蹟組</v>
      </c>
      <c r="K246" s="28" t="str">
        <f t="array" ref="K246">INDEX('raw-sheet'!$A$2:$ZZ$1000, ROW(K245), MATCH(K$1, 'raw-sheet'!$A$1:$ZZ$1, 0))</f>
        <v>1</v>
      </c>
      <c r="L246" s="30" t="s">
        <v>11</v>
      </c>
      <c r="M246" s="28" t="str">
        <f t="array" ref="M246">INDEX('raw-sheet'!$A$2:$ZZ$1000, ROW(M245), MATCH(M$1, 'raw-sheet'!$A$1:$ZZ$1, 0))</f>
        <v>https://innisfree-taiwan.myshopify.com/products/green-tea-pdrn-skinbooster-ampoule-all-care-set</v>
      </c>
      <c r="N246" s="30" t="str">
        <f t="shared" si="7"/>
        <v>Pass</v>
      </c>
      <c r="O246" s="28" t="str">
        <f t="array" ref="O246">INDEX('raw-sheet'!$A$2:$ZZ$1000, ROW(O245), MATCH(O$1, 'raw-sheet'!$A$1:$ZZ$1, 0))</f>
        <v>1%A醇PDRN水光奇蹟組 | INNISFREE Taiwan</v>
      </c>
      <c r="P246" s="28" t="str">
        <f t="array" ref="P246">INDEX('raw-sheet'!$A$2:$ZZ$1000, ROW(P245), MATCH(P$1, 'raw-sheet'!$A$1:$ZZ$1, 0))</f>
        <v>1%A醇PDRN水光安瓶 25ml*1+A醇PDRN水光奇蹟水 50ml*1+1%A醇PDRN水光安瓶果凍面膜*2</v>
      </c>
      <c r="Q246" s="28" t="str">
        <f t="array" ref="Q246">INDEX('raw-sheet'!$A$2:$ZZ$1000, ROW(Q245), MATCH(Q$1, 'raw-sheet'!$A$1:$ZZ$1, 0))</f>
        <v>product</v>
      </c>
      <c r="R246" s="28" t="str">
        <f t="array" ref="R246">INDEX('raw-sheet'!$A$2:$ZZ$1000, ROW(R245), MATCH(R$1, 'raw-sheet'!$A$1:$ZZ$1, 0))</f>
        <v>INNISFREE Taiwan</v>
      </c>
      <c r="S246" s="28" t="str">
        <f t="array" ref="S246">INDEX('raw-sheet'!$A$2:$ZZ$1000, ROW(S245), MATCH(S$1, 'raw-sheet'!$A$1:$ZZ$1, 0))</f>
        <v>http://innisfree-taiwan.myshopify.com/cdn/shop/files/20251209_1704_ID0101_1.jpg?v=1770623247</v>
      </c>
      <c r="T246" s="28" t="str">
        <f t="array" ref="T246">INDEX('raw-sheet'!$A$2:$ZZ$1000, ROW(T245), MATCH(T$1, 'raw-sheet'!$A$1:$ZZ$1, 0))</f>
        <v>https://innisfree-taiwan.myshopify.com/cdn/shop/files/20251209_1704_ID0101_1.jpg?v=1770623247</v>
      </c>
      <c r="U246" s="28" t="str">
        <f t="array" ref="U246">INDEX('raw-sheet'!$A$2:$ZZ$1000, ROW(U245), MATCH(U$1, 'raw-sheet'!$A$1:$ZZ$1, 0))</f>
        <v>https://innisfree-taiwan.myshopify.com/products/green-tea-pdrn-skinbooster-ampoule-all-care-set</v>
      </c>
      <c r="V246" s="28" t="str">
        <f t="array" ref="V246">INDEX('raw-sheet'!$A$2:$ZZ$1000, ROW(V245), MATCH(V$1, 'raw-sheet'!$A$1:$ZZ$1, 0))</f>
        <v>1%A醇PDRN水光奇蹟組 | INNISFREE Taiwan</v>
      </c>
      <c r="W246" s="28" t="str">
        <f t="array" ref="W246">INDEX('raw-sheet'!$A$2:$ZZ$1000, ROW(W245), MATCH(W$1, 'raw-sheet'!$A$1:$ZZ$1, 0))</f>
        <v>1%A醇PDRN水光安瓶 25ml*1+A醇PDRN水光奇蹟水 50ml*1+1%A醇PDRN水光安瓶果凍面膜*2</v>
      </c>
      <c r="X246" s="28" t="str">
        <f t="array" ref="X246">INDEX('raw-sheet'!$A$2:$ZZ$1000, ROW(X245), MATCH(X$1, 'raw-sheet'!$A$1:$ZZ$1, 0))</f>
        <v>summary_large_image</v>
      </c>
      <c r="Y246" s="30" t="s">
        <v>11</v>
      </c>
      <c r="Z246" s="28" t="str">
        <f>VLOOKUP($A246,'raw-schema'!$A:$R,14,0)</f>
        <v>Brand</v>
      </c>
      <c r="AA246" s="28" t="str">
        <f>VLOOKUP($A246,'raw-schema'!$A:$R,15,0)</f>
        <v>Offer</v>
      </c>
      <c r="AB246" s="28" t="str">
        <f>VLOOKUP($A246,'raw-schema'!$A:$R,16,0)</f>
        <v>Organization</v>
      </c>
      <c r="AC246" s="28" t="str">
        <f>VLOOKUP($A246,'raw-schema'!$A:$R,17,0)</f>
        <v>Product</v>
      </c>
      <c r="AD246" s="28">
        <f>VLOOKUP($A246,'raw-schema'!$A:$R,18,0)</f>
        <v>0</v>
      </c>
      <c r="AE246" s="30" t="s">
        <v>69</v>
      </c>
    </row>
    <row r="247" spans="1:32" x14ac:dyDescent="0.3">
      <c r="A247" s="28" t="str">
        <f t="array" ref="A247">INDEX('raw-sheet'!$A$2:$ZZ$1000, ROW(A246), MATCH(A$1, 'raw-sheet'!$A$1:$ZZ$1, 0))</f>
        <v>https://innisfree-taiwan.myshopify.com/products/gt-3-steps</v>
      </c>
      <c r="B247" s="30" t="s">
        <v>11</v>
      </c>
      <c r="C247" s="28" t="str">
        <f t="array" ref="C247">INDEX('raw-sheet'!$A$2:$ZZ$1000, ROW(C246), MATCH(C$1, 'raw-sheet'!$A$1:$ZZ$1, 0))</f>
        <v>Product Detail</v>
      </c>
      <c r="D247" s="28">
        <f t="array" ref="D247">INDEX('raw-sheet'!$A$2:$ZZ$1000, ROW(D246), MATCH(D$1, 'raw-sheet'!$A$1:$ZZ$1, 0))</f>
        <v>200</v>
      </c>
      <c r="E247" s="30" t="str">
        <f t="shared" si="6"/>
        <v>Pass</v>
      </c>
      <c r="F247" s="28" t="str">
        <f t="array" ref="F247">INDEX('raw-sheet'!$A$2:$ZZ$1000, ROW(F246), MATCH(F$1, 'raw-sheet'!$A$1:$ZZ$1, 0))</f>
        <v>[2月限定]綠茶家族全方位保濕組_x000D_ | INNISFREE Taiwan</v>
      </c>
      <c r="G247" s="30" t="s">
        <v>11</v>
      </c>
      <c r="H247" s="28" t="str">
        <f t="array" ref="H247">INDEX('raw-sheet'!$A$2:$ZZ$1000, ROW(H246), MATCH(H$1, 'raw-sheet'!$A$1:$ZZ$1, 0))</f>
        <v>綠茶神經醯胺牛奶水精華 160ml+綠茶籽玻尿酸保濕精華 80ml+綠茶籽玻尿酸保濕霜 50ml 推薦給缺水或敏弱困擾的肌膚，綠茶萃取+玻尿酸的協同作用能幫助肌膚365天長效保濕，先使用保濕精華深入肌底補水，再使用牛奶水鎖水修護保濕屏障，打造柔嫩健康美肌。</v>
      </c>
      <c r="I247" s="30" t="s">
        <v>11</v>
      </c>
      <c r="J247" s="28" t="str">
        <f t="array" ref="J247">INDEX('raw-sheet'!$A$2:$ZZ$1000, ROW(J246), MATCH(J$1, 'raw-sheet'!$A$1:$ZZ$1, 0))</f>
        <v>[2月限定]綠茶家族全方位保濕組</v>
      </c>
      <c r="K247" s="28" t="str">
        <f t="array" ref="K247">INDEX('raw-sheet'!$A$2:$ZZ$1000, ROW(K246), MATCH(K$1, 'raw-sheet'!$A$1:$ZZ$1, 0))</f>
        <v>1</v>
      </c>
      <c r="L247" s="30" t="s">
        <v>11</v>
      </c>
      <c r="M247" s="28" t="str">
        <f t="array" ref="M247">INDEX('raw-sheet'!$A$2:$ZZ$1000, ROW(M246), MATCH(M$1, 'raw-sheet'!$A$1:$ZZ$1, 0))</f>
        <v>https://innisfree-taiwan.myshopify.com/products/gt-3-steps</v>
      </c>
      <c r="N247" s="30" t="str">
        <f t="shared" si="7"/>
        <v>Pass</v>
      </c>
      <c r="O247" s="28" t="str">
        <f t="array" ref="O247">INDEX('raw-sheet'!$A$2:$ZZ$1000, ROW(O246), MATCH(O$1, 'raw-sheet'!$A$1:$ZZ$1, 0))</f>
        <v>[2月限定]綠茶家族全方位保濕組 | INNISFREE Taiwan</v>
      </c>
      <c r="P247" s="28" t="str">
        <f t="array" ref="P247">INDEX('raw-sheet'!$A$2:$ZZ$1000, ROW(P246), MATCH(P$1, 'raw-sheet'!$A$1:$ZZ$1, 0))</f>
        <v>綠茶神經醯胺牛奶水精華 160ml+綠茶籽玻尿酸保濕精華 80ml+綠茶籽玻尿酸保濕霜 50ml 推薦給缺水或敏弱困擾的肌膚，綠茶萃取+玻尿酸的協同作用能幫助肌膚365天長效保濕，先使用保濕精華深入肌底補水，再使用牛奶水鎖水修護保濕屏障，打造柔嫩健康美肌。</v>
      </c>
      <c r="Q247" s="28" t="str">
        <f t="array" ref="Q247">INDEX('raw-sheet'!$A$2:$ZZ$1000, ROW(Q246), MATCH(Q$1, 'raw-sheet'!$A$1:$ZZ$1, 0))</f>
        <v>product</v>
      </c>
      <c r="R247" s="28" t="str">
        <f t="array" ref="R247">INDEX('raw-sheet'!$A$2:$ZZ$1000, ROW(R246), MATCH(R$1, 'raw-sheet'!$A$1:$ZZ$1, 0))</f>
        <v>INNISFREE Taiwan</v>
      </c>
      <c r="S247" s="28" t="str">
        <f t="array" ref="S247">INDEX('raw-sheet'!$A$2:$ZZ$1000, ROW(S246), MATCH(S$1, 'raw-sheet'!$A$1:$ZZ$1, 0))</f>
        <v>http://innisfree-taiwan.myshopify.com/cdn/shop/files/20260108_1720_ID0101_1.jpg?v=1770623249</v>
      </c>
      <c r="T247" s="28" t="str">
        <f t="array" ref="T247">INDEX('raw-sheet'!$A$2:$ZZ$1000, ROW(T246), MATCH(T$1, 'raw-sheet'!$A$1:$ZZ$1, 0))</f>
        <v>https://innisfree-taiwan.myshopify.com/cdn/shop/files/20260108_1720_ID0101_1.jpg?v=1770623249</v>
      </c>
      <c r="U247" s="28" t="str">
        <f t="array" ref="U247">INDEX('raw-sheet'!$A$2:$ZZ$1000, ROW(U246), MATCH(U$1, 'raw-sheet'!$A$1:$ZZ$1, 0))</f>
        <v>https://innisfree-taiwan.myshopify.com/products/gt-3-steps</v>
      </c>
      <c r="V247" s="28" t="str">
        <f t="array" ref="V247">INDEX('raw-sheet'!$A$2:$ZZ$1000, ROW(V246), MATCH(V$1, 'raw-sheet'!$A$1:$ZZ$1, 0))</f>
        <v>[2月限定]綠茶家族全方位保濕組 | INNISFREE Taiwan</v>
      </c>
      <c r="W247" s="28" t="str">
        <f t="array" ref="W247">INDEX('raw-sheet'!$A$2:$ZZ$1000, ROW(W246), MATCH(W$1, 'raw-sheet'!$A$1:$ZZ$1, 0))</f>
        <v>綠茶神經醯胺牛奶水精華 160ml+綠茶籽玻尿酸保濕精華 80ml+綠茶籽玻尿酸保濕霜 50ml 推薦給缺水或敏弱困擾的肌膚，綠茶萃取+玻尿酸的協同作用能幫助肌膚365天長效保濕，先使用保濕精華深入肌底補水，再使用牛奶水鎖水修護保濕屏障，打造柔嫩健康美肌。</v>
      </c>
      <c r="X247" s="28" t="str">
        <f t="array" ref="X247">INDEX('raw-sheet'!$A$2:$ZZ$1000, ROW(X246), MATCH(X$1, 'raw-sheet'!$A$1:$ZZ$1, 0))</f>
        <v>summary_large_image</v>
      </c>
      <c r="Y247" s="30" t="s">
        <v>11</v>
      </c>
      <c r="Z247" s="28" t="str">
        <f>VLOOKUP($A247,'raw-schema'!$A:$R,14,0)</f>
        <v>Brand</v>
      </c>
      <c r="AA247" s="28" t="str">
        <f>VLOOKUP($A247,'raw-schema'!$A:$R,15,0)</f>
        <v>Offer</v>
      </c>
      <c r="AB247" s="28" t="str">
        <f>VLOOKUP($A247,'raw-schema'!$A:$R,16,0)</f>
        <v>Organization</v>
      </c>
      <c r="AC247" s="28" t="str">
        <f>VLOOKUP($A247,'raw-schema'!$A:$R,17,0)</f>
        <v>Product</v>
      </c>
      <c r="AD247" s="28">
        <f>VLOOKUP($A247,'raw-schema'!$A:$R,18,0)</f>
        <v>0</v>
      </c>
      <c r="AE247" s="30" t="s">
        <v>69</v>
      </c>
    </row>
    <row r="248" spans="1:32" x14ac:dyDescent="0.3">
      <c r="A248" s="28" t="str">
        <f t="array" ref="A248">INDEX('raw-sheet'!$A$2:$ZZ$1000, ROW(A247), MATCH(A$1, 'raw-sheet'!$A$1:$ZZ$1, 0))</f>
        <v>https://innisfree-taiwan.myshopify.com/products/gt-3-steps-01</v>
      </c>
      <c r="B248" s="30" t="s">
        <v>72</v>
      </c>
      <c r="C248" s="28" t="str">
        <f t="array" ref="C248">INDEX('raw-sheet'!$A$2:$ZZ$1000, ROW(C247), MATCH(C$1, 'raw-sheet'!$A$1:$ZZ$1, 0))</f>
        <v>Product Detail</v>
      </c>
      <c r="D248" s="28">
        <f t="array" ref="D248">INDEX('raw-sheet'!$A$2:$ZZ$1000, ROW(D247), MATCH(D$1, 'raw-sheet'!$A$1:$ZZ$1, 0))</f>
        <v>200</v>
      </c>
      <c r="E248" s="30" t="str">
        <f t="shared" si="6"/>
        <v>Pass</v>
      </c>
      <c r="F248" s="28" t="str">
        <f t="array" ref="F248">INDEX('raw-sheet'!$A$2:$ZZ$1000, ROW(F247), MATCH(F$1, 'raw-sheet'!$A$1:$ZZ$1, 0))</f>
        <v>[1月限定]綠茶家族全方位保濕組_x000D_ | INNISFREE Taiwan</v>
      </c>
      <c r="G248" s="30" t="s">
        <v>11</v>
      </c>
      <c r="H248" s="28" t="str">
        <f t="array" ref="H248">INDEX('raw-sheet'!$A$2:$ZZ$1000, ROW(H247), MATCH(H$1, 'raw-sheet'!$A$1:$ZZ$1, 0))</f>
        <v>推薦給缺水或敏弱困擾的肌膚，綠茶萃取+玻尿酸的協同作用能幫助肌膚365天長效保濕，先使用保濕精華深入肌底補水，再使用牛奶水鎖水修護保濕屏障，打造柔嫩健康美肌。</v>
      </c>
      <c r="I248" s="30" t="s">
        <v>11</v>
      </c>
      <c r="J248" s="28" t="str">
        <f t="array" ref="J248">INDEX('raw-sheet'!$A$2:$ZZ$1000, ROW(J247), MATCH(J$1, 'raw-sheet'!$A$1:$ZZ$1, 0))</f>
        <v>[1月限定]綠茶家族全方位保濕組</v>
      </c>
      <c r="K248" s="28" t="str">
        <f t="array" ref="K248">INDEX('raw-sheet'!$A$2:$ZZ$1000, ROW(K247), MATCH(K$1, 'raw-sheet'!$A$1:$ZZ$1, 0))</f>
        <v>1</v>
      </c>
      <c r="L248" s="30" t="s">
        <v>11</v>
      </c>
      <c r="M248" s="28" t="str">
        <f t="array" ref="M248">INDEX('raw-sheet'!$A$2:$ZZ$1000, ROW(M247), MATCH(M$1, 'raw-sheet'!$A$1:$ZZ$1, 0))</f>
        <v>https://innisfree-taiwan.myshopify.com/products/gt-3-steps-01</v>
      </c>
      <c r="N248" s="30" t="str">
        <f t="shared" si="7"/>
        <v>Pass</v>
      </c>
      <c r="O248" s="28" t="str">
        <f t="array" ref="O248">INDEX('raw-sheet'!$A$2:$ZZ$1000, ROW(O247), MATCH(O$1, 'raw-sheet'!$A$1:$ZZ$1, 0))</f>
        <v>[1月限定]綠茶家族全方位保濕組 | INNISFREE Taiwan</v>
      </c>
      <c r="P248" s="28" t="str">
        <f t="array" ref="P248">INDEX('raw-sheet'!$A$2:$ZZ$1000, ROW(P247), MATCH(P$1, 'raw-sheet'!$A$1:$ZZ$1, 0))</f>
        <v>推薦給缺水或敏弱困擾的肌膚，綠茶萃取+玻尿酸的協同作用能幫助肌膚365天長效保濕，先使用保濕精華深入肌底補水，再使用牛奶水鎖水修護保濕屏障，打造柔嫩健康美肌。</v>
      </c>
      <c r="Q248" s="28" t="str">
        <f t="array" ref="Q248">INDEX('raw-sheet'!$A$2:$ZZ$1000, ROW(Q247), MATCH(Q$1, 'raw-sheet'!$A$1:$ZZ$1, 0))</f>
        <v>product</v>
      </c>
      <c r="R248" s="28" t="str">
        <f t="array" ref="R248">INDEX('raw-sheet'!$A$2:$ZZ$1000, ROW(R247), MATCH(R$1, 'raw-sheet'!$A$1:$ZZ$1, 0))</f>
        <v>INNISFREE Taiwan</v>
      </c>
      <c r="S248" s="28" t="str">
        <f t="array" ref="S248">INDEX('raw-sheet'!$A$2:$ZZ$1000, ROW(S247), MATCH(S$1, 'raw-sheet'!$A$1:$ZZ$1, 0))</f>
        <v>http://innisfree-taiwan.myshopify.com/cdn/shop/files/20251210_1706_ID0101_1.jpg?v=1770623251</v>
      </c>
      <c r="T248" s="28" t="str">
        <f t="array" ref="T248">INDEX('raw-sheet'!$A$2:$ZZ$1000, ROW(T247), MATCH(T$1, 'raw-sheet'!$A$1:$ZZ$1, 0))</f>
        <v>https://innisfree-taiwan.myshopify.com/cdn/shop/files/20251210_1706_ID0101_1.jpg?v=1770623251</v>
      </c>
      <c r="U248" s="28" t="str">
        <f t="array" ref="U248">INDEX('raw-sheet'!$A$2:$ZZ$1000, ROW(U247), MATCH(U$1, 'raw-sheet'!$A$1:$ZZ$1, 0))</f>
        <v>https://innisfree-taiwan.myshopify.com/products/gt-3-steps-01</v>
      </c>
      <c r="V248" s="28" t="str">
        <f t="array" ref="V248">INDEX('raw-sheet'!$A$2:$ZZ$1000, ROW(V247), MATCH(V$1, 'raw-sheet'!$A$1:$ZZ$1, 0))</f>
        <v>[1月限定]綠茶家族全方位保濕組 | INNISFREE Taiwan</v>
      </c>
      <c r="W248" s="28" t="str">
        <f t="array" ref="W248">INDEX('raw-sheet'!$A$2:$ZZ$1000, ROW(W247), MATCH(W$1, 'raw-sheet'!$A$1:$ZZ$1, 0))</f>
        <v>推薦給缺水或敏弱困擾的肌膚，綠茶萃取+玻尿酸的協同作用能幫助肌膚365天長效保濕，先使用保濕精華深入肌底補水，再使用牛奶水鎖水修護保濕屏障，打造柔嫩健康美肌。</v>
      </c>
      <c r="X248" s="28" t="str">
        <f t="array" ref="X248">INDEX('raw-sheet'!$A$2:$ZZ$1000, ROW(X247), MATCH(X$1, 'raw-sheet'!$A$1:$ZZ$1, 0))</f>
        <v>summary_large_image</v>
      </c>
      <c r="Y248" s="30" t="s">
        <v>11</v>
      </c>
      <c r="Z248" s="28" t="str">
        <f>VLOOKUP($A248,'raw-schema'!$A:$R,14,0)</f>
        <v>Brand</v>
      </c>
      <c r="AA248" s="28" t="str">
        <f>VLOOKUP($A248,'raw-schema'!$A:$R,15,0)</f>
        <v>Offer</v>
      </c>
      <c r="AB248" s="28" t="str">
        <f>VLOOKUP($A248,'raw-schema'!$A:$R,16,0)</f>
        <v>Organization</v>
      </c>
      <c r="AC248" s="28" t="str">
        <f>VLOOKUP($A248,'raw-schema'!$A:$R,17,0)</f>
        <v>Product</v>
      </c>
      <c r="AD248" s="28">
        <f>VLOOKUP($A248,'raw-schema'!$A:$R,18,0)</f>
        <v>0</v>
      </c>
      <c r="AE248" s="30" t="s">
        <v>69</v>
      </c>
    </row>
    <row r="249" spans="1:32" x14ac:dyDescent="0.3">
      <c r="A249" s="28" t="str">
        <f t="array" ref="A249">INDEX('raw-sheet'!$A$2:$ZZ$1000, ROW(A248), MATCH(A$1, 'raw-sheet'!$A$1:$ZZ$1, 0))</f>
        <v>https://innisfree-taiwan.myshopify.com/products/gt-travel-kit</v>
      </c>
      <c r="B249" s="30" t="s">
        <v>11</v>
      </c>
      <c r="C249" s="28" t="str">
        <f t="array" ref="C249">INDEX('raw-sheet'!$A$2:$ZZ$1000, ROW(C248), MATCH(C$1, 'raw-sheet'!$A$1:$ZZ$1, 0))</f>
        <v>Product Detail</v>
      </c>
      <c r="D249" s="28">
        <f t="array" ref="D249">INDEX('raw-sheet'!$A$2:$ZZ$1000, ROW(D248), MATCH(D$1, 'raw-sheet'!$A$1:$ZZ$1, 0))</f>
        <v>200</v>
      </c>
      <c r="E249" s="30" t="str">
        <f t="shared" si="6"/>
        <v>Pass</v>
      </c>
      <c r="F249" s="28" t="str">
        <f t="array" ref="F249">INDEX('raw-sheet'!$A$2:$ZZ$1000, ROW(F248), MATCH(F$1, 'raw-sheet'!$A$1:$ZZ$1, 0))</f>
        <v>【陪NI去旅行🧳】綠茶保濕旅行組_x000D_ | INNISFREE Taiwan</v>
      </c>
      <c r="G249" s="30" t="s">
        <v>11</v>
      </c>
      <c r="H249" s="28" t="str">
        <f t="array" ref="H249">INDEX('raw-sheet'!$A$2:$ZZ$1000, ROW(H248), MATCH(H$1, 'raw-sheet'!$A$1:$ZZ$1, 0))</f>
        <v>推薦給缺水或敏弱困擾的肌膚，綠茶萃取+玻尿酸的協同作用能幫助肌膚365天長效保濕，搭配保濕霜清爽鎖水，打造健康透亮的柔嫩美肌。</v>
      </c>
      <c r="I249" s="30" t="s">
        <v>11</v>
      </c>
      <c r="J249" s="28" t="str">
        <f t="array" ref="J249">INDEX('raw-sheet'!$A$2:$ZZ$1000, ROW(J248), MATCH(J$1, 'raw-sheet'!$A$1:$ZZ$1, 0))</f>
        <v>【陪NI去旅行🧳】綠茶保濕旅行組</v>
      </c>
      <c r="K249" s="28" t="str">
        <f t="array" ref="K249">INDEX('raw-sheet'!$A$2:$ZZ$1000, ROW(K248), MATCH(K$1, 'raw-sheet'!$A$1:$ZZ$1, 0))</f>
        <v>1</v>
      </c>
      <c r="L249" s="30" t="s">
        <v>11</v>
      </c>
      <c r="M249" s="28" t="str">
        <f t="array" ref="M249">INDEX('raw-sheet'!$A$2:$ZZ$1000, ROW(M248), MATCH(M$1, 'raw-sheet'!$A$1:$ZZ$1, 0))</f>
        <v>https://innisfree-taiwan.myshopify.com/products/gt-travel-kit</v>
      </c>
      <c r="N249" s="30" t="str">
        <f t="shared" si="7"/>
        <v>Pass</v>
      </c>
      <c r="O249" s="28" t="str">
        <f t="array" ref="O249">INDEX('raw-sheet'!$A$2:$ZZ$1000, ROW(O248), MATCH(O$1, 'raw-sheet'!$A$1:$ZZ$1, 0))</f>
        <v>【陪NI去旅行🧳】綠茶保濕旅行組 | INNISFREE Taiwan</v>
      </c>
      <c r="P249" s="28" t="str">
        <f t="array" ref="P249">INDEX('raw-sheet'!$A$2:$ZZ$1000, ROW(P248), MATCH(P$1, 'raw-sheet'!$A$1:$ZZ$1, 0))</f>
        <v>推薦給缺水或敏弱困擾的肌膚，綠茶萃取+玻尿酸的協同作用能幫助肌膚365天長效保濕，搭配保濕霜清爽鎖水，打造健康透亮的柔嫩美肌。</v>
      </c>
      <c r="Q249" s="28" t="str">
        <f t="array" ref="Q249">INDEX('raw-sheet'!$A$2:$ZZ$1000, ROW(Q248), MATCH(Q$1, 'raw-sheet'!$A$1:$ZZ$1, 0))</f>
        <v>product</v>
      </c>
      <c r="R249" s="28" t="str">
        <f t="array" ref="R249">INDEX('raw-sheet'!$A$2:$ZZ$1000, ROW(R248), MATCH(R$1, 'raw-sheet'!$A$1:$ZZ$1, 0))</f>
        <v>INNISFREE Taiwan</v>
      </c>
      <c r="S249" s="28" t="str">
        <f t="array" ref="S249">INDEX('raw-sheet'!$A$2:$ZZ$1000, ROW(S248), MATCH(S$1, 'raw-sheet'!$A$1:$ZZ$1, 0))</f>
        <v>http://innisfree-taiwan.myshopify.com/cdn/shop/files/pdp_mig_f9089a75_20240926_1433_ID0101_1_jpg.jpg?v=1768543099</v>
      </c>
      <c r="T249" s="28" t="str">
        <f t="array" ref="T249">INDEX('raw-sheet'!$A$2:$ZZ$1000, ROW(T248), MATCH(T$1, 'raw-sheet'!$A$1:$ZZ$1, 0))</f>
        <v>https://innisfree-taiwan.myshopify.com/cdn/shop/files/pdp_mig_f9089a75_20240926_1433_ID0101_1_jpg.jpg?v=1768543099</v>
      </c>
      <c r="U249" s="28" t="str">
        <f t="array" ref="U249">INDEX('raw-sheet'!$A$2:$ZZ$1000, ROW(U248), MATCH(U$1, 'raw-sheet'!$A$1:$ZZ$1, 0))</f>
        <v>https://innisfree-taiwan.myshopify.com/products/gt-travel-kit</v>
      </c>
      <c r="V249" s="28" t="str">
        <f t="array" ref="V249">INDEX('raw-sheet'!$A$2:$ZZ$1000, ROW(V248), MATCH(V$1, 'raw-sheet'!$A$1:$ZZ$1, 0))</f>
        <v>【陪NI去旅行🧳】綠茶保濕旅行組 | INNISFREE Taiwan</v>
      </c>
      <c r="W249" s="28" t="str">
        <f t="array" ref="W249">INDEX('raw-sheet'!$A$2:$ZZ$1000, ROW(W248), MATCH(W$1, 'raw-sheet'!$A$1:$ZZ$1, 0))</f>
        <v>推薦給缺水或敏弱困擾的肌膚，綠茶萃取+玻尿酸的協同作用能幫助肌膚365天長效保濕，搭配保濕霜清爽鎖水，打造健康透亮的柔嫩美肌。</v>
      </c>
      <c r="X249" s="28" t="str">
        <f t="array" ref="X249">INDEX('raw-sheet'!$A$2:$ZZ$1000, ROW(X248), MATCH(X$1, 'raw-sheet'!$A$1:$ZZ$1, 0))</f>
        <v>summary_large_image</v>
      </c>
      <c r="Y249" s="30" t="s">
        <v>11</v>
      </c>
      <c r="Z249" s="28" t="str">
        <f>VLOOKUP($A249,'raw-schema'!$A:$R,14,0)</f>
        <v>Brand</v>
      </c>
      <c r="AA249" s="28" t="str">
        <f>VLOOKUP($A249,'raw-schema'!$A:$R,15,0)</f>
        <v>Offer</v>
      </c>
      <c r="AB249" s="28" t="str">
        <f>VLOOKUP($A249,'raw-schema'!$A:$R,16,0)</f>
        <v>Organization</v>
      </c>
      <c r="AC249" s="28" t="str">
        <f>VLOOKUP($A249,'raw-schema'!$A:$R,17,0)</f>
        <v>Product</v>
      </c>
      <c r="AD249" s="28">
        <f>VLOOKUP($A249,'raw-schema'!$A:$R,18,0)</f>
        <v>0</v>
      </c>
      <c r="AE249" s="30" t="s">
        <v>69</v>
      </c>
    </row>
    <row r="250" spans="1:32" x14ac:dyDescent="0.3">
      <c r="A250" s="28" t="str">
        <f t="array" ref="A250">INDEX('raw-sheet'!$A$2:$ZZ$1000, ROW(A249), MATCH(A$1, 'raw-sheet'!$A$1:$ZZ$1, 0))</f>
        <v>https://innisfree-taiwan.myshopify.com/products/gtbt-set</v>
      </c>
      <c r="B250" s="30" t="s">
        <v>11</v>
      </c>
      <c r="C250" s="28" t="str">
        <f t="array" ref="C250">INDEX('raw-sheet'!$A$2:$ZZ$1000, ROW(C249), MATCH(C$1, 'raw-sheet'!$A$1:$ZZ$1, 0))</f>
        <v>Product Detail</v>
      </c>
      <c r="D250" s="28">
        <f t="array" ref="D250">INDEX('raw-sheet'!$A$2:$ZZ$1000, ROW(D249), MATCH(D$1, 'raw-sheet'!$A$1:$ZZ$1, 0))</f>
        <v>200</v>
      </c>
      <c r="E250" s="30" t="str">
        <f t="shared" si="6"/>
        <v>Pass</v>
      </c>
      <c r="F250" s="28" t="str">
        <f t="array" ref="F250">INDEX('raw-sheet'!$A$2:$ZZ$1000, ROW(F249), MATCH(F$1, 'raw-sheet'!$A$1:$ZZ$1, 0))</f>
        <v>[2月限定]明星雙茶保濕彈嫩組_x000D_ | INNISFREE Taiwan</v>
      </c>
      <c r="G250" s="30" t="s">
        <v>11</v>
      </c>
      <c r="H250" s="28" t="str">
        <f t="array" ref="H250">INDEX('raw-sheet'!$A$2:$ZZ$1000, ROW(H249), MATCH(H$1, 'raw-sheet'!$A$1:$ZZ$1, 0))</f>
        <v>綠茶籽玻尿酸保濕精華 80ml+紅茶極效修護安瓶 30ml 推薦給缺水、失去彈力光澤的肌膚，含有濟州美肌綠茶的萃取與綠茶籽油帶給你7倍保濕；濟州紅茶高效修護，舒緩受損疲憊的肌膚，讓肌膚恢復緊緻，擁有自然光澤的好膚質。</v>
      </c>
      <c r="I250" s="30" t="s">
        <v>60</v>
      </c>
      <c r="J250" s="28" t="str">
        <f t="array" ref="J250">INDEX('raw-sheet'!$A$2:$ZZ$1000, ROW(J249), MATCH(J$1, 'raw-sheet'!$A$1:$ZZ$1, 0))</f>
        <v>[2月限定]明星雙茶保濕彈嫩組</v>
      </c>
      <c r="K250" s="28" t="str">
        <f t="array" ref="K250">INDEX('raw-sheet'!$A$2:$ZZ$1000, ROW(K249), MATCH(K$1, 'raw-sheet'!$A$1:$ZZ$1, 0))</f>
        <v>1</v>
      </c>
      <c r="L250" s="30" t="s">
        <v>11</v>
      </c>
      <c r="M250" s="28" t="str">
        <f t="array" ref="M250">INDEX('raw-sheet'!$A$2:$ZZ$1000, ROW(M249), MATCH(M$1, 'raw-sheet'!$A$1:$ZZ$1, 0))</f>
        <v>https://innisfree-taiwan.myshopify.com/products/gtbt-set</v>
      </c>
      <c r="N250" s="30" t="str">
        <f t="shared" si="7"/>
        <v>Pass</v>
      </c>
      <c r="O250" s="28" t="str">
        <f t="array" ref="O250">INDEX('raw-sheet'!$A$2:$ZZ$1000, ROW(O249), MATCH(O$1, 'raw-sheet'!$A$1:$ZZ$1, 0))</f>
        <v>[2月限定]明星雙茶保濕彈嫩組 | INNISFREE Taiwan</v>
      </c>
      <c r="P250" s="28" t="str">
        <f t="array" ref="P250">INDEX('raw-sheet'!$A$2:$ZZ$1000, ROW(P249), MATCH(P$1, 'raw-sheet'!$A$1:$ZZ$1, 0))</f>
        <v>綠茶籽玻尿酸保濕精華 80ml+紅茶極效修護安瓶 30ml 推薦給缺水、失去彈力光澤的肌膚，含有濟州美肌綠茶的萃取與綠茶籽油帶給你7倍保濕；濟州紅茶高效修護，舒緩受損疲憊的肌膚，讓肌膚恢復緊緻，擁有自然光澤的好膚質。</v>
      </c>
      <c r="Q250" s="28" t="str">
        <f t="array" ref="Q250">INDEX('raw-sheet'!$A$2:$ZZ$1000, ROW(Q249), MATCH(Q$1, 'raw-sheet'!$A$1:$ZZ$1, 0))</f>
        <v>product</v>
      </c>
      <c r="R250" s="28" t="str">
        <f t="array" ref="R250">INDEX('raw-sheet'!$A$2:$ZZ$1000, ROW(R249), MATCH(R$1, 'raw-sheet'!$A$1:$ZZ$1, 0))</f>
        <v>INNISFREE Taiwan</v>
      </c>
      <c r="S250" s="28" t="str">
        <f t="array" ref="S250">INDEX('raw-sheet'!$A$2:$ZZ$1000, ROW(S249), MATCH(S$1, 'raw-sheet'!$A$1:$ZZ$1, 0))</f>
        <v>http://innisfree-taiwan.myshopify.com/cdn/shop/files/20260109_1724_ID0101_1.jpg?v=1770623248</v>
      </c>
      <c r="T250" s="28" t="str">
        <f t="array" ref="T250">INDEX('raw-sheet'!$A$2:$ZZ$1000, ROW(T249), MATCH(T$1, 'raw-sheet'!$A$1:$ZZ$1, 0))</f>
        <v>https://innisfree-taiwan.myshopify.com/cdn/shop/files/20260109_1724_ID0101_1.jpg?v=1770623248</v>
      </c>
      <c r="U250" s="28" t="str">
        <f t="array" ref="U250">INDEX('raw-sheet'!$A$2:$ZZ$1000, ROW(U249), MATCH(U$1, 'raw-sheet'!$A$1:$ZZ$1, 0))</f>
        <v>https://innisfree-taiwan.myshopify.com/products/gtbt-set</v>
      </c>
      <c r="V250" s="28" t="str">
        <f t="array" ref="V250">INDEX('raw-sheet'!$A$2:$ZZ$1000, ROW(V249), MATCH(V$1, 'raw-sheet'!$A$1:$ZZ$1, 0))</f>
        <v>[2月限定]明星雙茶保濕彈嫩組 | INNISFREE Taiwan</v>
      </c>
      <c r="W250" s="28" t="str">
        <f t="array" ref="W250">INDEX('raw-sheet'!$A$2:$ZZ$1000, ROW(W249), MATCH(W$1, 'raw-sheet'!$A$1:$ZZ$1, 0))</f>
        <v>綠茶籽玻尿酸保濕精華 80ml+紅茶極效修護安瓶 30ml 推薦給缺水、失去彈力光澤的肌膚，含有濟州美肌綠茶的萃取與綠茶籽油帶給你7倍保濕；濟州紅茶高效修護，舒緩受損疲憊的肌膚，讓肌膚恢復緊緻，擁有自然光澤的好膚質。</v>
      </c>
      <c r="X250" s="28" t="str">
        <f t="array" ref="X250">INDEX('raw-sheet'!$A$2:$ZZ$1000, ROW(X249), MATCH(X$1, 'raw-sheet'!$A$1:$ZZ$1, 0))</f>
        <v>summary_large_image</v>
      </c>
      <c r="Y250" s="30" t="s">
        <v>56</v>
      </c>
      <c r="Z250" s="28" t="str">
        <f>VLOOKUP($A250,'raw-schema'!$A:$R,14,0)</f>
        <v>Brand</v>
      </c>
      <c r="AA250" s="28" t="str">
        <f>VLOOKUP($A250,'raw-schema'!$A:$R,15,0)</f>
        <v>Offer</v>
      </c>
      <c r="AB250" s="28" t="str">
        <f>VLOOKUP($A250,'raw-schema'!$A:$R,16,0)</f>
        <v>Organization</v>
      </c>
      <c r="AC250" s="28" t="str">
        <f>VLOOKUP($A250,'raw-schema'!$A:$R,17,0)</f>
        <v>Product</v>
      </c>
      <c r="AD250" s="28">
        <f>VLOOKUP($A250,'raw-schema'!$A:$R,18,0)</f>
        <v>0</v>
      </c>
      <c r="AE250" s="30" t="s">
        <v>69</v>
      </c>
    </row>
    <row r="251" spans="1:32" x14ac:dyDescent="0.3">
      <c r="A251" s="28" t="str">
        <f t="array" ref="A251">INDEX('raw-sheet'!$A$2:$ZZ$1000, ROW(A250), MATCH(A$1, 'raw-sheet'!$A$1:$ZZ$1, 0))</f>
        <v>https://innisfree-taiwan.myshopify.com/products/gtbt-set-01</v>
      </c>
      <c r="B251" s="30" t="s">
        <v>72</v>
      </c>
      <c r="C251" s="28" t="str">
        <f t="array" ref="C251">INDEX('raw-sheet'!$A$2:$ZZ$1000, ROW(C250), MATCH(C$1, 'raw-sheet'!$A$1:$ZZ$1, 0))</f>
        <v>Product Detail</v>
      </c>
      <c r="D251" s="28">
        <f t="array" ref="D251">INDEX('raw-sheet'!$A$2:$ZZ$1000, ROW(D250), MATCH(D$1, 'raw-sheet'!$A$1:$ZZ$1, 0))</f>
        <v>200</v>
      </c>
      <c r="E251" s="30" t="str">
        <f t="shared" si="6"/>
        <v>Pass</v>
      </c>
      <c r="F251" s="28" t="str">
        <f t="array" ref="F251">INDEX('raw-sheet'!$A$2:$ZZ$1000, ROW(F250), MATCH(F$1, 'raw-sheet'!$A$1:$ZZ$1, 0))</f>
        <v>[1月限定]明星雙茶保濕彈嫩組_x000D_ | INNISFREE Taiwan</v>
      </c>
      <c r="G251" s="30" t="s">
        <v>11</v>
      </c>
      <c r="H251" s="28" t="str">
        <f t="array" ref="H251">INDEX('raw-sheet'!$A$2:$ZZ$1000, ROW(H250), MATCH(H$1, 'raw-sheet'!$A$1:$ZZ$1, 0))</f>
        <v>綠茶籽玻尿酸保濕精華 80ml+紅茶極效修護安瓶 30ml 推薦給缺水、失去彈力光澤的肌膚，含有濟州美肌綠茶的萃取與綠茶籽油帶給你7倍保濕；濟州紅茶高效修護，舒緩受損疲憊的肌膚，讓肌膚恢復緊緻，擁有自然光澤的好膚質。</v>
      </c>
      <c r="I251" s="30" t="s">
        <v>60</v>
      </c>
      <c r="J251" s="28" t="str">
        <f t="array" ref="J251">INDEX('raw-sheet'!$A$2:$ZZ$1000, ROW(J250), MATCH(J$1, 'raw-sheet'!$A$1:$ZZ$1, 0))</f>
        <v>[1月限定]明星雙茶保濕彈嫩組</v>
      </c>
      <c r="K251" s="28" t="str">
        <f t="array" ref="K251">INDEX('raw-sheet'!$A$2:$ZZ$1000, ROW(K250), MATCH(K$1, 'raw-sheet'!$A$1:$ZZ$1, 0))</f>
        <v>1</v>
      </c>
      <c r="L251" s="30" t="s">
        <v>11</v>
      </c>
      <c r="M251" s="28" t="str">
        <f t="array" ref="M251">INDEX('raw-sheet'!$A$2:$ZZ$1000, ROW(M250), MATCH(M$1, 'raw-sheet'!$A$1:$ZZ$1, 0))</f>
        <v>https://innisfree-taiwan.myshopify.com/products/gtbt-set-01</v>
      </c>
      <c r="N251" s="30" t="str">
        <f t="shared" si="7"/>
        <v>Pass</v>
      </c>
      <c r="O251" s="28" t="str">
        <f t="array" ref="O251">INDEX('raw-sheet'!$A$2:$ZZ$1000, ROW(O250), MATCH(O$1, 'raw-sheet'!$A$1:$ZZ$1, 0))</f>
        <v>[1月限定]明星雙茶保濕彈嫩組 | INNISFREE Taiwan</v>
      </c>
      <c r="P251" s="28" t="str">
        <f t="array" ref="P251">INDEX('raw-sheet'!$A$2:$ZZ$1000, ROW(P250), MATCH(P$1, 'raw-sheet'!$A$1:$ZZ$1, 0))</f>
        <v>綠茶籽玻尿酸保濕精華 80ml+紅茶極效修護安瓶 30ml 推薦給缺水、失去彈力光澤的肌膚，含有濟州美肌綠茶的萃取與綠茶籽油帶給你7倍保濕；濟州紅茶高效修護，舒緩受損疲憊的肌膚，讓肌膚恢復緊緻，擁有自然光澤的好膚質。</v>
      </c>
      <c r="Q251" s="28" t="str">
        <f t="array" ref="Q251">INDEX('raw-sheet'!$A$2:$ZZ$1000, ROW(Q250), MATCH(Q$1, 'raw-sheet'!$A$1:$ZZ$1, 0))</f>
        <v>product</v>
      </c>
      <c r="R251" s="28" t="str">
        <f t="array" ref="R251">INDEX('raw-sheet'!$A$2:$ZZ$1000, ROW(R250), MATCH(R$1, 'raw-sheet'!$A$1:$ZZ$1, 0))</f>
        <v>INNISFREE Taiwan</v>
      </c>
      <c r="S251" s="28" t="str">
        <f t="array" ref="S251">INDEX('raw-sheet'!$A$2:$ZZ$1000, ROW(S250), MATCH(S$1, 'raw-sheet'!$A$1:$ZZ$1, 0))</f>
        <v>http://innisfree-taiwan.myshopify.com/cdn/shop/files/20251210_1709_ID0101_1.jpg?v=1770623248</v>
      </c>
      <c r="T251" s="28" t="str">
        <f t="array" ref="T251">INDEX('raw-sheet'!$A$2:$ZZ$1000, ROW(T250), MATCH(T$1, 'raw-sheet'!$A$1:$ZZ$1, 0))</f>
        <v>https://innisfree-taiwan.myshopify.com/cdn/shop/files/20251210_1709_ID0101_1.jpg?v=1770623248</v>
      </c>
      <c r="U251" s="28" t="str">
        <f t="array" ref="U251">INDEX('raw-sheet'!$A$2:$ZZ$1000, ROW(U250), MATCH(U$1, 'raw-sheet'!$A$1:$ZZ$1, 0))</f>
        <v>https://innisfree-taiwan.myshopify.com/products/gtbt-set-01</v>
      </c>
      <c r="V251" s="28" t="str">
        <f t="array" ref="V251">INDEX('raw-sheet'!$A$2:$ZZ$1000, ROW(V250), MATCH(V$1, 'raw-sheet'!$A$1:$ZZ$1, 0))</f>
        <v>[1月限定]明星雙茶保濕彈嫩組 | INNISFREE Taiwan</v>
      </c>
      <c r="W251" s="28" t="str">
        <f t="array" ref="W251">INDEX('raw-sheet'!$A$2:$ZZ$1000, ROW(W250), MATCH(W$1, 'raw-sheet'!$A$1:$ZZ$1, 0))</f>
        <v>綠茶籽玻尿酸保濕精華 80ml+紅茶極效修護安瓶 30ml 推薦給缺水、失去彈力光澤的肌膚，含有濟州美肌綠茶的萃取與綠茶籽油帶給你7倍保濕；濟州紅茶高效修護，舒緩受損疲憊的肌膚，讓肌膚恢復緊緻，擁有自然光澤的好膚質。</v>
      </c>
      <c r="X251" s="28" t="str">
        <f t="array" ref="X251">INDEX('raw-sheet'!$A$2:$ZZ$1000, ROW(X250), MATCH(X$1, 'raw-sheet'!$A$1:$ZZ$1, 0))</f>
        <v>summary_large_image</v>
      </c>
      <c r="Y251" s="30" t="s">
        <v>56</v>
      </c>
      <c r="Z251" s="28" t="str">
        <f>VLOOKUP($A251,'raw-schema'!$A:$R,14,0)</f>
        <v>Brand</v>
      </c>
      <c r="AA251" s="28" t="str">
        <f>VLOOKUP($A251,'raw-schema'!$A:$R,15,0)</f>
        <v>Offer</v>
      </c>
      <c r="AB251" s="28" t="str">
        <f>VLOOKUP($A251,'raw-schema'!$A:$R,16,0)</f>
        <v>Organization</v>
      </c>
      <c r="AC251" s="28" t="str">
        <f>VLOOKUP($A251,'raw-schema'!$A:$R,17,0)</f>
        <v>Product</v>
      </c>
      <c r="AD251" s="28">
        <f>VLOOKUP($A251,'raw-schema'!$A:$R,18,0)</f>
        <v>0</v>
      </c>
      <c r="AE251" s="30" t="s">
        <v>69</v>
      </c>
    </row>
    <row r="252" spans="1:32" x14ac:dyDescent="0.3">
      <c r="A252" s="28" t="str">
        <f t="array" ref="A252">INDEX('raw-sheet'!$A$2:$ZZ$1000, ROW(A251), MATCH(A$1, 'raw-sheet'!$A$1:$ZZ$1, 0))</f>
        <v>https://innisfree-taiwan.myshopify.com/products/gtvc-set</v>
      </c>
      <c r="B252" s="30" t="s">
        <v>11</v>
      </c>
      <c r="C252" s="28" t="str">
        <f t="array" ref="C252">INDEX('raw-sheet'!$A$2:$ZZ$1000, ROW(C251), MATCH(C$1, 'raw-sheet'!$A$1:$ZZ$1, 0))</f>
        <v>Product Detail</v>
      </c>
      <c r="D252" s="28">
        <f t="array" ref="D252">INDEX('raw-sheet'!$A$2:$ZZ$1000, ROW(D251), MATCH(D$1, 'raw-sheet'!$A$1:$ZZ$1, 0))</f>
        <v>200</v>
      </c>
      <c r="E252" s="30" t="str">
        <f t="shared" si="6"/>
        <v>Pass</v>
      </c>
      <c r="F252" s="28" t="str">
        <f t="array" ref="F252">INDEX('raw-sheet'!$A$2:$ZZ$1000, ROW(F251), MATCH(F$1, 'raw-sheet'!$A$1:$ZZ$1, 0))</f>
        <v>[2月限定]綠茶維C爆水發光組_x000D_ | INNISFREE Taiwan</v>
      </c>
      <c r="G252" s="30" t="s">
        <v>11</v>
      </c>
      <c r="H252" s="28" t="str">
        <f t="array" ref="H252">INDEX('raw-sheet'!$A$2:$ZZ$1000, ROW(H251), MATCH(H$1, 'raw-sheet'!$A$1:$ZZ$1, 0))</f>
        <v>綠茶籽玻尿酸保濕精華 80ml+維他命C淨亮精華 30ml 推薦給肌膚暗沉、膚色不均或乾燥缺水的人，綠茶萃取+玻尿酸能夠快速解決肌膚缺水問題、再用維他命C淨亮精華淡化斑點、改善暗沉、均勻膚色，讓肌膚更光滑透亮。</v>
      </c>
      <c r="I252" s="30" t="s">
        <v>11</v>
      </c>
      <c r="J252" s="28" t="str">
        <f t="array" ref="J252">INDEX('raw-sheet'!$A$2:$ZZ$1000, ROW(J251), MATCH(J$1, 'raw-sheet'!$A$1:$ZZ$1, 0))</f>
        <v>[2月限定]綠茶維C爆水發光組</v>
      </c>
      <c r="K252" s="28" t="str">
        <f t="array" ref="K252">INDEX('raw-sheet'!$A$2:$ZZ$1000, ROW(K251), MATCH(K$1, 'raw-sheet'!$A$1:$ZZ$1, 0))</f>
        <v>1</v>
      </c>
      <c r="L252" s="30" t="s">
        <v>11</v>
      </c>
      <c r="M252" s="28" t="str">
        <f t="array" ref="M252">INDEX('raw-sheet'!$A$2:$ZZ$1000, ROW(M251), MATCH(M$1, 'raw-sheet'!$A$1:$ZZ$1, 0))</f>
        <v>https://innisfree-taiwan.myshopify.com/products/gtvc-set</v>
      </c>
      <c r="N252" s="30" t="str">
        <f t="shared" si="7"/>
        <v>Pass</v>
      </c>
      <c r="O252" s="28" t="str">
        <f t="array" ref="O252">INDEX('raw-sheet'!$A$2:$ZZ$1000, ROW(O251), MATCH(O$1, 'raw-sheet'!$A$1:$ZZ$1, 0))</f>
        <v>[2月限定]綠茶維C爆水發光組 | INNISFREE Taiwan</v>
      </c>
      <c r="P252" s="28" t="str">
        <f t="array" ref="P252">INDEX('raw-sheet'!$A$2:$ZZ$1000, ROW(P251), MATCH(P$1, 'raw-sheet'!$A$1:$ZZ$1, 0))</f>
        <v>綠茶籽玻尿酸保濕精華 80ml+維他命C淨亮精華 30ml 推薦給肌膚暗沉、膚色不均或乾燥缺水的人，綠茶萃取+玻尿酸能夠快速解決肌膚缺水問題、再用維他命C淨亮精華淡化斑點、改善暗沉、均勻膚色，讓肌膚更光滑透亮。</v>
      </c>
      <c r="Q252" s="28" t="str">
        <f t="array" ref="Q252">INDEX('raw-sheet'!$A$2:$ZZ$1000, ROW(Q251), MATCH(Q$1, 'raw-sheet'!$A$1:$ZZ$1, 0))</f>
        <v>product</v>
      </c>
      <c r="R252" s="28" t="str">
        <f t="array" ref="R252">INDEX('raw-sheet'!$A$2:$ZZ$1000, ROW(R251), MATCH(R$1, 'raw-sheet'!$A$1:$ZZ$1, 0))</f>
        <v>INNISFREE Taiwan</v>
      </c>
      <c r="S252" s="28" t="str">
        <f t="array" ref="S252">INDEX('raw-sheet'!$A$2:$ZZ$1000, ROW(S251), MATCH(S$1, 'raw-sheet'!$A$1:$ZZ$1, 0))</f>
        <v>http://innisfree-taiwan.myshopify.com/cdn/shop/files/20260109_1723_ID0101_1.jpg?v=1770623248</v>
      </c>
      <c r="T252" s="28" t="str">
        <f t="array" ref="T252">INDEX('raw-sheet'!$A$2:$ZZ$1000, ROW(T251), MATCH(T$1, 'raw-sheet'!$A$1:$ZZ$1, 0))</f>
        <v>https://innisfree-taiwan.myshopify.com/cdn/shop/files/20260109_1723_ID0101_1.jpg?v=1770623248</v>
      </c>
      <c r="U252" s="28" t="str">
        <f t="array" ref="U252">INDEX('raw-sheet'!$A$2:$ZZ$1000, ROW(U251), MATCH(U$1, 'raw-sheet'!$A$1:$ZZ$1, 0))</f>
        <v>https://innisfree-taiwan.myshopify.com/products/gtvc-set</v>
      </c>
      <c r="V252" s="28" t="str">
        <f t="array" ref="V252">INDEX('raw-sheet'!$A$2:$ZZ$1000, ROW(V251), MATCH(V$1, 'raw-sheet'!$A$1:$ZZ$1, 0))</f>
        <v>[2月限定]綠茶維C爆水發光組 | INNISFREE Taiwan</v>
      </c>
      <c r="W252" s="28" t="str">
        <f t="array" ref="W252">INDEX('raw-sheet'!$A$2:$ZZ$1000, ROW(W251), MATCH(W$1, 'raw-sheet'!$A$1:$ZZ$1, 0))</f>
        <v>綠茶籽玻尿酸保濕精華 80ml+維他命C淨亮精華 30ml 推薦給肌膚暗沉、膚色不均或乾燥缺水的人，綠茶萃取+玻尿酸能夠快速解決肌膚缺水問題、再用維他命C淨亮精華淡化斑點、改善暗沉、均勻膚色，讓肌膚更光滑透亮。</v>
      </c>
      <c r="X252" s="28" t="str">
        <f t="array" ref="X252">INDEX('raw-sheet'!$A$2:$ZZ$1000, ROW(X251), MATCH(X$1, 'raw-sheet'!$A$1:$ZZ$1, 0))</f>
        <v>summary_large_image</v>
      </c>
      <c r="Y252" s="30" t="s">
        <v>11</v>
      </c>
      <c r="Z252" s="28" t="str">
        <f>VLOOKUP($A252,'raw-schema'!$A:$R,14,0)</f>
        <v>Brand</v>
      </c>
      <c r="AA252" s="28" t="str">
        <f>VLOOKUP($A252,'raw-schema'!$A:$R,15,0)</f>
        <v>Offer</v>
      </c>
      <c r="AB252" s="28" t="str">
        <f>VLOOKUP($A252,'raw-schema'!$A:$R,16,0)</f>
        <v>Organization</v>
      </c>
      <c r="AC252" s="28" t="str">
        <f>VLOOKUP($A252,'raw-schema'!$A:$R,17,0)</f>
        <v>Product</v>
      </c>
      <c r="AD252" s="28">
        <f>VLOOKUP($A252,'raw-schema'!$A:$R,18,0)</f>
        <v>0</v>
      </c>
      <c r="AE252" s="30" t="s">
        <v>69</v>
      </c>
    </row>
    <row r="253" spans="1:32" x14ac:dyDescent="0.3">
      <c r="A253" s="28" t="str">
        <f t="array" ref="A253">INDEX('raw-sheet'!$A$2:$ZZ$1000, ROW(A252), MATCH(A$1, 'raw-sheet'!$A$1:$ZZ$1, 0))</f>
        <v>https://innisfree-taiwan.myshopify.com/products/hyaluron-moist-sunscreen-spf50-pa</v>
      </c>
      <c r="B253" s="30" t="s">
        <v>11</v>
      </c>
      <c r="C253" s="28" t="str">
        <f t="array" ref="C253">INDEX('raw-sheet'!$A$2:$ZZ$1000, ROW(C252), MATCH(C$1, 'raw-sheet'!$A$1:$ZZ$1, 0))</f>
        <v>Product Detail</v>
      </c>
      <c r="D253" s="28">
        <f t="array" ref="D253">INDEX('raw-sheet'!$A$2:$ZZ$1000, ROW(D252), MATCH(D$1, 'raw-sheet'!$A$1:$ZZ$1, 0))</f>
        <v>200</v>
      </c>
      <c r="E253" s="30" t="str">
        <f t="shared" si="6"/>
        <v>Pass</v>
      </c>
      <c r="F253" s="28" t="str">
        <f t="array" ref="F253">INDEX('raw-sheet'!$A$2:$ZZ$1000, ROW(F252), MATCH(F$1, 'raw-sheet'!$A$1:$ZZ$1, 0))</f>
        <v>玻尿酸保濕水感防曬霜 SPF50+ PA++++ 50ml_x000D_ | INNISFREE Taiwan</v>
      </c>
      <c r="G253" s="30" t="s">
        <v>11</v>
      </c>
      <c r="H253" s="28" t="str">
        <f t="array" ref="H253">INDEX('raw-sheet'!$A$2:$ZZ$1000, ROW(H252), MATCH(H$1, 'raw-sheet'!$A$1:$ZZ$1, 0))</f>
        <v>富含有8種玻尿酸配方的輕爽保濕防曬霜</v>
      </c>
      <c r="I253" s="30" t="s">
        <v>11</v>
      </c>
      <c r="J253" s="28" t="str">
        <f t="array" ref="J253">INDEX('raw-sheet'!$A$2:$ZZ$1000, ROW(J252), MATCH(J$1, 'raw-sheet'!$A$1:$ZZ$1, 0))</f>
        <v>玻尿酸保濕水感防曬霜 SPF50+ PA++++ 50ml</v>
      </c>
      <c r="K253" s="28" t="str">
        <f t="array" ref="K253">INDEX('raw-sheet'!$A$2:$ZZ$1000, ROW(K252), MATCH(K$1, 'raw-sheet'!$A$1:$ZZ$1, 0))</f>
        <v>1</v>
      </c>
      <c r="L253" s="30" t="s">
        <v>11</v>
      </c>
      <c r="M253" s="28" t="str">
        <f t="array" ref="M253">INDEX('raw-sheet'!$A$2:$ZZ$1000, ROW(M252), MATCH(M$1, 'raw-sheet'!$A$1:$ZZ$1, 0))</f>
        <v>https://innisfree-taiwan.myshopify.com/products/hyaluron-moist-sunscreen-spf50-pa</v>
      </c>
      <c r="N253" s="30" t="str">
        <f t="shared" si="7"/>
        <v>Pass</v>
      </c>
      <c r="O253" s="28" t="str">
        <f t="array" ref="O253">INDEX('raw-sheet'!$A$2:$ZZ$1000, ROW(O252), MATCH(O$1, 'raw-sheet'!$A$1:$ZZ$1, 0))</f>
        <v>玻尿酸保濕水感防曬霜 SPF50+ PA++++ 50ml | INNISFREE Taiwan</v>
      </c>
      <c r="P253" s="28" t="str">
        <f t="array" ref="P253">INDEX('raw-sheet'!$A$2:$ZZ$1000, ROW(P252), MATCH(P$1, 'raw-sheet'!$A$1:$ZZ$1, 0))</f>
        <v>富含有8種玻尿酸配方的輕爽保濕防曬霜</v>
      </c>
      <c r="Q253" s="28" t="str">
        <f t="array" ref="Q253">INDEX('raw-sheet'!$A$2:$ZZ$1000, ROW(Q252), MATCH(Q$1, 'raw-sheet'!$A$1:$ZZ$1, 0))</f>
        <v>product</v>
      </c>
      <c r="R253" s="28" t="str">
        <f t="array" ref="R253">INDEX('raw-sheet'!$A$2:$ZZ$1000, ROW(R252), MATCH(R$1, 'raw-sheet'!$A$1:$ZZ$1, 0))</f>
        <v>INNISFREE Taiwan</v>
      </c>
      <c r="S253" s="28" t="str">
        <f t="array" ref="S253">INDEX('raw-sheet'!$A$2:$ZZ$1000, ROW(S252), MATCH(S$1, 'raw-sheet'!$A$1:$ZZ$1, 0))</f>
        <v>http://innisfree-taiwan.myshopify.com/cdn/shop/files/pdp_mig_9280d8bf_20231228_1290_ID0101_1_jpg.jpg?v=1768543084</v>
      </c>
      <c r="T253" s="28" t="str">
        <f t="array" ref="T253">INDEX('raw-sheet'!$A$2:$ZZ$1000, ROW(T252), MATCH(T$1, 'raw-sheet'!$A$1:$ZZ$1, 0))</f>
        <v>https://innisfree-taiwan.myshopify.com/cdn/shop/files/pdp_mig_9280d8bf_20231228_1290_ID0101_1_jpg.jpg?v=1768543084</v>
      </c>
      <c r="U253" s="28" t="str">
        <f t="array" ref="U253">INDEX('raw-sheet'!$A$2:$ZZ$1000, ROW(U252), MATCH(U$1, 'raw-sheet'!$A$1:$ZZ$1, 0))</f>
        <v>https://innisfree-taiwan.myshopify.com/products/hyaluron-moist-sunscreen-spf50-pa</v>
      </c>
      <c r="V253" s="28" t="str">
        <f t="array" ref="V253">INDEX('raw-sheet'!$A$2:$ZZ$1000, ROW(V252), MATCH(V$1, 'raw-sheet'!$A$1:$ZZ$1, 0))</f>
        <v>玻尿酸保濕水感防曬霜 SPF50+ PA++++ 50ml | INNISFREE Taiwan</v>
      </c>
      <c r="W253" s="28" t="str">
        <f t="array" ref="W253">INDEX('raw-sheet'!$A$2:$ZZ$1000, ROW(W252), MATCH(W$1, 'raw-sheet'!$A$1:$ZZ$1, 0))</f>
        <v>富含有8種玻尿酸配方的輕爽保濕防曬霜</v>
      </c>
      <c r="X253" s="28" t="str">
        <f t="array" ref="X253">INDEX('raw-sheet'!$A$2:$ZZ$1000, ROW(X252), MATCH(X$1, 'raw-sheet'!$A$1:$ZZ$1, 0))</f>
        <v>summary_large_image</v>
      </c>
      <c r="Y253" s="30" t="s">
        <v>11</v>
      </c>
      <c r="Z253" s="28" t="str">
        <f>VLOOKUP($A253,'raw-schema'!$A:$R,14,0)</f>
        <v>Brand</v>
      </c>
      <c r="AA253" s="28" t="str">
        <f>VLOOKUP($A253,'raw-schema'!$A:$R,15,0)</f>
        <v>Offer</v>
      </c>
      <c r="AB253" s="28" t="str">
        <f>VLOOKUP($A253,'raw-schema'!$A:$R,16,0)</f>
        <v>Organization</v>
      </c>
      <c r="AC253" s="28" t="str">
        <f>VLOOKUP($A253,'raw-schema'!$A:$R,17,0)</f>
        <v>Product</v>
      </c>
      <c r="AD253" s="28">
        <f>VLOOKUP($A253,'raw-schema'!$A:$R,18,0)</f>
        <v>0</v>
      </c>
      <c r="AE253" s="30" t="s">
        <v>69</v>
      </c>
    </row>
    <row r="254" spans="1:32" x14ac:dyDescent="0.3">
      <c r="A254" s="28" t="str">
        <f t="array" ref="A254">INDEX('raw-sheet'!$A$2:$ZZ$1000, ROW(A253), MATCH(A$1, 'raw-sheet'!$A$1:$ZZ$1, 0))</f>
        <v>https://innisfree-taiwan.myshopify.com/products/if-5-layers-cotton-pads-for-masking-80p23</v>
      </c>
      <c r="B254" s="30" t="s">
        <v>11</v>
      </c>
      <c r="C254" s="28" t="str">
        <f t="array" ref="C254">INDEX('raw-sheet'!$A$2:$ZZ$1000, ROW(C253), MATCH(C$1, 'raw-sheet'!$A$1:$ZZ$1, 0))</f>
        <v>Product Detail</v>
      </c>
      <c r="D254" s="28">
        <f t="array" ref="D254">INDEX('raw-sheet'!$A$2:$ZZ$1000, ROW(D253), MATCH(D$1, 'raw-sheet'!$A$1:$ZZ$1, 0))</f>
        <v>200</v>
      </c>
      <c r="E254" s="30" t="str">
        <f t="shared" si="6"/>
        <v>Pass</v>
      </c>
      <c r="F254" s="28" t="str">
        <f t="array" ref="F254">INDEX('raw-sheet'!$A$2:$ZZ$1000, ROW(F253), MATCH(F$1, 'raw-sheet'!$A$1:$ZZ$1, 0))</f>
        <v>妝自然美妝工具 - 五層多用途化妝棉&amp;#40;濕敷用&amp;#41;_x000D_ | INNISFREE Taiwan</v>
      </c>
      <c r="G254" s="30" t="s">
        <v>11</v>
      </c>
      <c r="H254" s="28" t="str">
        <f t="array" ref="H254">INDEX('raw-sheet'!$A$2:$ZZ$1000, ROW(H253), MATCH(H$1, 'raw-sheet'!$A$1:$ZZ$1, 0))</f>
        <v>五層超薄設計，專為濕敷設計的化妝棉</v>
      </c>
      <c r="I254" s="30" t="s">
        <v>11</v>
      </c>
      <c r="J254" s="28" t="str">
        <f t="array" ref="J254">INDEX('raw-sheet'!$A$2:$ZZ$1000, ROW(J253), MATCH(J$1, 'raw-sheet'!$A$1:$ZZ$1, 0))</f>
        <v>妝自然美妝工具 - 五層多用途化妝棉(濕敷用)</v>
      </c>
      <c r="K254" s="28" t="str">
        <f t="array" ref="K254">INDEX('raw-sheet'!$A$2:$ZZ$1000, ROW(K253), MATCH(K$1, 'raw-sheet'!$A$1:$ZZ$1, 0))</f>
        <v>1</v>
      </c>
      <c r="L254" s="30" t="s">
        <v>11</v>
      </c>
      <c r="M254" s="28" t="str">
        <f t="array" ref="M254">INDEX('raw-sheet'!$A$2:$ZZ$1000, ROW(M253), MATCH(M$1, 'raw-sheet'!$A$1:$ZZ$1, 0))</f>
        <v>https://innisfree-taiwan.myshopify.com/products/if-5-layers-cotton-pads-for-masking-80p23</v>
      </c>
      <c r="N254" s="30" t="str">
        <f t="shared" si="7"/>
        <v>Pass</v>
      </c>
      <c r="O254" s="28" t="str">
        <f t="array" ref="O254">INDEX('raw-sheet'!$A$2:$ZZ$1000, ROW(O253), MATCH(O$1, 'raw-sheet'!$A$1:$ZZ$1, 0))</f>
        <v>妝自然美妝工具 - 五層多用途化妝棉&amp;#40;濕敷用&amp;#41; | INNISFREE Taiwan</v>
      </c>
      <c r="P254" s="28" t="str">
        <f t="array" ref="P254">INDEX('raw-sheet'!$A$2:$ZZ$1000, ROW(P253), MATCH(P$1, 'raw-sheet'!$A$1:$ZZ$1, 0))</f>
        <v>五層超薄設計，專為濕敷設計的化妝棉</v>
      </c>
      <c r="Q254" s="28" t="str">
        <f t="array" ref="Q254">INDEX('raw-sheet'!$A$2:$ZZ$1000, ROW(Q253), MATCH(Q$1, 'raw-sheet'!$A$1:$ZZ$1, 0))</f>
        <v>product</v>
      </c>
      <c r="R254" s="28" t="str">
        <f t="array" ref="R254">INDEX('raw-sheet'!$A$2:$ZZ$1000, ROW(R253), MATCH(R$1, 'raw-sheet'!$A$1:$ZZ$1, 0))</f>
        <v>INNISFREE Taiwan</v>
      </c>
      <c r="S254" s="28" t="str">
        <f t="array" ref="S254">INDEX('raw-sheet'!$A$2:$ZZ$1000, ROW(S253), MATCH(S$1, 'raw-sheet'!$A$1:$ZZ$1, 0))</f>
        <v>http://innisfree-taiwan.myshopify.com/cdn/shop/files/pdp_mig_64fff36b_20231129_1_ID0101_1_jpg.jpg?v=1768543115</v>
      </c>
      <c r="T254" s="28" t="str">
        <f t="array" ref="T254">INDEX('raw-sheet'!$A$2:$ZZ$1000, ROW(T253), MATCH(T$1, 'raw-sheet'!$A$1:$ZZ$1, 0))</f>
        <v>https://innisfree-taiwan.myshopify.com/cdn/shop/files/pdp_mig_64fff36b_20231129_1_ID0101_1_jpg.jpg?v=1768543115</v>
      </c>
      <c r="U254" s="28" t="str">
        <f t="array" ref="U254">INDEX('raw-sheet'!$A$2:$ZZ$1000, ROW(U253), MATCH(U$1, 'raw-sheet'!$A$1:$ZZ$1, 0))</f>
        <v>https://innisfree-taiwan.myshopify.com/products/if-5-layers-cotton-pads-for-masking-80p23</v>
      </c>
      <c r="V254" s="28" t="str">
        <f t="array" ref="V254">INDEX('raw-sheet'!$A$2:$ZZ$1000, ROW(V253), MATCH(V$1, 'raw-sheet'!$A$1:$ZZ$1, 0))</f>
        <v>妝自然美妝工具 - 五層多用途化妝棉&amp;#40;濕敷用&amp;#41; | INNISFREE Taiwan</v>
      </c>
      <c r="W254" s="28" t="str">
        <f t="array" ref="W254">INDEX('raw-sheet'!$A$2:$ZZ$1000, ROW(W253), MATCH(W$1, 'raw-sheet'!$A$1:$ZZ$1, 0))</f>
        <v>五層超薄設計，專為濕敷設計的化妝棉</v>
      </c>
      <c r="X254" s="28" t="str">
        <f t="array" ref="X254">INDEX('raw-sheet'!$A$2:$ZZ$1000, ROW(X253), MATCH(X$1, 'raw-sheet'!$A$1:$ZZ$1, 0))</f>
        <v>summary_large_image</v>
      </c>
      <c r="Y254" s="30" t="s">
        <v>11</v>
      </c>
      <c r="Z254" s="28" t="str">
        <f>VLOOKUP($A254,'raw-schema'!$A:$R,14,0)</f>
        <v>Brand</v>
      </c>
      <c r="AA254" s="28" t="str">
        <f>VLOOKUP($A254,'raw-schema'!$A:$R,15,0)</f>
        <v>Offer</v>
      </c>
      <c r="AB254" s="28" t="str">
        <f>VLOOKUP($A254,'raw-schema'!$A:$R,16,0)</f>
        <v>Organization</v>
      </c>
      <c r="AC254" s="28" t="str">
        <f>VLOOKUP($A254,'raw-schema'!$A:$R,17,0)</f>
        <v>Product</v>
      </c>
      <c r="AD254" s="28">
        <f>VLOOKUP($A254,'raw-schema'!$A:$R,18,0)</f>
        <v>0</v>
      </c>
      <c r="AE254" s="30" t="s">
        <v>69</v>
      </c>
    </row>
    <row r="255" spans="1:32" x14ac:dyDescent="0.3">
      <c r="A255" s="28" t="str">
        <f t="array" ref="A255">INDEX('raw-sheet'!$A$2:$ZZ$1000, ROW(A254), MATCH(A$1, 'raw-sheet'!$A$1:$ZZ$1, 0))</f>
        <v>https://innisfree-taiwan.myshopify.com/products/if-active-mask-25ml23</v>
      </c>
      <c r="B255" s="30" t="s">
        <v>11</v>
      </c>
      <c r="C255" s="28" t="str">
        <f t="array" ref="C255">INDEX('raw-sheet'!$A$2:$ZZ$1000, ROW(C254), MATCH(C$1, 'raw-sheet'!$A$1:$ZZ$1, 0))</f>
        <v>Product Detail</v>
      </c>
      <c r="D255" s="28">
        <f t="array" ref="D255">INDEX('raw-sheet'!$A$2:$ZZ$1000, ROW(D254), MATCH(D$1, 'raw-sheet'!$A$1:$ZZ$1, 0))</f>
        <v>200</v>
      </c>
      <c r="E255" s="30" t="str">
        <f t="shared" si="6"/>
        <v>Pass</v>
      </c>
      <c r="F255" s="28" t="str">
        <f t="array" ref="F255">INDEX('raw-sheet'!$A$2:$ZZ$1000, ROW(F254), MATCH(F$1, 'raw-sheet'!$A$1:$ZZ$1, 0))</f>
        <v>高效活性面膜 25ml_x000D_ | INNISFREE Taiwan</v>
      </c>
      <c r="G255" s="30" t="s">
        <v>11</v>
      </c>
      <c r="H255" s="28" t="str">
        <f t="array" ref="H255">INDEX('raw-sheet'!$A$2:$ZZ$1000, ROW(H254), MATCH(H$1, 'raw-sheet'!$A$1:$ZZ$1, 0))</f>
        <v>通過認證且親膚的布膜材質，搭配高效活性成分能針對各式肌膚問題一一改善。</v>
      </c>
      <c r="I255" s="30" t="s">
        <v>11</v>
      </c>
      <c r="J255" s="28" t="str">
        <f t="array" ref="J255">INDEX('raw-sheet'!$A$2:$ZZ$1000, ROW(J254), MATCH(J$1, 'raw-sheet'!$A$1:$ZZ$1, 0))</f>
        <v>高效活性面膜 25ml</v>
      </c>
      <c r="K255" s="28" t="str">
        <f t="array" ref="K255">INDEX('raw-sheet'!$A$2:$ZZ$1000, ROW(K254), MATCH(K$1, 'raw-sheet'!$A$1:$ZZ$1, 0))</f>
        <v>1</v>
      </c>
      <c r="L255" s="30" t="s">
        <v>11</v>
      </c>
      <c r="M255" s="28" t="str">
        <f t="array" ref="M255">INDEX('raw-sheet'!$A$2:$ZZ$1000, ROW(M254), MATCH(M$1, 'raw-sheet'!$A$1:$ZZ$1, 0))</f>
        <v>https://innisfree-taiwan.myshopify.com/products/if-active-mask-25ml23</v>
      </c>
      <c r="N255" s="30" t="str">
        <f t="shared" si="7"/>
        <v>Pass</v>
      </c>
      <c r="O255" s="28" t="str">
        <f t="array" ref="O255">INDEX('raw-sheet'!$A$2:$ZZ$1000, ROW(O254), MATCH(O$1, 'raw-sheet'!$A$1:$ZZ$1, 0))</f>
        <v>高效活性面膜 25ml | INNISFREE Taiwan</v>
      </c>
      <c r="P255" s="28" t="str">
        <f t="array" ref="P255">INDEX('raw-sheet'!$A$2:$ZZ$1000, ROW(P254), MATCH(P$1, 'raw-sheet'!$A$1:$ZZ$1, 0))</f>
        <v>通過認證且親膚的布膜材質，搭配高效活性成分能針對各式肌膚問題一一改善。</v>
      </c>
      <c r="Q255" s="28" t="str">
        <f t="array" ref="Q255">INDEX('raw-sheet'!$A$2:$ZZ$1000, ROW(Q254), MATCH(Q$1, 'raw-sheet'!$A$1:$ZZ$1, 0))</f>
        <v>product</v>
      </c>
      <c r="R255" s="28" t="str">
        <f t="array" ref="R255">INDEX('raw-sheet'!$A$2:$ZZ$1000, ROW(R254), MATCH(R$1, 'raw-sheet'!$A$1:$ZZ$1, 0))</f>
        <v>INNISFREE Taiwan</v>
      </c>
      <c r="S255" s="28" t="str">
        <f t="array" ref="S255">INDEX('raw-sheet'!$A$2:$ZZ$1000, ROW(S254), MATCH(S$1, 'raw-sheet'!$A$1:$ZZ$1, 0))</f>
        <v>http://innisfree-taiwan.myshopify.com/cdn/shop/files/pdp_mig_91d472b4_20230927_1198_ID0101_1_jpg.jpg?v=1768543089</v>
      </c>
      <c r="T255" s="28" t="str">
        <f t="array" ref="T255">INDEX('raw-sheet'!$A$2:$ZZ$1000, ROW(T254), MATCH(T$1, 'raw-sheet'!$A$1:$ZZ$1, 0))</f>
        <v>https://innisfree-taiwan.myshopify.com/cdn/shop/files/pdp_mig_91d472b4_20230927_1198_ID0101_1_jpg.jpg?v=1768543089</v>
      </c>
      <c r="U255" s="28" t="str">
        <f t="array" ref="U255">INDEX('raw-sheet'!$A$2:$ZZ$1000, ROW(U254), MATCH(U$1, 'raw-sheet'!$A$1:$ZZ$1, 0))</f>
        <v>https://innisfree-taiwan.myshopify.com/products/if-active-mask-25ml23</v>
      </c>
      <c r="V255" s="28" t="str">
        <f t="array" ref="V255">INDEX('raw-sheet'!$A$2:$ZZ$1000, ROW(V254), MATCH(V$1, 'raw-sheet'!$A$1:$ZZ$1, 0))</f>
        <v>高效活性面膜 25ml | INNISFREE Taiwan</v>
      </c>
      <c r="W255" s="28" t="str">
        <f t="array" ref="W255">INDEX('raw-sheet'!$A$2:$ZZ$1000, ROW(W254), MATCH(W$1, 'raw-sheet'!$A$1:$ZZ$1, 0))</f>
        <v>通過認證且親膚的布膜材質，搭配高效活性成分能針對各式肌膚問題一一改善。</v>
      </c>
      <c r="X255" s="28" t="str">
        <f t="array" ref="X255">INDEX('raw-sheet'!$A$2:$ZZ$1000, ROW(X254), MATCH(X$1, 'raw-sheet'!$A$1:$ZZ$1, 0))</f>
        <v>summary_large_image</v>
      </c>
      <c r="Y255" s="30" t="s">
        <v>11</v>
      </c>
      <c r="Z255" s="28" t="str">
        <f>VLOOKUP($A255,'raw-schema'!$A:$R,14,0)</f>
        <v>Brand</v>
      </c>
      <c r="AA255" s="28" t="str">
        <f>VLOOKUP($A255,'raw-schema'!$A:$R,15,0)</f>
        <v>Offer</v>
      </c>
      <c r="AB255" s="28" t="str">
        <f>VLOOKUP($A255,'raw-schema'!$A:$R,16,0)</f>
        <v>Organization</v>
      </c>
      <c r="AC255" s="28" t="str">
        <f>VLOOKUP($A255,'raw-schema'!$A:$R,17,0)</f>
        <v>Product</v>
      </c>
      <c r="AD255" s="28" t="str">
        <f>VLOOKUP($A255,'raw-schema'!$A:$R,18,0)</f>
        <v>ProductGroup</v>
      </c>
      <c r="AE255" s="30" t="s">
        <v>69</v>
      </c>
    </row>
    <row r="256" spans="1:32" x14ac:dyDescent="0.3">
      <c r="A256" s="28" t="str">
        <f t="array" ref="A256">INDEX('raw-sheet'!$A$2:$ZZ$1000, ROW(A255), MATCH(A$1, 'raw-sheet'!$A$1:$ZZ$1, 0))</f>
        <v>https://innisfree-taiwan.myshopify.com/products/if-cherry-blossom-g-jelly-cream-50ml</v>
      </c>
      <c r="B256" s="30" t="s">
        <v>11</v>
      </c>
      <c r="C256" s="28" t="str">
        <f t="array" ref="C256">INDEX('raw-sheet'!$A$2:$ZZ$1000, ROW(C255), MATCH(C$1, 'raw-sheet'!$A$1:$ZZ$1, 0))</f>
        <v>Product Detail</v>
      </c>
      <c r="D256" s="28">
        <f t="array" ref="D256">INDEX('raw-sheet'!$A$2:$ZZ$1000, ROW(D255), MATCH(D$1, 'raw-sheet'!$A$1:$ZZ$1, 0))</f>
        <v>200</v>
      </c>
      <c r="E256" s="30" t="str">
        <f t="shared" si="6"/>
        <v>Pass</v>
      </c>
      <c r="F256" s="28" t="str">
        <f t="array" ref="F256">INDEX('raw-sheet'!$A$2:$ZZ$1000, ROW(F255), MATCH(F$1, 'raw-sheet'!$A$1:$ZZ$1, 0))</f>
        <v>櫻花透亮水凝霜 50ml_x000D_ | INNISFREE Taiwan</v>
      </c>
      <c r="G256" s="30" t="s">
        <v>11</v>
      </c>
      <c r="H256" s="28" t="str">
        <f t="array" ref="H256">INDEX('raw-sheet'!$A$2:$ZZ$1000, ROW(H255), MATCH(H$1, 'raw-sheet'!$A$1:$ZZ$1, 0))</f>
        <v>為乾燥暗沉的肌膚補水提亮的清爽水凝霜，擁有水嫩透亮的肌膚。 適合所有肌膚，想改善肌膚缺水暗沉，重視整體膚色的透亮感的顧客。</v>
      </c>
      <c r="I256" s="30" t="s">
        <v>11</v>
      </c>
      <c r="J256" s="28" t="str">
        <f t="array" ref="J256">INDEX('raw-sheet'!$A$2:$ZZ$1000, ROW(J255), MATCH(J$1, 'raw-sheet'!$A$1:$ZZ$1, 0))</f>
        <v>櫻花透亮水凝霜 50ml</v>
      </c>
      <c r="K256" s="28" t="str">
        <f t="array" ref="K256">INDEX('raw-sheet'!$A$2:$ZZ$1000, ROW(K255), MATCH(K$1, 'raw-sheet'!$A$1:$ZZ$1, 0))</f>
        <v>1</v>
      </c>
      <c r="L256" s="30" t="s">
        <v>11</v>
      </c>
      <c r="M256" s="28" t="str">
        <f t="array" ref="M256">INDEX('raw-sheet'!$A$2:$ZZ$1000, ROW(M255), MATCH(M$1, 'raw-sheet'!$A$1:$ZZ$1, 0))</f>
        <v>https://innisfree-taiwan.myshopify.com/products/if-cherry-blossom-g-jelly-cream-50ml</v>
      </c>
      <c r="N256" s="30" t="str">
        <f t="shared" si="7"/>
        <v>Pass</v>
      </c>
      <c r="O256" s="28" t="str">
        <f t="array" ref="O256">INDEX('raw-sheet'!$A$2:$ZZ$1000, ROW(O255), MATCH(O$1, 'raw-sheet'!$A$1:$ZZ$1, 0))</f>
        <v>櫻花透亮水凝霜 50ml | INNISFREE Taiwan</v>
      </c>
      <c r="P256" s="28" t="str">
        <f t="array" ref="P256">INDEX('raw-sheet'!$A$2:$ZZ$1000, ROW(P255), MATCH(P$1, 'raw-sheet'!$A$1:$ZZ$1, 0))</f>
        <v>為乾燥暗沉的肌膚補水提亮的清爽水凝霜，擁有水嫩透亮的肌膚。 適合所有肌膚，想改善肌膚缺水暗沉，重視整體膚色的透亮感的顧客。</v>
      </c>
      <c r="Q256" s="28" t="str">
        <f t="array" ref="Q256">INDEX('raw-sheet'!$A$2:$ZZ$1000, ROW(Q255), MATCH(Q$1, 'raw-sheet'!$A$1:$ZZ$1, 0))</f>
        <v>product</v>
      </c>
      <c r="R256" s="28" t="str">
        <f t="array" ref="R256">INDEX('raw-sheet'!$A$2:$ZZ$1000, ROW(R255), MATCH(R$1, 'raw-sheet'!$A$1:$ZZ$1, 0))</f>
        <v>INNISFREE Taiwan</v>
      </c>
      <c r="S256" s="28" t="str">
        <f t="array" ref="S256">INDEX('raw-sheet'!$A$2:$ZZ$1000, ROW(S255), MATCH(S$1, 'raw-sheet'!$A$1:$ZZ$1, 0))</f>
        <v>http://innisfree-taiwan.myshopify.com/cdn/shop/files/pdp_mig_7b2ce58f_20260109_526_ID0101_1_jpg.jpg?v=1768543104</v>
      </c>
      <c r="T256" s="28" t="str">
        <f t="array" ref="T256">INDEX('raw-sheet'!$A$2:$ZZ$1000, ROW(T255), MATCH(T$1, 'raw-sheet'!$A$1:$ZZ$1, 0))</f>
        <v>https://innisfree-taiwan.myshopify.com/cdn/shop/files/pdp_mig_7b2ce58f_20260109_526_ID0101_1_jpg.jpg?v=1768543104</v>
      </c>
      <c r="U256" s="28" t="str">
        <f t="array" ref="U256">INDEX('raw-sheet'!$A$2:$ZZ$1000, ROW(U255), MATCH(U$1, 'raw-sheet'!$A$1:$ZZ$1, 0))</f>
        <v>https://innisfree-taiwan.myshopify.com/products/if-cherry-blossom-g-jelly-cream-50ml</v>
      </c>
      <c r="V256" s="28" t="str">
        <f t="array" ref="V256">INDEX('raw-sheet'!$A$2:$ZZ$1000, ROW(V255), MATCH(V$1, 'raw-sheet'!$A$1:$ZZ$1, 0))</f>
        <v>櫻花透亮水凝霜 50ml | INNISFREE Taiwan</v>
      </c>
      <c r="W256" s="28" t="str">
        <f t="array" ref="W256">INDEX('raw-sheet'!$A$2:$ZZ$1000, ROW(W255), MATCH(W$1, 'raw-sheet'!$A$1:$ZZ$1, 0))</f>
        <v>為乾燥暗沉的肌膚補水提亮的清爽水凝霜，擁有水嫩透亮的肌膚。 適合所有肌膚，想改善肌膚缺水暗沉，重視整體膚色的透亮感的顧客。</v>
      </c>
      <c r="X256" s="28" t="str">
        <f t="array" ref="X256">INDEX('raw-sheet'!$A$2:$ZZ$1000, ROW(X255), MATCH(X$1, 'raw-sheet'!$A$1:$ZZ$1, 0))</f>
        <v>summary_large_image</v>
      </c>
      <c r="Y256" s="30" t="s">
        <v>11</v>
      </c>
      <c r="Z256" s="28" t="str">
        <f>VLOOKUP($A256,'raw-schema'!$A:$R,14,0)</f>
        <v>Brand</v>
      </c>
      <c r="AA256" s="28" t="str">
        <f>VLOOKUP($A256,'raw-schema'!$A:$R,15,0)</f>
        <v>Offer</v>
      </c>
      <c r="AB256" s="28" t="str">
        <f>VLOOKUP($A256,'raw-schema'!$A:$R,16,0)</f>
        <v>Organization</v>
      </c>
      <c r="AC256" s="28" t="str">
        <f>VLOOKUP($A256,'raw-schema'!$A:$R,17,0)</f>
        <v>Product</v>
      </c>
      <c r="AD256" s="28">
        <f>VLOOKUP($A256,'raw-schema'!$A:$R,18,0)</f>
        <v>0</v>
      </c>
      <c r="AE256" s="30" t="s">
        <v>69</v>
      </c>
    </row>
    <row r="257" spans="1:31" x14ac:dyDescent="0.3">
      <c r="A257" s="28" t="str">
        <f t="array" ref="A257">INDEX('raw-sheet'!$A$2:$ZZ$1000, ROW(A256), MATCH(A$1, 'raw-sheet'!$A$1:$ZZ$1, 0))</f>
        <v>https://innisfree-taiwan.myshopify.com/products/if-cherrybskinfit-creamspf50pa50ml-23</v>
      </c>
      <c r="B257" s="30" t="s">
        <v>70</v>
      </c>
      <c r="C257" s="28" t="str">
        <f t="array" ref="C257">INDEX('raw-sheet'!$A$2:$ZZ$1000, ROW(C256), MATCH(C$1, 'raw-sheet'!$A$1:$ZZ$1, 0))</f>
        <v>Product Detail</v>
      </c>
      <c r="D257" s="28">
        <f t="array" ref="D257">INDEX('raw-sheet'!$A$2:$ZZ$1000, ROW(D256), MATCH(D$1, 'raw-sheet'!$A$1:$ZZ$1, 0))</f>
        <v>200</v>
      </c>
      <c r="E257" s="30" t="str">
        <f t="shared" si="6"/>
        <v>Pass</v>
      </c>
      <c r="F257" s="28" t="str">
        <f t="array" ref="F257">INDEX('raw-sheet'!$A$2:$ZZ$1000, ROW(F256), MATCH(F$1, 'raw-sheet'!$A$1:$ZZ$1, 0))</f>
        <v>櫻花防曬亮顏霜 SPF50+ PA++++ 50ml_x000D_ | INNISFREE Taiwan</v>
      </c>
      <c r="G257" s="30" t="s">
        <v>11</v>
      </c>
      <c r="H257" s="28" t="str">
        <f t="array" ref="H257">INDEX('raw-sheet'!$A$2:$ZZ$1000, ROW(H256), MATCH(H$1, 'raw-sheet'!$A$1:$ZZ$1, 0))</f>
        <v>揮別乾燥，讓肌膚呈現自然好氣色，擁有防曬效果的素顏霜。</v>
      </c>
      <c r="I257" s="30" t="s">
        <v>11</v>
      </c>
      <c r="J257" s="28" t="str">
        <f t="array" ref="J257">INDEX('raw-sheet'!$A$2:$ZZ$1000, ROW(J256), MATCH(J$1, 'raw-sheet'!$A$1:$ZZ$1, 0))</f>
        <v>櫻花防曬亮顏霜 SPF50+ PA++++ 50ml</v>
      </c>
      <c r="K257" s="28" t="str">
        <f t="array" ref="K257">INDEX('raw-sheet'!$A$2:$ZZ$1000, ROW(K256), MATCH(K$1, 'raw-sheet'!$A$1:$ZZ$1, 0))</f>
        <v>1</v>
      </c>
      <c r="L257" s="30" t="s">
        <v>11</v>
      </c>
      <c r="M257" s="28" t="str">
        <f t="array" ref="M257">INDEX('raw-sheet'!$A$2:$ZZ$1000, ROW(M256), MATCH(M$1, 'raw-sheet'!$A$1:$ZZ$1, 0))</f>
        <v>https://innisfree-taiwan.myshopify.com/products/if-cherrybskinfit-creamspf50pa50ml-23</v>
      </c>
      <c r="N257" s="30" t="str">
        <f t="shared" si="7"/>
        <v>Pass</v>
      </c>
      <c r="O257" s="28" t="str">
        <f t="array" ref="O257">INDEX('raw-sheet'!$A$2:$ZZ$1000, ROW(O256), MATCH(O$1, 'raw-sheet'!$A$1:$ZZ$1, 0))</f>
        <v>櫻花防曬亮顏霜 SPF50+ PA++++ 50ml | INNISFREE Taiwan</v>
      </c>
      <c r="P257" s="28" t="str">
        <f t="array" ref="P257">INDEX('raw-sheet'!$A$2:$ZZ$1000, ROW(P256), MATCH(P$1, 'raw-sheet'!$A$1:$ZZ$1, 0))</f>
        <v>揮別乾燥，讓肌膚呈現自然好氣色，擁有防曬效果的素顏霜。</v>
      </c>
      <c r="Q257" s="28" t="str">
        <f t="array" ref="Q257">INDEX('raw-sheet'!$A$2:$ZZ$1000, ROW(Q256), MATCH(Q$1, 'raw-sheet'!$A$1:$ZZ$1, 0))</f>
        <v>product</v>
      </c>
      <c r="R257" s="28" t="str">
        <f t="array" ref="R257">INDEX('raw-sheet'!$A$2:$ZZ$1000, ROW(R256), MATCH(R$1, 'raw-sheet'!$A$1:$ZZ$1, 0))</f>
        <v>INNISFREE Taiwan</v>
      </c>
      <c r="S257" s="28" t="str">
        <f t="array" ref="S257">INDEX('raw-sheet'!$A$2:$ZZ$1000, ROW(S256), MATCH(S$1, 'raw-sheet'!$A$1:$ZZ$1, 0))</f>
        <v>http://innisfree-taiwan.myshopify.com/cdn/shop/files/pdp_mig_f6bd370a_20230928_938_ID0101_2_jpg.jpg?v=1768543105</v>
      </c>
      <c r="T257" s="28" t="str">
        <f t="array" ref="T257">INDEX('raw-sheet'!$A$2:$ZZ$1000, ROW(T256), MATCH(T$1, 'raw-sheet'!$A$1:$ZZ$1, 0))</f>
        <v>https://innisfree-taiwan.myshopify.com/cdn/shop/files/pdp_mig_f6bd370a_20230928_938_ID0101_2_jpg.jpg?v=1768543105</v>
      </c>
      <c r="U257" s="28" t="str">
        <f t="array" ref="U257">INDEX('raw-sheet'!$A$2:$ZZ$1000, ROW(U256), MATCH(U$1, 'raw-sheet'!$A$1:$ZZ$1, 0))</f>
        <v>https://innisfree-taiwan.myshopify.com/products/if-cherrybskinfit-creamspf50pa50ml-23</v>
      </c>
      <c r="V257" s="28" t="str">
        <f t="array" ref="V257">INDEX('raw-sheet'!$A$2:$ZZ$1000, ROW(V256), MATCH(V$1, 'raw-sheet'!$A$1:$ZZ$1, 0))</f>
        <v>櫻花防曬亮顏霜 SPF50+ PA++++ 50ml | INNISFREE Taiwan</v>
      </c>
      <c r="W257" s="28" t="str">
        <f t="array" ref="W257">INDEX('raw-sheet'!$A$2:$ZZ$1000, ROW(W256), MATCH(W$1, 'raw-sheet'!$A$1:$ZZ$1, 0))</f>
        <v>揮別乾燥，讓肌膚呈現自然好氣色，擁有防曬效果的素顏霜。</v>
      </c>
      <c r="X257" s="28" t="str">
        <f t="array" ref="X257">INDEX('raw-sheet'!$A$2:$ZZ$1000, ROW(X256), MATCH(X$1, 'raw-sheet'!$A$1:$ZZ$1, 0))</f>
        <v>summary_large_image</v>
      </c>
      <c r="Y257" s="30" t="s">
        <v>11</v>
      </c>
      <c r="Z257" s="28" t="str">
        <f>VLOOKUP($A257,'raw-schema'!$A:$R,14,0)</f>
        <v>Brand</v>
      </c>
      <c r="AA257" s="28" t="str">
        <f>VLOOKUP($A257,'raw-schema'!$A:$R,15,0)</f>
        <v>Offer</v>
      </c>
      <c r="AB257" s="28" t="str">
        <f>VLOOKUP($A257,'raw-schema'!$A:$R,16,0)</f>
        <v>Organization</v>
      </c>
      <c r="AC257" s="28" t="str">
        <f>VLOOKUP($A257,'raw-schema'!$A:$R,17,0)</f>
        <v>Product</v>
      </c>
      <c r="AD257" s="28">
        <f>VLOOKUP($A257,'raw-schema'!$A:$R,18,0)</f>
        <v>0</v>
      </c>
      <c r="AE257" s="30" t="s">
        <v>69</v>
      </c>
    </row>
    <row r="258" spans="1:31" x14ac:dyDescent="0.3">
      <c r="A258" s="28" t="str">
        <f t="array" ref="A258">INDEX('raw-sheet'!$A$2:$ZZ$1000, ROW(A257), MATCH(A$1, 'raw-sheet'!$A$1:$ZZ$1, 0))</f>
        <v>https://innisfree-taiwan.myshopify.com/products/if-gt-seed-serum-set25</v>
      </c>
      <c r="B258" s="30" t="s">
        <v>11</v>
      </c>
      <c r="C258" s="28" t="str">
        <f t="array" ref="C258">INDEX('raw-sheet'!$A$2:$ZZ$1000, ROW(C257), MATCH(C$1, 'raw-sheet'!$A$1:$ZZ$1, 0))</f>
        <v>Product Detail</v>
      </c>
      <c r="D258" s="28">
        <f t="array" ref="D258">INDEX('raw-sheet'!$A$2:$ZZ$1000, ROW(D257), MATCH(D$1, 'raw-sheet'!$A$1:$ZZ$1, 0))</f>
        <v>200</v>
      </c>
      <c r="E258" s="30" t="str">
        <f t="shared" ref="E258:E321" si="8">IF(D258=200,"Pass","Not")</f>
        <v>Pass</v>
      </c>
      <c r="F258" s="28" t="str">
        <f t="array" ref="F258">INDEX('raw-sheet'!$A$2:$ZZ$1000, ROW(F257), MATCH(F$1, 'raw-sheet'!$A$1:$ZZ$1, 0))</f>
        <v>綠茶保濕煥膚清潔組_x000D_ | INNISFREE Taiwan</v>
      </c>
      <c r="G258" s="30" t="s">
        <v>11</v>
      </c>
      <c r="H258" s="28" t="str">
        <f t="array" ref="H258">INDEX('raw-sheet'!$A$2:$ZZ$1000, ROW(H257), MATCH(H$1, 'raw-sheet'!$A$1:$ZZ$1, 0))</f>
        <v>綠茶保濕煥膚清潔組(綠茶籽玻尿酸保濕精華80ml+A醇淨膚超修護安瓶10ml+超級火山泥毛孔潔淨面膜10ml+綠茶保濕胺基酸潔面乳30g) 綠茶萃取+玻尿酸的協同作用能夠快速解決肌膚缺水問題，加強保濕屏障幫助肌膚365天長效保濕，打造健康透亮的保濕精華。全膚質適用的國民精華。</v>
      </c>
      <c r="I258" s="30" t="s">
        <v>11</v>
      </c>
      <c r="J258" s="28" t="str">
        <f t="array" ref="J258">INDEX('raw-sheet'!$A$2:$ZZ$1000, ROW(J257), MATCH(J$1, 'raw-sheet'!$A$1:$ZZ$1, 0))</f>
        <v>綠茶保濕煥膚清潔組</v>
      </c>
      <c r="K258" s="28" t="str">
        <f t="array" ref="K258">INDEX('raw-sheet'!$A$2:$ZZ$1000, ROW(K257), MATCH(K$1, 'raw-sheet'!$A$1:$ZZ$1, 0))</f>
        <v>1</v>
      </c>
      <c r="L258" s="30" t="s">
        <v>11</v>
      </c>
      <c r="M258" s="28" t="str">
        <f t="array" ref="M258">INDEX('raw-sheet'!$A$2:$ZZ$1000, ROW(M257), MATCH(M$1, 'raw-sheet'!$A$1:$ZZ$1, 0))</f>
        <v>https://innisfree-taiwan.myshopify.com/products/if-gt-seed-serum-set25</v>
      </c>
      <c r="N258" s="30" t="str">
        <f t="shared" ref="N258:N321" si="9">IF(A258=M258,"Pass","Not")</f>
        <v>Pass</v>
      </c>
      <c r="O258" s="28" t="str">
        <f t="array" ref="O258">INDEX('raw-sheet'!$A$2:$ZZ$1000, ROW(O257), MATCH(O$1, 'raw-sheet'!$A$1:$ZZ$1, 0))</f>
        <v>綠茶保濕煥膚清潔組 | INNISFREE Taiwan</v>
      </c>
      <c r="P258" s="28" t="str">
        <f t="array" ref="P258">INDEX('raw-sheet'!$A$2:$ZZ$1000, ROW(P257), MATCH(P$1, 'raw-sheet'!$A$1:$ZZ$1, 0))</f>
        <v>綠茶保濕煥膚清潔組(綠茶籽玻尿酸保濕精華80ml+A醇淨膚超修護安瓶10ml+超級火山泥毛孔潔淨面膜10ml+綠茶保濕胺基酸潔面乳30g) 綠茶萃取+玻尿酸的協同作用能夠快速解決肌膚缺水問題，加強保濕屏障幫助肌膚365天長效保濕，打造健康透亮的保濕精華。全膚質適用的國民精華。</v>
      </c>
      <c r="Q258" s="28" t="str">
        <f t="array" ref="Q258">INDEX('raw-sheet'!$A$2:$ZZ$1000, ROW(Q257), MATCH(Q$1, 'raw-sheet'!$A$1:$ZZ$1, 0))</f>
        <v>product</v>
      </c>
      <c r="R258" s="28" t="str">
        <f t="array" ref="R258">INDEX('raw-sheet'!$A$2:$ZZ$1000, ROW(R257), MATCH(R$1, 'raw-sheet'!$A$1:$ZZ$1, 0))</f>
        <v>INNISFREE Taiwan</v>
      </c>
      <c r="S258" s="28" t="str">
        <f t="array" ref="S258">INDEX('raw-sheet'!$A$2:$ZZ$1000, ROW(S257), MATCH(S$1, 'raw-sheet'!$A$1:$ZZ$1, 0))</f>
        <v>http://innisfree-taiwan.myshopify.com/cdn/shop/files/pdp_mig_379f68e9_20250423_1552_ID0101_1_jpg.jpg?v=1768543080</v>
      </c>
      <c r="T258" s="28" t="str">
        <f t="array" ref="T258">INDEX('raw-sheet'!$A$2:$ZZ$1000, ROW(T257), MATCH(T$1, 'raw-sheet'!$A$1:$ZZ$1, 0))</f>
        <v>https://innisfree-taiwan.myshopify.com/cdn/shop/files/pdp_mig_379f68e9_20250423_1552_ID0101_1_jpg.jpg?v=1768543080</v>
      </c>
      <c r="U258" s="28" t="str">
        <f t="array" ref="U258">INDEX('raw-sheet'!$A$2:$ZZ$1000, ROW(U257), MATCH(U$1, 'raw-sheet'!$A$1:$ZZ$1, 0))</f>
        <v>https://innisfree-taiwan.myshopify.com/products/if-gt-seed-serum-set25</v>
      </c>
      <c r="V258" s="28" t="str">
        <f t="array" ref="V258">INDEX('raw-sheet'!$A$2:$ZZ$1000, ROW(V257), MATCH(V$1, 'raw-sheet'!$A$1:$ZZ$1, 0))</f>
        <v>綠茶保濕煥膚清潔組 | INNISFREE Taiwan</v>
      </c>
      <c r="W258" s="28" t="str">
        <f t="array" ref="W258">INDEX('raw-sheet'!$A$2:$ZZ$1000, ROW(W257), MATCH(W$1, 'raw-sheet'!$A$1:$ZZ$1, 0))</f>
        <v>綠茶保濕煥膚清潔組(綠茶籽玻尿酸保濕精華80ml+A醇淨膚超修護安瓶10ml+超級火山泥毛孔潔淨面膜10ml+綠茶保濕胺基酸潔面乳30g) 綠茶萃取+玻尿酸的協同作用能夠快速解決肌膚缺水問題，加強保濕屏障幫助肌膚365天長效保濕，打造健康透亮的保濕精華。全膚質適用的國民精華。</v>
      </c>
      <c r="X258" s="28" t="str">
        <f t="array" ref="X258">INDEX('raw-sheet'!$A$2:$ZZ$1000, ROW(X257), MATCH(X$1, 'raw-sheet'!$A$1:$ZZ$1, 0))</f>
        <v>summary_large_image</v>
      </c>
      <c r="Y258" s="30" t="s">
        <v>11</v>
      </c>
      <c r="Z258" s="28" t="str">
        <f>VLOOKUP($A258,'raw-schema'!$A:$R,14,0)</f>
        <v>Brand</v>
      </c>
      <c r="AA258" s="28" t="str">
        <f>VLOOKUP($A258,'raw-schema'!$A:$R,15,0)</f>
        <v>Offer</v>
      </c>
      <c r="AB258" s="28" t="str">
        <f>VLOOKUP($A258,'raw-schema'!$A:$R,16,0)</f>
        <v>Organization</v>
      </c>
      <c r="AC258" s="28" t="str">
        <f>VLOOKUP($A258,'raw-schema'!$A:$R,17,0)</f>
        <v>Product</v>
      </c>
      <c r="AD258" s="28">
        <f>VLOOKUP($A258,'raw-schema'!$A:$R,18,0)</f>
        <v>0</v>
      </c>
      <c r="AE258" s="30" t="s">
        <v>69</v>
      </c>
    </row>
    <row r="259" spans="1:31" x14ac:dyDescent="0.3">
      <c r="A259" s="28" t="str">
        <f t="array" ref="A259">INDEX('raw-sheet'!$A$2:$ZZ$1000, ROW(A258), MATCH(A$1, 'raw-sheet'!$A$1:$ZZ$1, 0))</f>
        <v>https://innisfree-taiwan.myshopify.com/products/if-intensive-long-lasting-sunex-50ml23</v>
      </c>
      <c r="B259" s="30" t="s">
        <v>11</v>
      </c>
      <c r="C259" s="28" t="str">
        <f t="array" ref="C259">INDEX('raw-sheet'!$A$2:$ZZ$1000, ROW(C258), MATCH(C$1, 'raw-sheet'!$A$1:$ZZ$1, 0))</f>
        <v>Product Detail</v>
      </c>
      <c r="D259" s="28">
        <f t="array" ref="D259">INDEX('raw-sheet'!$A$2:$ZZ$1000, ROW(D258), MATCH(D$1, 'raw-sheet'!$A$1:$ZZ$1, 0))</f>
        <v>200</v>
      </c>
      <c r="E259" s="30" t="str">
        <f t="shared" si="8"/>
        <v>Pass</v>
      </c>
      <c r="F259" s="28" t="str">
        <f t="array" ref="F259">INDEX('raw-sheet'!$A$2:$ZZ$1000, ROW(F258), MATCH(F$1, 'raw-sheet'!$A$1:$ZZ$1, 0))</f>
        <v>向日葵完美清爽防曬霜 SPF50+ PA++++ 60ml_x000D_ | INNISFREE Taiwan</v>
      </c>
      <c r="G259" s="30" t="s">
        <v>11</v>
      </c>
      <c r="H259" s="28" t="str">
        <f t="array" ref="H259">INDEX('raw-sheet'!$A$2:$ZZ$1000, ROW(H258), MATCH(H$1, 'raw-sheet'!$A$1:$ZZ$1, 0))</f>
        <v>強效防水功效，適合戶外及水上活動並推薦給油肌和混合肌 #清爽不泛白 #舒緩保濕 #強效防水</v>
      </c>
      <c r="I259" s="30" t="s">
        <v>11</v>
      </c>
      <c r="J259" s="28" t="str">
        <f t="array" ref="J259">INDEX('raw-sheet'!$A$2:$ZZ$1000, ROW(J258), MATCH(J$1, 'raw-sheet'!$A$1:$ZZ$1, 0))</f>
        <v>向日葵完美清爽防曬霜 SPF50+ PA++++ 60ml</v>
      </c>
      <c r="K259" s="28" t="str">
        <f t="array" ref="K259">INDEX('raw-sheet'!$A$2:$ZZ$1000, ROW(K258), MATCH(K$1, 'raw-sheet'!$A$1:$ZZ$1, 0))</f>
        <v>1</v>
      </c>
      <c r="L259" s="30" t="s">
        <v>11</v>
      </c>
      <c r="M259" s="28" t="str">
        <f t="array" ref="M259">INDEX('raw-sheet'!$A$2:$ZZ$1000, ROW(M258), MATCH(M$1, 'raw-sheet'!$A$1:$ZZ$1, 0))</f>
        <v>https://innisfree-taiwan.myshopify.com/products/if-intensive-long-lasting-sunex-50ml23</v>
      </c>
      <c r="N259" s="30" t="str">
        <f t="shared" si="9"/>
        <v>Pass</v>
      </c>
      <c r="O259" s="28" t="str">
        <f t="array" ref="O259">INDEX('raw-sheet'!$A$2:$ZZ$1000, ROW(O258), MATCH(O$1, 'raw-sheet'!$A$1:$ZZ$1, 0))</f>
        <v>向日葵完美清爽防曬霜 SPF50+ PA++++ 60ml | INNISFREE Taiwan</v>
      </c>
      <c r="P259" s="28" t="str">
        <f t="array" ref="P259">INDEX('raw-sheet'!$A$2:$ZZ$1000, ROW(P258), MATCH(P$1, 'raw-sheet'!$A$1:$ZZ$1, 0))</f>
        <v>強效防水功效，適合戶外及水上活動並推薦給油肌和混合肌 #清爽不泛白 #舒緩保濕 #強效防水</v>
      </c>
      <c r="Q259" s="28" t="str">
        <f t="array" ref="Q259">INDEX('raw-sheet'!$A$2:$ZZ$1000, ROW(Q258), MATCH(Q$1, 'raw-sheet'!$A$1:$ZZ$1, 0))</f>
        <v>product</v>
      </c>
      <c r="R259" s="28" t="str">
        <f t="array" ref="R259">INDEX('raw-sheet'!$A$2:$ZZ$1000, ROW(R258), MATCH(R$1, 'raw-sheet'!$A$1:$ZZ$1, 0))</f>
        <v>INNISFREE Taiwan</v>
      </c>
      <c r="S259" s="28" t="str">
        <f t="array" ref="S259">INDEX('raw-sheet'!$A$2:$ZZ$1000, ROW(S258), MATCH(S$1, 'raw-sheet'!$A$1:$ZZ$1, 0))</f>
        <v>http://innisfree-taiwan.myshopify.com/cdn/shop/files/pdp_mig_e466345c_20231127_1055_ID0101_1_jpg.jpg?v=1768543094</v>
      </c>
      <c r="T259" s="28" t="str">
        <f t="array" ref="T259">INDEX('raw-sheet'!$A$2:$ZZ$1000, ROW(T258), MATCH(T$1, 'raw-sheet'!$A$1:$ZZ$1, 0))</f>
        <v>https://innisfree-taiwan.myshopify.com/cdn/shop/files/pdp_mig_e466345c_20231127_1055_ID0101_1_jpg.jpg?v=1768543094</v>
      </c>
      <c r="U259" s="28" t="str">
        <f t="array" ref="U259">INDEX('raw-sheet'!$A$2:$ZZ$1000, ROW(U258), MATCH(U$1, 'raw-sheet'!$A$1:$ZZ$1, 0))</f>
        <v>https://innisfree-taiwan.myshopify.com/products/if-intensive-long-lasting-sunex-50ml23</v>
      </c>
      <c r="V259" s="28" t="str">
        <f t="array" ref="V259">INDEX('raw-sheet'!$A$2:$ZZ$1000, ROW(V258), MATCH(V$1, 'raw-sheet'!$A$1:$ZZ$1, 0))</f>
        <v>向日葵完美清爽防曬霜 SPF50+ PA++++ 60ml | INNISFREE Taiwan</v>
      </c>
      <c r="W259" s="28" t="str">
        <f t="array" ref="W259">INDEX('raw-sheet'!$A$2:$ZZ$1000, ROW(W258), MATCH(W$1, 'raw-sheet'!$A$1:$ZZ$1, 0))</f>
        <v>強效防水功效，適合戶外及水上活動並推薦給油肌和混合肌 #清爽不泛白 #舒緩保濕 #強效防水</v>
      </c>
      <c r="X259" s="28" t="str">
        <f t="array" ref="X259">INDEX('raw-sheet'!$A$2:$ZZ$1000, ROW(X258), MATCH(X$1, 'raw-sheet'!$A$1:$ZZ$1, 0))</f>
        <v>summary_large_image</v>
      </c>
      <c r="Y259" s="30" t="s">
        <v>11</v>
      </c>
      <c r="Z259" s="28" t="str">
        <f>VLOOKUP($A259,'raw-schema'!$A:$R,14,0)</f>
        <v>Brand</v>
      </c>
      <c r="AA259" s="28" t="str">
        <f>VLOOKUP($A259,'raw-schema'!$A:$R,15,0)</f>
        <v>Offer</v>
      </c>
      <c r="AB259" s="28" t="str">
        <f>VLOOKUP($A259,'raw-schema'!$A:$R,16,0)</f>
        <v>Organization</v>
      </c>
      <c r="AC259" s="28" t="str">
        <f>VLOOKUP($A259,'raw-schema'!$A:$R,17,0)</f>
        <v>Product</v>
      </c>
      <c r="AD259" s="28">
        <f>VLOOKUP($A259,'raw-schema'!$A:$R,18,0)</f>
        <v>0</v>
      </c>
      <c r="AE259" s="30" t="s">
        <v>69</v>
      </c>
    </row>
    <row r="260" spans="1:31" x14ac:dyDescent="0.3">
      <c r="A260" s="28" t="str">
        <f t="array" ref="A260">INDEX('raw-sheet'!$A$2:$ZZ$1000, ROW(A259), MATCH(A$1, 'raw-sheet'!$A$1:$ZZ$1, 0))</f>
        <v>https://innisfree-taiwan.myshopify.com/products/if-retinol-cica-repair-pad-60p</v>
      </c>
      <c r="B260" s="30" t="s">
        <v>11</v>
      </c>
      <c r="C260" s="28" t="str">
        <f t="array" ref="C260">INDEX('raw-sheet'!$A$2:$ZZ$1000, ROW(C259), MATCH(C$1, 'raw-sheet'!$A$1:$ZZ$1, 0))</f>
        <v>Product Detail</v>
      </c>
      <c r="D260" s="28">
        <f t="array" ref="D260">INDEX('raw-sheet'!$A$2:$ZZ$1000, ROW(D259), MATCH(D$1, 'raw-sheet'!$A$1:$ZZ$1, 0))</f>
        <v>200</v>
      </c>
      <c r="E260" s="30" t="str">
        <f t="shared" si="8"/>
        <v>Pass</v>
      </c>
      <c r="F260" s="28" t="str">
        <f t="array" ref="F260">INDEX('raw-sheet'!$A$2:$ZZ$1000, ROW(F259), MATCH(F$1, 'raw-sheet'!$A$1:$ZZ$1, 0))</f>
        <v>A醇淨膚毛孔修護棉片 170ml &amp;#40;60片&amp;#41;_x000D_ | INNISFREE Taiwan</v>
      </c>
      <c r="G260" s="30" t="s">
        <v>11</v>
      </c>
      <c r="H260" s="28" t="str">
        <f t="array" ref="H260">INDEX('raw-sheet'!$A$2:$ZZ$1000, ROW(H259), MATCH(H$1, 'raw-sheet'!$A$1:$ZZ$1, 0))</f>
        <v>蘊含A醇、積雪草萃取及多種保濕成分，幫助肌膚代謝老廢角質、改善粉刺、緊緻毛孔。適合所有肌膚類型，想改善粉刺痘痘問題、毛孔粗大、肌膚暗沉粗糙困擾的顧客。</v>
      </c>
      <c r="I260" s="30" t="s">
        <v>11</v>
      </c>
      <c r="J260" s="28" t="str">
        <f t="array" ref="J260">INDEX('raw-sheet'!$A$2:$ZZ$1000, ROW(J259), MATCH(J$1, 'raw-sheet'!$A$1:$ZZ$1, 0))</f>
        <v>A醇淨膚毛孔修護棉片 170ml (60片)</v>
      </c>
      <c r="K260" s="28" t="str">
        <f t="array" ref="K260">INDEX('raw-sheet'!$A$2:$ZZ$1000, ROW(K259), MATCH(K$1, 'raw-sheet'!$A$1:$ZZ$1, 0))</f>
        <v>1</v>
      </c>
      <c r="L260" s="30" t="s">
        <v>11</v>
      </c>
      <c r="M260" s="28" t="str">
        <f t="array" ref="M260">INDEX('raw-sheet'!$A$2:$ZZ$1000, ROW(M259), MATCH(M$1, 'raw-sheet'!$A$1:$ZZ$1, 0))</f>
        <v>https://innisfree-taiwan.myshopify.com/products/if-retinol-cica-repair-pad-60p</v>
      </c>
      <c r="N260" s="30" t="str">
        <f t="shared" si="9"/>
        <v>Pass</v>
      </c>
      <c r="O260" s="28" t="str">
        <f t="array" ref="O260">INDEX('raw-sheet'!$A$2:$ZZ$1000, ROW(O259), MATCH(O$1, 'raw-sheet'!$A$1:$ZZ$1, 0))</f>
        <v>A醇淨膚毛孔修護棉片 170ml &amp;#40;60片&amp;#41; | INNISFREE Taiwan</v>
      </c>
      <c r="P260" s="28" t="str">
        <f t="array" ref="P260">INDEX('raw-sheet'!$A$2:$ZZ$1000, ROW(P259), MATCH(P$1, 'raw-sheet'!$A$1:$ZZ$1, 0))</f>
        <v>蘊含A醇、積雪草萃取及多種保濕成分，幫助肌膚代謝老廢角質、改善粉刺、緊緻毛孔。適合所有肌膚類型，想改善粉刺痘痘問題、毛孔粗大、肌膚暗沉粗糙困擾的顧客。</v>
      </c>
      <c r="Q260" s="28" t="str">
        <f t="array" ref="Q260">INDEX('raw-sheet'!$A$2:$ZZ$1000, ROW(Q259), MATCH(Q$1, 'raw-sheet'!$A$1:$ZZ$1, 0))</f>
        <v>product</v>
      </c>
      <c r="R260" s="28" t="str">
        <f t="array" ref="R260">INDEX('raw-sheet'!$A$2:$ZZ$1000, ROW(R259), MATCH(R$1, 'raw-sheet'!$A$1:$ZZ$1, 0))</f>
        <v>INNISFREE Taiwan</v>
      </c>
      <c r="S260" s="28" t="str">
        <f t="array" ref="S260">INDEX('raw-sheet'!$A$2:$ZZ$1000, ROW(S259), MATCH(S$1, 'raw-sheet'!$A$1:$ZZ$1, 0))</f>
        <v>http://innisfree-taiwan.myshopify.com/cdn/shop/files/pdp_mig_8387b652_20260112_1452_ID0101_1_jpg.jpg?v=1768543073</v>
      </c>
      <c r="T260" s="28" t="str">
        <f t="array" ref="T260">INDEX('raw-sheet'!$A$2:$ZZ$1000, ROW(T259), MATCH(T$1, 'raw-sheet'!$A$1:$ZZ$1, 0))</f>
        <v>https://innisfree-taiwan.myshopify.com/cdn/shop/files/pdp_mig_8387b652_20260112_1452_ID0101_1_jpg.jpg?v=1768543073</v>
      </c>
      <c r="U260" s="28" t="str">
        <f t="array" ref="U260">INDEX('raw-sheet'!$A$2:$ZZ$1000, ROW(U259), MATCH(U$1, 'raw-sheet'!$A$1:$ZZ$1, 0))</f>
        <v>https://innisfree-taiwan.myshopify.com/products/if-retinol-cica-repair-pad-60p</v>
      </c>
      <c r="V260" s="28" t="str">
        <f t="array" ref="V260">INDEX('raw-sheet'!$A$2:$ZZ$1000, ROW(V259), MATCH(V$1, 'raw-sheet'!$A$1:$ZZ$1, 0))</f>
        <v>A醇淨膚毛孔修護棉片 170ml &amp;#40;60片&amp;#41; | INNISFREE Taiwan</v>
      </c>
      <c r="W260" s="28" t="str">
        <f t="array" ref="W260">INDEX('raw-sheet'!$A$2:$ZZ$1000, ROW(W259), MATCH(W$1, 'raw-sheet'!$A$1:$ZZ$1, 0))</f>
        <v>蘊含A醇、積雪草萃取及多種保濕成分，幫助肌膚代謝老廢角質、改善粉刺、緊緻毛孔。適合所有肌膚類型，想改善粉刺痘痘問題、毛孔粗大、肌膚暗沉粗糙困擾的顧客。</v>
      </c>
      <c r="X260" s="28" t="str">
        <f t="array" ref="X260">INDEX('raw-sheet'!$A$2:$ZZ$1000, ROW(X259), MATCH(X$1, 'raw-sheet'!$A$1:$ZZ$1, 0))</f>
        <v>summary_large_image</v>
      </c>
      <c r="Y260" s="30" t="s">
        <v>11</v>
      </c>
      <c r="Z260" s="28" t="str">
        <f>VLOOKUP($A260,'raw-schema'!$A:$R,14,0)</f>
        <v>Brand</v>
      </c>
      <c r="AA260" s="28" t="str">
        <f>VLOOKUP($A260,'raw-schema'!$A:$R,15,0)</f>
        <v>Offer</v>
      </c>
      <c r="AB260" s="28" t="str">
        <f>VLOOKUP($A260,'raw-schema'!$A:$R,16,0)</f>
        <v>Organization</v>
      </c>
      <c r="AC260" s="28" t="str">
        <f>VLOOKUP($A260,'raw-schema'!$A:$R,17,0)</f>
        <v>Product</v>
      </c>
      <c r="AD260" s="28">
        <f>VLOOKUP($A260,'raw-schema'!$A:$R,18,0)</f>
        <v>0</v>
      </c>
      <c r="AE260" s="30" t="s">
        <v>69</v>
      </c>
    </row>
    <row r="261" spans="1:31" x14ac:dyDescent="0.3">
      <c r="A261" s="28" t="str">
        <f t="array" ref="A261">INDEX('raw-sheet'!$A$2:$ZZ$1000, ROW(A260), MATCH(A$1, 'raw-sheet'!$A$1:$ZZ$1, 0))</f>
        <v>https://innisfree-taiwan.myshopify.com/products/if-volcanic-pha-pore-toner-170ml23</v>
      </c>
      <c r="B261" s="30" t="s">
        <v>11</v>
      </c>
      <c r="C261" s="28" t="str">
        <f t="array" ref="C261">INDEX('raw-sheet'!$A$2:$ZZ$1000, ROW(C260), MATCH(C$1, 'raw-sheet'!$A$1:$ZZ$1, 0))</f>
        <v>Product Detail</v>
      </c>
      <c r="D261" s="28">
        <f t="array" ref="D261">INDEX('raw-sheet'!$A$2:$ZZ$1000, ROW(D260), MATCH(D$1, 'raw-sheet'!$A$1:$ZZ$1, 0))</f>
        <v>200</v>
      </c>
      <c r="E261" s="30" t="str">
        <f t="shared" si="8"/>
        <v>Pass</v>
      </c>
      <c r="F261" s="28" t="str">
        <f t="array" ref="F261">INDEX('raw-sheet'!$A$2:$ZZ$1000, ROW(F260), MATCH(F$1, 'raw-sheet'!$A$1:$ZZ$1, 0))</f>
        <v>火山泥PHA毛孔緊緻露 170ml_x000D_ | INNISFREE Taiwan</v>
      </c>
      <c r="G261" s="30" t="s">
        <v>11</v>
      </c>
      <c r="H261" s="28" t="str">
        <f t="array" ref="H261">INDEX('raw-sheet'!$A$2:$ZZ$1000, ROW(H260), MATCH(H$1, 'raw-sheet'!$A$1:$ZZ$1, 0))</f>
        <v>富含濟州火山皮脂淨化粉末™吸收多餘油脂和皮脂，PHA果酸加強代謝老廢角質，有效緊緻毛孔、調理出油的化妝水。適合在意毛孔粉刺困擾、為油光問題感到煩惱的顧客。</v>
      </c>
      <c r="I261" s="30" t="s">
        <v>11</v>
      </c>
      <c r="J261" s="28" t="str">
        <f t="array" ref="J261">INDEX('raw-sheet'!$A$2:$ZZ$1000, ROW(J260), MATCH(J$1, 'raw-sheet'!$A$1:$ZZ$1, 0))</f>
        <v>火山泥PHA毛孔緊緻露 170ml</v>
      </c>
      <c r="K261" s="28" t="str">
        <f t="array" ref="K261">INDEX('raw-sheet'!$A$2:$ZZ$1000, ROW(K260), MATCH(K$1, 'raw-sheet'!$A$1:$ZZ$1, 0))</f>
        <v>1</v>
      </c>
      <c r="L261" s="30" t="s">
        <v>11</v>
      </c>
      <c r="M261" s="28" t="str">
        <f t="array" ref="M261">INDEX('raw-sheet'!$A$2:$ZZ$1000, ROW(M260), MATCH(M$1, 'raw-sheet'!$A$1:$ZZ$1, 0))</f>
        <v>https://innisfree-taiwan.myshopify.com/products/if-volcanic-pha-pore-toner-170ml23</v>
      </c>
      <c r="N261" s="30" t="str">
        <f t="shared" si="9"/>
        <v>Pass</v>
      </c>
      <c r="O261" s="28" t="str">
        <f t="array" ref="O261">INDEX('raw-sheet'!$A$2:$ZZ$1000, ROW(O260), MATCH(O$1, 'raw-sheet'!$A$1:$ZZ$1, 0))</f>
        <v>火山泥PHA毛孔緊緻露 170ml | INNISFREE Taiwan</v>
      </c>
      <c r="P261" s="28" t="str">
        <f t="array" ref="P261">INDEX('raw-sheet'!$A$2:$ZZ$1000, ROW(P260), MATCH(P$1, 'raw-sheet'!$A$1:$ZZ$1, 0))</f>
        <v>富含濟州火山皮脂淨化粉末™吸收多餘油脂和皮脂，PHA果酸加強代謝老廢角質，有效緊緻毛孔、調理出油的化妝水。適合在意毛孔粉刺困擾、為油光問題感到煩惱的顧客。</v>
      </c>
      <c r="Q261" s="28" t="str">
        <f t="array" ref="Q261">INDEX('raw-sheet'!$A$2:$ZZ$1000, ROW(Q260), MATCH(Q$1, 'raw-sheet'!$A$1:$ZZ$1, 0))</f>
        <v>product</v>
      </c>
      <c r="R261" s="28" t="str">
        <f t="array" ref="R261">INDEX('raw-sheet'!$A$2:$ZZ$1000, ROW(R260), MATCH(R$1, 'raw-sheet'!$A$1:$ZZ$1, 0))</f>
        <v>INNISFREE Taiwan</v>
      </c>
      <c r="S261" s="28" t="str">
        <f t="array" ref="S261">INDEX('raw-sheet'!$A$2:$ZZ$1000, ROW(S260), MATCH(S$1, 'raw-sheet'!$A$1:$ZZ$1, 0))</f>
        <v>http://innisfree-taiwan.myshopify.com/cdn/shop/files/pdp_mig_5e83c97d_20230928_1249_ID0101_1_jpg.jpg?v=1768543094</v>
      </c>
      <c r="T261" s="28" t="str">
        <f t="array" ref="T261">INDEX('raw-sheet'!$A$2:$ZZ$1000, ROW(T260), MATCH(T$1, 'raw-sheet'!$A$1:$ZZ$1, 0))</f>
        <v>https://innisfree-taiwan.myshopify.com/cdn/shop/files/pdp_mig_5e83c97d_20230928_1249_ID0101_1_jpg.jpg?v=1768543094</v>
      </c>
      <c r="U261" s="28" t="str">
        <f t="array" ref="U261">INDEX('raw-sheet'!$A$2:$ZZ$1000, ROW(U260), MATCH(U$1, 'raw-sheet'!$A$1:$ZZ$1, 0))</f>
        <v>https://innisfree-taiwan.myshopify.com/products/if-volcanic-pha-pore-toner-170ml23</v>
      </c>
      <c r="V261" s="28" t="str">
        <f t="array" ref="V261">INDEX('raw-sheet'!$A$2:$ZZ$1000, ROW(V260), MATCH(V$1, 'raw-sheet'!$A$1:$ZZ$1, 0))</f>
        <v>火山泥PHA毛孔緊緻露 170ml | INNISFREE Taiwan</v>
      </c>
      <c r="W261" s="28" t="str">
        <f t="array" ref="W261">INDEX('raw-sheet'!$A$2:$ZZ$1000, ROW(W260), MATCH(W$1, 'raw-sheet'!$A$1:$ZZ$1, 0))</f>
        <v>富含濟州火山皮脂淨化粉末™吸收多餘油脂和皮脂，PHA果酸加強代謝老廢角質，有效緊緻毛孔、調理出油的化妝水。適合在意毛孔粉刺困擾、為油光問題感到煩惱的顧客。</v>
      </c>
      <c r="X261" s="28" t="str">
        <f t="array" ref="X261">INDEX('raw-sheet'!$A$2:$ZZ$1000, ROW(X260), MATCH(X$1, 'raw-sheet'!$A$1:$ZZ$1, 0))</f>
        <v>summary_large_image</v>
      </c>
      <c r="Y261" s="30" t="s">
        <v>11</v>
      </c>
      <c r="Z261" s="28" t="str">
        <f>VLOOKUP($A261,'raw-schema'!$A:$R,14,0)</f>
        <v>Brand</v>
      </c>
      <c r="AA261" s="28" t="str">
        <f>VLOOKUP($A261,'raw-schema'!$A:$R,15,0)</f>
        <v>Offer</v>
      </c>
      <c r="AB261" s="28" t="str">
        <f>VLOOKUP($A261,'raw-schema'!$A:$R,16,0)</f>
        <v>Organization</v>
      </c>
      <c r="AC261" s="28" t="str">
        <f>VLOOKUP($A261,'raw-schema'!$A:$R,17,0)</f>
        <v>Product</v>
      </c>
      <c r="AD261" s="28">
        <f>VLOOKUP($A261,'raw-schema'!$A:$R,18,0)</f>
        <v>0</v>
      </c>
      <c r="AE261" s="30" t="s">
        <v>69</v>
      </c>
    </row>
    <row r="262" spans="1:31" x14ac:dyDescent="0.3">
      <c r="A262" s="28" t="str">
        <f t="array" ref="A262">INDEX('raw-sheet'!$A$2:$ZZ$1000, ROW(A261), MATCH(A$1, 'raw-sheet'!$A$1:$ZZ$1, 0))</f>
        <v>https://innisfree-taiwan.myshopify.com/products/innisfree-airy-matte-lipstick</v>
      </c>
      <c r="B262" s="30" t="s">
        <v>11</v>
      </c>
      <c r="C262" s="28" t="str">
        <f t="array" ref="C262">INDEX('raw-sheet'!$A$2:$ZZ$1000, ROW(C261), MATCH(C$1, 'raw-sheet'!$A$1:$ZZ$1, 0))</f>
        <v>Product Detail</v>
      </c>
      <c r="D262" s="28">
        <f t="array" ref="D262">INDEX('raw-sheet'!$A$2:$ZZ$1000, ROW(D261), MATCH(D$1, 'raw-sheet'!$A$1:$ZZ$1, 0))</f>
        <v>200</v>
      </c>
      <c r="E262" s="30" t="str">
        <f t="shared" si="8"/>
        <v>Pass</v>
      </c>
      <c r="F262" s="28" t="str">
        <f t="array" ref="F262">INDEX('raw-sheet'!$A$2:$ZZ$1000, ROW(F261), MATCH(F$1, 'raw-sheet'!$A$1:$ZZ$1, 0))</f>
        <v>怦然空氣感唇膏 3.5g_x000D_ | INNISFREE Taiwan</v>
      </c>
      <c r="G262" s="30" t="s">
        <v>11</v>
      </c>
      <c r="H262" s="28" t="str">
        <f t="array" ref="H262">INDEX('raw-sheet'!$A$2:$ZZ$1000, ROW(H261), MATCH(H$1, 'raw-sheet'!$A$1:$ZZ$1, 0))</f>
        <v>超輕盈的霧面質地，天然純淨的成分不刺激降低敏感，直接融化在雙唇上如同天生唇色一般，令人怦然心動的空氣感唇膏。</v>
      </c>
      <c r="I262" s="30" t="s">
        <v>11</v>
      </c>
      <c r="J262" s="28" t="str">
        <f t="array" ref="J262">INDEX('raw-sheet'!$A$2:$ZZ$1000, ROW(J261), MATCH(J$1, 'raw-sheet'!$A$1:$ZZ$1, 0))</f>
        <v>怦然空氣感唇膏 3.5g</v>
      </c>
      <c r="K262" s="28" t="str">
        <f t="array" ref="K262">INDEX('raw-sheet'!$A$2:$ZZ$1000, ROW(K261), MATCH(K$1, 'raw-sheet'!$A$1:$ZZ$1, 0))</f>
        <v>1</v>
      </c>
      <c r="L262" s="30" t="s">
        <v>11</v>
      </c>
      <c r="M262" s="28" t="str">
        <f t="array" ref="M262">INDEX('raw-sheet'!$A$2:$ZZ$1000, ROW(M261), MATCH(M$1, 'raw-sheet'!$A$1:$ZZ$1, 0))</f>
        <v>https://innisfree-taiwan.myshopify.com/products/innisfree-airy-matte-lipstick</v>
      </c>
      <c r="N262" s="30" t="str">
        <f t="shared" si="9"/>
        <v>Pass</v>
      </c>
      <c r="O262" s="28" t="str">
        <f t="array" ref="O262">INDEX('raw-sheet'!$A$2:$ZZ$1000, ROW(O261), MATCH(O$1, 'raw-sheet'!$A$1:$ZZ$1, 0))</f>
        <v>怦然空氣感唇膏 3.5g | INNISFREE Taiwan</v>
      </c>
      <c r="P262" s="28" t="str">
        <f t="array" ref="P262">INDEX('raw-sheet'!$A$2:$ZZ$1000, ROW(P261), MATCH(P$1, 'raw-sheet'!$A$1:$ZZ$1, 0))</f>
        <v>超輕盈的霧面質地，天然純淨的成分不刺激降低敏感，直接融化在雙唇上如同天生唇色一般，令人怦然心動的空氣感唇膏。</v>
      </c>
      <c r="Q262" s="28" t="str">
        <f t="array" ref="Q262">INDEX('raw-sheet'!$A$2:$ZZ$1000, ROW(Q261), MATCH(Q$1, 'raw-sheet'!$A$1:$ZZ$1, 0))</f>
        <v>product</v>
      </c>
      <c r="R262" s="28" t="str">
        <f t="array" ref="R262">INDEX('raw-sheet'!$A$2:$ZZ$1000, ROW(R261), MATCH(R$1, 'raw-sheet'!$A$1:$ZZ$1, 0))</f>
        <v>INNISFREE Taiwan</v>
      </c>
      <c r="S262" s="28" t="str">
        <f t="array" ref="S262">INDEX('raw-sheet'!$A$2:$ZZ$1000, ROW(S261), MATCH(S$1, 'raw-sheet'!$A$1:$ZZ$1, 0))</f>
        <v>http://innisfree-taiwan.myshopify.com/cdn/shop/files/pdp_mig_73410d8a_20231006_1207_ID0101_1_jpg.jpg?v=1768543098</v>
      </c>
      <c r="T262" s="28" t="str">
        <f t="array" ref="T262">INDEX('raw-sheet'!$A$2:$ZZ$1000, ROW(T261), MATCH(T$1, 'raw-sheet'!$A$1:$ZZ$1, 0))</f>
        <v>https://innisfree-taiwan.myshopify.com/cdn/shop/files/pdp_mig_73410d8a_20231006_1207_ID0101_1_jpg.jpg?v=1768543098</v>
      </c>
      <c r="U262" s="28" t="str">
        <f t="array" ref="U262">INDEX('raw-sheet'!$A$2:$ZZ$1000, ROW(U261), MATCH(U$1, 'raw-sheet'!$A$1:$ZZ$1, 0))</f>
        <v>https://innisfree-taiwan.myshopify.com/products/innisfree-airy-matte-lipstick</v>
      </c>
      <c r="V262" s="28" t="str">
        <f t="array" ref="V262">INDEX('raw-sheet'!$A$2:$ZZ$1000, ROW(V261), MATCH(V$1, 'raw-sheet'!$A$1:$ZZ$1, 0))</f>
        <v>怦然空氣感唇膏 3.5g | INNISFREE Taiwan</v>
      </c>
      <c r="W262" s="28" t="str">
        <f t="array" ref="W262">INDEX('raw-sheet'!$A$2:$ZZ$1000, ROW(W261), MATCH(W$1, 'raw-sheet'!$A$1:$ZZ$1, 0))</f>
        <v>超輕盈的霧面質地，天然純淨的成分不刺激降低敏感，直接融化在雙唇上如同天生唇色一般，令人怦然心動的空氣感唇膏。</v>
      </c>
      <c r="X262" s="28" t="str">
        <f t="array" ref="X262">INDEX('raw-sheet'!$A$2:$ZZ$1000, ROW(X261), MATCH(X$1, 'raw-sheet'!$A$1:$ZZ$1, 0))</f>
        <v>summary_large_image</v>
      </c>
      <c r="Y262" s="30" t="s">
        <v>11</v>
      </c>
      <c r="Z262" s="28" t="str">
        <f>VLOOKUP($A262,'raw-schema'!$A:$R,14,0)</f>
        <v>Brand</v>
      </c>
      <c r="AA262" s="28" t="str">
        <f>VLOOKUP($A262,'raw-schema'!$A:$R,15,0)</f>
        <v>Offer</v>
      </c>
      <c r="AB262" s="28" t="str">
        <f>VLOOKUP($A262,'raw-schema'!$A:$R,16,0)</f>
        <v>Organization</v>
      </c>
      <c r="AC262" s="28" t="str">
        <f>VLOOKUP($A262,'raw-schema'!$A:$R,17,0)</f>
        <v>Product</v>
      </c>
      <c r="AD262" s="28" t="str">
        <f>VLOOKUP($A262,'raw-schema'!$A:$R,18,0)</f>
        <v>ProductGroup</v>
      </c>
      <c r="AE262" s="30" t="s">
        <v>69</v>
      </c>
    </row>
    <row r="263" spans="1:31" x14ac:dyDescent="0.3">
      <c r="A263" s="28" t="str">
        <f t="array" ref="A263">INDEX('raw-sheet'!$A$2:$ZZ$1000, ROW(A262), MATCH(A$1, 'raw-sheet'!$A$1:$ZZ$1, 0))</f>
        <v>https://innisfree-taiwan.myshopify.com/products/innisfree-airy-matte-tint</v>
      </c>
      <c r="B263" s="30" t="s">
        <v>11</v>
      </c>
      <c r="C263" s="28" t="str">
        <f t="array" ref="C263">INDEX('raw-sheet'!$A$2:$ZZ$1000, ROW(C262), MATCH(C$1, 'raw-sheet'!$A$1:$ZZ$1, 0))</f>
        <v>Product Detail</v>
      </c>
      <c r="D263" s="28">
        <f t="array" ref="D263">INDEX('raw-sheet'!$A$2:$ZZ$1000, ROW(D262), MATCH(D$1, 'raw-sheet'!$A$1:$ZZ$1, 0))</f>
        <v>200</v>
      </c>
      <c r="E263" s="30" t="str">
        <f t="shared" si="8"/>
        <v>Pass</v>
      </c>
      <c r="F263" s="28" t="str">
        <f t="array" ref="F263">INDEX('raw-sheet'!$A$2:$ZZ$1000, ROW(F262), MATCH(F$1, 'raw-sheet'!$A$1:$ZZ$1, 0))</f>
        <v>怦然空氣感薄霧唇萃 3.8g_x000D_ | INNISFREE Taiwan</v>
      </c>
      <c r="G263" s="30" t="s">
        <v>11</v>
      </c>
      <c r="H263" s="28" t="str">
        <f t="array" ref="H263">INDEX('raw-sheet'!$A$2:$ZZ$1000, ROW(H262), MATCH(H$1, 'raw-sheet'!$A$1:$ZZ$1, 0))</f>
        <v>超輕盈的霧面質地，以天然純淨的成分不刺激降低敏感，直接融化在雙唇上如同天生唇色一般，令人怦然心動的空氣感唇萃。</v>
      </c>
      <c r="I263" s="30" t="s">
        <v>11</v>
      </c>
      <c r="J263" s="28" t="str">
        <f t="array" ref="J263">INDEX('raw-sheet'!$A$2:$ZZ$1000, ROW(J262), MATCH(J$1, 'raw-sheet'!$A$1:$ZZ$1, 0))</f>
        <v>怦然空氣感薄霧唇萃 3.8g</v>
      </c>
      <c r="K263" s="28" t="str">
        <f t="array" ref="K263">INDEX('raw-sheet'!$A$2:$ZZ$1000, ROW(K262), MATCH(K$1, 'raw-sheet'!$A$1:$ZZ$1, 0))</f>
        <v>1</v>
      </c>
      <c r="L263" s="30" t="s">
        <v>11</v>
      </c>
      <c r="M263" s="28" t="str">
        <f t="array" ref="M263">INDEX('raw-sheet'!$A$2:$ZZ$1000, ROW(M262), MATCH(M$1, 'raw-sheet'!$A$1:$ZZ$1, 0))</f>
        <v>https://innisfree-taiwan.myshopify.com/products/innisfree-airy-matte-tint</v>
      </c>
      <c r="N263" s="30" t="str">
        <f t="shared" si="9"/>
        <v>Pass</v>
      </c>
      <c r="O263" s="28" t="str">
        <f t="array" ref="O263">INDEX('raw-sheet'!$A$2:$ZZ$1000, ROW(O262), MATCH(O$1, 'raw-sheet'!$A$1:$ZZ$1, 0))</f>
        <v>怦然空氣感薄霧唇萃 3.8g | INNISFREE Taiwan</v>
      </c>
      <c r="P263" s="28" t="str">
        <f t="array" ref="P263">INDEX('raw-sheet'!$A$2:$ZZ$1000, ROW(P262), MATCH(P$1, 'raw-sheet'!$A$1:$ZZ$1, 0))</f>
        <v>超輕盈的霧面質地，以天然純淨的成分不刺激降低敏感，直接融化在雙唇上如同天生唇色一般，令人怦然心動的空氣感唇萃。</v>
      </c>
      <c r="Q263" s="28" t="str">
        <f t="array" ref="Q263">INDEX('raw-sheet'!$A$2:$ZZ$1000, ROW(Q262), MATCH(Q$1, 'raw-sheet'!$A$1:$ZZ$1, 0))</f>
        <v>product</v>
      </c>
      <c r="R263" s="28" t="str">
        <f t="array" ref="R263">INDEX('raw-sheet'!$A$2:$ZZ$1000, ROW(R262), MATCH(R$1, 'raw-sheet'!$A$1:$ZZ$1, 0))</f>
        <v>INNISFREE Taiwan</v>
      </c>
      <c r="S263" s="28" t="str">
        <f t="array" ref="S263">INDEX('raw-sheet'!$A$2:$ZZ$1000, ROW(S262), MATCH(S$1, 'raw-sheet'!$A$1:$ZZ$1, 0))</f>
        <v>http://innisfree-taiwan.myshopify.com/cdn/shop/files/pdp_mig_132ca7a4_20231006_1259_ID0101_1_jpg.jpg?v=1768543088</v>
      </c>
      <c r="T263" s="28" t="str">
        <f t="array" ref="T263">INDEX('raw-sheet'!$A$2:$ZZ$1000, ROW(T262), MATCH(T$1, 'raw-sheet'!$A$1:$ZZ$1, 0))</f>
        <v>https://innisfree-taiwan.myshopify.com/cdn/shop/files/pdp_mig_132ca7a4_20231006_1259_ID0101_1_jpg.jpg?v=1768543088</v>
      </c>
      <c r="U263" s="28" t="str">
        <f t="array" ref="U263">INDEX('raw-sheet'!$A$2:$ZZ$1000, ROW(U262), MATCH(U$1, 'raw-sheet'!$A$1:$ZZ$1, 0))</f>
        <v>https://innisfree-taiwan.myshopify.com/products/innisfree-airy-matte-tint</v>
      </c>
      <c r="V263" s="28" t="str">
        <f t="array" ref="V263">INDEX('raw-sheet'!$A$2:$ZZ$1000, ROW(V262), MATCH(V$1, 'raw-sheet'!$A$1:$ZZ$1, 0))</f>
        <v>怦然空氣感薄霧唇萃 3.8g | INNISFREE Taiwan</v>
      </c>
      <c r="W263" s="28" t="str">
        <f t="array" ref="W263">INDEX('raw-sheet'!$A$2:$ZZ$1000, ROW(W262), MATCH(W$1, 'raw-sheet'!$A$1:$ZZ$1, 0))</f>
        <v>超輕盈的霧面質地，以天然純淨的成分不刺激降低敏感，直接融化在雙唇上如同天生唇色一般，令人怦然心動的空氣感唇萃。</v>
      </c>
      <c r="X263" s="28" t="str">
        <f t="array" ref="X263">INDEX('raw-sheet'!$A$2:$ZZ$1000, ROW(X262), MATCH(X$1, 'raw-sheet'!$A$1:$ZZ$1, 0))</f>
        <v>summary_large_image</v>
      </c>
      <c r="Y263" s="30" t="s">
        <v>11</v>
      </c>
      <c r="Z263" s="28" t="str">
        <f>VLOOKUP($A263,'raw-schema'!$A:$R,14,0)</f>
        <v>Brand</v>
      </c>
      <c r="AA263" s="28" t="str">
        <f>VLOOKUP($A263,'raw-schema'!$A:$R,15,0)</f>
        <v>Offer</v>
      </c>
      <c r="AB263" s="28" t="str">
        <f>VLOOKUP($A263,'raw-schema'!$A:$R,16,0)</f>
        <v>Organization</v>
      </c>
      <c r="AC263" s="28" t="str">
        <f>VLOOKUP($A263,'raw-schema'!$A:$R,17,0)</f>
        <v>Product</v>
      </c>
      <c r="AD263" s="28" t="str">
        <f>VLOOKUP($A263,'raw-schema'!$A:$R,18,0)</f>
        <v>ProductGroup</v>
      </c>
      <c r="AE263" s="30" t="s">
        <v>69</v>
      </c>
    </row>
    <row r="264" spans="1:31" x14ac:dyDescent="0.3">
      <c r="A264" s="28" t="str">
        <f t="array" ref="A264">INDEX('raw-sheet'!$A$2:$ZZ$1000, ROW(A263), MATCH(A$1, 'raw-sheet'!$A$1:$ZZ$1, 0))</f>
        <v>https://innisfree-taiwan.myshopify.com/products/innisfree-apple-seed-cleansing-cream</v>
      </c>
      <c r="B264" s="30" t="s">
        <v>11</v>
      </c>
      <c r="C264" s="28" t="str">
        <f t="array" ref="C264">INDEX('raw-sheet'!$A$2:$ZZ$1000, ROW(C263), MATCH(C$1, 'raw-sheet'!$A$1:$ZZ$1, 0))</f>
        <v>Product Detail</v>
      </c>
      <c r="D264" s="28">
        <f t="array" ref="D264">INDEX('raw-sheet'!$A$2:$ZZ$1000, ROW(D263), MATCH(D$1, 'raw-sheet'!$A$1:$ZZ$1, 0))</f>
        <v>200</v>
      </c>
      <c r="E264" s="30" t="str">
        <f t="shared" si="8"/>
        <v>Pass</v>
      </c>
      <c r="F264" s="28" t="str">
        <f t="array" ref="F264">INDEX('raw-sheet'!$A$2:$ZZ$1000, ROW(F263), MATCH(F$1, 'raw-sheet'!$A$1:$ZZ$1, 0))</f>
        <v>蘋果籽卸妝乳霜 150ml_x000D_ | INNISFREE Taiwan</v>
      </c>
      <c r="G264" s="30" t="s">
        <v>11</v>
      </c>
      <c r="H264" s="28" t="str">
        <f t="array" ref="H264">INDEX('raw-sheet'!$A$2:$ZZ$1000, ROW(H263), MATCH(H$1, 'raw-sheet'!$A$1:$ZZ$1, 0))</f>
        <v>含有蘋果籽油的卸妝乳，清爽不黏膩，溫和好推開，徹底清潔毛孔。 適合所有肌膚類型，喜歡清新水果香氣的顧客。</v>
      </c>
      <c r="I264" s="30" t="s">
        <v>11</v>
      </c>
      <c r="J264" s="28" t="str">
        <f t="array" ref="J264">INDEX('raw-sheet'!$A$2:$ZZ$1000, ROW(J263), MATCH(J$1, 'raw-sheet'!$A$1:$ZZ$1, 0))</f>
        <v>蘋果籽卸妝乳霜 150ml</v>
      </c>
      <c r="K264" s="28" t="str">
        <f t="array" ref="K264">INDEX('raw-sheet'!$A$2:$ZZ$1000, ROW(K263), MATCH(K$1, 'raw-sheet'!$A$1:$ZZ$1, 0))</f>
        <v>1</v>
      </c>
      <c r="L264" s="30" t="s">
        <v>11</v>
      </c>
      <c r="M264" s="28" t="str">
        <f t="array" ref="M264">INDEX('raw-sheet'!$A$2:$ZZ$1000, ROW(M263), MATCH(M$1, 'raw-sheet'!$A$1:$ZZ$1, 0))</f>
        <v>https://innisfree-taiwan.myshopify.com/products/innisfree-apple-seed-cleansing-cream</v>
      </c>
      <c r="N264" s="30" t="str">
        <f t="shared" si="9"/>
        <v>Pass</v>
      </c>
      <c r="O264" s="28" t="str">
        <f t="array" ref="O264">INDEX('raw-sheet'!$A$2:$ZZ$1000, ROW(O263), MATCH(O$1, 'raw-sheet'!$A$1:$ZZ$1, 0))</f>
        <v>蘋果籽卸妝乳霜 150ml | INNISFREE Taiwan</v>
      </c>
      <c r="P264" s="28" t="str">
        <f t="array" ref="P264">INDEX('raw-sheet'!$A$2:$ZZ$1000, ROW(P263), MATCH(P$1, 'raw-sheet'!$A$1:$ZZ$1, 0))</f>
        <v>含有蘋果籽油的卸妝乳，清爽不黏膩，溫和好推開，徹底清潔毛孔。 適合所有肌膚類型，喜歡清新水果香氣的顧客。</v>
      </c>
      <c r="Q264" s="28" t="str">
        <f t="array" ref="Q264">INDEX('raw-sheet'!$A$2:$ZZ$1000, ROW(Q263), MATCH(Q$1, 'raw-sheet'!$A$1:$ZZ$1, 0))</f>
        <v>product</v>
      </c>
      <c r="R264" s="28" t="str">
        <f t="array" ref="R264">INDEX('raw-sheet'!$A$2:$ZZ$1000, ROW(R263), MATCH(R$1, 'raw-sheet'!$A$1:$ZZ$1, 0))</f>
        <v>INNISFREE Taiwan</v>
      </c>
      <c r="S264" s="28" t="str">
        <f t="array" ref="S264">INDEX('raw-sheet'!$A$2:$ZZ$1000, ROW(S263), MATCH(S$1, 'raw-sheet'!$A$1:$ZZ$1, 0))</f>
        <v>http://innisfree-taiwan.myshopify.com/cdn/shop/files/pdp_mig_7255b387_20231006_240_ID0101_1_jpg.jpg?v=1768543115</v>
      </c>
      <c r="T264" s="28" t="str">
        <f t="array" ref="T264">INDEX('raw-sheet'!$A$2:$ZZ$1000, ROW(T263), MATCH(T$1, 'raw-sheet'!$A$1:$ZZ$1, 0))</f>
        <v>https://innisfree-taiwan.myshopify.com/cdn/shop/files/pdp_mig_7255b387_20231006_240_ID0101_1_jpg.jpg?v=1768543115</v>
      </c>
      <c r="U264" s="28" t="str">
        <f t="array" ref="U264">INDEX('raw-sheet'!$A$2:$ZZ$1000, ROW(U263), MATCH(U$1, 'raw-sheet'!$A$1:$ZZ$1, 0))</f>
        <v>https://innisfree-taiwan.myshopify.com/products/innisfree-apple-seed-cleansing-cream</v>
      </c>
      <c r="V264" s="28" t="str">
        <f t="array" ref="V264">INDEX('raw-sheet'!$A$2:$ZZ$1000, ROW(V263), MATCH(V$1, 'raw-sheet'!$A$1:$ZZ$1, 0))</f>
        <v>蘋果籽卸妝乳霜 150ml | INNISFREE Taiwan</v>
      </c>
      <c r="W264" s="28" t="str">
        <f t="array" ref="W264">INDEX('raw-sheet'!$A$2:$ZZ$1000, ROW(W263), MATCH(W$1, 'raw-sheet'!$A$1:$ZZ$1, 0))</f>
        <v>含有蘋果籽油的卸妝乳，清爽不黏膩，溫和好推開，徹底清潔毛孔。 適合所有肌膚類型，喜歡清新水果香氣的顧客。</v>
      </c>
      <c r="X264" s="28" t="str">
        <f t="array" ref="X264">INDEX('raw-sheet'!$A$2:$ZZ$1000, ROW(X263), MATCH(X$1, 'raw-sheet'!$A$1:$ZZ$1, 0))</f>
        <v>summary_large_image</v>
      </c>
      <c r="Y264" s="30" t="s">
        <v>11</v>
      </c>
      <c r="Z264" s="28" t="str">
        <f>VLOOKUP($A264,'raw-schema'!$A:$R,14,0)</f>
        <v>Brand</v>
      </c>
      <c r="AA264" s="28" t="str">
        <f>VLOOKUP($A264,'raw-schema'!$A:$R,15,0)</f>
        <v>Offer</v>
      </c>
      <c r="AB264" s="28" t="str">
        <f>VLOOKUP($A264,'raw-schema'!$A:$R,16,0)</f>
        <v>Organization</v>
      </c>
      <c r="AC264" s="28" t="str">
        <f>VLOOKUP($A264,'raw-schema'!$A:$R,17,0)</f>
        <v>Product</v>
      </c>
      <c r="AD264" s="28">
        <f>VLOOKUP($A264,'raw-schema'!$A:$R,18,0)</f>
        <v>0</v>
      </c>
      <c r="AE264" s="30" t="s">
        <v>69</v>
      </c>
    </row>
    <row r="265" spans="1:31" x14ac:dyDescent="0.3">
      <c r="A265" s="28" t="str">
        <f t="array" ref="A265">INDEX('raw-sheet'!$A$2:$ZZ$1000, ROW(A264), MATCH(A$1, 'raw-sheet'!$A$1:$ZZ$1, 0))</f>
        <v>https://innisfree-taiwan.myshopify.com/products/innisfree-apple-seed-cleansing-oil</v>
      </c>
      <c r="B265" s="30" t="s">
        <v>11</v>
      </c>
      <c r="C265" s="28" t="str">
        <f t="array" ref="C265">INDEX('raw-sheet'!$A$2:$ZZ$1000, ROW(C264), MATCH(C$1, 'raw-sheet'!$A$1:$ZZ$1, 0))</f>
        <v>Product Detail</v>
      </c>
      <c r="D265" s="28">
        <f t="array" ref="D265">INDEX('raw-sheet'!$A$2:$ZZ$1000, ROW(D264), MATCH(D$1, 'raw-sheet'!$A$1:$ZZ$1, 0))</f>
        <v>200</v>
      </c>
      <c r="E265" s="30" t="str">
        <f t="shared" si="8"/>
        <v>Pass</v>
      </c>
      <c r="F265" s="28" t="str">
        <f t="array" ref="F265">INDEX('raw-sheet'!$A$2:$ZZ$1000, ROW(F264), MATCH(F$1, 'raw-sheet'!$A$1:$ZZ$1, 0))</f>
        <v>蘋果籽深層卸妝油 150ml_x000D_ | INNISFREE Taiwan</v>
      </c>
      <c r="G265" s="30" t="s">
        <v>11</v>
      </c>
      <c r="H265" s="28" t="str">
        <f t="array" ref="H265">INDEX('raw-sheet'!$A$2:$ZZ$1000, ROW(H264), MATCH(H$1, 'raw-sheet'!$A$1:$ZZ$1, 0))</f>
        <v>含有蘋果籽油的深層卸妝油，徹底卸除臉部彩妝，使肌膚清爽潔淨。 適合所有肌膚類型，喜歡清新水果香氣的顧客。</v>
      </c>
      <c r="I265" s="30" t="s">
        <v>11</v>
      </c>
      <c r="J265" s="28" t="str">
        <f t="array" ref="J265">INDEX('raw-sheet'!$A$2:$ZZ$1000, ROW(J264), MATCH(J$1, 'raw-sheet'!$A$1:$ZZ$1, 0))</f>
        <v>蘋果籽深層卸妝油 150ml</v>
      </c>
      <c r="K265" s="28" t="str">
        <f t="array" ref="K265">INDEX('raw-sheet'!$A$2:$ZZ$1000, ROW(K264), MATCH(K$1, 'raw-sheet'!$A$1:$ZZ$1, 0))</f>
        <v>1</v>
      </c>
      <c r="L265" s="30" t="s">
        <v>11</v>
      </c>
      <c r="M265" s="28" t="str">
        <f t="array" ref="M265">INDEX('raw-sheet'!$A$2:$ZZ$1000, ROW(M264), MATCH(M$1, 'raw-sheet'!$A$1:$ZZ$1, 0))</f>
        <v>https://innisfree-taiwan.myshopify.com/products/innisfree-apple-seed-cleansing-oil</v>
      </c>
      <c r="N265" s="30" t="str">
        <f t="shared" si="9"/>
        <v>Pass</v>
      </c>
      <c r="O265" s="28" t="str">
        <f t="array" ref="O265">INDEX('raw-sheet'!$A$2:$ZZ$1000, ROW(O264), MATCH(O$1, 'raw-sheet'!$A$1:$ZZ$1, 0))</f>
        <v>蘋果籽深層卸妝油 150ml | INNISFREE Taiwan</v>
      </c>
      <c r="P265" s="28" t="str">
        <f t="array" ref="P265">INDEX('raw-sheet'!$A$2:$ZZ$1000, ROW(P264), MATCH(P$1, 'raw-sheet'!$A$1:$ZZ$1, 0))</f>
        <v>含有蘋果籽油的深層卸妝油，徹底卸除臉部彩妝，使肌膚清爽潔淨。 適合所有肌膚類型，喜歡清新水果香氣的顧客。</v>
      </c>
      <c r="Q265" s="28" t="str">
        <f t="array" ref="Q265">INDEX('raw-sheet'!$A$2:$ZZ$1000, ROW(Q264), MATCH(Q$1, 'raw-sheet'!$A$1:$ZZ$1, 0))</f>
        <v>product</v>
      </c>
      <c r="R265" s="28" t="str">
        <f t="array" ref="R265">INDEX('raw-sheet'!$A$2:$ZZ$1000, ROW(R264), MATCH(R$1, 'raw-sheet'!$A$1:$ZZ$1, 0))</f>
        <v>INNISFREE Taiwan</v>
      </c>
      <c r="S265" s="28" t="str">
        <f t="array" ref="S265">INDEX('raw-sheet'!$A$2:$ZZ$1000, ROW(S264), MATCH(S$1, 'raw-sheet'!$A$1:$ZZ$1, 0))</f>
        <v>http://innisfree-taiwan.myshopify.com/cdn/shop/files/pdp_mig_aaeba70e_20231006_236_ID0101_1_jpg.jpg?v=1768543114</v>
      </c>
      <c r="T265" s="28" t="str">
        <f t="array" ref="T265">INDEX('raw-sheet'!$A$2:$ZZ$1000, ROW(T264), MATCH(T$1, 'raw-sheet'!$A$1:$ZZ$1, 0))</f>
        <v>https://innisfree-taiwan.myshopify.com/cdn/shop/files/pdp_mig_aaeba70e_20231006_236_ID0101_1_jpg.jpg?v=1768543114</v>
      </c>
      <c r="U265" s="28" t="str">
        <f t="array" ref="U265">INDEX('raw-sheet'!$A$2:$ZZ$1000, ROW(U264), MATCH(U$1, 'raw-sheet'!$A$1:$ZZ$1, 0))</f>
        <v>https://innisfree-taiwan.myshopify.com/products/innisfree-apple-seed-cleansing-oil</v>
      </c>
      <c r="V265" s="28" t="str">
        <f t="array" ref="V265">INDEX('raw-sheet'!$A$2:$ZZ$1000, ROW(V264), MATCH(V$1, 'raw-sheet'!$A$1:$ZZ$1, 0))</f>
        <v>蘋果籽深層卸妝油 150ml | INNISFREE Taiwan</v>
      </c>
      <c r="W265" s="28" t="str">
        <f t="array" ref="W265">INDEX('raw-sheet'!$A$2:$ZZ$1000, ROW(W264), MATCH(W$1, 'raw-sheet'!$A$1:$ZZ$1, 0))</f>
        <v>含有蘋果籽油的深層卸妝油，徹底卸除臉部彩妝，使肌膚清爽潔淨。 適合所有肌膚類型，喜歡清新水果香氣的顧客。</v>
      </c>
      <c r="X265" s="28" t="str">
        <f t="array" ref="X265">INDEX('raw-sheet'!$A$2:$ZZ$1000, ROW(X264), MATCH(X$1, 'raw-sheet'!$A$1:$ZZ$1, 0))</f>
        <v>summary_large_image</v>
      </c>
      <c r="Y265" s="30" t="s">
        <v>11</v>
      </c>
      <c r="Z265" s="28" t="str">
        <f>VLOOKUP($A265,'raw-schema'!$A:$R,14,0)</f>
        <v>Brand</v>
      </c>
      <c r="AA265" s="28" t="str">
        <f>VLOOKUP($A265,'raw-schema'!$A:$R,15,0)</f>
        <v>Offer</v>
      </c>
      <c r="AB265" s="28" t="str">
        <f>VLOOKUP($A265,'raw-schema'!$A:$R,16,0)</f>
        <v>Organization</v>
      </c>
      <c r="AC265" s="28" t="str">
        <f>VLOOKUP($A265,'raw-schema'!$A:$R,17,0)</f>
        <v>Product</v>
      </c>
      <c r="AD265" s="28">
        <f>VLOOKUP($A265,'raw-schema'!$A:$R,18,0)</f>
        <v>0</v>
      </c>
      <c r="AE265" s="30" t="s">
        <v>69</v>
      </c>
    </row>
    <row r="266" spans="1:31" x14ac:dyDescent="0.3">
      <c r="A266" s="28" t="str">
        <f t="array" ref="A266">INDEX('raw-sheet'!$A$2:$ZZ$1000, ROW(A265), MATCH(A$1, 'raw-sheet'!$A$1:$ZZ$1, 0))</f>
        <v>https://innisfree-taiwan.myshopify.com/products/innisfree-apple-seed-lip-eye-makeup-remover</v>
      </c>
      <c r="B266" s="30" t="s">
        <v>11</v>
      </c>
      <c r="C266" s="28" t="str">
        <f t="array" ref="C266">INDEX('raw-sheet'!$A$2:$ZZ$1000, ROW(C265), MATCH(C$1, 'raw-sheet'!$A$1:$ZZ$1, 0))</f>
        <v>Product Detail</v>
      </c>
      <c r="D266" s="28">
        <f t="array" ref="D266">INDEX('raw-sheet'!$A$2:$ZZ$1000, ROW(D265), MATCH(D$1, 'raw-sheet'!$A$1:$ZZ$1, 0))</f>
        <v>200</v>
      </c>
      <c r="E266" s="30" t="str">
        <f t="shared" si="8"/>
        <v>Pass</v>
      </c>
      <c r="F266" s="28" t="str">
        <f t="array" ref="F266">INDEX('raw-sheet'!$A$2:$ZZ$1000, ROW(F265), MATCH(F$1, 'raw-sheet'!$A$1:$ZZ$1, 0))</f>
        <v>蘋果籽眼唇卸妝液 100ml_x000D_ | INNISFREE Taiwan</v>
      </c>
      <c r="G266" s="30" t="s">
        <v>11</v>
      </c>
      <c r="H266" s="28" t="str">
        <f t="array" ref="H266">INDEX('raw-sheet'!$A$2:$ZZ$1000, ROW(H265), MATCH(H$1, 'raw-sheet'!$A$1:$ZZ$1, 0))</f>
        <v>含有蘋果籽油的眼唇卸妝液，可以溫和不刺激的卸除眼唇彩妝及髒污。 適合所有肌膚類型，喜歡清新水果香氣的顧客。</v>
      </c>
      <c r="I266" s="30" t="s">
        <v>11</v>
      </c>
      <c r="J266" s="28" t="str">
        <f t="array" ref="J266">INDEX('raw-sheet'!$A$2:$ZZ$1000, ROW(J265), MATCH(J$1, 'raw-sheet'!$A$1:$ZZ$1, 0))</f>
        <v>蘋果籽眼唇卸妝液 100ml</v>
      </c>
      <c r="K266" s="28" t="str">
        <f t="array" ref="K266">INDEX('raw-sheet'!$A$2:$ZZ$1000, ROW(K265), MATCH(K$1, 'raw-sheet'!$A$1:$ZZ$1, 0))</f>
        <v>1</v>
      </c>
      <c r="L266" s="30" t="s">
        <v>11</v>
      </c>
      <c r="M266" s="28" t="str">
        <f t="array" ref="M266">INDEX('raw-sheet'!$A$2:$ZZ$1000, ROW(M265), MATCH(M$1, 'raw-sheet'!$A$1:$ZZ$1, 0))</f>
        <v>https://innisfree-taiwan.myshopify.com/products/innisfree-apple-seed-lip-eye-makeup-remover</v>
      </c>
      <c r="N266" s="30" t="str">
        <f t="shared" si="9"/>
        <v>Pass</v>
      </c>
      <c r="O266" s="28" t="str">
        <f t="array" ref="O266">INDEX('raw-sheet'!$A$2:$ZZ$1000, ROW(O265), MATCH(O$1, 'raw-sheet'!$A$1:$ZZ$1, 0))</f>
        <v>蘋果籽眼唇卸妝液 100ml | INNISFREE Taiwan</v>
      </c>
      <c r="P266" s="28" t="str">
        <f t="array" ref="P266">INDEX('raw-sheet'!$A$2:$ZZ$1000, ROW(P265), MATCH(P$1, 'raw-sheet'!$A$1:$ZZ$1, 0))</f>
        <v>含有蘋果籽油的眼唇卸妝液，可以溫和不刺激的卸除眼唇彩妝及髒污。 適合所有肌膚類型，喜歡清新水果香氣的顧客。</v>
      </c>
      <c r="Q266" s="28" t="str">
        <f t="array" ref="Q266">INDEX('raw-sheet'!$A$2:$ZZ$1000, ROW(Q265), MATCH(Q$1, 'raw-sheet'!$A$1:$ZZ$1, 0))</f>
        <v>product</v>
      </c>
      <c r="R266" s="28" t="str">
        <f t="array" ref="R266">INDEX('raw-sheet'!$A$2:$ZZ$1000, ROW(R265), MATCH(R$1, 'raw-sheet'!$A$1:$ZZ$1, 0))</f>
        <v>INNISFREE Taiwan</v>
      </c>
      <c r="S266" s="28" t="str">
        <f t="array" ref="S266">INDEX('raw-sheet'!$A$2:$ZZ$1000, ROW(S265), MATCH(S$1, 'raw-sheet'!$A$1:$ZZ$1, 0))</f>
        <v>http://innisfree-taiwan.myshopify.com/cdn/shop/files/pdp_mig_73ff96f8_20231006_239_ID0101_1_jpg.jpg?v=1768543113</v>
      </c>
      <c r="T266" s="28" t="str">
        <f t="array" ref="T266">INDEX('raw-sheet'!$A$2:$ZZ$1000, ROW(T265), MATCH(T$1, 'raw-sheet'!$A$1:$ZZ$1, 0))</f>
        <v>https://innisfree-taiwan.myshopify.com/cdn/shop/files/pdp_mig_73ff96f8_20231006_239_ID0101_1_jpg.jpg?v=1768543113</v>
      </c>
      <c r="U266" s="28" t="str">
        <f t="array" ref="U266">INDEX('raw-sheet'!$A$2:$ZZ$1000, ROW(U265), MATCH(U$1, 'raw-sheet'!$A$1:$ZZ$1, 0))</f>
        <v>https://innisfree-taiwan.myshopify.com/products/innisfree-apple-seed-lip-eye-makeup-remover</v>
      </c>
      <c r="V266" s="28" t="str">
        <f t="array" ref="V266">INDEX('raw-sheet'!$A$2:$ZZ$1000, ROW(V265), MATCH(V$1, 'raw-sheet'!$A$1:$ZZ$1, 0))</f>
        <v>蘋果籽眼唇卸妝液 100ml | INNISFREE Taiwan</v>
      </c>
      <c r="W266" s="28" t="str">
        <f t="array" ref="W266">INDEX('raw-sheet'!$A$2:$ZZ$1000, ROW(W265), MATCH(W$1, 'raw-sheet'!$A$1:$ZZ$1, 0))</f>
        <v>含有蘋果籽油的眼唇卸妝液，可以溫和不刺激的卸除眼唇彩妝及髒污。 適合所有肌膚類型，喜歡清新水果香氣的顧客。</v>
      </c>
      <c r="X266" s="28" t="str">
        <f t="array" ref="X266">INDEX('raw-sheet'!$A$2:$ZZ$1000, ROW(X265), MATCH(X$1, 'raw-sheet'!$A$1:$ZZ$1, 0))</f>
        <v>summary_large_image</v>
      </c>
      <c r="Y266" s="30" t="s">
        <v>11</v>
      </c>
      <c r="Z266" s="28" t="str">
        <f>VLOOKUP($A266,'raw-schema'!$A:$R,14,0)</f>
        <v>Brand</v>
      </c>
      <c r="AA266" s="28" t="str">
        <f>VLOOKUP($A266,'raw-schema'!$A:$R,15,0)</f>
        <v>Offer</v>
      </c>
      <c r="AB266" s="28" t="str">
        <f>VLOOKUP($A266,'raw-schema'!$A:$R,16,0)</f>
        <v>Organization</v>
      </c>
      <c r="AC266" s="28" t="str">
        <f>VLOOKUP($A266,'raw-schema'!$A:$R,17,0)</f>
        <v>Product</v>
      </c>
      <c r="AD266" s="28">
        <f>VLOOKUP($A266,'raw-schema'!$A:$R,18,0)</f>
        <v>0</v>
      </c>
      <c r="AE266" s="30" t="s">
        <v>69</v>
      </c>
    </row>
    <row r="267" spans="1:31" x14ac:dyDescent="0.3">
      <c r="A267" s="28" t="str">
        <f t="array" ref="A267">INDEX('raw-sheet'!$A$2:$ZZ$1000, ROW(A266), MATCH(A$1, 'raw-sheet'!$A$1:$ZZ$1, 0))</f>
        <v>https://innisfree-taiwan.myshopify.com/products/innisfree-auto-eyebrow-pencil23</v>
      </c>
      <c r="B267" s="30" t="s">
        <v>11</v>
      </c>
      <c r="C267" s="28" t="str">
        <f t="array" ref="C267">INDEX('raw-sheet'!$A$2:$ZZ$1000, ROW(C266), MATCH(C$1, 'raw-sheet'!$A$1:$ZZ$1, 0))</f>
        <v>Product Detail</v>
      </c>
      <c r="D267" s="28">
        <f t="array" ref="D267">INDEX('raw-sheet'!$A$2:$ZZ$1000, ROW(D266), MATCH(D$1, 'raw-sheet'!$A$1:$ZZ$1, 0))</f>
        <v>200</v>
      </c>
      <c r="E267" s="30" t="str">
        <f t="shared" si="8"/>
        <v>Pass</v>
      </c>
      <c r="F267" s="28" t="str">
        <f t="array" ref="F267">INDEX('raw-sheet'!$A$2:$ZZ$1000, ROW(F266), MATCH(F$1, 'raw-sheet'!$A$1:$ZZ$1, 0))</f>
        <v>眉筆推薦｜妝自然眉筆 - innisfree_x000D_ | INNISFREE Taiwan</v>
      </c>
      <c r="G267" s="30" t="s">
        <v>11</v>
      </c>
      <c r="H267" s="28" t="str">
        <f t="array" ref="H267">INDEX('raw-sheet'!$A$2:$ZZ$1000, ROW(H266), MATCH(H$1, 'raw-sheet'!$A$1:$ZZ$1, 0))</f>
        <v>innisfree 妝自然眉筆，讓你輕鬆畫出流暢眉型的扁平式眉筆。自然顯色，簡單就能勾勒出眉型，是畫眉毛初學者必備的 No.1 眉筆！</v>
      </c>
      <c r="I267" s="30" t="s">
        <v>11</v>
      </c>
      <c r="J267" s="28" t="str">
        <f t="array" ref="J267">INDEX('raw-sheet'!$A$2:$ZZ$1000, ROW(J266), MATCH(J$1, 'raw-sheet'!$A$1:$ZZ$1, 0))</f>
        <v>妝自然眉筆 0.3g</v>
      </c>
      <c r="K267" s="28" t="str">
        <f t="array" ref="K267">INDEX('raw-sheet'!$A$2:$ZZ$1000, ROW(K266), MATCH(K$1, 'raw-sheet'!$A$1:$ZZ$1, 0))</f>
        <v>1</v>
      </c>
      <c r="L267" s="30" t="s">
        <v>11</v>
      </c>
      <c r="M267" s="28" t="str">
        <f t="array" ref="M267">INDEX('raw-sheet'!$A$2:$ZZ$1000, ROW(M266), MATCH(M$1, 'raw-sheet'!$A$1:$ZZ$1, 0))</f>
        <v>https://innisfree-taiwan.myshopify.com/products/innisfree-auto-eyebrow-pencil23</v>
      </c>
      <c r="N267" s="30" t="str">
        <f t="shared" si="9"/>
        <v>Pass</v>
      </c>
      <c r="O267" s="28" t="str">
        <f t="array" ref="O267">INDEX('raw-sheet'!$A$2:$ZZ$1000, ROW(O266), MATCH(O$1, 'raw-sheet'!$A$1:$ZZ$1, 0))</f>
        <v>眉筆推薦｜妝自然眉筆 - innisfree | INNISFREE Taiwan</v>
      </c>
      <c r="P267" s="28" t="str">
        <f t="array" ref="P267">INDEX('raw-sheet'!$A$2:$ZZ$1000, ROW(P266), MATCH(P$1, 'raw-sheet'!$A$1:$ZZ$1, 0))</f>
        <v>innisfree 妝自然眉筆，讓你輕鬆畫出流暢眉型的扁平式眉筆。自然顯色，簡單就能勾勒出眉型，是畫眉毛初學者必備的 No.1 眉筆！</v>
      </c>
      <c r="Q267" s="28" t="str">
        <f t="array" ref="Q267">INDEX('raw-sheet'!$A$2:$ZZ$1000, ROW(Q266), MATCH(Q$1, 'raw-sheet'!$A$1:$ZZ$1, 0))</f>
        <v>product</v>
      </c>
      <c r="R267" s="28" t="str">
        <f t="array" ref="R267">INDEX('raw-sheet'!$A$2:$ZZ$1000, ROW(R266), MATCH(R$1, 'raw-sheet'!$A$1:$ZZ$1, 0))</f>
        <v>INNISFREE Taiwan</v>
      </c>
      <c r="S267" s="28" t="str">
        <f t="array" ref="S267">INDEX('raw-sheet'!$A$2:$ZZ$1000, ROW(S266), MATCH(S$1, 'raw-sheet'!$A$1:$ZZ$1, 0))</f>
        <v>http://innisfree-taiwan.myshopify.com/cdn/shop/files/pdp_mig_07ec3392_20230928_213_ID0101_1_jpg.jpg?v=1768543119</v>
      </c>
      <c r="T267" s="28" t="str">
        <f t="array" ref="T267">INDEX('raw-sheet'!$A$2:$ZZ$1000, ROW(T266), MATCH(T$1, 'raw-sheet'!$A$1:$ZZ$1, 0))</f>
        <v>https://innisfree-taiwan.myshopify.com/cdn/shop/files/pdp_mig_07ec3392_20230928_213_ID0101_1_jpg.jpg?v=1768543119</v>
      </c>
      <c r="U267" s="28" t="str">
        <f t="array" ref="U267">INDEX('raw-sheet'!$A$2:$ZZ$1000, ROW(U266), MATCH(U$1, 'raw-sheet'!$A$1:$ZZ$1, 0))</f>
        <v>https://innisfree-taiwan.myshopify.com/products/innisfree-auto-eyebrow-pencil23</v>
      </c>
      <c r="V267" s="28" t="str">
        <f t="array" ref="V267">INDEX('raw-sheet'!$A$2:$ZZ$1000, ROW(V266), MATCH(V$1, 'raw-sheet'!$A$1:$ZZ$1, 0))</f>
        <v>眉筆推薦｜妝自然眉筆 - innisfree | INNISFREE Taiwan</v>
      </c>
      <c r="W267" s="28" t="str">
        <f t="array" ref="W267">INDEX('raw-sheet'!$A$2:$ZZ$1000, ROW(W266), MATCH(W$1, 'raw-sheet'!$A$1:$ZZ$1, 0))</f>
        <v>innisfree 妝自然眉筆，讓你輕鬆畫出流暢眉型的扁平式眉筆。自然顯色，簡單就能勾勒出眉型，是畫眉毛初學者必備的 No.1 眉筆！</v>
      </c>
      <c r="X267" s="28" t="str">
        <f t="array" ref="X267">INDEX('raw-sheet'!$A$2:$ZZ$1000, ROW(X266), MATCH(X$1, 'raw-sheet'!$A$1:$ZZ$1, 0))</f>
        <v>summary_large_image</v>
      </c>
      <c r="Y267" s="30" t="s">
        <v>11</v>
      </c>
      <c r="Z267" s="28" t="str">
        <f>VLOOKUP($A267,'raw-schema'!$A:$R,14,0)</f>
        <v>Brand</v>
      </c>
      <c r="AA267" s="28" t="str">
        <f>VLOOKUP($A267,'raw-schema'!$A:$R,15,0)</f>
        <v>Offer</v>
      </c>
      <c r="AB267" s="28" t="str">
        <f>VLOOKUP($A267,'raw-schema'!$A:$R,16,0)</f>
        <v>Organization</v>
      </c>
      <c r="AC267" s="28" t="str">
        <f>VLOOKUP($A267,'raw-schema'!$A:$R,17,0)</f>
        <v>Product</v>
      </c>
      <c r="AD267" s="28" t="str">
        <f>VLOOKUP($A267,'raw-schema'!$A:$R,18,0)</f>
        <v>ProductGroup</v>
      </c>
      <c r="AE267" s="30" t="s">
        <v>69</v>
      </c>
    </row>
    <row r="268" spans="1:31" x14ac:dyDescent="0.3">
      <c r="A268" s="28" t="str">
        <f t="array" ref="A268">INDEX('raw-sheet'!$A$2:$ZZ$1000, ROW(A267), MATCH(A$1, 'raw-sheet'!$A$1:$ZZ$1, 0))</f>
        <v>https://innisfree-taiwan.myshopify.com/products/innisfree-bija-cica-balm-ex-23</v>
      </c>
      <c r="B268" s="30" t="s">
        <v>70</v>
      </c>
      <c r="C268" s="28" t="str">
        <f t="array" ref="C268">INDEX('raw-sheet'!$A$2:$ZZ$1000, ROW(C267), MATCH(C$1, 'raw-sheet'!$A$1:$ZZ$1, 0))</f>
        <v>Product Detail</v>
      </c>
      <c r="D268" s="28">
        <f t="array" ref="D268">INDEX('raw-sheet'!$A$2:$ZZ$1000, ROW(D267), MATCH(D$1, 'raw-sheet'!$A$1:$ZZ$1, 0))</f>
        <v>200</v>
      </c>
      <c r="E268" s="30" t="str">
        <f t="shared" si="8"/>
        <v>Pass</v>
      </c>
      <c r="F268" s="28" t="str">
        <f t="array" ref="F268">INDEX('raw-sheet'!$A$2:$ZZ$1000, ROW(F267), MATCH(F$1, 'raw-sheet'!$A$1:$ZZ$1, 0))</f>
        <v>香榧積雪草修護霜 70ml_x000D_ | INNISFREE Taiwan</v>
      </c>
      <c r="G268" s="30" t="s">
        <v>11</v>
      </c>
      <c r="H268" s="28" t="str">
        <f t="array" ref="H268">INDEX('raw-sheet'!$A$2:$ZZ$1000, ROW(H267), MATCH(H$1, 'raw-sheet'!$A$1:$ZZ$1, 0))</f>
        <v>舒緩並調理問題肌膚的修護霜，有效修護及鎮靜肌膚。適合所有肌膚類型，想改善粉刺痘痘問題的顧客。</v>
      </c>
      <c r="I268" s="30" t="s">
        <v>60</v>
      </c>
      <c r="J268" s="28" t="str">
        <f t="array" ref="J268">INDEX('raw-sheet'!$A$2:$ZZ$1000, ROW(J267), MATCH(J$1, 'raw-sheet'!$A$1:$ZZ$1, 0))</f>
        <v>香榧積雪草修護霜 70ml</v>
      </c>
      <c r="K268" s="28" t="str">
        <f t="array" ref="K268">INDEX('raw-sheet'!$A$2:$ZZ$1000, ROW(K267), MATCH(K$1, 'raw-sheet'!$A$1:$ZZ$1, 0))</f>
        <v>1</v>
      </c>
      <c r="L268" s="30" t="s">
        <v>11</v>
      </c>
      <c r="M268" s="28" t="str">
        <f t="array" ref="M268">INDEX('raw-sheet'!$A$2:$ZZ$1000, ROW(M267), MATCH(M$1, 'raw-sheet'!$A$1:$ZZ$1, 0))</f>
        <v>https://innisfree-taiwan.myshopify.com/products/innisfree-bija-cica-balm-ex-23</v>
      </c>
      <c r="N268" s="30" t="str">
        <f t="shared" si="9"/>
        <v>Pass</v>
      </c>
      <c r="O268" s="28" t="str">
        <f t="array" ref="O268">INDEX('raw-sheet'!$A$2:$ZZ$1000, ROW(O267), MATCH(O$1, 'raw-sheet'!$A$1:$ZZ$1, 0))</f>
        <v>香榧積雪草修護霜 70ml | INNISFREE Taiwan</v>
      </c>
      <c r="P268" s="28" t="str">
        <f t="array" ref="P268">INDEX('raw-sheet'!$A$2:$ZZ$1000, ROW(P267), MATCH(P$1, 'raw-sheet'!$A$1:$ZZ$1, 0))</f>
        <v>舒緩並調理問題肌膚的修護霜，有效修護及鎮靜肌膚。適合所有肌膚類型，想改善粉刺痘痘問題的顧客。</v>
      </c>
      <c r="Q268" s="28" t="str">
        <f t="array" ref="Q268">INDEX('raw-sheet'!$A$2:$ZZ$1000, ROW(Q267), MATCH(Q$1, 'raw-sheet'!$A$1:$ZZ$1, 0))</f>
        <v>product</v>
      </c>
      <c r="R268" s="28" t="str">
        <f t="array" ref="R268">INDEX('raw-sheet'!$A$2:$ZZ$1000, ROW(R267), MATCH(R$1, 'raw-sheet'!$A$1:$ZZ$1, 0))</f>
        <v>INNISFREE Taiwan</v>
      </c>
      <c r="S268" s="28" t="str">
        <f t="array" ref="S268">INDEX('raw-sheet'!$A$2:$ZZ$1000, ROW(S267), MATCH(S$1, 'raw-sheet'!$A$1:$ZZ$1, 0))</f>
        <v>http://innisfree-taiwan.myshopify.com/cdn/shop/files/pdp_mig_a77ee811_20260109_1272_ID0101_1_jpg.jpg?v=1768543081</v>
      </c>
      <c r="T268" s="28" t="str">
        <f t="array" ref="T268">INDEX('raw-sheet'!$A$2:$ZZ$1000, ROW(T267), MATCH(T$1, 'raw-sheet'!$A$1:$ZZ$1, 0))</f>
        <v>https://innisfree-taiwan.myshopify.com/cdn/shop/files/pdp_mig_a77ee811_20260109_1272_ID0101_1_jpg.jpg?v=1768543081</v>
      </c>
      <c r="U268" s="28" t="str">
        <f t="array" ref="U268">INDEX('raw-sheet'!$A$2:$ZZ$1000, ROW(U267), MATCH(U$1, 'raw-sheet'!$A$1:$ZZ$1, 0))</f>
        <v>https://innisfree-taiwan.myshopify.com/products/innisfree-bija-cica-balm-ex-23</v>
      </c>
      <c r="V268" s="28" t="str">
        <f t="array" ref="V268">INDEX('raw-sheet'!$A$2:$ZZ$1000, ROW(V267), MATCH(V$1, 'raw-sheet'!$A$1:$ZZ$1, 0))</f>
        <v>香榧積雪草修護霜 70ml | INNISFREE Taiwan</v>
      </c>
      <c r="W268" s="28" t="str">
        <f t="array" ref="W268">INDEX('raw-sheet'!$A$2:$ZZ$1000, ROW(W267), MATCH(W$1, 'raw-sheet'!$A$1:$ZZ$1, 0))</f>
        <v>舒緩並調理問題肌膚的修護霜，有效修護及鎮靜肌膚。適合所有肌膚類型，想改善粉刺痘痘問題的顧客。</v>
      </c>
      <c r="X268" s="28" t="str">
        <f t="array" ref="X268">INDEX('raw-sheet'!$A$2:$ZZ$1000, ROW(X267), MATCH(X$1, 'raw-sheet'!$A$1:$ZZ$1, 0))</f>
        <v>summary_large_image</v>
      </c>
      <c r="Y268" s="30" t="s">
        <v>56</v>
      </c>
      <c r="Z268" s="28" t="str">
        <f>VLOOKUP($A268,'raw-schema'!$A:$R,14,0)</f>
        <v>Brand</v>
      </c>
      <c r="AA268" s="28" t="str">
        <f>VLOOKUP($A268,'raw-schema'!$A:$R,15,0)</f>
        <v>Offer</v>
      </c>
      <c r="AB268" s="28" t="str">
        <f>VLOOKUP($A268,'raw-schema'!$A:$R,16,0)</f>
        <v>Organization</v>
      </c>
      <c r="AC268" s="28" t="str">
        <f>VLOOKUP($A268,'raw-schema'!$A:$R,17,0)</f>
        <v>Product</v>
      </c>
      <c r="AD268" s="28">
        <f>VLOOKUP($A268,'raw-schema'!$A:$R,18,0)</f>
        <v>0</v>
      </c>
      <c r="AE268" s="30" t="s">
        <v>69</v>
      </c>
    </row>
    <row r="269" spans="1:31" x14ac:dyDescent="0.3">
      <c r="A269" s="28" t="str">
        <f t="array" ref="A269">INDEX('raw-sheet'!$A$2:$ZZ$1000, ROW(A268), MATCH(A$1, 'raw-sheet'!$A$1:$ZZ$1, 0))</f>
        <v>https://innisfree-taiwan.myshopify.com/products/innisfree-black-tea-youth-enhancing-ampoule-30ml</v>
      </c>
      <c r="B269" s="30" t="s">
        <v>11</v>
      </c>
      <c r="C269" s="28" t="str">
        <f t="array" ref="C269">INDEX('raw-sheet'!$A$2:$ZZ$1000, ROW(C268), MATCH(C$1, 'raw-sheet'!$A$1:$ZZ$1, 0))</f>
        <v>Product Detail</v>
      </c>
      <c r="D269" s="28">
        <f t="array" ref="D269">INDEX('raw-sheet'!$A$2:$ZZ$1000, ROW(D268), MATCH(D$1, 'raw-sheet'!$A$1:$ZZ$1, 0))</f>
        <v>200</v>
      </c>
      <c r="E269" s="30" t="str">
        <f t="shared" si="8"/>
        <v>Pass</v>
      </c>
      <c r="F269" s="28" t="str">
        <f t="array" ref="F269">INDEX('raw-sheet'!$A$2:$ZZ$1000, ROW(F268), MATCH(F$1, 'raw-sheet'!$A$1:$ZZ$1, 0))</f>
        <v>紅茶極效修護安瓶 30ml_x000D_ | INNISFREE Taiwan</v>
      </c>
      <c r="G269" s="30" t="s">
        <v>11</v>
      </c>
      <c r="H269" s="28" t="str">
        <f t="array" ref="H269">INDEX('raw-sheet'!$A$2:$ZZ$1000, ROW(H268), MATCH(H$1, 'raw-sheet'!$A$1:$ZZ$1, 0))</f>
        <v>RESET肌膚重置修護科技™集中修護抗老，舒緩疲憊的肌膚，讓肌膚恢復緊緻，擁有自然光澤的精華。 適合經常熬夜或工作壓力大，肌膚缺乏活力和彈性的顧客。</v>
      </c>
      <c r="I269" s="30" t="s">
        <v>60</v>
      </c>
      <c r="J269" s="28" t="str">
        <f t="array" ref="J269">INDEX('raw-sheet'!$A$2:$ZZ$1000, ROW(J268), MATCH(J$1, 'raw-sheet'!$A$1:$ZZ$1, 0))</f>
        <v>紅茶極效修護安瓶 30ml</v>
      </c>
      <c r="K269" s="28" t="str">
        <f t="array" ref="K269">INDEX('raw-sheet'!$A$2:$ZZ$1000, ROW(K268), MATCH(K$1, 'raw-sheet'!$A$1:$ZZ$1, 0))</f>
        <v>1</v>
      </c>
      <c r="L269" s="30" t="s">
        <v>11</v>
      </c>
      <c r="M269" s="28" t="str">
        <f t="array" ref="M269">INDEX('raw-sheet'!$A$2:$ZZ$1000, ROW(M268), MATCH(M$1, 'raw-sheet'!$A$1:$ZZ$1, 0))</f>
        <v>https://innisfree-taiwan.myshopify.com/products/innisfree-black-tea-youth-enhancing-ampoule-30ml</v>
      </c>
      <c r="N269" s="30" t="str">
        <f t="shared" si="9"/>
        <v>Pass</v>
      </c>
      <c r="O269" s="28" t="str">
        <f t="array" ref="O269">INDEX('raw-sheet'!$A$2:$ZZ$1000, ROW(O268), MATCH(O$1, 'raw-sheet'!$A$1:$ZZ$1, 0))</f>
        <v>紅茶極效修護安瓶 30ml | INNISFREE Taiwan</v>
      </c>
      <c r="P269" s="28" t="str">
        <f t="array" ref="P269">INDEX('raw-sheet'!$A$2:$ZZ$1000, ROW(P268), MATCH(P$1, 'raw-sheet'!$A$1:$ZZ$1, 0))</f>
        <v>RESET肌膚重置修護科技™集中修護抗老，舒緩疲憊的肌膚，讓肌膚恢復緊緻，擁有自然光澤的精華。 適合經常熬夜或工作壓力大，肌膚缺乏活力和彈性的顧客。</v>
      </c>
      <c r="Q269" s="28" t="str">
        <f t="array" ref="Q269">INDEX('raw-sheet'!$A$2:$ZZ$1000, ROW(Q268), MATCH(Q$1, 'raw-sheet'!$A$1:$ZZ$1, 0))</f>
        <v>product</v>
      </c>
      <c r="R269" s="28" t="str">
        <f t="array" ref="R269">INDEX('raw-sheet'!$A$2:$ZZ$1000, ROW(R268), MATCH(R$1, 'raw-sheet'!$A$1:$ZZ$1, 0))</f>
        <v>INNISFREE Taiwan</v>
      </c>
      <c r="S269" s="28" t="str">
        <f t="array" ref="S269">INDEX('raw-sheet'!$A$2:$ZZ$1000, ROW(S268), MATCH(S$1, 'raw-sheet'!$A$1:$ZZ$1, 0))</f>
        <v>http://innisfree-taiwan.myshopify.com/cdn/shop/files/pdp_mig_b2998abf_20251001_400_ID0101_1_jpg.jpg?v=1768543111</v>
      </c>
      <c r="T269" s="28" t="str">
        <f t="array" ref="T269">INDEX('raw-sheet'!$A$2:$ZZ$1000, ROW(T268), MATCH(T$1, 'raw-sheet'!$A$1:$ZZ$1, 0))</f>
        <v>https://innisfree-taiwan.myshopify.com/cdn/shop/files/pdp_mig_b2998abf_20251001_400_ID0101_1_jpg.jpg?v=1768543111</v>
      </c>
      <c r="U269" s="28" t="str">
        <f t="array" ref="U269">INDEX('raw-sheet'!$A$2:$ZZ$1000, ROW(U268), MATCH(U$1, 'raw-sheet'!$A$1:$ZZ$1, 0))</f>
        <v>https://innisfree-taiwan.myshopify.com/products/innisfree-black-tea-youth-enhancing-ampoule-30ml</v>
      </c>
      <c r="V269" s="28" t="str">
        <f t="array" ref="V269">INDEX('raw-sheet'!$A$2:$ZZ$1000, ROW(V268), MATCH(V$1, 'raw-sheet'!$A$1:$ZZ$1, 0))</f>
        <v>紅茶極效修護安瓶 30ml | INNISFREE Taiwan</v>
      </c>
      <c r="W269" s="28" t="str">
        <f t="array" ref="W269">INDEX('raw-sheet'!$A$2:$ZZ$1000, ROW(W268), MATCH(W$1, 'raw-sheet'!$A$1:$ZZ$1, 0))</f>
        <v>RESET肌膚重置修護科技™集中修護抗老，舒緩疲憊的肌膚，讓肌膚恢復緊緻，擁有自然光澤的精華。 適合經常熬夜或工作壓力大，肌膚缺乏活力和彈性的顧客。</v>
      </c>
      <c r="X269" s="28" t="str">
        <f t="array" ref="X269">INDEX('raw-sheet'!$A$2:$ZZ$1000, ROW(X268), MATCH(X$1, 'raw-sheet'!$A$1:$ZZ$1, 0))</f>
        <v>summary_large_image</v>
      </c>
      <c r="Y269" s="30" t="s">
        <v>56</v>
      </c>
      <c r="Z269" s="28" t="str">
        <f>VLOOKUP($A269,'raw-schema'!$A:$R,14,0)</f>
        <v>Brand</v>
      </c>
      <c r="AA269" s="28" t="str">
        <f>VLOOKUP($A269,'raw-schema'!$A:$R,15,0)</f>
        <v>Offer</v>
      </c>
      <c r="AB269" s="28" t="str">
        <f>VLOOKUP($A269,'raw-schema'!$A:$R,16,0)</f>
        <v>Organization</v>
      </c>
      <c r="AC269" s="28" t="str">
        <f>VLOOKUP($A269,'raw-schema'!$A:$R,17,0)</f>
        <v>Product</v>
      </c>
      <c r="AD269" s="28">
        <f>VLOOKUP($A269,'raw-schema'!$A:$R,18,0)</f>
        <v>0</v>
      </c>
      <c r="AE269" s="30" t="s">
        <v>69</v>
      </c>
    </row>
    <row r="270" spans="1:31" x14ac:dyDescent="0.3">
      <c r="A270" s="28" t="str">
        <f t="array" ref="A270">INDEX('raw-sheet'!$A$2:$ZZ$1000, ROW(A269), MATCH(A$1, 'raw-sheet'!$A$1:$ZZ$1, 0))</f>
        <v>https://innisfree-taiwan.myshopify.com/products/innisfree-black-tea-youth-enhancing-ampoule-50ml</v>
      </c>
      <c r="B270" s="30" t="s">
        <v>11</v>
      </c>
      <c r="C270" s="28" t="str">
        <f t="array" ref="C270">INDEX('raw-sheet'!$A$2:$ZZ$1000, ROW(C269), MATCH(C$1, 'raw-sheet'!$A$1:$ZZ$1, 0))</f>
        <v>Product Detail</v>
      </c>
      <c r="D270" s="28">
        <f t="array" ref="D270">INDEX('raw-sheet'!$A$2:$ZZ$1000, ROW(D269), MATCH(D$1, 'raw-sheet'!$A$1:$ZZ$1, 0))</f>
        <v>200</v>
      </c>
      <c r="E270" s="30" t="str">
        <f t="shared" si="8"/>
        <v>Pass</v>
      </c>
      <c r="F270" s="28" t="str">
        <f t="array" ref="F270">INDEX('raw-sheet'!$A$2:$ZZ$1000, ROW(F269), MATCH(F$1, 'raw-sheet'!$A$1:$ZZ$1, 0))</f>
        <v>紅茶極效修護安瓶 50ml_x000D_ | INNISFREE Taiwan</v>
      </c>
      <c r="G270" s="30" t="s">
        <v>11</v>
      </c>
      <c r="H270" s="28" t="str">
        <f t="array" ref="H270">INDEX('raw-sheet'!$A$2:$ZZ$1000, ROW(H269), MATCH(H$1, 'raw-sheet'!$A$1:$ZZ$1, 0))</f>
        <v>RESET肌膚重置修護科技™集中修護抗老，舒緩疲憊的肌膚，讓肌膚恢復緊緻，擁有自然光澤的精華。 適合經常熬夜或工作壓力大，肌膚缺乏活力和彈性的顧客。</v>
      </c>
      <c r="I270" s="30" t="s">
        <v>60</v>
      </c>
      <c r="J270" s="28" t="str">
        <f t="array" ref="J270">INDEX('raw-sheet'!$A$2:$ZZ$1000, ROW(J269), MATCH(J$1, 'raw-sheet'!$A$1:$ZZ$1, 0))</f>
        <v>紅茶極效修護安瓶 50ml</v>
      </c>
      <c r="K270" s="28" t="str">
        <f t="array" ref="K270">INDEX('raw-sheet'!$A$2:$ZZ$1000, ROW(K269), MATCH(K$1, 'raw-sheet'!$A$1:$ZZ$1, 0))</f>
        <v>1</v>
      </c>
      <c r="L270" s="30" t="s">
        <v>11</v>
      </c>
      <c r="M270" s="28" t="str">
        <f t="array" ref="M270">INDEX('raw-sheet'!$A$2:$ZZ$1000, ROW(M269), MATCH(M$1, 'raw-sheet'!$A$1:$ZZ$1, 0))</f>
        <v>https://innisfree-taiwan.myshopify.com/products/innisfree-black-tea-youth-enhancing-ampoule-50ml</v>
      </c>
      <c r="N270" s="30" t="str">
        <f t="shared" si="9"/>
        <v>Pass</v>
      </c>
      <c r="O270" s="28" t="str">
        <f t="array" ref="O270">INDEX('raw-sheet'!$A$2:$ZZ$1000, ROW(O269), MATCH(O$1, 'raw-sheet'!$A$1:$ZZ$1, 0))</f>
        <v>紅茶極效修護安瓶 50ml | INNISFREE Taiwan</v>
      </c>
      <c r="P270" s="28" t="str">
        <f t="array" ref="P270">INDEX('raw-sheet'!$A$2:$ZZ$1000, ROW(P269), MATCH(P$1, 'raw-sheet'!$A$1:$ZZ$1, 0))</f>
        <v>RESET肌膚重置修護科技™集中修護抗老，舒緩疲憊的肌膚，讓肌膚恢復緊緻，擁有自然光澤的精華。 適合經常熬夜或工作壓力大，肌膚缺乏活力和彈性的顧客。</v>
      </c>
      <c r="Q270" s="28" t="str">
        <f t="array" ref="Q270">INDEX('raw-sheet'!$A$2:$ZZ$1000, ROW(Q269), MATCH(Q$1, 'raw-sheet'!$A$1:$ZZ$1, 0))</f>
        <v>product</v>
      </c>
      <c r="R270" s="28" t="str">
        <f t="array" ref="R270">INDEX('raw-sheet'!$A$2:$ZZ$1000, ROW(R269), MATCH(R$1, 'raw-sheet'!$A$1:$ZZ$1, 0))</f>
        <v>INNISFREE Taiwan</v>
      </c>
      <c r="S270" s="28" t="str">
        <f t="array" ref="S270">INDEX('raw-sheet'!$A$2:$ZZ$1000, ROW(S269), MATCH(S$1, 'raw-sheet'!$A$1:$ZZ$1, 0))</f>
        <v>http://innisfree-taiwan.myshopify.com/cdn/shop/files/pdp_mig_a7b26b62_20251001_586_ID0101_1_jpg.jpg?v=1768543113</v>
      </c>
      <c r="T270" s="28" t="str">
        <f t="array" ref="T270">INDEX('raw-sheet'!$A$2:$ZZ$1000, ROW(T269), MATCH(T$1, 'raw-sheet'!$A$1:$ZZ$1, 0))</f>
        <v>https://innisfree-taiwan.myshopify.com/cdn/shop/files/pdp_mig_a7b26b62_20251001_586_ID0101_1_jpg.jpg?v=1768543113</v>
      </c>
      <c r="U270" s="28" t="str">
        <f t="array" ref="U270">INDEX('raw-sheet'!$A$2:$ZZ$1000, ROW(U269), MATCH(U$1, 'raw-sheet'!$A$1:$ZZ$1, 0))</f>
        <v>https://innisfree-taiwan.myshopify.com/products/innisfree-black-tea-youth-enhancing-ampoule-50ml</v>
      </c>
      <c r="V270" s="28" t="str">
        <f t="array" ref="V270">INDEX('raw-sheet'!$A$2:$ZZ$1000, ROW(V269), MATCH(V$1, 'raw-sheet'!$A$1:$ZZ$1, 0))</f>
        <v>紅茶極效修護安瓶 50ml | INNISFREE Taiwan</v>
      </c>
      <c r="W270" s="28" t="str">
        <f t="array" ref="W270">INDEX('raw-sheet'!$A$2:$ZZ$1000, ROW(W269), MATCH(W$1, 'raw-sheet'!$A$1:$ZZ$1, 0))</f>
        <v>RESET肌膚重置修護科技™集中修護抗老，舒緩疲憊的肌膚，讓肌膚恢復緊緻，擁有自然光澤的精華。 適合經常熬夜或工作壓力大，肌膚缺乏活力和彈性的顧客。</v>
      </c>
      <c r="X270" s="28" t="str">
        <f t="array" ref="X270">INDEX('raw-sheet'!$A$2:$ZZ$1000, ROW(X269), MATCH(X$1, 'raw-sheet'!$A$1:$ZZ$1, 0))</f>
        <v>summary_large_image</v>
      </c>
      <c r="Y270" s="30" t="s">
        <v>56</v>
      </c>
      <c r="Z270" s="28" t="str">
        <f>VLOOKUP($A270,'raw-schema'!$A:$R,14,0)</f>
        <v>Brand</v>
      </c>
      <c r="AA270" s="28" t="str">
        <f>VLOOKUP($A270,'raw-schema'!$A:$R,15,0)</f>
        <v>Offer</v>
      </c>
      <c r="AB270" s="28" t="str">
        <f>VLOOKUP($A270,'raw-schema'!$A:$R,16,0)</f>
        <v>Organization</v>
      </c>
      <c r="AC270" s="28" t="str">
        <f>VLOOKUP($A270,'raw-schema'!$A:$R,17,0)</f>
        <v>Product</v>
      </c>
      <c r="AD270" s="28">
        <f>VLOOKUP($A270,'raw-schema'!$A:$R,18,0)</f>
        <v>0</v>
      </c>
      <c r="AE270" s="30" t="s">
        <v>69</v>
      </c>
    </row>
    <row r="271" spans="1:31" x14ac:dyDescent="0.3">
      <c r="A271" s="28" t="str">
        <f t="array" ref="A271">INDEX('raw-sheet'!$A$2:$ZZ$1000, ROW(A270), MATCH(A$1, 'raw-sheet'!$A$1:$ZZ$1, 0))</f>
        <v>https://innisfree-taiwan.myshopify.com/products/innisfree-black-tea-youth-enhancing-ampoule-mask</v>
      </c>
      <c r="B271" s="30" t="s">
        <v>11</v>
      </c>
      <c r="C271" s="28" t="str">
        <f t="array" ref="C271">INDEX('raw-sheet'!$A$2:$ZZ$1000, ROW(C270), MATCH(C$1, 'raw-sheet'!$A$1:$ZZ$1, 0))</f>
        <v>Product Detail</v>
      </c>
      <c r="D271" s="28">
        <f t="array" ref="D271">INDEX('raw-sheet'!$A$2:$ZZ$1000, ROW(D270), MATCH(D$1, 'raw-sheet'!$A$1:$ZZ$1, 0))</f>
        <v>200</v>
      </c>
      <c r="E271" s="30" t="str">
        <f t="shared" si="8"/>
        <v>Pass</v>
      </c>
      <c r="F271" s="28" t="str">
        <f t="array" ref="F271">INDEX('raw-sheet'!$A$2:$ZZ$1000, ROW(F270), MATCH(F$1, 'raw-sheet'!$A$1:$ZZ$1, 0))</f>
        <v>紅茶極效修護安瓶面膜 28ml_x000D_ | INNISFREE Taiwan</v>
      </c>
      <c r="G271" s="30" t="s">
        <v>11</v>
      </c>
      <c r="H271" s="28" t="str">
        <f t="array" ref="H271">INDEX('raw-sheet'!$A$2:$ZZ$1000, ROW(H270), MATCH(H$1, 'raw-sheet'!$A$1:$ZZ$1, 0))</f>
        <v>RESET肌膚重置修護科技™集中修護抗老，舒緩疲憊的肌膚，讓肌膚恢復緊緻，擁有自然光澤的好膚質。</v>
      </c>
      <c r="I271" s="30" t="s">
        <v>11</v>
      </c>
      <c r="J271" s="28" t="str">
        <f t="array" ref="J271">INDEX('raw-sheet'!$A$2:$ZZ$1000, ROW(J270), MATCH(J$1, 'raw-sheet'!$A$1:$ZZ$1, 0))</f>
        <v>紅茶極效修護安瓶面膜 28ml</v>
      </c>
      <c r="K271" s="28" t="str">
        <f t="array" ref="K271">INDEX('raw-sheet'!$A$2:$ZZ$1000, ROW(K270), MATCH(K$1, 'raw-sheet'!$A$1:$ZZ$1, 0))</f>
        <v>1</v>
      </c>
      <c r="L271" s="30" t="s">
        <v>11</v>
      </c>
      <c r="M271" s="28" t="str">
        <f t="array" ref="M271">INDEX('raw-sheet'!$A$2:$ZZ$1000, ROW(M270), MATCH(M$1, 'raw-sheet'!$A$1:$ZZ$1, 0))</f>
        <v>https://innisfree-taiwan.myshopify.com/products/innisfree-black-tea-youth-enhancing-ampoule-mask</v>
      </c>
      <c r="N271" s="30" t="str">
        <f t="shared" si="9"/>
        <v>Pass</v>
      </c>
      <c r="O271" s="28" t="str">
        <f t="array" ref="O271">INDEX('raw-sheet'!$A$2:$ZZ$1000, ROW(O270), MATCH(O$1, 'raw-sheet'!$A$1:$ZZ$1, 0))</f>
        <v>紅茶極效修護安瓶面膜 28ml | INNISFREE Taiwan</v>
      </c>
      <c r="P271" s="28" t="str">
        <f t="array" ref="P271">INDEX('raw-sheet'!$A$2:$ZZ$1000, ROW(P270), MATCH(P$1, 'raw-sheet'!$A$1:$ZZ$1, 0))</f>
        <v>RESET肌膚重置修護科技™集中修護抗老，舒緩疲憊的肌膚，讓肌膚恢復緊緻，擁有自然光澤的好膚質。</v>
      </c>
      <c r="Q271" s="28" t="str">
        <f t="array" ref="Q271">INDEX('raw-sheet'!$A$2:$ZZ$1000, ROW(Q270), MATCH(Q$1, 'raw-sheet'!$A$1:$ZZ$1, 0))</f>
        <v>product</v>
      </c>
      <c r="R271" s="28" t="str">
        <f t="array" ref="R271">INDEX('raw-sheet'!$A$2:$ZZ$1000, ROW(R270), MATCH(R$1, 'raw-sheet'!$A$1:$ZZ$1, 0))</f>
        <v>INNISFREE Taiwan</v>
      </c>
      <c r="S271" s="28" t="str">
        <f t="array" ref="S271">INDEX('raw-sheet'!$A$2:$ZZ$1000, ROW(S270), MATCH(S$1, 'raw-sheet'!$A$1:$ZZ$1, 0))</f>
        <v>http://innisfree-taiwan.myshopify.com/cdn/shop/files/pdp_mig_6fd952d8_20230710_590_ID0101_1_jpg.jpg?v=1768543111</v>
      </c>
      <c r="T271" s="28" t="str">
        <f t="array" ref="T271">INDEX('raw-sheet'!$A$2:$ZZ$1000, ROW(T270), MATCH(T$1, 'raw-sheet'!$A$1:$ZZ$1, 0))</f>
        <v>https://innisfree-taiwan.myshopify.com/cdn/shop/files/pdp_mig_6fd952d8_20230710_590_ID0101_1_jpg.jpg?v=1768543111</v>
      </c>
      <c r="U271" s="28" t="str">
        <f t="array" ref="U271">INDEX('raw-sheet'!$A$2:$ZZ$1000, ROW(U270), MATCH(U$1, 'raw-sheet'!$A$1:$ZZ$1, 0))</f>
        <v>https://innisfree-taiwan.myshopify.com/products/innisfree-black-tea-youth-enhancing-ampoule-mask</v>
      </c>
      <c r="V271" s="28" t="str">
        <f t="array" ref="V271">INDEX('raw-sheet'!$A$2:$ZZ$1000, ROW(V270), MATCH(V$1, 'raw-sheet'!$A$1:$ZZ$1, 0))</f>
        <v>紅茶極效修護安瓶面膜 28ml | INNISFREE Taiwan</v>
      </c>
      <c r="W271" s="28" t="str">
        <f t="array" ref="W271">INDEX('raw-sheet'!$A$2:$ZZ$1000, ROW(W270), MATCH(W$1, 'raw-sheet'!$A$1:$ZZ$1, 0))</f>
        <v>RESET肌膚重置修護科技™集中修護抗老，舒緩疲憊的肌膚，讓肌膚恢復緊緻，擁有自然光澤的好膚質。</v>
      </c>
      <c r="X271" s="28" t="str">
        <f t="array" ref="X271">INDEX('raw-sheet'!$A$2:$ZZ$1000, ROW(X270), MATCH(X$1, 'raw-sheet'!$A$1:$ZZ$1, 0))</f>
        <v>summary_large_image</v>
      </c>
      <c r="Y271" s="30" t="s">
        <v>11</v>
      </c>
      <c r="Z271" s="28" t="str">
        <f>VLOOKUP($A271,'raw-schema'!$A:$R,14,0)</f>
        <v>Brand</v>
      </c>
      <c r="AA271" s="28" t="str">
        <f>VLOOKUP($A271,'raw-schema'!$A:$R,15,0)</f>
        <v>Offer</v>
      </c>
      <c r="AB271" s="28" t="str">
        <f>VLOOKUP($A271,'raw-schema'!$A:$R,16,0)</f>
        <v>Organization</v>
      </c>
      <c r="AC271" s="28" t="str">
        <f>VLOOKUP($A271,'raw-schema'!$A:$R,17,0)</f>
        <v>Product</v>
      </c>
      <c r="AD271" s="28">
        <f>VLOOKUP($A271,'raw-schema'!$A:$R,18,0)</f>
        <v>0</v>
      </c>
      <c r="AE271" s="30" t="s">
        <v>69</v>
      </c>
    </row>
    <row r="272" spans="1:31" x14ac:dyDescent="0.3">
      <c r="A272" s="28" t="str">
        <f t="array" ref="A272">INDEX('raw-sheet'!$A$2:$ZZ$1000, ROW(A271), MATCH(A$1, 'raw-sheet'!$A$1:$ZZ$1, 0))</f>
        <v>https://innisfree-taiwan.myshopify.com/products/innisfree-black-tea-youth-enhancing-cream</v>
      </c>
      <c r="B272" s="30" t="s">
        <v>11</v>
      </c>
      <c r="C272" s="28" t="str">
        <f t="array" ref="C272">INDEX('raw-sheet'!$A$2:$ZZ$1000, ROW(C271), MATCH(C$1, 'raw-sheet'!$A$1:$ZZ$1, 0))</f>
        <v>Product Detail</v>
      </c>
      <c r="D272" s="28">
        <f t="array" ref="D272">INDEX('raw-sheet'!$A$2:$ZZ$1000, ROW(D271), MATCH(D$1, 'raw-sheet'!$A$1:$ZZ$1, 0))</f>
        <v>200</v>
      </c>
      <c r="E272" s="30" t="str">
        <f t="shared" si="8"/>
        <v>Pass</v>
      </c>
      <c r="F272" s="28" t="str">
        <f t="array" ref="F272">INDEX('raw-sheet'!$A$2:$ZZ$1000, ROW(F271), MATCH(F$1, 'raw-sheet'!$A$1:$ZZ$1, 0))</f>
        <v>紅茶極效修護霜 50ml_x000D_ | INNISFREE Taiwan</v>
      </c>
      <c r="G272" s="30" t="s">
        <v>11</v>
      </c>
      <c r="H272" s="28" t="str">
        <f t="array" ref="H272">INDEX('raw-sheet'!$A$2:$ZZ$1000, ROW(H271), MATCH(H$1, 'raw-sheet'!$A$1:$ZZ$1, 0))</f>
        <v>含有重生修護配方於集中修護，舒緩受損疲憊的肌膚，讓肌膚恢復緊緻，擁有自然光澤的好膚質。 適合經常熬夜或工作壓力大，肌膚缺乏活力和彈性的顧客。</v>
      </c>
      <c r="I272" s="30" t="s">
        <v>11</v>
      </c>
      <c r="J272" s="28" t="str">
        <f t="array" ref="J272">INDEX('raw-sheet'!$A$2:$ZZ$1000, ROW(J271), MATCH(J$1, 'raw-sheet'!$A$1:$ZZ$1, 0))</f>
        <v>紅茶極效修護霜 50ml</v>
      </c>
      <c r="K272" s="28" t="str">
        <f t="array" ref="K272">INDEX('raw-sheet'!$A$2:$ZZ$1000, ROW(K271), MATCH(K$1, 'raw-sheet'!$A$1:$ZZ$1, 0))</f>
        <v>1</v>
      </c>
      <c r="L272" s="30" t="s">
        <v>11</v>
      </c>
      <c r="M272" s="28" t="str">
        <f t="array" ref="M272">INDEX('raw-sheet'!$A$2:$ZZ$1000, ROW(M271), MATCH(M$1, 'raw-sheet'!$A$1:$ZZ$1, 0))</f>
        <v>https://innisfree-taiwan.myshopify.com/products/innisfree-black-tea-youth-enhancing-cream</v>
      </c>
      <c r="N272" s="30" t="str">
        <f t="shared" si="9"/>
        <v>Pass</v>
      </c>
      <c r="O272" s="28" t="str">
        <f t="array" ref="O272">INDEX('raw-sheet'!$A$2:$ZZ$1000, ROW(O271), MATCH(O$1, 'raw-sheet'!$A$1:$ZZ$1, 0))</f>
        <v>紅茶極效修護霜 50ml | INNISFREE Taiwan</v>
      </c>
      <c r="P272" s="28" t="str">
        <f t="array" ref="P272">INDEX('raw-sheet'!$A$2:$ZZ$1000, ROW(P271), MATCH(P$1, 'raw-sheet'!$A$1:$ZZ$1, 0))</f>
        <v>含有重生修護配方於集中修護，舒緩受損疲憊的肌膚，讓肌膚恢復緊緻，擁有自然光澤的好膚質。 適合經常熬夜或工作壓力大，肌膚缺乏活力和彈性的顧客。</v>
      </c>
      <c r="Q272" s="28" t="str">
        <f t="array" ref="Q272">INDEX('raw-sheet'!$A$2:$ZZ$1000, ROW(Q271), MATCH(Q$1, 'raw-sheet'!$A$1:$ZZ$1, 0))</f>
        <v>product</v>
      </c>
      <c r="R272" s="28" t="str">
        <f t="array" ref="R272">INDEX('raw-sheet'!$A$2:$ZZ$1000, ROW(R271), MATCH(R$1, 'raw-sheet'!$A$1:$ZZ$1, 0))</f>
        <v>INNISFREE Taiwan</v>
      </c>
      <c r="S272" s="28" t="str">
        <f t="array" ref="S272">INDEX('raw-sheet'!$A$2:$ZZ$1000, ROW(S271), MATCH(S$1, 'raw-sheet'!$A$1:$ZZ$1, 0))</f>
        <v>http://innisfree-taiwan.myshopify.com/cdn/shop/files/pdp_mig_7343e440_20260109_402_ID0101_1_jpg.jpg?v=1768543112</v>
      </c>
      <c r="T272" s="28" t="str">
        <f t="array" ref="T272">INDEX('raw-sheet'!$A$2:$ZZ$1000, ROW(T271), MATCH(T$1, 'raw-sheet'!$A$1:$ZZ$1, 0))</f>
        <v>https://innisfree-taiwan.myshopify.com/cdn/shop/files/pdp_mig_7343e440_20260109_402_ID0101_1_jpg.jpg?v=1768543112</v>
      </c>
      <c r="U272" s="28" t="str">
        <f t="array" ref="U272">INDEX('raw-sheet'!$A$2:$ZZ$1000, ROW(U271), MATCH(U$1, 'raw-sheet'!$A$1:$ZZ$1, 0))</f>
        <v>https://innisfree-taiwan.myshopify.com/products/innisfree-black-tea-youth-enhancing-cream</v>
      </c>
      <c r="V272" s="28" t="str">
        <f t="array" ref="V272">INDEX('raw-sheet'!$A$2:$ZZ$1000, ROW(V271), MATCH(V$1, 'raw-sheet'!$A$1:$ZZ$1, 0))</f>
        <v>紅茶極效修護霜 50ml | INNISFREE Taiwan</v>
      </c>
      <c r="W272" s="28" t="str">
        <f t="array" ref="W272">INDEX('raw-sheet'!$A$2:$ZZ$1000, ROW(W271), MATCH(W$1, 'raw-sheet'!$A$1:$ZZ$1, 0))</f>
        <v>含有重生修護配方於集中修護，舒緩受損疲憊的肌膚，讓肌膚恢復緊緻，擁有自然光澤的好膚質。 適合經常熬夜或工作壓力大，肌膚缺乏活力和彈性的顧客。</v>
      </c>
      <c r="X272" s="28" t="str">
        <f t="array" ref="X272">INDEX('raw-sheet'!$A$2:$ZZ$1000, ROW(X271), MATCH(X$1, 'raw-sheet'!$A$1:$ZZ$1, 0))</f>
        <v>summary_large_image</v>
      </c>
      <c r="Y272" s="30" t="s">
        <v>11</v>
      </c>
      <c r="Z272" s="28" t="str">
        <f>VLOOKUP($A272,'raw-schema'!$A:$R,14,0)</f>
        <v>Brand</v>
      </c>
      <c r="AA272" s="28" t="str">
        <f>VLOOKUP($A272,'raw-schema'!$A:$R,15,0)</f>
        <v>Offer</v>
      </c>
      <c r="AB272" s="28" t="str">
        <f>VLOOKUP($A272,'raw-schema'!$A:$R,16,0)</f>
        <v>Organization</v>
      </c>
      <c r="AC272" s="28" t="str">
        <f>VLOOKUP($A272,'raw-schema'!$A:$R,17,0)</f>
        <v>Product</v>
      </c>
      <c r="AD272" s="28">
        <f>VLOOKUP($A272,'raw-schema'!$A:$R,18,0)</f>
        <v>0</v>
      </c>
      <c r="AE272" s="30" t="s">
        <v>69</v>
      </c>
    </row>
    <row r="273" spans="1:31" x14ac:dyDescent="0.3">
      <c r="A273" s="28" t="str">
        <f t="array" ref="A273">INDEX('raw-sheet'!$A$2:$ZZ$1000, ROW(A272), MATCH(A$1, 'raw-sheet'!$A$1:$ZZ$1, 0))</f>
        <v>https://innisfree-taiwan.myshopify.com/products/innisfree-black-tea-youth-enhancing-lotion</v>
      </c>
      <c r="B273" s="30" t="s">
        <v>11</v>
      </c>
      <c r="C273" s="28" t="str">
        <f t="array" ref="C273">INDEX('raw-sheet'!$A$2:$ZZ$1000, ROW(C272), MATCH(C$1, 'raw-sheet'!$A$1:$ZZ$1, 0))</f>
        <v>Product Detail</v>
      </c>
      <c r="D273" s="28">
        <f t="array" ref="D273">INDEX('raw-sheet'!$A$2:$ZZ$1000, ROW(D272), MATCH(D$1, 'raw-sheet'!$A$1:$ZZ$1, 0))</f>
        <v>200</v>
      </c>
      <c r="E273" s="30" t="str">
        <f t="shared" si="8"/>
        <v>Pass</v>
      </c>
      <c r="F273" s="28" t="str">
        <f t="array" ref="F273">INDEX('raw-sheet'!$A$2:$ZZ$1000, ROW(F272), MATCH(F$1, 'raw-sheet'!$A$1:$ZZ$1, 0))</f>
        <v>紅茶極效修護乳 170ml_x000D_ | INNISFREE Taiwan</v>
      </c>
      <c r="G273" s="30" t="s">
        <v>11</v>
      </c>
      <c r="H273" s="28" t="str">
        <f t="array" ref="H273">INDEX('raw-sheet'!$A$2:$ZZ$1000, ROW(H272), MATCH(H$1, 'raw-sheet'!$A$1:$ZZ$1, 0))</f>
        <v>蘊含萃取自濟州紅茶的RESET肌膚重置修護科技™，帶給肌膚保濕光澤、恢復緊緻彈力的高效修護乳。 適合經常熬夜或工作壓力大，肌膚缺乏活力和彈性的顧客。</v>
      </c>
      <c r="I273" s="30" t="s">
        <v>11</v>
      </c>
      <c r="J273" s="28" t="str">
        <f t="array" ref="J273">INDEX('raw-sheet'!$A$2:$ZZ$1000, ROW(J272), MATCH(J$1, 'raw-sheet'!$A$1:$ZZ$1, 0))</f>
        <v>紅茶極效修護乳 170ml</v>
      </c>
      <c r="K273" s="28" t="str">
        <f t="array" ref="K273">INDEX('raw-sheet'!$A$2:$ZZ$1000, ROW(K272), MATCH(K$1, 'raw-sheet'!$A$1:$ZZ$1, 0))</f>
        <v>1</v>
      </c>
      <c r="L273" s="30" t="s">
        <v>11</v>
      </c>
      <c r="M273" s="28" t="str">
        <f t="array" ref="M273">INDEX('raw-sheet'!$A$2:$ZZ$1000, ROW(M272), MATCH(M$1, 'raw-sheet'!$A$1:$ZZ$1, 0))</f>
        <v>https://innisfree-taiwan.myshopify.com/products/innisfree-black-tea-youth-enhancing-lotion</v>
      </c>
      <c r="N273" s="30" t="str">
        <f t="shared" si="9"/>
        <v>Pass</v>
      </c>
      <c r="O273" s="28" t="str">
        <f t="array" ref="O273">INDEX('raw-sheet'!$A$2:$ZZ$1000, ROW(O272), MATCH(O$1, 'raw-sheet'!$A$1:$ZZ$1, 0))</f>
        <v>紅茶極效修護乳 170ml | INNISFREE Taiwan</v>
      </c>
      <c r="P273" s="28" t="str">
        <f t="array" ref="P273">INDEX('raw-sheet'!$A$2:$ZZ$1000, ROW(P272), MATCH(P$1, 'raw-sheet'!$A$1:$ZZ$1, 0))</f>
        <v>蘊含萃取自濟州紅茶的RESET肌膚重置修護科技™，帶給肌膚保濕光澤、恢復緊緻彈力的高效修護乳。 適合經常熬夜或工作壓力大，肌膚缺乏活力和彈性的顧客。</v>
      </c>
      <c r="Q273" s="28" t="str">
        <f t="array" ref="Q273">INDEX('raw-sheet'!$A$2:$ZZ$1000, ROW(Q272), MATCH(Q$1, 'raw-sheet'!$A$1:$ZZ$1, 0))</f>
        <v>product</v>
      </c>
      <c r="R273" s="28" t="str">
        <f t="array" ref="R273">INDEX('raw-sheet'!$A$2:$ZZ$1000, ROW(R272), MATCH(R$1, 'raw-sheet'!$A$1:$ZZ$1, 0))</f>
        <v>INNISFREE Taiwan</v>
      </c>
      <c r="S273" s="28" t="str">
        <f t="array" ref="S273">INDEX('raw-sheet'!$A$2:$ZZ$1000, ROW(S272), MATCH(S$1, 'raw-sheet'!$A$1:$ZZ$1, 0))</f>
        <v>http://innisfree-taiwan.myshopify.com/cdn/shop/files/pdp_mig_e1901d1a_20240201_701_ID0101_1_jpg.jpg?v=1768543108</v>
      </c>
      <c r="T273" s="28" t="str">
        <f t="array" ref="T273">INDEX('raw-sheet'!$A$2:$ZZ$1000, ROW(T272), MATCH(T$1, 'raw-sheet'!$A$1:$ZZ$1, 0))</f>
        <v>https://innisfree-taiwan.myshopify.com/cdn/shop/files/pdp_mig_e1901d1a_20240201_701_ID0101_1_jpg.jpg?v=1768543108</v>
      </c>
      <c r="U273" s="28" t="str">
        <f t="array" ref="U273">INDEX('raw-sheet'!$A$2:$ZZ$1000, ROW(U272), MATCH(U$1, 'raw-sheet'!$A$1:$ZZ$1, 0))</f>
        <v>https://innisfree-taiwan.myshopify.com/products/innisfree-black-tea-youth-enhancing-lotion</v>
      </c>
      <c r="V273" s="28" t="str">
        <f t="array" ref="V273">INDEX('raw-sheet'!$A$2:$ZZ$1000, ROW(V272), MATCH(V$1, 'raw-sheet'!$A$1:$ZZ$1, 0))</f>
        <v>紅茶極效修護乳 170ml | INNISFREE Taiwan</v>
      </c>
      <c r="W273" s="28" t="str">
        <f t="array" ref="W273">INDEX('raw-sheet'!$A$2:$ZZ$1000, ROW(W272), MATCH(W$1, 'raw-sheet'!$A$1:$ZZ$1, 0))</f>
        <v>蘊含萃取自濟州紅茶的RESET肌膚重置修護科技™，帶給肌膚保濕光澤、恢復緊緻彈力的高效修護乳。 適合經常熬夜或工作壓力大，肌膚缺乏活力和彈性的顧客。</v>
      </c>
      <c r="X273" s="28" t="str">
        <f t="array" ref="X273">INDEX('raw-sheet'!$A$2:$ZZ$1000, ROW(X272), MATCH(X$1, 'raw-sheet'!$A$1:$ZZ$1, 0))</f>
        <v>summary_large_image</v>
      </c>
      <c r="Y273" s="30" t="s">
        <v>11</v>
      </c>
      <c r="Z273" s="28" t="str">
        <f>VLOOKUP($A273,'raw-schema'!$A:$R,14,0)</f>
        <v>Brand</v>
      </c>
      <c r="AA273" s="28" t="str">
        <f>VLOOKUP($A273,'raw-schema'!$A:$R,15,0)</f>
        <v>Offer</v>
      </c>
      <c r="AB273" s="28" t="str">
        <f>VLOOKUP($A273,'raw-schema'!$A:$R,16,0)</f>
        <v>Organization</v>
      </c>
      <c r="AC273" s="28" t="str">
        <f>VLOOKUP($A273,'raw-schema'!$A:$R,17,0)</f>
        <v>Product</v>
      </c>
      <c r="AD273" s="28">
        <f>VLOOKUP($A273,'raw-schema'!$A:$R,18,0)</f>
        <v>0</v>
      </c>
      <c r="AE273" s="30" t="s">
        <v>69</v>
      </c>
    </row>
    <row r="274" spans="1:31" x14ac:dyDescent="0.3">
      <c r="A274" s="28" t="str">
        <f t="array" ref="A274">INDEX('raw-sheet'!$A$2:$ZZ$1000, ROW(A273), MATCH(A$1, 'raw-sheet'!$A$1:$ZZ$1, 0))</f>
        <v>https://innisfree-taiwan.myshopify.com/products/innisfree-black-tea-youth-enhancing-skin</v>
      </c>
      <c r="B274" s="30" t="s">
        <v>11</v>
      </c>
      <c r="C274" s="28" t="str">
        <f t="array" ref="C274">INDEX('raw-sheet'!$A$2:$ZZ$1000, ROW(C273), MATCH(C$1, 'raw-sheet'!$A$1:$ZZ$1, 0))</f>
        <v>Product Detail</v>
      </c>
      <c r="D274" s="28">
        <f t="array" ref="D274">INDEX('raw-sheet'!$A$2:$ZZ$1000, ROW(D273), MATCH(D$1, 'raw-sheet'!$A$1:$ZZ$1, 0))</f>
        <v>200</v>
      </c>
      <c r="E274" s="30" t="str">
        <f t="shared" si="8"/>
        <v>Pass</v>
      </c>
      <c r="F274" s="28" t="str">
        <f t="array" ref="F274">INDEX('raw-sheet'!$A$2:$ZZ$1000, ROW(F273), MATCH(F$1, 'raw-sheet'!$A$1:$ZZ$1, 0))</f>
        <v>紅茶極效修護水 170ml_x000D_ | INNISFREE Taiwan</v>
      </c>
      <c r="G274" s="30" t="s">
        <v>11</v>
      </c>
      <c r="H274" s="28" t="str">
        <f t="array" ref="H274">INDEX('raw-sheet'!$A$2:$ZZ$1000, ROW(H273), MATCH(H$1, 'raw-sheet'!$A$1:$ZZ$1, 0))</f>
        <v>採用RESET肌膚重置修護科技™研發的化妝水，改善肌膚疲憊感，讓肌膚恢復緊緻，擁有彈嫩透亮的好膚質。 適合經常熬夜或工作壓力大，肌膚缺乏活力和彈性的顧客。</v>
      </c>
      <c r="I274" s="30" t="s">
        <v>11</v>
      </c>
      <c r="J274" s="28" t="str">
        <f t="array" ref="J274">INDEX('raw-sheet'!$A$2:$ZZ$1000, ROW(J273), MATCH(J$1, 'raw-sheet'!$A$1:$ZZ$1, 0))</f>
        <v>紅茶極效修護水 170ml</v>
      </c>
      <c r="K274" s="28" t="str">
        <f t="array" ref="K274">INDEX('raw-sheet'!$A$2:$ZZ$1000, ROW(K273), MATCH(K$1, 'raw-sheet'!$A$1:$ZZ$1, 0))</f>
        <v>1</v>
      </c>
      <c r="L274" s="30" t="s">
        <v>11</v>
      </c>
      <c r="M274" s="28" t="str">
        <f t="array" ref="M274">INDEX('raw-sheet'!$A$2:$ZZ$1000, ROW(M273), MATCH(M$1, 'raw-sheet'!$A$1:$ZZ$1, 0))</f>
        <v>https://innisfree-taiwan.myshopify.com/products/innisfree-black-tea-youth-enhancing-skin</v>
      </c>
      <c r="N274" s="30" t="str">
        <f t="shared" si="9"/>
        <v>Pass</v>
      </c>
      <c r="O274" s="28" t="str">
        <f t="array" ref="O274">INDEX('raw-sheet'!$A$2:$ZZ$1000, ROW(O273), MATCH(O$1, 'raw-sheet'!$A$1:$ZZ$1, 0))</f>
        <v>紅茶極效修護水 170ml | INNISFREE Taiwan</v>
      </c>
      <c r="P274" s="28" t="str">
        <f t="array" ref="P274">INDEX('raw-sheet'!$A$2:$ZZ$1000, ROW(P273), MATCH(P$1, 'raw-sheet'!$A$1:$ZZ$1, 0))</f>
        <v>採用RESET肌膚重置修護科技™研發的化妝水，改善肌膚疲憊感，讓肌膚恢復緊緻，擁有彈嫩透亮的好膚質。 適合經常熬夜或工作壓力大，肌膚缺乏活力和彈性的顧客。</v>
      </c>
      <c r="Q274" s="28" t="str">
        <f t="array" ref="Q274">INDEX('raw-sheet'!$A$2:$ZZ$1000, ROW(Q273), MATCH(Q$1, 'raw-sheet'!$A$1:$ZZ$1, 0))</f>
        <v>product</v>
      </c>
      <c r="R274" s="28" t="str">
        <f t="array" ref="R274">INDEX('raw-sheet'!$A$2:$ZZ$1000, ROW(R273), MATCH(R$1, 'raw-sheet'!$A$1:$ZZ$1, 0))</f>
        <v>INNISFREE Taiwan</v>
      </c>
      <c r="S274" s="28" t="str">
        <f t="array" ref="S274">INDEX('raw-sheet'!$A$2:$ZZ$1000, ROW(S273), MATCH(S$1, 'raw-sheet'!$A$1:$ZZ$1, 0))</f>
        <v>http://innisfree-taiwan.myshopify.com/cdn/shop/files/pdp_mig_69b3ea64_20240201_700_ID0101_1_jpg.jpg?v=1768543108</v>
      </c>
      <c r="T274" s="28" t="str">
        <f t="array" ref="T274">INDEX('raw-sheet'!$A$2:$ZZ$1000, ROW(T273), MATCH(T$1, 'raw-sheet'!$A$1:$ZZ$1, 0))</f>
        <v>https://innisfree-taiwan.myshopify.com/cdn/shop/files/pdp_mig_69b3ea64_20240201_700_ID0101_1_jpg.jpg?v=1768543108</v>
      </c>
      <c r="U274" s="28" t="str">
        <f t="array" ref="U274">INDEX('raw-sheet'!$A$2:$ZZ$1000, ROW(U273), MATCH(U$1, 'raw-sheet'!$A$1:$ZZ$1, 0))</f>
        <v>https://innisfree-taiwan.myshopify.com/products/innisfree-black-tea-youth-enhancing-skin</v>
      </c>
      <c r="V274" s="28" t="str">
        <f t="array" ref="V274">INDEX('raw-sheet'!$A$2:$ZZ$1000, ROW(V273), MATCH(V$1, 'raw-sheet'!$A$1:$ZZ$1, 0))</f>
        <v>紅茶極效修護水 170ml | INNISFREE Taiwan</v>
      </c>
      <c r="W274" s="28" t="str">
        <f t="array" ref="W274">INDEX('raw-sheet'!$A$2:$ZZ$1000, ROW(W273), MATCH(W$1, 'raw-sheet'!$A$1:$ZZ$1, 0))</f>
        <v>採用RESET肌膚重置修護科技™研發的化妝水，改善肌膚疲憊感，讓肌膚恢復緊緻，擁有彈嫩透亮的好膚質。 適合經常熬夜或工作壓力大，肌膚缺乏活力和彈性的顧客。</v>
      </c>
      <c r="X274" s="28" t="str">
        <f t="array" ref="X274">INDEX('raw-sheet'!$A$2:$ZZ$1000, ROW(X273), MATCH(X$1, 'raw-sheet'!$A$1:$ZZ$1, 0))</f>
        <v>summary_large_image</v>
      </c>
      <c r="Y274" s="30" t="s">
        <v>11</v>
      </c>
      <c r="Z274" s="28" t="str">
        <f>VLOOKUP($A274,'raw-schema'!$A:$R,14,0)</f>
        <v>Brand</v>
      </c>
      <c r="AA274" s="28" t="str">
        <f>VLOOKUP($A274,'raw-schema'!$A:$R,15,0)</f>
        <v>Offer</v>
      </c>
      <c r="AB274" s="28" t="str">
        <f>VLOOKUP($A274,'raw-schema'!$A:$R,16,0)</f>
        <v>Organization</v>
      </c>
      <c r="AC274" s="28" t="str">
        <f>VLOOKUP($A274,'raw-schema'!$A:$R,17,0)</f>
        <v>Product</v>
      </c>
      <c r="AD274" s="28">
        <f>VLOOKUP($A274,'raw-schema'!$A:$R,18,0)</f>
        <v>0</v>
      </c>
      <c r="AE274" s="30" t="s">
        <v>69</v>
      </c>
    </row>
    <row r="275" spans="1:31" x14ac:dyDescent="0.3">
      <c r="A275" s="28" t="str">
        <f t="array" ref="A275">INDEX('raw-sheet'!$A$2:$ZZ$1000, ROW(A274), MATCH(A$1, 'raw-sheet'!$A$1:$ZZ$1, 0))</f>
        <v>https://innisfree-taiwan.myshopify.com/products/innisfree-canola-honey-lip-balm</v>
      </c>
      <c r="B275" s="30" t="s">
        <v>11</v>
      </c>
      <c r="C275" s="28" t="str">
        <f t="array" ref="C275">INDEX('raw-sheet'!$A$2:$ZZ$1000, ROW(C274), MATCH(C$1, 'raw-sheet'!$A$1:$ZZ$1, 0))</f>
        <v>Product Detail</v>
      </c>
      <c r="D275" s="28">
        <f t="array" ref="D275">INDEX('raw-sheet'!$A$2:$ZZ$1000, ROW(D274), MATCH(D$1, 'raw-sheet'!$A$1:$ZZ$1, 0))</f>
        <v>200</v>
      </c>
      <c r="E275" s="30" t="str">
        <f t="shared" si="8"/>
        <v>Pass</v>
      </c>
      <c r="F275" s="28" t="str">
        <f t="array" ref="F275">INDEX('raw-sheet'!$A$2:$ZZ$1000, ROW(F274), MATCH(F$1, 'raw-sheet'!$A$1:$ZZ$1, 0))</f>
        <v>芥花糖蜜水感護唇膏 3.5g_x000D_ | INNISFREE Taiwan</v>
      </c>
      <c r="G275" s="30" t="s">
        <v>11</v>
      </c>
      <c r="H275" s="28" t="str">
        <f t="array" ref="H275">INDEX('raw-sheet'!$A$2:$ZZ$1000, ROW(H274), MATCH(H$1, 'raw-sheet'!$A$1:$ZZ$1, 0))</f>
        <v>富含芥花糖蜜成分，呵護乾燥的唇部使其變得更健康、光滑，打造滋潤唇感。</v>
      </c>
      <c r="I275" s="30" t="s">
        <v>11</v>
      </c>
      <c r="J275" s="28" t="str">
        <f t="array" ref="J275">INDEX('raw-sheet'!$A$2:$ZZ$1000, ROW(J274), MATCH(J$1, 'raw-sheet'!$A$1:$ZZ$1, 0))</f>
        <v>芥花糖蜜水感護唇膏 3.5g</v>
      </c>
      <c r="K275" s="28" t="str">
        <f t="array" ref="K275">INDEX('raw-sheet'!$A$2:$ZZ$1000, ROW(K274), MATCH(K$1, 'raw-sheet'!$A$1:$ZZ$1, 0))</f>
        <v>1</v>
      </c>
      <c r="L275" s="30" t="s">
        <v>11</v>
      </c>
      <c r="M275" s="28" t="str">
        <f t="array" ref="M275">INDEX('raw-sheet'!$A$2:$ZZ$1000, ROW(M274), MATCH(M$1, 'raw-sheet'!$A$1:$ZZ$1, 0))</f>
        <v>https://innisfree-taiwan.myshopify.com/products/innisfree-canola-honey-lip-balm</v>
      </c>
      <c r="N275" s="30" t="str">
        <f t="shared" si="9"/>
        <v>Pass</v>
      </c>
      <c r="O275" s="28" t="str">
        <f t="array" ref="O275">INDEX('raw-sheet'!$A$2:$ZZ$1000, ROW(O274), MATCH(O$1, 'raw-sheet'!$A$1:$ZZ$1, 0))</f>
        <v>芥花糖蜜水感護唇膏 3.5g | INNISFREE Taiwan</v>
      </c>
      <c r="P275" s="28" t="str">
        <f t="array" ref="P275">INDEX('raw-sheet'!$A$2:$ZZ$1000, ROW(P274), MATCH(P$1, 'raw-sheet'!$A$1:$ZZ$1, 0))</f>
        <v>富含芥花糖蜜成分，呵護乾燥的唇部使其變得更健康、光滑，打造滋潤唇感。</v>
      </c>
      <c r="Q275" s="28" t="str">
        <f t="array" ref="Q275">INDEX('raw-sheet'!$A$2:$ZZ$1000, ROW(Q274), MATCH(Q$1, 'raw-sheet'!$A$1:$ZZ$1, 0))</f>
        <v>product</v>
      </c>
      <c r="R275" s="28" t="str">
        <f t="array" ref="R275">INDEX('raw-sheet'!$A$2:$ZZ$1000, ROW(R274), MATCH(R$1, 'raw-sheet'!$A$1:$ZZ$1, 0))</f>
        <v>INNISFREE Taiwan</v>
      </c>
      <c r="S275" s="28" t="str">
        <f t="array" ref="S275">INDEX('raw-sheet'!$A$2:$ZZ$1000, ROW(S274), MATCH(S$1, 'raw-sheet'!$A$1:$ZZ$1, 0))</f>
        <v>http://innisfree-taiwan.myshopify.com/cdn/shop/files/pdp_mig_46d9a38f_20231006_1260_ID0101_1_jpg.jpg?v=1768543082</v>
      </c>
      <c r="T275" s="28" t="str">
        <f t="array" ref="T275">INDEX('raw-sheet'!$A$2:$ZZ$1000, ROW(T274), MATCH(T$1, 'raw-sheet'!$A$1:$ZZ$1, 0))</f>
        <v>https://innisfree-taiwan.myshopify.com/cdn/shop/files/pdp_mig_46d9a38f_20231006_1260_ID0101_1_jpg.jpg?v=1768543082</v>
      </c>
      <c r="U275" s="28" t="str">
        <f t="array" ref="U275">INDEX('raw-sheet'!$A$2:$ZZ$1000, ROW(U274), MATCH(U$1, 'raw-sheet'!$A$1:$ZZ$1, 0))</f>
        <v>https://innisfree-taiwan.myshopify.com/products/innisfree-canola-honey-lip-balm</v>
      </c>
      <c r="V275" s="28" t="str">
        <f t="array" ref="V275">INDEX('raw-sheet'!$A$2:$ZZ$1000, ROW(V274), MATCH(V$1, 'raw-sheet'!$A$1:$ZZ$1, 0))</f>
        <v>芥花糖蜜水感護唇膏 3.5g | INNISFREE Taiwan</v>
      </c>
      <c r="W275" s="28" t="str">
        <f t="array" ref="W275">INDEX('raw-sheet'!$A$2:$ZZ$1000, ROW(W274), MATCH(W$1, 'raw-sheet'!$A$1:$ZZ$1, 0))</f>
        <v>富含芥花糖蜜成分，呵護乾燥的唇部使其變得更健康、光滑，打造滋潤唇感。</v>
      </c>
      <c r="X275" s="28" t="str">
        <f t="array" ref="X275">INDEX('raw-sheet'!$A$2:$ZZ$1000, ROW(X274), MATCH(X$1, 'raw-sheet'!$A$1:$ZZ$1, 0))</f>
        <v>summary_large_image</v>
      </c>
      <c r="Y275" s="30" t="s">
        <v>11</v>
      </c>
      <c r="Z275" s="28" t="str">
        <f>VLOOKUP($A275,'raw-schema'!$A:$R,14,0)</f>
        <v>Brand</v>
      </c>
      <c r="AA275" s="28" t="str">
        <f>VLOOKUP($A275,'raw-schema'!$A:$R,15,0)</f>
        <v>Offer</v>
      </c>
      <c r="AB275" s="28" t="str">
        <f>VLOOKUP($A275,'raw-schema'!$A:$R,16,0)</f>
        <v>Organization</v>
      </c>
      <c r="AC275" s="28" t="str">
        <f>VLOOKUP($A275,'raw-schema'!$A:$R,17,0)</f>
        <v>Product</v>
      </c>
      <c r="AD275" s="28">
        <f>VLOOKUP($A275,'raw-schema'!$A:$R,18,0)</f>
        <v>0</v>
      </c>
      <c r="AE275" s="30" t="s">
        <v>69</v>
      </c>
    </row>
    <row r="276" spans="1:31" x14ac:dyDescent="0.3">
      <c r="A276" s="28" t="str">
        <f t="array" ref="A276">INDEX('raw-sheet'!$A$2:$ZZ$1000, ROW(A275), MATCH(A$1, 'raw-sheet'!$A$1:$ZZ$1, 0))</f>
        <v>https://innisfree-taiwan.myshopify.com/products/innisfree-canola-honey-lip-balm-intensive-moisture</v>
      </c>
      <c r="B276" s="30" t="s">
        <v>11</v>
      </c>
      <c r="C276" s="28" t="str">
        <f t="array" ref="C276">INDEX('raw-sheet'!$A$2:$ZZ$1000, ROW(C275), MATCH(C$1, 'raw-sheet'!$A$1:$ZZ$1, 0))</f>
        <v>Product Detail</v>
      </c>
      <c r="D276" s="28">
        <f t="array" ref="D276">INDEX('raw-sheet'!$A$2:$ZZ$1000, ROW(D275), MATCH(D$1, 'raw-sheet'!$A$1:$ZZ$1, 0))</f>
        <v>200</v>
      </c>
      <c r="E276" s="30" t="str">
        <f t="shared" si="8"/>
        <v>Pass</v>
      </c>
      <c r="F276" s="28" t="str">
        <f t="array" ref="F276">INDEX('raw-sheet'!$A$2:$ZZ$1000, ROW(F275), MATCH(F$1, 'raw-sheet'!$A$1:$ZZ$1, 0))</f>
        <v>芥花糖蜜超保溼護唇膏 3.5g_x000D_ | INNISFREE Taiwan</v>
      </c>
      <c r="G276" s="30" t="s">
        <v>11</v>
      </c>
      <c r="H276" s="28" t="str">
        <f t="array" ref="H276">INDEX('raw-sheet'!$A$2:$ZZ$1000, ROW(H275), MATCH(H$1, 'raw-sheet'!$A$1:$ZZ$1, 0))</f>
        <v>含有清淨濟州油菜花蜜和油菜子油，雙重油脂配方，爲肌膚形成有效的保護網，溫和輕盈又給予豐富營養的護唇膏</v>
      </c>
      <c r="I276" s="30" t="s">
        <v>11</v>
      </c>
      <c r="J276" s="28" t="str">
        <f t="array" ref="J276">INDEX('raw-sheet'!$A$2:$ZZ$1000, ROW(J275), MATCH(J$1, 'raw-sheet'!$A$1:$ZZ$1, 0))</f>
        <v>芥花糖蜜超保溼護唇膏 3.5g</v>
      </c>
      <c r="K276" s="28" t="str">
        <f t="array" ref="K276">INDEX('raw-sheet'!$A$2:$ZZ$1000, ROW(K275), MATCH(K$1, 'raw-sheet'!$A$1:$ZZ$1, 0))</f>
        <v>1</v>
      </c>
      <c r="L276" s="30" t="s">
        <v>11</v>
      </c>
      <c r="M276" s="28" t="str">
        <f t="array" ref="M276">INDEX('raw-sheet'!$A$2:$ZZ$1000, ROW(M275), MATCH(M$1, 'raw-sheet'!$A$1:$ZZ$1, 0))</f>
        <v>https://innisfree-taiwan.myshopify.com/products/innisfree-canola-honey-lip-balm-intensive-moisture</v>
      </c>
      <c r="N276" s="30" t="str">
        <f t="shared" si="9"/>
        <v>Pass</v>
      </c>
      <c r="O276" s="28" t="str">
        <f t="array" ref="O276">INDEX('raw-sheet'!$A$2:$ZZ$1000, ROW(O275), MATCH(O$1, 'raw-sheet'!$A$1:$ZZ$1, 0))</f>
        <v>芥花糖蜜超保溼護唇膏 3.5g | INNISFREE Taiwan</v>
      </c>
      <c r="P276" s="28" t="str">
        <f t="array" ref="P276">INDEX('raw-sheet'!$A$2:$ZZ$1000, ROW(P275), MATCH(P$1, 'raw-sheet'!$A$1:$ZZ$1, 0))</f>
        <v>含有清淨濟州油菜花蜜和油菜子油，雙重油脂配方，爲肌膚形成有效的保護網，溫和輕盈又給予豐富營養的護唇膏</v>
      </c>
      <c r="Q276" s="28" t="str">
        <f t="array" ref="Q276">INDEX('raw-sheet'!$A$2:$ZZ$1000, ROW(Q275), MATCH(Q$1, 'raw-sheet'!$A$1:$ZZ$1, 0))</f>
        <v>product</v>
      </c>
      <c r="R276" s="28" t="str">
        <f t="array" ref="R276">INDEX('raw-sheet'!$A$2:$ZZ$1000, ROW(R275), MATCH(R$1, 'raw-sheet'!$A$1:$ZZ$1, 0))</f>
        <v>INNISFREE Taiwan</v>
      </c>
      <c r="S276" s="28" t="str">
        <f t="array" ref="S276">INDEX('raw-sheet'!$A$2:$ZZ$1000, ROW(S275), MATCH(S$1, 'raw-sheet'!$A$1:$ZZ$1, 0))</f>
        <v>http://innisfree-taiwan.myshopify.com/cdn/shop/files/pdp_mig_ae2d279f_20231006_1261_ID0101_1_jpg.jpg?v=1768543081</v>
      </c>
      <c r="T276" s="28" t="str">
        <f t="array" ref="T276">INDEX('raw-sheet'!$A$2:$ZZ$1000, ROW(T275), MATCH(T$1, 'raw-sheet'!$A$1:$ZZ$1, 0))</f>
        <v>https://innisfree-taiwan.myshopify.com/cdn/shop/files/pdp_mig_ae2d279f_20231006_1261_ID0101_1_jpg.jpg?v=1768543081</v>
      </c>
      <c r="U276" s="28" t="str">
        <f t="array" ref="U276">INDEX('raw-sheet'!$A$2:$ZZ$1000, ROW(U275), MATCH(U$1, 'raw-sheet'!$A$1:$ZZ$1, 0))</f>
        <v>https://innisfree-taiwan.myshopify.com/products/innisfree-canola-honey-lip-balm-intensive-moisture</v>
      </c>
      <c r="V276" s="28" t="str">
        <f t="array" ref="V276">INDEX('raw-sheet'!$A$2:$ZZ$1000, ROW(V275), MATCH(V$1, 'raw-sheet'!$A$1:$ZZ$1, 0))</f>
        <v>芥花糖蜜超保溼護唇膏 3.5g | INNISFREE Taiwan</v>
      </c>
      <c r="W276" s="28" t="str">
        <f t="array" ref="W276">INDEX('raw-sheet'!$A$2:$ZZ$1000, ROW(W275), MATCH(W$1, 'raw-sheet'!$A$1:$ZZ$1, 0))</f>
        <v>含有清淨濟州油菜花蜜和油菜子油，雙重油脂配方，爲肌膚形成有效的保護網，溫和輕盈又給予豐富營養的護唇膏</v>
      </c>
      <c r="X276" s="28" t="str">
        <f t="array" ref="X276">INDEX('raw-sheet'!$A$2:$ZZ$1000, ROW(X275), MATCH(X$1, 'raw-sheet'!$A$1:$ZZ$1, 0))</f>
        <v>summary_large_image</v>
      </c>
      <c r="Y276" s="30" t="s">
        <v>11</v>
      </c>
      <c r="Z276" s="28" t="str">
        <f>VLOOKUP($A276,'raw-schema'!$A:$R,14,0)</f>
        <v>Brand</v>
      </c>
      <c r="AA276" s="28" t="str">
        <f>VLOOKUP($A276,'raw-schema'!$A:$R,15,0)</f>
        <v>Offer</v>
      </c>
      <c r="AB276" s="28" t="str">
        <f>VLOOKUP($A276,'raw-schema'!$A:$R,16,0)</f>
        <v>Organization</v>
      </c>
      <c r="AC276" s="28" t="str">
        <f>VLOOKUP($A276,'raw-schema'!$A:$R,17,0)</f>
        <v>Product</v>
      </c>
      <c r="AD276" s="28">
        <f>VLOOKUP($A276,'raw-schema'!$A:$R,18,0)</f>
        <v>0</v>
      </c>
      <c r="AE276" s="30" t="s">
        <v>69</v>
      </c>
    </row>
    <row r="277" spans="1:31" x14ac:dyDescent="0.3">
      <c r="A277" s="28" t="str">
        <f t="array" ref="A277">INDEX('raw-sheet'!$A$2:$ZZ$1000, ROW(A276), MATCH(A$1, 'raw-sheet'!$A$1:$ZZ$1, 0))</f>
        <v>https://innisfree-taiwan.myshopify.com/products/innisfree-collagen-green-tea-ceramide-bounce-cream</v>
      </c>
      <c r="B277" s="30" t="s">
        <v>11</v>
      </c>
      <c r="C277" s="28" t="str">
        <f t="array" ref="C277">INDEX('raw-sheet'!$A$2:$ZZ$1000, ROW(C276), MATCH(C$1, 'raw-sheet'!$A$1:$ZZ$1, 0))</f>
        <v>Product Detail</v>
      </c>
      <c r="D277" s="28">
        <f t="array" ref="D277">INDEX('raw-sheet'!$A$2:$ZZ$1000, ROW(D276), MATCH(D$1, 'raw-sheet'!$A$1:$ZZ$1, 0))</f>
        <v>200</v>
      </c>
      <c r="E277" s="30" t="str">
        <f t="shared" si="8"/>
        <v>Pass</v>
      </c>
      <c r="F277" s="28" t="str">
        <f t="array" ref="F277">INDEX('raw-sheet'!$A$2:$ZZ$1000, ROW(F276), MATCH(F$1, 'raw-sheet'!$A$1:$ZZ$1, 0))</f>
        <v>膠原蛋白霜｜膠原胜肽緊緻澎澎霜 - innisfree_x000D_ | INNISFREE Taiwan</v>
      </c>
      <c r="G277" s="30" t="s">
        <v>11</v>
      </c>
      <c r="H277" s="28" t="str">
        <f t="array" ref="H277">INDEX('raw-sheet'!$A$2:$ZZ$1000, ROW(H276), MATCH(H$1, 'raw-sheet'!$A$1:$ZZ$1, 0))</f>
        <v>膠原蛋白霜推薦，質地清爽不黏膩的緊緻霜，600億顆膠原蛋白直達肌膚第15層，可有效保濕肌膚，同時增強肌膚彈性、改善毛孔問題的緊緻面霜。</v>
      </c>
      <c r="I277" s="30" t="s">
        <v>11</v>
      </c>
      <c r="J277" s="28" t="str">
        <f t="array" ref="J277">INDEX('raw-sheet'!$A$2:$ZZ$1000, ROW(J276), MATCH(J$1, 'raw-sheet'!$A$1:$ZZ$1, 0))</f>
        <v>膠原胜肽緊緻澎澎霜 50ml</v>
      </c>
      <c r="K277" s="28" t="str">
        <f t="array" ref="K277">INDEX('raw-sheet'!$A$2:$ZZ$1000, ROW(K276), MATCH(K$1, 'raw-sheet'!$A$1:$ZZ$1, 0))</f>
        <v>1</v>
      </c>
      <c r="L277" s="30" t="s">
        <v>11</v>
      </c>
      <c r="M277" s="28" t="str">
        <f t="array" ref="M277">INDEX('raw-sheet'!$A$2:$ZZ$1000, ROW(M276), MATCH(M$1, 'raw-sheet'!$A$1:$ZZ$1, 0))</f>
        <v>https://innisfree-taiwan.myshopify.com/products/innisfree-collagen-green-tea-ceramide-bounce-cream</v>
      </c>
      <c r="N277" s="30" t="str">
        <f t="shared" si="9"/>
        <v>Pass</v>
      </c>
      <c r="O277" s="28" t="str">
        <f t="array" ref="O277">INDEX('raw-sheet'!$A$2:$ZZ$1000, ROW(O276), MATCH(O$1, 'raw-sheet'!$A$1:$ZZ$1, 0))</f>
        <v>膠原蛋白霜｜膠原胜肽緊緻澎澎霜 - innisfree | INNISFREE Taiwan</v>
      </c>
      <c r="P277" s="28" t="str">
        <f t="array" ref="P277">INDEX('raw-sheet'!$A$2:$ZZ$1000, ROW(P276), MATCH(P$1, 'raw-sheet'!$A$1:$ZZ$1, 0))</f>
        <v>膠原蛋白霜推薦，質地清爽不黏膩的緊緻霜，600億顆膠原蛋白直達肌膚第15層，可有效保濕肌膚，同時增強肌膚彈性、改善毛孔問題的緊緻面霜。</v>
      </c>
      <c r="Q277" s="28" t="str">
        <f t="array" ref="Q277">INDEX('raw-sheet'!$A$2:$ZZ$1000, ROW(Q276), MATCH(Q$1, 'raw-sheet'!$A$1:$ZZ$1, 0))</f>
        <v>product</v>
      </c>
      <c r="R277" s="28" t="str">
        <f t="array" ref="R277">INDEX('raw-sheet'!$A$2:$ZZ$1000, ROW(R276), MATCH(R$1, 'raw-sheet'!$A$1:$ZZ$1, 0))</f>
        <v>INNISFREE Taiwan</v>
      </c>
      <c r="S277" s="28" t="str">
        <f t="array" ref="S277">INDEX('raw-sheet'!$A$2:$ZZ$1000, ROW(S276), MATCH(S$1, 'raw-sheet'!$A$1:$ZZ$1, 0))</f>
        <v>http://innisfree-taiwan.myshopify.com/cdn/shop/files/pdp_mig_b52e0c95_20260109_1283_ID0101_1_jpg.jpg?v=1768543077</v>
      </c>
      <c r="T277" s="28" t="str">
        <f t="array" ref="T277">INDEX('raw-sheet'!$A$2:$ZZ$1000, ROW(T276), MATCH(T$1, 'raw-sheet'!$A$1:$ZZ$1, 0))</f>
        <v>https://innisfree-taiwan.myshopify.com/cdn/shop/files/pdp_mig_b52e0c95_20260109_1283_ID0101_1_jpg.jpg?v=1768543077</v>
      </c>
      <c r="U277" s="28" t="str">
        <f t="array" ref="U277">INDEX('raw-sheet'!$A$2:$ZZ$1000, ROW(U276), MATCH(U$1, 'raw-sheet'!$A$1:$ZZ$1, 0))</f>
        <v>https://innisfree-taiwan.myshopify.com/products/innisfree-collagen-green-tea-ceramide-bounce-cream</v>
      </c>
      <c r="V277" s="28" t="str">
        <f t="array" ref="V277">INDEX('raw-sheet'!$A$2:$ZZ$1000, ROW(V276), MATCH(V$1, 'raw-sheet'!$A$1:$ZZ$1, 0))</f>
        <v>膠原蛋白霜｜膠原胜肽緊緻澎澎霜 - innisfree | INNISFREE Taiwan</v>
      </c>
      <c r="W277" s="28" t="str">
        <f t="array" ref="W277">INDEX('raw-sheet'!$A$2:$ZZ$1000, ROW(W276), MATCH(W$1, 'raw-sheet'!$A$1:$ZZ$1, 0))</f>
        <v>膠原蛋白霜推薦，質地清爽不黏膩的緊緻霜，600億顆膠原蛋白直達肌膚第15層，可有效保濕肌膚，同時增強肌膚彈性、改善毛孔問題的緊緻面霜。</v>
      </c>
      <c r="X277" s="28" t="str">
        <f t="array" ref="X277">INDEX('raw-sheet'!$A$2:$ZZ$1000, ROW(X276), MATCH(X$1, 'raw-sheet'!$A$1:$ZZ$1, 0))</f>
        <v>summary_large_image</v>
      </c>
      <c r="Y277" s="30" t="s">
        <v>11</v>
      </c>
      <c r="Z277" s="28" t="str">
        <f>VLOOKUP($A277,'raw-schema'!$A:$R,14,0)</f>
        <v>Brand</v>
      </c>
      <c r="AA277" s="28" t="str">
        <f>VLOOKUP($A277,'raw-schema'!$A:$R,15,0)</f>
        <v>Offer</v>
      </c>
      <c r="AB277" s="28" t="str">
        <f>VLOOKUP($A277,'raw-schema'!$A:$R,16,0)</f>
        <v>Organization</v>
      </c>
      <c r="AC277" s="28" t="str">
        <f>VLOOKUP($A277,'raw-schema'!$A:$R,17,0)</f>
        <v>Product</v>
      </c>
      <c r="AD277" s="28">
        <f>VLOOKUP($A277,'raw-schema'!$A:$R,18,0)</f>
        <v>0</v>
      </c>
      <c r="AE277" s="30" t="s">
        <v>69</v>
      </c>
    </row>
    <row r="278" spans="1:31" x14ac:dyDescent="0.3">
      <c r="A278" s="28" t="str">
        <f t="array" ref="A278">INDEX('raw-sheet'!$A$2:$ZZ$1000, ROW(A277), MATCH(A$1, 'raw-sheet'!$A$1:$ZZ$1, 0))</f>
        <v>https://innisfree-taiwan.myshopify.com/products/innisfree-cotton-pads23</v>
      </c>
      <c r="B278" s="30" t="s">
        <v>11</v>
      </c>
      <c r="C278" s="28" t="str">
        <f t="array" ref="C278">INDEX('raw-sheet'!$A$2:$ZZ$1000, ROW(C277), MATCH(C$1, 'raw-sheet'!$A$1:$ZZ$1, 0))</f>
        <v>Product Detail</v>
      </c>
      <c r="D278" s="28">
        <f t="array" ref="D278">INDEX('raw-sheet'!$A$2:$ZZ$1000, ROW(D277), MATCH(D$1, 'raw-sheet'!$A$1:$ZZ$1, 0))</f>
        <v>200</v>
      </c>
      <c r="E278" s="30" t="str">
        <f t="shared" si="8"/>
        <v>Pass</v>
      </c>
      <c r="F278" s="28" t="str">
        <f t="array" ref="F278">INDEX('raw-sheet'!$A$2:$ZZ$1000, ROW(F277), MATCH(F$1, 'raw-sheet'!$A$1:$ZZ$1, 0))</f>
        <v>妝自然美妝工具 - 棉質化妝棉_x000D_ | INNISFREE Taiwan</v>
      </c>
      <c r="G278" s="30" t="s">
        <v>11</v>
      </c>
      <c r="H278" s="28" t="str">
        <f t="array" ref="H278">INDEX('raw-sheet'!$A$2:$ZZ$1000, ROW(H277), MATCH(H$1, 'raw-sheet'!$A$1:$ZZ$1, 0))</f>
        <v>柔軟的棉質多用途化妝棉</v>
      </c>
      <c r="I278" s="30" t="s">
        <v>11</v>
      </c>
      <c r="J278" s="28" t="str">
        <f t="array" ref="J278">INDEX('raw-sheet'!$A$2:$ZZ$1000, ROW(J277), MATCH(J$1, 'raw-sheet'!$A$1:$ZZ$1, 0))</f>
        <v>妝自然美妝工具 - 棉質化妝棉</v>
      </c>
      <c r="K278" s="28" t="str">
        <f t="array" ref="K278">INDEX('raw-sheet'!$A$2:$ZZ$1000, ROW(K277), MATCH(K$1, 'raw-sheet'!$A$1:$ZZ$1, 0))</f>
        <v>1</v>
      </c>
      <c r="L278" s="30" t="s">
        <v>11</v>
      </c>
      <c r="M278" s="28" t="str">
        <f t="array" ref="M278">INDEX('raw-sheet'!$A$2:$ZZ$1000, ROW(M277), MATCH(M$1, 'raw-sheet'!$A$1:$ZZ$1, 0))</f>
        <v>https://innisfree-taiwan.myshopify.com/products/innisfree-cotton-pads23</v>
      </c>
      <c r="N278" s="30" t="str">
        <f t="shared" si="9"/>
        <v>Pass</v>
      </c>
      <c r="O278" s="28" t="str">
        <f t="array" ref="O278">INDEX('raw-sheet'!$A$2:$ZZ$1000, ROW(O277), MATCH(O$1, 'raw-sheet'!$A$1:$ZZ$1, 0))</f>
        <v>妝自然美妝工具 - 棉質化妝棉 | INNISFREE Taiwan</v>
      </c>
      <c r="P278" s="28" t="str">
        <f t="array" ref="P278">INDEX('raw-sheet'!$A$2:$ZZ$1000, ROW(P277), MATCH(P$1, 'raw-sheet'!$A$1:$ZZ$1, 0))</f>
        <v>柔軟的棉質多用途化妝棉</v>
      </c>
      <c r="Q278" s="28" t="str">
        <f t="array" ref="Q278">INDEX('raw-sheet'!$A$2:$ZZ$1000, ROW(Q277), MATCH(Q$1, 'raw-sheet'!$A$1:$ZZ$1, 0))</f>
        <v>product</v>
      </c>
      <c r="R278" s="28" t="str">
        <f t="array" ref="R278">INDEX('raw-sheet'!$A$2:$ZZ$1000, ROW(R277), MATCH(R$1, 'raw-sheet'!$A$1:$ZZ$1, 0))</f>
        <v>INNISFREE Taiwan</v>
      </c>
      <c r="S278" s="28" t="str">
        <f t="array" ref="S278">INDEX('raw-sheet'!$A$2:$ZZ$1000, ROW(S277), MATCH(S$1, 'raw-sheet'!$A$1:$ZZ$1, 0))</f>
        <v>http://innisfree-taiwan.myshopify.com/cdn/shop/files/pdp_mig_15aba0c9_20231129_300_ID0101_1_jpg.jpg?v=1768543104</v>
      </c>
      <c r="T278" s="28" t="str">
        <f t="array" ref="T278">INDEX('raw-sheet'!$A$2:$ZZ$1000, ROW(T277), MATCH(T$1, 'raw-sheet'!$A$1:$ZZ$1, 0))</f>
        <v>https://innisfree-taiwan.myshopify.com/cdn/shop/files/pdp_mig_15aba0c9_20231129_300_ID0101_1_jpg.jpg?v=1768543104</v>
      </c>
      <c r="U278" s="28" t="str">
        <f t="array" ref="U278">INDEX('raw-sheet'!$A$2:$ZZ$1000, ROW(U277), MATCH(U$1, 'raw-sheet'!$A$1:$ZZ$1, 0))</f>
        <v>https://innisfree-taiwan.myshopify.com/products/innisfree-cotton-pads23</v>
      </c>
      <c r="V278" s="28" t="str">
        <f t="array" ref="V278">INDEX('raw-sheet'!$A$2:$ZZ$1000, ROW(V277), MATCH(V$1, 'raw-sheet'!$A$1:$ZZ$1, 0))</f>
        <v>妝自然美妝工具 - 棉質化妝棉 | INNISFREE Taiwan</v>
      </c>
      <c r="W278" s="28" t="str">
        <f t="array" ref="W278">INDEX('raw-sheet'!$A$2:$ZZ$1000, ROW(W277), MATCH(W$1, 'raw-sheet'!$A$1:$ZZ$1, 0))</f>
        <v>柔軟的棉質多用途化妝棉</v>
      </c>
      <c r="X278" s="28" t="str">
        <f t="array" ref="X278">INDEX('raw-sheet'!$A$2:$ZZ$1000, ROW(X277), MATCH(X$1, 'raw-sheet'!$A$1:$ZZ$1, 0))</f>
        <v>summary_large_image</v>
      </c>
      <c r="Y278" s="30" t="s">
        <v>11</v>
      </c>
      <c r="Z278" s="28" t="str">
        <f>VLOOKUP($A278,'raw-schema'!$A:$R,14,0)</f>
        <v>Brand</v>
      </c>
      <c r="AA278" s="28" t="str">
        <f>VLOOKUP($A278,'raw-schema'!$A:$R,15,0)</f>
        <v>Offer</v>
      </c>
      <c r="AB278" s="28" t="str">
        <f>VLOOKUP($A278,'raw-schema'!$A:$R,16,0)</f>
        <v>Organization</v>
      </c>
      <c r="AC278" s="28" t="str">
        <f>VLOOKUP($A278,'raw-schema'!$A:$R,17,0)</f>
        <v>Product</v>
      </c>
      <c r="AD278" s="28">
        <f>VLOOKUP($A278,'raw-schema'!$A:$R,18,0)</f>
        <v>0</v>
      </c>
      <c r="AE278" s="30" t="s">
        <v>69</v>
      </c>
    </row>
    <row r="279" spans="1:31" x14ac:dyDescent="0.3">
      <c r="A279" s="28" t="str">
        <f t="array" ref="A279">INDEX('raw-sheet'!$A$2:$ZZ$1000, ROW(A278), MATCH(A$1, 'raw-sheet'!$A$1:$ZZ$1, 0))</f>
        <v>https://innisfree-taiwan.myshopify.com/products/innisfree-creamy-bubble-maker</v>
      </c>
      <c r="B279" s="30" t="s">
        <v>11</v>
      </c>
      <c r="C279" s="28" t="str">
        <f t="array" ref="C279">INDEX('raw-sheet'!$A$2:$ZZ$1000, ROW(C278), MATCH(C$1, 'raw-sheet'!$A$1:$ZZ$1, 0))</f>
        <v>Product Detail</v>
      </c>
      <c r="D279" s="28">
        <f t="array" ref="D279">INDEX('raw-sheet'!$A$2:$ZZ$1000, ROW(D278), MATCH(D$1, 'raw-sheet'!$A$1:$ZZ$1, 0))</f>
        <v>200</v>
      </c>
      <c r="E279" s="30" t="str">
        <f t="shared" si="8"/>
        <v>Pass</v>
      </c>
      <c r="F279" s="28" t="str">
        <f t="array" ref="F279">INDEX('raw-sheet'!$A$2:$ZZ$1000, ROW(F278), MATCH(F$1, 'raw-sheet'!$A$1:$ZZ$1, 0))</f>
        <v>妝自然美妝工具 - 綿密泡泡網_x000D_ | INNISFREE Taiwan</v>
      </c>
      <c r="G279" s="30" t="s">
        <v>11</v>
      </c>
      <c r="H279" s="28" t="str">
        <f t="array" ref="H279">INDEX('raw-sheet'!$A$2:$ZZ$1000, ROW(H278), MATCH(H$1, 'raw-sheet'!$A$1:$ZZ$1, 0))</f>
        <v>以蓬鬆的網子輕鬆地將洗面產品打出如鮮奶油般柔軟的泡沫</v>
      </c>
      <c r="I279" s="30" t="s">
        <v>11</v>
      </c>
      <c r="J279" s="28" t="str">
        <f t="array" ref="J279">INDEX('raw-sheet'!$A$2:$ZZ$1000, ROW(J278), MATCH(J$1, 'raw-sheet'!$A$1:$ZZ$1, 0))</f>
        <v>妝自然美妝工具 - 綿密泡泡網</v>
      </c>
      <c r="K279" s="28" t="str">
        <f t="array" ref="K279">INDEX('raw-sheet'!$A$2:$ZZ$1000, ROW(K278), MATCH(K$1, 'raw-sheet'!$A$1:$ZZ$1, 0))</f>
        <v>1</v>
      </c>
      <c r="L279" s="30" t="s">
        <v>11</v>
      </c>
      <c r="M279" s="28" t="str">
        <f t="array" ref="M279">INDEX('raw-sheet'!$A$2:$ZZ$1000, ROW(M278), MATCH(M$1, 'raw-sheet'!$A$1:$ZZ$1, 0))</f>
        <v>https://innisfree-taiwan.myshopify.com/products/innisfree-creamy-bubble-maker</v>
      </c>
      <c r="N279" s="30" t="str">
        <f t="shared" si="9"/>
        <v>Pass</v>
      </c>
      <c r="O279" s="28" t="str">
        <f t="array" ref="O279">INDEX('raw-sheet'!$A$2:$ZZ$1000, ROW(O278), MATCH(O$1, 'raw-sheet'!$A$1:$ZZ$1, 0))</f>
        <v>妝自然美妝工具 - 綿密泡泡網 | INNISFREE Taiwan</v>
      </c>
      <c r="P279" s="28" t="str">
        <f t="array" ref="P279">INDEX('raw-sheet'!$A$2:$ZZ$1000, ROW(P278), MATCH(P$1, 'raw-sheet'!$A$1:$ZZ$1, 0))</f>
        <v>以蓬鬆的網子輕鬆地將洗面產品打出如鮮奶油般柔軟的泡沫</v>
      </c>
      <c r="Q279" s="28" t="str">
        <f t="array" ref="Q279">INDEX('raw-sheet'!$A$2:$ZZ$1000, ROW(Q278), MATCH(Q$1, 'raw-sheet'!$A$1:$ZZ$1, 0))</f>
        <v>product</v>
      </c>
      <c r="R279" s="28" t="str">
        <f t="array" ref="R279">INDEX('raw-sheet'!$A$2:$ZZ$1000, ROW(R278), MATCH(R$1, 'raw-sheet'!$A$1:$ZZ$1, 0))</f>
        <v>INNISFREE Taiwan</v>
      </c>
      <c r="S279" s="28" t="str">
        <f t="array" ref="S279">INDEX('raw-sheet'!$A$2:$ZZ$1000, ROW(S278), MATCH(S$1, 'raw-sheet'!$A$1:$ZZ$1, 0))</f>
        <v>http://innisfree-taiwan.myshopify.com/cdn/shop/files/pdp_mig_6c0345cc_20231129_146_ID0101_1_jpg.jpg?v=1768543110</v>
      </c>
      <c r="T279" s="28" t="str">
        <f t="array" ref="T279">INDEX('raw-sheet'!$A$2:$ZZ$1000, ROW(T278), MATCH(T$1, 'raw-sheet'!$A$1:$ZZ$1, 0))</f>
        <v>https://innisfree-taiwan.myshopify.com/cdn/shop/files/pdp_mig_6c0345cc_20231129_146_ID0101_1_jpg.jpg?v=1768543110</v>
      </c>
      <c r="U279" s="28" t="str">
        <f t="array" ref="U279">INDEX('raw-sheet'!$A$2:$ZZ$1000, ROW(U278), MATCH(U$1, 'raw-sheet'!$A$1:$ZZ$1, 0))</f>
        <v>https://innisfree-taiwan.myshopify.com/products/innisfree-creamy-bubble-maker</v>
      </c>
      <c r="V279" s="28" t="str">
        <f t="array" ref="V279">INDEX('raw-sheet'!$A$2:$ZZ$1000, ROW(V278), MATCH(V$1, 'raw-sheet'!$A$1:$ZZ$1, 0))</f>
        <v>妝自然美妝工具 - 綿密泡泡網 | INNISFREE Taiwan</v>
      </c>
      <c r="W279" s="28" t="str">
        <f t="array" ref="W279">INDEX('raw-sheet'!$A$2:$ZZ$1000, ROW(W278), MATCH(W$1, 'raw-sheet'!$A$1:$ZZ$1, 0))</f>
        <v>以蓬鬆的網子輕鬆地將洗面產品打出如鮮奶油般柔軟的泡沫</v>
      </c>
      <c r="X279" s="28" t="str">
        <f t="array" ref="X279">INDEX('raw-sheet'!$A$2:$ZZ$1000, ROW(X278), MATCH(X$1, 'raw-sheet'!$A$1:$ZZ$1, 0))</f>
        <v>summary_large_image</v>
      </c>
      <c r="Y279" s="30" t="s">
        <v>11</v>
      </c>
      <c r="Z279" s="28" t="str">
        <f>VLOOKUP($A279,'raw-schema'!$A:$R,14,0)</f>
        <v>Brand</v>
      </c>
      <c r="AA279" s="28" t="str">
        <f>VLOOKUP($A279,'raw-schema'!$A:$R,15,0)</f>
        <v>Offer</v>
      </c>
      <c r="AB279" s="28" t="str">
        <f>VLOOKUP($A279,'raw-schema'!$A:$R,16,0)</f>
        <v>Organization</v>
      </c>
      <c r="AC279" s="28" t="str">
        <f>VLOOKUP($A279,'raw-schema'!$A:$R,17,0)</f>
        <v>Product</v>
      </c>
      <c r="AD279" s="28">
        <f>VLOOKUP($A279,'raw-schema'!$A:$R,18,0)</f>
        <v>0</v>
      </c>
      <c r="AE279" s="30" t="s">
        <v>69</v>
      </c>
    </row>
    <row r="280" spans="1:31" x14ac:dyDescent="0.3">
      <c r="A280" s="28" t="str">
        <f t="array" ref="A280">INDEX('raw-sheet'!$A$2:$ZZ$1000, ROW(A279), MATCH(A$1, 'raw-sheet'!$A$1:$ZZ$1, 0))</f>
        <v>https://innisfree-taiwan.myshopify.com/products/innisfree-dewy-tint-lip-balm</v>
      </c>
      <c r="B280" s="30" t="s">
        <v>11</v>
      </c>
      <c r="C280" s="28" t="str">
        <f t="array" ref="C280">INDEX('raw-sheet'!$A$2:$ZZ$1000, ROW(C279), MATCH(C$1, 'raw-sheet'!$A$1:$ZZ$1, 0))</f>
        <v>Product Detail</v>
      </c>
      <c r="D280" s="28">
        <f t="array" ref="D280">INDEX('raw-sheet'!$A$2:$ZZ$1000, ROW(D279), MATCH(D$1, 'raw-sheet'!$A$1:$ZZ$1, 0))</f>
        <v>200</v>
      </c>
      <c r="E280" s="30" t="str">
        <f t="shared" si="8"/>
        <v>Pass</v>
      </c>
      <c r="F280" s="28" t="str">
        <f t="array" ref="F280">INDEX('raw-sheet'!$A$2:$ZZ$1000, ROW(F279), MATCH(F$1, 'raw-sheet'!$A$1:$ZZ$1, 0))</f>
        <v>晨露粉嫩潤唇膏 3.2g_x000D_ | INNISFREE Taiwan</v>
      </c>
      <c r="G280" s="30" t="s">
        <v>11</v>
      </c>
      <c r="H280" s="28" t="str">
        <f t="array" ref="H280">INDEX('raw-sheet'!$A$2:$ZZ$1000, ROW(H279), MATCH(H$1, 'raw-sheet'!$A$1:$ZZ$1, 0))</f>
        <v>呈現水潤光澤的染色潤唇膏，打造水嘟嘟的豐潤雙唇。</v>
      </c>
      <c r="I280" s="30" t="s">
        <v>11</v>
      </c>
      <c r="J280" s="28" t="str">
        <f t="array" ref="J280">INDEX('raw-sheet'!$A$2:$ZZ$1000, ROW(J279), MATCH(J$1, 'raw-sheet'!$A$1:$ZZ$1, 0))</f>
        <v>晨露粉嫩潤唇膏 3.2g</v>
      </c>
      <c r="K280" s="28" t="str">
        <f t="array" ref="K280">INDEX('raw-sheet'!$A$2:$ZZ$1000, ROW(K279), MATCH(K$1, 'raw-sheet'!$A$1:$ZZ$1, 0))</f>
        <v>1</v>
      </c>
      <c r="L280" s="30" t="s">
        <v>11</v>
      </c>
      <c r="M280" s="28" t="str">
        <f t="array" ref="M280">INDEX('raw-sheet'!$A$2:$ZZ$1000, ROW(M279), MATCH(M$1, 'raw-sheet'!$A$1:$ZZ$1, 0))</f>
        <v>https://innisfree-taiwan.myshopify.com/products/innisfree-dewy-tint-lip-balm</v>
      </c>
      <c r="N280" s="30" t="str">
        <f t="shared" si="9"/>
        <v>Pass</v>
      </c>
      <c r="O280" s="28" t="str">
        <f t="array" ref="O280">INDEX('raw-sheet'!$A$2:$ZZ$1000, ROW(O279), MATCH(O$1, 'raw-sheet'!$A$1:$ZZ$1, 0))</f>
        <v>晨露粉嫩潤唇膏 3.2g | INNISFREE Taiwan</v>
      </c>
      <c r="P280" s="28" t="str">
        <f t="array" ref="P280">INDEX('raw-sheet'!$A$2:$ZZ$1000, ROW(P279), MATCH(P$1, 'raw-sheet'!$A$1:$ZZ$1, 0))</f>
        <v>呈現水潤光澤的染色潤唇膏，打造水嘟嘟的豐潤雙唇。</v>
      </c>
      <c r="Q280" s="28" t="str">
        <f t="array" ref="Q280">INDEX('raw-sheet'!$A$2:$ZZ$1000, ROW(Q279), MATCH(Q$1, 'raw-sheet'!$A$1:$ZZ$1, 0))</f>
        <v>product</v>
      </c>
      <c r="R280" s="28" t="str">
        <f t="array" ref="R280">INDEX('raw-sheet'!$A$2:$ZZ$1000, ROW(R279), MATCH(R$1, 'raw-sheet'!$A$1:$ZZ$1, 0))</f>
        <v>INNISFREE Taiwan</v>
      </c>
      <c r="S280" s="28" t="str">
        <f t="array" ref="S280">INDEX('raw-sheet'!$A$2:$ZZ$1000, ROW(S279), MATCH(S$1, 'raw-sheet'!$A$1:$ZZ$1, 0))</f>
        <v>http://innisfree-taiwan.myshopify.com/cdn/shop/files/pdp_mig_0074262b_20231006_1205_ID0101_1_jpg.jpg?v=1768543101</v>
      </c>
      <c r="T280" s="28" t="str">
        <f t="array" ref="T280">INDEX('raw-sheet'!$A$2:$ZZ$1000, ROW(T279), MATCH(T$1, 'raw-sheet'!$A$1:$ZZ$1, 0))</f>
        <v>https://innisfree-taiwan.myshopify.com/cdn/shop/files/pdp_mig_0074262b_20231006_1205_ID0101_1_jpg.jpg?v=1768543101</v>
      </c>
      <c r="U280" s="28" t="str">
        <f t="array" ref="U280">INDEX('raw-sheet'!$A$2:$ZZ$1000, ROW(U279), MATCH(U$1, 'raw-sheet'!$A$1:$ZZ$1, 0))</f>
        <v>https://innisfree-taiwan.myshopify.com/products/innisfree-dewy-tint-lip-balm</v>
      </c>
      <c r="V280" s="28" t="str">
        <f t="array" ref="V280">INDEX('raw-sheet'!$A$2:$ZZ$1000, ROW(V279), MATCH(V$1, 'raw-sheet'!$A$1:$ZZ$1, 0))</f>
        <v>晨露粉嫩潤唇膏 3.2g | INNISFREE Taiwan</v>
      </c>
      <c r="W280" s="28" t="str">
        <f t="array" ref="W280">INDEX('raw-sheet'!$A$2:$ZZ$1000, ROW(W279), MATCH(W$1, 'raw-sheet'!$A$1:$ZZ$1, 0))</f>
        <v>呈現水潤光澤的染色潤唇膏，打造水嘟嘟的豐潤雙唇。</v>
      </c>
      <c r="X280" s="28" t="str">
        <f t="array" ref="X280">INDEX('raw-sheet'!$A$2:$ZZ$1000, ROW(X279), MATCH(X$1, 'raw-sheet'!$A$1:$ZZ$1, 0))</f>
        <v>summary_large_image</v>
      </c>
      <c r="Y280" s="30" t="s">
        <v>11</v>
      </c>
      <c r="Z280" s="28" t="str">
        <f>VLOOKUP($A280,'raw-schema'!$A:$R,14,0)</f>
        <v>Brand</v>
      </c>
      <c r="AA280" s="28" t="str">
        <f>VLOOKUP($A280,'raw-schema'!$A:$R,15,0)</f>
        <v>Offer</v>
      </c>
      <c r="AB280" s="28" t="str">
        <f>VLOOKUP($A280,'raw-schema'!$A:$R,16,0)</f>
        <v>Organization</v>
      </c>
      <c r="AC280" s="28" t="str">
        <f>VLOOKUP($A280,'raw-schema'!$A:$R,17,0)</f>
        <v>Product</v>
      </c>
      <c r="AD280" s="28" t="str">
        <f>VLOOKUP($A280,'raw-schema'!$A:$R,18,0)</f>
        <v>ProductGroup</v>
      </c>
      <c r="AE280" s="30" t="s">
        <v>69</v>
      </c>
    </row>
    <row r="281" spans="1:31" x14ac:dyDescent="0.3">
      <c r="A281" s="28" t="str">
        <f t="array" ref="A281">INDEX('raw-sheet'!$A$2:$ZZ$1000, ROW(A280), MATCH(A$1, 'raw-sheet'!$A$1:$ZZ$1, 0))</f>
        <v>https://innisfree-taiwan.myshopify.com/products/innisfree-dewy-treatment-lip-balm</v>
      </c>
      <c r="B281" s="30" t="s">
        <v>11</v>
      </c>
      <c r="C281" s="28" t="str">
        <f t="array" ref="C281">INDEX('raw-sheet'!$A$2:$ZZ$1000, ROW(C280), MATCH(C$1, 'raw-sheet'!$A$1:$ZZ$1, 0))</f>
        <v>Product Detail</v>
      </c>
      <c r="D281" s="28">
        <f t="array" ref="D281">INDEX('raw-sheet'!$A$2:$ZZ$1000, ROW(D280), MATCH(D$1, 'raw-sheet'!$A$1:$ZZ$1, 0))</f>
        <v>200</v>
      </c>
      <c r="E281" s="30" t="str">
        <f t="shared" si="8"/>
        <v>Pass</v>
      </c>
      <c r="F281" s="28" t="str">
        <f t="array" ref="F281">INDEX('raw-sheet'!$A$2:$ZZ$1000, ROW(F280), MATCH(F$1, 'raw-sheet'!$A$1:$ZZ$1, 0))</f>
        <v>晨露無色潤唇膏 3.2 g_x000D_ | INNISFREE Taiwan</v>
      </c>
      <c r="G281" s="30" t="s">
        <v>11</v>
      </c>
      <c r="H281" s="28" t="str">
        <f t="array" ref="H281">INDEX('raw-sheet'!$A$2:$ZZ$1000, ROW(H280), MATCH(H$1, 'raw-sheet'!$A$1:$ZZ$1, 0))</f>
        <v>給予雙唇滿滿保濕與營養，打造水嘟嘟的豐潤雙唇。</v>
      </c>
      <c r="I281" s="30" t="s">
        <v>11</v>
      </c>
      <c r="J281" s="28" t="str">
        <f t="array" ref="J281">INDEX('raw-sheet'!$A$2:$ZZ$1000, ROW(J280), MATCH(J$1, 'raw-sheet'!$A$1:$ZZ$1, 0))</f>
        <v>晨露無色潤唇膏 3.2 g</v>
      </c>
      <c r="K281" s="28" t="str">
        <f t="array" ref="K281">INDEX('raw-sheet'!$A$2:$ZZ$1000, ROW(K280), MATCH(K$1, 'raw-sheet'!$A$1:$ZZ$1, 0))</f>
        <v>1</v>
      </c>
      <c r="L281" s="30" t="s">
        <v>11</v>
      </c>
      <c r="M281" s="28" t="str">
        <f t="array" ref="M281">INDEX('raw-sheet'!$A$2:$ZZ$1000, ROW(M280), MATCH(M$1, 'raw-sheet'!$A$1:$ZZ$1, 0))</f>
        <v>https://innisfree-taiwan.myshopify.com/products/innisfree-dewy-treatment-lip-balm</v>
      </c>
      <c r="N281" s="30" t="str">
        <f t="shared" si="9"/>
        <v>Pass</v>
      </c>
      <c r="O281" s="28" t="str">
        <f t="array" ref="O281">INDEX('raw-sheet'!$A$2:$ZZ$1000, ROW(O280), MATCH(O$1, 'raw-sheet'!$A$1:$ZZ$1, 0))</f>
        <v>晨露無色潤唇膏 3.2 g | INNISFREE Taiwan</v>
      </c>
      <c r="P281" s="28" t="str">
        <f t="array" ref="P281">INDEX('raw-sheet'!$A$2:$ZZ$1000, ROW(P280), MATCH(P$1, 'raw-sheet'!$A$1:$ZZ$1, 0))</f>
        <v>給予雙唇滿滿保濕與營養，打造水嘟嘟的豐潤雙唇。</v>
      </c>
      <c r="Q281" s="28" t="str">
        <f t="array" ref="Q281">INDEX('raw-sheet'!$A$2:$ZZ$1000, ROW(Q280), MATCH(Q$1, 'raw-sheet'!$A$1:$ZZ$1, 0))</f>
        <v>product</v>
      </c>
      <c r="R281" s="28" t="str">
        <f t="array" ref="R281">INDEX('raw-sheet'!$A$2:$ZZ$1000, ROW(R280), MATCH(R$1, 'raw-sheet'!$A$1:$ZZ$1, 0))</f>
        <v>INNISFREE Taiwan</v>
      </c>
      <c r="S281" s="28" t="str">
        <f t="array" ref="S281">INDEX('raw-sheet'!$A$2:$ZZ$1000, ROW(S280), MATCH(S$1, 'raw-sheet'!$A$1:$ZZ$1, 0))</f>
        <v>http://innisfree-taiwan.myshopify.com/cdn/shop/files/pdp_mig_033b4b6d_20231227_1206_ID0101_1_jpg.jpg?v=1768543096</v>
      </c>
      <c r="T281" s="28" t="str">
        <f t="array" ref="T281">INDEX('raw-sheet'!$A$2:$ZZ$1000, ROW(T280), MATCH(T$1, 'raw-sheet'!$A$1:$ZZ$1, 0))</f>
        <v>https://innisfree-taiwan.myshopify.com/cdn/shop/files/pdp_mig_033b4b6d_20231227_1206_ID0101_1_jpg.jpg?v=1768543096</v>
      </c>
      <c r="U281" s="28" t="str">
        <f t="array" ref="U281">INDEX('raw-sheet'!$A$2:$ZZ$1000, ROW(U280), MATCH(U$1, 'raw-sheet'!$A$1:$ZZ$1, 0))</f>
        <v>https://innisfree-taiwan.myshopify.com/products/innisfree-dewy-treatment-lip-balm</v>
      </c>
      <c r="V281" s="28" t="str">
        <f t="array" ref="V281">INDEX('raw-sheet'!$A$2:$ZZ$1000, ROW(V280), MATCH(V$1, 'raw-sheet'!$A$1:$ZZ$1, 0))</f>
        <v>晨露無色潤唇膏 3.2 g | INNISFREE Taiwan</v>
      </c>
      <c r="W281" s="28" t="str">
        <f t="array" ref="W281">INDEX('raw-sheet'!$A$2:$ZZ$1000, ROW(W280), MATCH(W$1, 'raw-sheet'!$A$1:$ZZ$1, 0))</f>
        <v>給予雙唇滿滿保濕與營養，打造水嘟嘟的豐潤雙唇。</v>
      </c>
      <c r="X281" s="28" t="str">
        <f t="array" ref="X281">INDEX('raw-sheet'!$A$2:$ZZ$1000, ROW(X280), MATCH(X$1, 'raw-sheet'!$A$1:$ZZ$1, 0))</f>
        <v>summary_large_image</v>
      </c>
      <c r="Y281" s="30" t="s">
        <v>11</v>
      </c>
      <c r="Z281" s="28" t="str">
        <f>VLOOKUP($A281,'raw-schema'!$A:$R,14,0)</f>
        <v>Brand</v>
      </c>
      <c r="AA281" s="28" t="str">
        <f>VLOOKUP($A281,'raw-schema'!$A:$R,15,0)</f>
        <v>Offer</v>
      </c>
      <c r="AB281" s="28" t="str">
        <f>VLOOKUP($A281,'raw-schema'!$A:$R,16,0)</f>
        <v>Organization</v>
      </c>
      <c r="AC281" s="28" t="str">
        <f>VLOOKUP($A281,'raw-schema'!$A:$R,17,0)</f>
        <v>Product</v>
      </c>
      <c r="AD281" s="28">
        <f>VLOOKUP($A281,'raw-schema'!$A:$R,18,0)</f>
        <v>0</v>
      </c>
      <c r="AE281" s="30" t="s">
        <v>69</v>
      </c>
    </row>
    <row r="282" spans="1:31" x14ac:dyDescent="0.3">
      <c r="A282" s="28" t="str">
        <f t="array" ref="A282">INDEX('raw-sheet'!$A$2:$ZZ$1000, ROW(A281), MATCH(A$1, 'raw-sheet'!$A$1:$ZZ$1, 0))</f>
        <v>https://innisfree-taiwan.myshopify.com/products/innisfree-essential-shadow-palette</v>
      </c>
      <c r="B282" s="30" t="s">
        <v>11</v>
      </c>
      <c r="C282" s="28" t="str">
        <f t="array" ref="C282">INDEX('raw-sheet'!$A$2:$ZZ$1000, ROW(C281), MATCH(C$1, 'raw-sheet'!$A$1:$ZZ$1, 0))</f>
        <v>Product Detail</v>
      </c>
      <c r="D282" s="28">
        <f t="array" ref="D282">INDEX('raw-sheet'!$A$2:$ZZ$1000, ROW(D281), MATCH(D$1, 'raw-sheet'!$A$1:$ZZ$1, 0))</f>
        <v>200</v>
      </c>
      <c r="E282" s="30" t="str">
        <f t="shared" si="8"/>
        <v>Pass</v>
      </c>
      <c r="F282" s="28" t="str">
        <f t="array" ref="F282">INDEX('raw-sheet'!$A$2:$ZZ$1000, ROW(F281), MATCH(F$1, 'raw-sheet'!$A$1:$ZZ$1, 0))</f>
        <v>九宮格眼影盤 8.7g_x000D_ | INNISFREE Taiwan</v>
      </c>
      <c r="G282" s="30" t="s">
        <v>11</v>
      </c>
      <c r="H282" s="28" t="str">
        <f t="array" ref="H282">INDEX('raw-sheet'!$A$2:$ZZ$1000, ROW(H281), MATCH(H$1, 'raw-sheet'!$A$1:$ZZ$1, 0))</f>
        <v>共四款中性色調，輕鬆勾勒出雙眸輪廓，打造自然完美的日常眼妝。</v>
      </c>
      <c r="I282" s="30" t="s">
        <v>11</v>
      </c>
      <c r="J282" s="28" t="str">
        <f t="array" ref="J282">INDEX('raw-sheet'!$A$2:$ZZ$1000, ROW(J281), MATCH(J$1, 'raw-sheet'!$A$1:$ZZ$1, 0))</f>
        <v>九宮格眼影盤 8.7g</v>
      </c>
      <c r="K282" s="28" t="str">
        <f t="array" ref="K282">INDEX('raw-sheet'!$A$2:$ZZ$1000, ROW(K281), MATCH(K$1, 'raw-sheet'!$A$1:$ZZ$1, 0))</f>
        <v>1</v>
      </c>
      <c r="L282" s="30" t="s">
        <v>11</v>
      </c>
      <c r="M282" s="28" t="str">
        <f t="array" ref="M282">INDEX('raw-sheet'!$A$2:$ZZ$1000, ROW(M281), MATCH(M$1, 'raw-sheet'!$A$1:$ZZ$1, 0))</f>
        <v>https://innisfree-taiwan.myshopify.com/products/innisfree-essential-shadow-palette</v>
      </c>
      <c r="N282" s="30" t="str">
        <f t="shared" si="9"/>
        <v>Pass</v>
      </c>
      <c r="O282" s="28" t="str">
        <f t="array" ref="O282">INDEX('raw-sheet'!$A$2:$ZZ$1000, ROW(O281), MATCH(O$1, 'raw-sheet'!$A$1:$ZZ$1, 0))</f>
        <v>九宮格眼影盤 8.7g | INNISFREE Taiwan</v>
      </c>
      <c r="P282" s="28" t="str">
        <f t="array" ref="P282">INDEX('raw-sheet'!$A$2:$ZZ$1000, ROW(P281), MATCH(P$1, 'raw-sheet'!$A$1:$ZZ$1, 0))</f>
        <v>共四款中性色調，輕鬆勾勒出雙眸輪廓，打造自然完美的日常眼妝。</v>
      </c>
      <c r="Q282" s="28" t="str">
        <f t="array" ref="Q282">INDEX('raw-sheet'!$A$2:$ZZ$1000, ROW(Q281), MATCH(Q$1, 'raw-sheet'!$A$1:$ZZ$1, 0))</f>
        <v>product</v>
      </c>
      <c r="R282" s="28" t="str">
        <f t="array" ref="R282">INDEX('raw-sheet'!$A$2:$ZZ$1000, ROW(R281), MATCH(R$1, 'raw-sheet'!$A$1:$ZZ$1, 0))</f>
        <v>INNISFREE Taiwan</v>
      </c>
      <c r="S282" s="28" t="str">
        <f t="array" ref="S282">INDEX('raw-sheet'!$A$2:$ZZ$1000, ROW(S281), MATCH(S$1, 'raw-sheet'!$A$1:$ZZ$1, 0))</f>
        <v>http://innisfree-taiwan.myshopify.com/cdn/shop/files/pdp_mig_d4a890b2_20230911_1215_ID0101_1_jpg.jpg?v=1768543119</v>
      </c>
      <c r="T282" s="28" t="str">
        <f t="array" ref="T282">INDEX('raw-sheet'!$A$2:$ZZ$1000, ROW(T281), MATCH(T$1, 'raw-sheet'!$A$1:$ZZ$1, 0))</f>
        <v>https://innisfree-taiwan.myshopify.com/cdn/shop/files/pdp_mig_d4a890b2_20230911_1215_ID0101_1_jpg.jpg?v=1768543119</v>
      </c>
      <c r="U282" s="28" t="str">
        <f t="array" ref="U282">INDEX('raw-sheet'!$A$2:$ZZ$1000, ROW(U281), MATCH(U$1, 'raw-sheet'!$A$1:$ZZ$1, 0))</f>
        <v>https://innisfree-taiwan.myshopify.com/products/innisfree-essential-shadow-palette</v>
      </c>
      <c r="V282" s="28" t="str">
        <f t="array" ref="V282">INDEX('raw-sheet'!$A$2:$ZZ$1000, ROW(V281), MATCH(V$1, 'raw-sheet'!$A$1:$ZZ$1, 0))</f>
        <v>九宮格眼影盤 8.7g | INNISFREE Taiwan</v>
      </c>
      <c r="W282" s="28" t="str">
        <f t="array" ref="W282">INDEX('raw-sheet'!$A$2:$ZZ$1000, ROW(W281), MATCH(W$1, 'raw-sheet'!$A$1:$ZZ$1, 0))</f>
        <v>共四款中性色調，輕鬆勾勒出雙眸輪廓，打造自然完美的日常眼妝。</v>
      </c>
      <c r="X282" s="28" t="str">
        <f t="array" ref="X282">INDEX('raw-sheet'!$A$2:$ZZ$1000, ROW(X281), MATCH(X$1, 'raw-sheet'!$A$1:$ZZ$1, 0))</f>
        <v>summary_large_image</v>
      </c>
      <c r="Y282" s="30" t="s">
        <v>11</v>
      </c>
      <c r="Z282" s="28" t="str">
        <f>VLOOKUP($A282,'raw-schema'!$A:$R,14,0)</f>
        <v>Brand</v>
      </c>
      <c r="AA282" s="28" t="str">
        <f>VLOOKUP($A282,'raw-schema'!$A:$R,15,0)</f>
        <v>Offer</v>
      </c>
      <c r="AB282" s="28" t="str">
        <f>VLOOKUP($A282,'raw-schema'!$A:$R,16,0)</f>
        <v>Organization</v>
      </c>
      <c r="AC282" s="28" t="str">
        <f>VLOOKUP($A282,'raw-schema'!$A:$R,17,0)</f>
        <v>Product</v>
      </c>
      <c r="AD282" s="28" t="str">
        <f>VLOOKUP($A282,'raw-schema'!$A:$R,18,0)</f>
        <v>ProductGroup</v>
      </c>
      <c r="AE282" s="30" t="s">
        <v>69</v>
      </c>
    </row>
    <row r="283" spans="1:31" x14ac:dyDescent="0.3">
      <c r="A283" s="28" t="str">
        <f t="array" ref="A283">INDEX('raw-sheet'!$A$2:$ZZ$1000, ROW(A282), MATCH(A$1, 'raw-sheet'!$A$1:$ZZ$1, 0))</f>
        <v>https://innisfree-taiwan.myshopify.com/products/innisfree-eyebrow-razors</v>
      </c>
      <c r="B283" s="30" t="s">
        <v>11</v>
      </c>
      <c r="C283" s="28" t="str">
        <f t="array" ref="C283">INDEX('raw-sheet'!$A$2:$ZZ$1000, ROW(C282), MATCH(C$1, 'raw-sheet'!$A$1:$ZZ$1, 0))</f>
        <v>Product Detail</v>
      </c>
      <c r="D283" s="28">
        <f t="array" ref="D283">INDEX('raw-sheet'!$A$2:$ZZ$1000, ROW(D282), MATCH(D$1, 'raw-sheet'!$A$1:$ZZ$1, 0))</f>
        <v>200</v>
      </c>
      <c r="E283" s="30" t="str">
        <f t="shared" si="8"/>
        <v>Pass</v>
      </c>
      <c r="F283" s="28" t="str">
        <f t="array" ref="F283">INDEX('raw-sheet'!$A$2:$ZZ$1000, ROW(F282), MATCH(F$1, 'raw-sheet'!$A$1:$ZZ$1, 0))</f>
        <v>妝自然美妝工具 - 修眉刀_x000D_ | INNISFREE Taiwan</v>
      </c>
      <c r="G283" s="30" t="s">
        <v>11</v>
      </c>
      <c r="H283" s="28" t="str">
        <f t="array" ref="H283">INDEX('raw-sheet'!$A$2:$ZZ$1000, ROW(H282), MATCH(H$1, 'raw-sheet'!$A$1:$ZZ$1, 0))</f>
        <v>溫和不刺激的修眉刀可打造簡單俐落的動人眉形</v>
      </c>
      <c r="I283" s="30" t="s">
        <v>11</v>
      </c>
      <c r="J283" s="28" t="str">
        <f t="array" ref="J283">INDEX('raw-sheet'!$A$2:$ZZ$1000, ROW(J282), MATCH(J$1, 'raw-sheet'!$A$1:$ZZ$1, 0))</f>
        <v>妝自然美妝工具 - 修眉刀</v>
      </c>
      <c r="K283" s="28" t="str">
        <f t="array" ref="K283">INDEX('raw-sheet'!$A$2:$ZZ$1000, ROW(K282), MATCH(K$1, 'raw-sheet'!$A$1:$ZZ$1, 0))</f>
        <v>1</v>
      </c>
      <c r="L283" s="30" t="s">
        <v>11</v>
      </c>
      <c r="M283" s="28" t="str">
        <f t="array" ref="M283">INDEX('raw-sheet'!$A$2:$ZZ$1000, ROW(M282), MATCH(M$1, 'raw-sheet'!$A$1:$ZZ$1, 0))</f>
        <v>https://innisfree-taiwan.myshopify.com/products/innisfree-eyebrow-razors</v>
      </c>
      <c r="N283" s="30" t="str">
        <f t="shared" si="9"/>
        <v>Pass</v>
      </c>
      <c r="O283" s="28" t="str">
        <f t="array" ref="O283">INDEX('raw-sheet'!$A$2:$ZZ$1000, ROW(O282), MATCH(O$1, 'raw-sheet'!$A$1:$ZZ$1, 0))</f>
        <v>妝自然美妝工具 - 修眉刀 | INNISFREE Taiwan</v>
      </c>
      <c r="P283" s="28" t="str">
        <f t="array" ref="P283">INDEX('raw-sheet'!$A$2:$ZZ$1000, ROW(P282), MATCH(P$1, 'raw-sheet'!$A$1:$ZZ$1, 0))</f>
        <v>溫和不刺激的修眉刀可打造簡單俐落的動人眉形</v>
      </c>
      <c r="Q283" s="28" t="str">
        <f t="array" ref="Q283">INDEX('raw-sheet'!$A$2:$ZZ$1000, ROW(Q282), MATCH(Q$1, 'raw-sheet'!$A$1:$ZZ$1, 0))</f>
        <v>product</v>
      </c>
      <c r="R283" s="28" t="str">
        <f t="array" ref="R283">INDEX('raw-sheet'!$A$2:$ZZ$1000, ROW(R282), MATCH(R$1, 'raw-sheet'!$A$1:$ZZ$1, 0))</f>
        <v>INNISFREE Taiwan</v>
      </c>
      <c r="S283" s="28" t="str">
        <f t="array" ref="S283">INDEX('raw-sheet'!$A$2:$ZZ$1000, ROW(S282), MATCH(S$1, 'raw-sheet'!$A$1:$ZZ$1, 0))</f>
        <v>http://innisfree-taiwan.myshopify.com/cdn/shop/files/pdp_mig_ba673152_20231129_178_ID0101_1_jpg.jpg?v=1768543107</v>
      </c>
      <c r="T283" s="28" t="str">
        <f t="array" ref="T283">INDEX('raw-sheet'!$A$2:$ZZ$1000, ROW(T282), MATCH(T$1, 'raw-sheet'!$A$1:$ZZ$1, 0))</f>
        <v>https://innisfree-taiwan.myshopify.com/cdn/shop/files/pdp_mig_ba673152_20231129_178_ID0101_1_jpg.jpg?v=1768543107</v>
      </c>
      <c r="U283" s="28" t="str">
        <f t="array" ref="U283">INDEX('raw-sheet'!$A$2:$ZZ$1000, ROW(U282), MATCH(U$1, 'raw-sheet'!$A$1:$ZZ$1, 0))</f>
        <v>https://innisfree-taiwan.myshopify.com/products/innisfree-eyebrow-razors</v>
      </c>
      <c r="V283" s="28" t="str">
        <f t="array" ref="V283">INDEX('raw-sheet'!$A$2:$ZZ$1000, ROW(V282), MATCH(V$1, 'raw-sheet'!$A$1:$ZZ$1, 0))</f>
        <v>妝自然美妝工具 - 修眉刀 | INNISFREE Taiwan</v>
      </c>
      <c r="W283" s="28" t="str">
        <f t="array" ref="W283">INDEX('raw-sheet'!$A$2:$ZZ$1000, ROW(W282), MATCH(W$1, 'raw-sheet'!$A$1:$ZZ$1, 0))</f>
        <v>溫和不刺激的修眉刀可打造簡單俐落的動人眉形</v>
      </c>
      <c r="X283" s="28" t="str">
        <f t="array" ref="X283">INDEX('raw-sheet'!$A$2:$ZZ$1000, ROW(X282), MATCH(X$1, 'raw-sheet'!$A$1:$ZZ$1, 0))</f>
        <v>summary_large_image</v>
      </c>
      <c r="Y283" s="30" t="s">
        <v>11</v>
      </c>
      <c r="Z283" s="28" t="str">
        <f>VLOOKUP($A283,'raw-schema'!$A:$R,14,0)</f>
        <v>Brand</v>
      </c>
      <c r="AA283" s="28" t="str">
        <f>VLOOKUP($A283,'raw-schema'!$A:$R,15,0)</f>
        <v>Offer</v>
      </c>
      <c r="AB283" s="28" t="str">
        <f>VLOOKUP($A283,'raw-schema'!$A:$R,16,0)</f>
        <v>Organization</v>
      </c>
      <c r="AC283" s="28" t="str">
        <f>VLOOKUP($A283,'raw-schema'!$A:$R,17,0)</f>
        <v>Product</v>
      </c>
      <c r="AD283" s="28">
        <f>VLOOKUP($A283,'raw-schema'!$A:$R,18,0)</f>
        <v>0</v>
      </c>
      <c r="AE283" s="30" t="s">
        <v>69</v>
      </c>
    </row>
    <row r="284" spans="1:31" x14ac:dyDescent="0.3">
      <c r="A284" s="28" t="str">
        <f t="array" ref="A284">INDEX('raw-sheet'!$A$2:$ZZ$1000, ROW(A283), MATCH(A$1, 'raw-sheet'!$A$1:$ZZ$1, 0))</f>
        <v>https://innisfree-taiwan.myshopify.com/products/innisfree-eyeshadow-brush-23</v>
      </c>
      <c r="B284" s="30" t="s">
        <v>70</v>
      </c>
      <c r="C284" s="28" t="str">
        <f t="array" ref="C284">INDEX('raw-sheet'!$A$2:$ZZ$1000, ROW(C283), MATCH(C$1, 'raw-sheet'!$A$1:$ZZ$1, 0))</f>
        <v>Product Detail</v>
      </c>
      <c r="D284" s="28">
        <f t="array" ref="D284">INDEX('raw-sheet'!$A$2:$ZZ$1000, ROW(D283), MATCH(D$1, 'raw-sheet'!$A$1:$ZZ$1, 0))</f>
        <v>200</v>
      </c>
      <c r="E284" s="30" t="str">
        <f t="shared" si="8"/>
        <v>Pass</v>
      </c>
      <c r="F284" s="28" t="str">
        <f t="array" ref="F284">INDEX('raw-sheet'!$A$2:$ZZ$1000, ROW(F283), MATCH(F$1, 'raw-sheet'!$A$1:$ZZ$1, 0))</f>
        <v>妝自然美妝工具 - 眼影暈染刷_x000D_ | INNISFREE Taiwan</v>
      </c>
      <c r="G284" s="30" t="s">
        <v>11</v>
      </c>
      <c r="H284" s="28" t="str">
        <f t="array" ref="H284">INDEX('raw-sheet'!$A$2:$ZZ$1000, ROW(H283), MATCH(H$1, 'raw-sheet'!$A$1:$ZZ$1, 0))</f>
        <v>專業暈染用的眼影刷</v>
      </c>
      <c r="I284" s="30" t="s">
        <v>11</v>
      </c>
      <c r="J284" s="28" t="str">
        <f t="array" ref="J284">INDEX('raw-sheet'!$A$2:$ZZ$1000, ROW(J283), MATCH(J$1, 'raw-sheet'!$A$1:$ZZ$1, 0))</f>
        <v>妝自然美妝工具 - 眼影暈染刷</v>
      </c>
      <c r="K284" s="28" t="str">
        <f t="array" ref="K284">INDEX('raw-sheet'!$A$2:$ZZ$1000, ROW(K283), MATCH(K$1, 'raw-sheet'!$A$1:$ZZ$1, 0))</f>
        <v>1</v>
      </c>
      <c r="L284" s="30" t="s">
        <v>11</v>
      </c>
      <c r="M284" s="28" t="str">
        <f t="array" ref="M284">INDEX('raw-sheet'!$A$2:$ZZ$1000, ROW(M283), MATCH(M$1, 'raw-sheet'!$A$1:$ZZ$1, 0))</f>
        <v>https://innisfree-taiwan.myshopify.com/products/innisfree-eyeshadow-brush-23</v>
      </c>
      <c r="N284" s="30" t="str">
        <f t="shared" si="9"/>
        <v>Pass</v>
      </c>
      <c r="O284" s="28" t="str">
        <f t="array" ref="O284">INDEX('raw-sheet'!$A$2:$ZZ$1000, ROW(O283), MATCH(O$1, 'raw-sheet'!$A$1:$ZZ$1, 0))</f>
        <v>妝自然美妝工具 - 眼影暈染刷 | INNISFREE Taiwan</v>
      </c>
      <c r="P284" s="28" t="str">
        <f t="array" ref="P284">INDEX('raw-sheet'!$A$2:$ZZ$1000, ROW(P283), MATCH(P$1, 'raw-sheet'!$A$1:$ZZ$1, 0))</f>
        <v>專業暈染用的眼影刷</v>
      </c>
      <c r="Q284" s="28" t="str">
        <f t="array" ref="Q284">INDEX('raw-sheet'!$A$2:$ZZ$1000, ROW(Q283), MATCH(Q$1, 'raw-sheet'!$A$1:$ZZ$1, 0))</f>
        <v>product</v>
      </c>
      <c r="R284" s="28" t="str">
        <f t="array" ref="R284">INDEX('raw-sheet'!$A$2:$ZZ$1000, ROW(R283), MATCH(R$1, 'raw-sheet'!$A$1:$ZZ$1, 0))</f>
        <v>INNISFREE Taiwan</v>
      </c>
      <c r="S284" s="28" t="str">
        <f t="array" ref="S284">INDEX('raw-sheet'!$A$2:$ZZ$1000, ROW(S283), MATCH(S$1, 'raw-sheet'!$A$1:$ZZ$1, 0))</f>
        <v>http://innisfree-taiwan.myshopify.com/cdn/shop/files/pdp_mig_f91a65d7_20231129_230_ID0101_1_jpg.jpg?v=1768543106</v>
      </c>
      <c r="T284" s="28" t="str">
        <f t="array" ref="T284">INDEX('raw-sheet'!$A$2:$ZZ$1000, ROW(T283), MATCH(T$1, 'raw-sheet'!$A$1:$ZZ$1, 0))</f>
        <v>https://innisfree-taiwan.myshopify.com/cdn/shop/files/pdp_mig_f91a65d7_20231129_230_ID0101_1_jpg.jpg?v=1768543106</v>
      </c>
      <c r="U284" s="28" t="str">
        <f t="array" ref="U284">INDEX('raw-sheet'!$A$2:$ZZ$1000, ROW(U283), MATCH(U$1, 'raw-sheet'!$A$1:$ZZ$1, 0))</f>
        <v>https://innisfree-taiwan.myshopify.com/products/innisfree-eyeshadow-brush-23</v>
      </c>
      <c r="V284" s="28" t="str">
        <f t="array" ref="V284">INDEX('raw-sheet'!$A$2:$ZZ$1000, ROW(V283), MATCH(V$1, 'raw-sheet'!$A$1:$ZZ$1, 0))</f>
        <v>妝自然美妝工具 - 眼影暈染刷 | INNISFREE Taiwan</v>
      </c>
      <c r="W284" s="28" t="str">
        <f t="array" ref="W284">INDEX('raw-sheet'!$A$2:$ZZ$1000, ROW(W283), MATCH(W$1, 'raw-sheet'!$A$1:$ZZ$1, 0))</f>
        <v>專業暈染用的眼影刷</v>
      </c>
      <c r="X284" s="28" t="str">
        <f t="array" ref="X284">INDEX('raw-sheet'!$A$2:$ZZ$1000, ROW(X283), MATCH(X$1, 'raw-sheet'!$A$1:$ZZ$1, 0))</f>
        <v>summary_large_image</v>
      </c>
      <c r="Y284" s="30" t="s">
        <v>11</v>
      </c>
      <c r="Z284" s="28" t="str">
        <f>VLOOKUP($A284,'raw-schema'!$A:$R,14,0)</f>
        <v>Brand</v>
      </c>
      <c r="AA284" s="28" t="str">
        <f>VLOOKUP($A284,'raw-schema'!$A:$R,15,0)</f>
        <v>Offer</v>
      </c>
      <c r="AB284" s="28" t="str">
        <f>VLOOKUP($A284,'raw-schema'!$A:$R,16,0)</f>
        <v>Organization</v>
      </c>
      <c r="AC284" s="28" t="str">
        <f>VLOOKUP($A284,'raw-schema'!$A:$R,17,0)</f>
        <v>Product</v>
      </c>
      <c r="AD284" s="28">
        <f>VLOOKUP($A284,'raw-schema'!$A:$R,18,0)</f>
        <v>0</v>
      </c>
      <c r="AE284" s="30" t="s">
        <v>69</v>
      </c>
    </row>
    <row r="285" spans="1:31" x14ac:dyDescent="0.3">
      <c r="A285" s="28" t="str">
        <f t="array" ref="A285">INDEX('raw-sheet'!$A$2:$ZZ$1000, ROW(A284), MATCH(A$1, 'raw-sheet'!$A$1:$ZZ$1, 0))</f>
        <v>https://innisfree-taiwan.myshopify.com/products/innisfree-eyeshadow-brush-defining-23</v>
      </c>
      <c r="B285" s="30" t="s">
        <v>70</v>
      </c>
      <c r="C285" s="28" t="str">
        <f t="array" ref="C285">INDEX('raw-sheet'!$A$2:$ZZ$1000, ROW(C284), MATCH(C$1, 'raw-sheet'!$A$1:$ZZ$1, 0))</f>
        <v>Product Detail</v>
      </c>
      <c r="D285" s="28">
        <f t="array" ref="D285">INDEX('raw-sheet'!$A$2:$ZZ$1000, ROW(D284), MATCH(D$1, 'raw-sheet'!$A$1:$ZZ$1, 0))</f>
        <v>200</v>
      </c>
      <c r="E285" s="30" t="str">
        <f t="shared" si="8"/>
        <v>Pass</v>
      </c>
      <c r="F285" s="28" t="str">
        <f t="array" ref="F285">INDEX('raw-sheet'!$A$2:$ZZ$1000, ROW(F284), MATCH(F$1, 'raw-sheet'!$A$1:$ZZ$1, 0))</f>
        <v>妝自然美妝工具 - 小眼影刷_x000D_ | INNISFREE Taiwan</v>
      </c>
      <c r="G285" s="30" t="s">
        <v>11</v>
      </c>
      <c r="H285" s="28" t="str">
        <f t="array" ref="H285">INDEX('raw-sheet'!$A$2:$ZZ$1000, ROW(H284), MATCH(H$1, 'raw-sheet'!$A$1:$ZZ$1, 0))</f>
        <v>眼妝重點細部用的小型眼影刷</v>
      </c>
      <c r="I285" s="30" t="s">
        <v>11</v>
      </c>
      <c r="J285" s="28" t="str">
        <f t="array" ref="J285">INDEX('raw-sheet'!$A$2:$ZZ$1000, ROW(J284), MATCH(J$1, 'raw-sheet'!$A$1:$ZZ$1, 0))</f>
        <v>妝自然美妝工具 - 小眼影刷</v>
      </c>
      <c r="K285" s="28" t="str">
        <f t="array" ref="K285">INDEX('raw-sheet'!$A$2:$ZZ$1000, ROW(K284), MATCH(K$1, 'raw-sheet'!$A$1:$ZZ$1, 0))</f>
        <v>1</v>
      </c>
      <c r="L285" s="30" t="s">
        <v>11</v>
      </c>
      <c r="M285" s="28" t="str">
        <f t="array" ref="M285">INDEX('raw-sheet'!$A$2:$ZZ$1000, ROW(M284), MATCH(M$1, 'raw-sheet'!$A$1:$ZZ$1, 0))</f>
        <v>https://innisfree-taiwan.myshopify.com/products/innisfree-eyeshadow-brush-defining-23</v>
      </c>
      <c r="N285" s="30" t="str">
        <f t="shared" si="9"/>
        <v>Pass</v>
      </c>
      <c r="O285" s="28" t="str">
        <f t="array" ref="O285">INDEX('raw-sheet'!$A$2:$ZZ$1000, ROW(O284), MATCH(O$1, 'raw-sheet'!$A$1:$ZZ$1, 0))</f>
        <v>妝自然美妝工具 - 小眼影刷 | INNISFREE Taiwan</v>
      </c>
      <c r="P285" s="28" t="str">
        <f t="array" ref="P285">INDEX('raw-sheet'!$A$2:$ZZ$1000, ROW(P284), MATCH(P$1, 'raw-sheet'!$A$1:$ZZ$1, 0))</f>
        <v>眼妝重點細部用的小型眼影刷</v>
      </c>
      <c r="Q285" s="28" t="str">
        <f t="array" ref="Q285">INDEX('raw-sheet'!$A$2:$ZZ$1000, ROW(Q284), MATCH(Q$1, 'raw-sheet'!$A$1:$ZZ$1, 0))</f>
        <v>product</v>
      </c>
      <c r="R285" s="28" t="str">
        <f t="array" ref="R285">INDEX('raw-sheet'!$A$2:$ZZ$1000, ROW(R284), MATCH(R$1, 'raw-sheet'!$A$1:$ZZ$1, 0))</f>
        <v>INNISFREE Taiwan</v>
      </c>
      <c r="S285" s="28" t="str">
        <f t="array" ref="S285">INDEX('raw-sheet'!$A$2:$ZZ$1000, ROW(S284), MATCH(S$1, 'raw-sheet'!$A$1:$ZZ$1, 0))</f>
        <v>http://innisfree-taiwan.myshopify.com/cdn/shop/files/pdp_mig_9ac7dc59_20231129_229_ID0101_1_jpg.jpg?v=1768543106</v>
      </c>
      <c r="T285" s="28" t="str">
        <f t="array" ref="T285">INDEX('raw-sheet'!$A$2:$ZZ$1000, ROW(T284), MATCH(T$1, 'raw-sheet'!$A$1:$ZZ$1, 0))</f>
        <v>https://innisfree-taiwan.myshopify.com/cdn/shop/files/pdp_mig_9ac7dc59_20231129_229_ID0101_1_jpg.jpg?v=1768543106</v>
      </c>
      <c r="U285" s="28" t="str">
        <f t="array" ref="U285">INDEX('raw-sheet'!$A$2:$ZZ$1000, ROW(U284), MATCH(U$1, 'raw-sheet'!$A$1:$ZZ$1, 0))</f>
        <v>https://innisfree-taiwan.myshopify.com/products/innisfree-eyeshadow-brush-defining-23</v>
      </c>
      <c r="V285" s="28" t="str">
        <f t="array" ref="V285">INDEX('raw-sheet'!$A$2:$ZZ$1000, ROW(V284), MATCH(V$1, 'raw-sheet'!$A$1:$ZZ$1, 0))</f>
        <v>妝自然美妝工具 - 小眼影刷 | INNISFREE Taiwan</v>
      </c>
      <c r="W285" s="28" t="str">
        <f t="array" ref="W285">INDEX('raw-sheet'!$A$2:$ZZ$1000, ROW(W284), MATCH(W$1, 'raw-sheet'!$A$1:$ZZ$1, 0))</f>
        <v>眼妝重點細部用的小型眼影刷</v>
      </c>
      <c r="X285" s="28" t="str">
        <f t="array" ref="X285">INDEX('raw-sheet'!$A$2:$ZZ$1000, ROW(X284), MATCH(X$1, 'raw-sheet'!$A$1:$ZZ$1, 0))</f>
        <v>summary_large_image</v>
      </c>
      <c r="Y285" s="30" t="s">
        <v>11</v>
      </c>
      <c r="Z285" s="28" t="str">
        <f>VLOOKUP($A285,'raw-schema'!$A:$R,14,0)</f>
        <v>Brand</v>
      </c>
      <c r="AA285" s="28" t="str">
        <f>VLOOKUP($A285,'raw-schema'!$A:$R,15,0)</f>
        <v>Offer</v>
      </c>
      <c r="AB285" s="28" t="str">
        <f>VLOOKUP($A285,'raw-schema'!$A:$R,16,0)</f>
        <v>Organization</v>
      </c>
      <c r="AC285" s="28" t="str">
        <f>VLOOKUP($A285,'raw-schema'!$A:$R,17,0)</f>
        <v>Product</v>
      </c>
      <c r="AD285" s="28">
        <f>VLOOKUP($A285,'raw-schema'!$A:$R,18,0)</f>
        <v>0</v>
      </c>
      <c r="AE285" s="30" t="s">
        <v>69</v>
      </c>
    </row>
    <row r="286" spans="1:31" x14ac:dyDescent="0.3">
      <c r="A286" s="28" t="str">
        <f t="array" ref="A286">INDEX('raw-sheet'!$A$2:$ZZ$1000, ROW(A285), MATCH(A$1, 'raw-sheet'!$A$1:$ZZ$1, 0))</f>
        <v>https://innisfree-taiwan.myshopify.com/products/innisfree-forest-for-men-essence</v>
      </c>
      <c r="B286" s="30" t="s">
        <v>11</v>
      </c>
      <c r="C286" s="28" t="str">
        <f t="array" ref="C286">INDEX('raw-sheet'!$A$2:$ZZ$1000, ROW(C285), MATCH(C$1, 'raw-sheet'!$A$1:$ZZ$1, 0))</f>
        <v>Product Detail</v>
      </c>
      <c r="D286" s="28">
        <f t="array" ref="D286">INDEX('raw-sheet'!$A$2:$ZZ$1000, ROW(D285), MATCH(D$1, 'raw-sheet'!$A$1:$ZZ$1, 0))</f>
        <v>200</v>
      </c>
      <c r="E286" s="30" t="str">
        <f t="shared" si="8"/>
        <v>Pass</v>
      </c>
      <c r="F286" s="28" t="str">
        <f t="array" ref="F286">INDEX('raw-sheet'!$A$2:$ZZ$1000, ROW(F285), MATCH(F$1, 'raw-sheet'!$A$1:$ZZ$1, 0))</f>
        <v>綠樹林風男士精華 100ml_x000D_ | INNISFREE Taiwan</v>
      </c>
      <c r="G286" s="30" t="s">
        <v>11</v>
      </c>
      <c r="H286" s="28" t="str">
        <f t="array" ref="H286">INDEX('raw-sheet'!$A$2:$ZZ$1000, ROW(H285), MATCH(H$1, 'raw-sheet'!$A$1:$ZZ$1, 0))</f>
        <v>含有濟州葛札瓦森林黑酵母保濕成分，為男性顧客的肌膚打造保護屏障，使疲勞肌膚重現活力的多效合一精華。</v>
      </c>
      <c r="I286" s="30" t="s">
        <v>11</v>
      </c>
      <c r="J286" s="28" t="str">
        <f t="array" ref="J286">INDEX('raw-sheet'!$A$2:$ZZ$1000, ROW(J285), MATCH(J$1, 'raw-sheet'!$A$1:$ZZ$1, 0))</f>
        <v>綠樹林風男士精華 100ml</v>
      </c>
      <c r="K286" s="28" t="str">
        <f t="array" ref="K286">INDEX('raw-sheet'!$A$2:$ZZ$1000, ROW(K285), MATCH(K$1, 'raw-sheet'!$A$1:$ZZ$1, 0))</f>
        <v>1</v>
      </c>
      <c r="L286" s="30" t="s">
        <v>11</v>
      </c>
      <c r="M286" s="28" t="str">
        <f t="array" ref="M286">INDEX('raw-sheet'!$A$2:$ZZ$1000, ROW(M285), MATCH(M$1, 'raw-sheet'!$A$1:$ZZ$1, 0))</f>
        <v>https://innisfree-taiwan.myshopify.com/products/innisfree-forest-for-men-essence</v>
      </c>
      <c r="N286" s="30" t="str">
        <f t="shared" si="9"/>
        <v>Pass</v>
      </c>
      <c r="O286" s="28" t="str">
        <f t="array" ref="O286">INDEX('raw-sheet'!$A$2:$ZZ$1000, ROW(O285), MATCH(O$1, 'raw-sheet'!$A$1:$ZZ$1, 0))</f>
        <v>綠樹林風男士精華 100ml | INNISFREE Taiwan</v>
      </c>
      <c r="P286" s="28" t="str">
        <f t="array" ref="P286">INDEX('raw-sheet'!$A$2:$ZZ$1000, ROW(P285), MATCH(P$1, 'raw-sheet'!$A$1:$ZZ$1, 0))</f>
        <v>含有濟州葛札瓦森林黑酵母保濕成分，為男性顧客的肌膚打造保護屏障，使疲勞肌膚重現活力的多效合一精華。</v>
      </c>
      <c r="Q286" s="28" t="str">
        <f t="array" ref="Q286">INDEX('raw-sheet'!$A$2:$ZZ$1000, ROW(Q285), MATCH(Q$1, 'raw-sheet'!$A$1:$ZZ$1, 0))</f>
        <v>product</v>
      </c>
      <c r="R286" s="28" t="str">
        <f t="array" ref="R286">INDEX('raw-sheet'!$A$2:$ZZ$1000, ROW(R285), MATCH(R$1, 'raw-sheet'!$A$1:$ZZ$1, 0))</f>
        <v>INNISFREE Taiwan</v>
      </c>
      <c r="S286" s="28" t="str">
        <f t="array" ref="S286">INDEX('raw-sheet'!$A$2:$ZZ$1000, ROW(S285), MATCH(S$1, 'raw-sheet'!$A$1:$ZZ$1, 0))</f>
        <v>http://innisfree-taiwan.myshopify.com/cdn/shop/files/pdp_mig_b7670372_20230928_1250_ID0101_1_jpg.jpg?v=1768543090</v>
      </c>
      <c r="T286" s="28" t="str">
        <f t="array" ref="T286">INDEX('raw-sheet'!$A$2:$ZZ$1000, ROW(T285), MATCH(T$1, 'raw-sheet'!$A$1:$ZZ$1, 0))</f>
        <v>https://innisfree-taiwan.myshopify.com/cdn/shop/files/pdp_mig_b7670372_20230928_1250_ID0101_1_jpg.jpg?v=1768543090</v>
      </c>
      <c r="U286" s="28" t="str">
        <f t="array" ref="U286">INDEX('raw-sheet'!$A$2:$ZZ$1000, ROW(U285), MATCH(U$1, 'raw-sheet'!$A$1:$ZZ$1, 0))</f>
        <v>https://innisfree-taiwan.myshopify.com/products/innisfree-forest-for-men-essence</v>
      </c>
      <c r="V286" s="28" t="str">
        <f t="array" ref="V286">INDEX('raw-sheet'!$A$2:$ZZ$1000, ROW(V285), MATCH(V$1, 'raw-sheet'!$A$1:$ZZ$1, 0))</f>
        <v>綠樹林風男士精華 100ml | INNISFREE Taiwan</v>
      </c>
      <c r="W286" s="28" t="str">
        <f t="array" ref="W286">INDEX('raw-sheet'!$A$2:$ZZ$1000, ROW(W285), MATCH(W$1, 'raw-sheet'!$A$1:$ZZ$1, 0))</f>
        <v>含有濟州葛札瓦森林黑酵母保濕成分，為男性顧客的肌膚打造保護屏障，使疲勞肌膚重現活力的多效合一精華。</v>
      </c>
      <c r="X286" s="28" t="str">
        <f t="array" ref="X286">INDEX('raw-sheet'!$A$2:$ZZ$1000, ROW(X285), MATCH(X$1, 'raw-sheet'!$A$1:$ZZ$1, 0))</f>
        <v>summary_large_image</v>
      </c>
      <c r="Y286" s="30" t="s">
        <v>11</v>
      </c>
      <c r="Z286" s="28" t="str">
        <f>VLOOKUP($A286,'raw-schema'!$A:$R,14,0)</f>
        <v>Brand</v>
      </c>
      <c r="AA286" s="28" t="str">
        <f>VLOOKUP($A286,'raw-schema'!$A:$R,15,0)</f>
        <v>Offer</v>
      </c>
      <c r="AB286" s="28" t="str">
        <f>VLOOKUP($A286,'raw-schema'!$A:$R,16,0)</f>
        <v>Organization</v>
      </c>
      <c r="AC286" s="28" t="str">
        <f>VLOOKUP($A286,'raw-schema'!$A:$R,17,0)</f>
        <v>Product</v>
      </c>
      <c r="AD286" s="28" t="str">
        <f>VLOOKUP($A286,'raw-schema'!$A:$R,18,0)</f>
        <v>ProductGroup</v>
      </c>
      <c r="AE286" s="30" t="s">
        <v>69</v>
      </c>
    </row>
    <row r="287" spans="1:31" x14ac:dyDescent="0.3">
      <c r="A287" s="28" t="str">
        <f t="array" ref="A287">INDEX('raw-sheet'!$A$2:$ZZ$1000, ROW(A286), MATCH(A$1, 'raw-sheet'!$A$1:$ZZ$1, 0))</f>
        <v>https://innisfree-taiwan.myshopify.com/products/innisfree-green-barley-mild-peeling-gel</v>
      </c>
      <c r="B287" s="30" t="s">
        <v>11</v>
      </c>
      <c r="C287" s="28" t="str">
        <f t="array" ref="C287">INDEX('raw-sheet'!$A$2:$ZZ$1000, ROW(C286), MATCH(C$1, 'raw-sheet'!$A$1:$ZZ$1, 0))</f>
        <v>Product Detail</v>
      </c>
      <c r="D287" s="28">
        <f t="array" ref="D287">INDEX('raw-sheet'!$A$2:$ZZ$1000, ROW(D286), MATCH(D$1, 'raw-sheet'!$A$1:$ZZ$1, 0))</f>
        <v>200</v>
      </c>
      <c r="E287" s="30" t="str">
        <f t="shared" si="8"/>
        <v>Pass</v>
      </c>
      <c r="F287" s="28" t="str">
        <f t="array" ref="F287">INDEX('raw-sheet'!$A$2:$ZZ$1000, ROW(F286), MATCH(F$1, 'raw-sheet'!$A$1:$ZZ$1, 0))</f>
        <v>青麥去角質凝膠面膜 120ml_x000D_ | INNISFREE Taiwan</v>
      </c>
      <c r="G287" s="30" t="s">
        <v>11</v>
      </c>
      <c r="H287" s="28" t="str">
        <f t="array" ref="H287">INDEX('raw-sheet'!$A$2:$ZZ$1000, ROW(H286), MATCH(H$1, 'raw-sheet'!$A$1:$ZZ$1, 0))</f>
        <v>含有青麥發酵成份與纖維素，可輕柔除去角質的凝膠面膜</v>
      </c>
      <c r="I287" s="30" t="s">
        <v>11</v>
      </c>
      <c r="J287" s="28" t="str">
        <f t="array" ref="J287">INDEX('raw-sheet'!$A$2:$ZZ$1000, ROW(J286), MATCH(J$1, 'raw-sheet'!$A$1:$ZZ$1, 0))</f>
        <v>青麥去角質凝膠面膜 120ml</v>
      </c>
      <c r="K287" s="28" t="str">
        <f t="array" ref="K287">INDEX('raw-sheet'!$A$2:$ZZ$1000, ROW(K286), MATCH(K$1, 'raw-sheet'!$A$1:$ZZ$1, 0))</f>
        <v>1</v>
      </c>
      <c r="L287" s="30" t="s">
        <v>11</v>
      </c>
      <c r="M287" s="28" t="str">
        <f t="array" ref="M287">INDEX('raw-sheet'!$A$2:$ZZ$1000, ROW(M286), MATCH(M$1, 'raw-sheet'!$A$1:$ZZ$1, 0))</f>
        <v>https://innisfree-taiwan.myshopify.com/products/innisfree-green-barley-mild-peeling-gel</v>
      </c>
      <c r="N287" s="30" t="str">
        <f t="shared" si="9"/>
        <v>Pass</v>
      </c>
      <c r="O287" s="28" t="str">
        <f t="array" ref="O287">INDEX('raw-sheet'!$A$2:$ZZ$1000, ROW(O286), MATCH(O$1, 'raw-sheet'!$A$1:$ZZ$1, 0))</f>
        <v>青麥去角質凝膠面膜 120ml | INNISFREE Taiwan</v>
      </c>
      <c r="P287" s="28" t="str">
        <f t="array" ref="P287">INDEX('raw-sheet'!$A$2:$ZZ$1000, ROW(P286), MATCH(P$1, 'raw-sheet'!$A$1:$ZZ$1, 0))</f>
        <v>含有青麥發酵成份與纖維素，可輕柔除去角質的凝膠面膜</v>
      </c>
      <c r="Q287" s="28" t="str">
        <f t="array" ref="Q287">INDEX('raw-sheet'!$A$2:$ZZ$1000, ROW(Q286), MATCH(Q$1, 'raw-sheet'!$A$1:$ZZ$1, 0))</f>
        <v>product</v>
      </c>
      <c r="R287" s="28" t="str">
        <f t="array" ref="R287">INDEX('raw-sheet'!$A$2:$ZZ$1000, ROW(R286), MATCH(R$1, 'raw-sheet'!$A$1:$ZZ$1, 0))</f>
        <v>INNISFREE Taiwan</v>
      </c>
      <c r="S287" s="28" t="str">
        <f t="array" ref="S287">INDEX('raw-sheet'!$A$2:$ZZ$1000, ROW(S286), MATCH(S$1, 'raw-sheet'!$A$1:$ZZ$1, 0))</f>
        <v>http://innisfree-taiwan.myshopify.com/cdn/shop/files/pdp_mig_f3093b7b_20240924_1425_ID0101_1_jpg.jpg?v=1768543073</v>
      </c>
      <c r="T287" s="28" t="str">
        <f t="array" ref="T287">INDEX('raw-sheet'!$A$2:$ZZ$1000, ROW(T286), MATCH(T$1, 'raw-sheet'!$A$1:$ZZ$1, 0))</f>
        <v>https://innisfree-taiwan.myshopify.com/cdn/shop/files/pdp_mig_f3093b7b_20240924_1425_ID0101_1_jpg.jpg?v=1768543073</v>
      </c>
      <c r="U287" s="28" t="str">
        <f t="array" ref="U287">INDEX('raw-sheet'!$A$2:$ZZ$1000, ROW(U286), MATCH(U$1, 'raw-sheet'!$A$1:$ZZ$1, 0))</f>
        <v>https://innisfree-taiwan.myshopify.com/products/innisfree-green-barley-mild-peeling-gel</v>
      </c>
      <c r="V287" s="28" t="str">
        <f t="array" ref="V287">INDEX('raw-sheet'!$A$2:$ZZ$1000, ROW(V286), MATCH(V$1, 'raw-sheet'!$A$1:$ZZ$1, 0))</f>
        <v>青麥去角質凝膠面膜 120ml | INNISFREE Taiwan</v>
      </c>
      <c r="W287" s="28" t="str">
        <f t="array" ref="W287">INDEX('raw-sheet'!$A$2:$ZZ$1000, ROW(W286), MATCH(W$1, 'raw-sheet'!$A$1:$ZZ$1, 0))</f>
        <v>含有青麥發酵成份與纖維素，可輕柔除去角質的凝膠面膜</v>
      </c>
      <c r="X287" s="28" t="str">
        <f t="array" ref="X287">INDEX('raw-sheet'!$A$2:$ZZ$1000, ROW(X286), MATCH(X$1, 'raw-sheet'!$A$1:$ZZ$1, 0))</f>
        <v>summary_large_image</v>
      </c>
      <c r="Y287" s="30" t="s">
        <v>11</v>
      </c>
      <c r="Z287" s="28" t="str">
        <f>VLOOKUP($A287,'raw-schema'!$A:$R,14,0)</f>
        <v>Brand</v>
      </c>
      <c r="AA287" s="28" t="str">
        <f>VLOOKUP($A287,'raw-schema'!$A:$R,15,0)</f>
        <v>Offer</v>
      </c>
      <c r="AB287" s="28" t="str">
        <f>VLOOKUP($A287,'raw-schema'!$A:$R,16,0)</f>
        <v>Organization</v>
      </c>
      <c r="AC287" s="28" t="str">
        <f>VLOOKUP($A287,'raw-schema'!$A:$R,17,0)</f>
        <v>Product</v>
      </c>
      <c r="AD287" s="28">
        <f>VLOOKUP($A287,'raw-schema'!$A:$R,18,0)</f>
        <v>0</v>
      </c>
      <c r="AE287" s="30" t="s">
        <v>69</v>
      </c>
    </row>
    <row r="288" spans="1:31" x14ac:dyDescent="0.3">
      <c r="A288" s="28" t="str">
        <f t="array" ref="A288">INDEX('raw-sheet'!$A$2:$ZZ$1000, ROW(A287), MATCH(A$1, 'raw-sheet'!$A$1:$ZZ$1, 0))</f>
        <v>https://innisfree-taiwan.myshopify.com/products/innisfree-green-tea-amino-hydrating-cleansing-foam</v>
      </c>
      <c r="B288" s="30" t="s">
        <v>11</v>
      </c>
      <c r="C288" s="28" t="str">
        <f t="array" ref="C288">INDEX('raw-sheet'!$A$2:$ZZ$1000, ROW(C287), MATCH(C$1, 'raw-sheet'!$A$1:$ZZ$1, 0))</f>
        <v>Product Detail</v>
      </c>
      <c r="D288" s="28">
        <f t="array" ref="D288">INDEX('raw-sheet'!$A$2:$ZZ$1000, ROW(D287), MATCH(D$1, 'raw-sheet'!$A$1:$ZZ$1, 0))</f>
        <v>200</v>
      </c>
      <c r="E288" s="30" t="str">
        <f t="shared" si="8"/>
        <v>Pass</v>
      </c>
      <c r="F288" s="28" t="str">
        <f t="array" ref="F288">INDEX('raw-sheet'!$A$2:$ZZ$1000, ROW(F287), MATCH(F$1, 'raw-sheet'!$A$1:$ZZ$1, 0))</f>
        <v>綠茶保濕胺基酸潔面乳 150g_x000D_ | INNISFREE Taiwan</v>
      </c>
      <c r="G288" s="30" t="s">
        <v>11</v>
      </c>
      <c r="H288" s="28" t="str">
        <f t="array" ref="H288">INDEX('raw-sheet'!$A$2:$ZZ$1000, ROW(H287), MATCH(H$1, 'raw-sheet'!$A$1:$ZZ$1, 0))</f>
        <v>含有濟州美肌綠茶萃取與胺基酸複合物的清爽潔面乳，可以輕鬆洗去臉上的髒污，並使臉部肌膚柔嫩與潔淨。適合所有膚質。</v>
      </c>
      <c r="I288" s="30" t="s">
        <v>11</v>
      </c>
      <c r="J288" s="28" t="str">
        <f t="array" ref="J288">INDEX('raw-sheet'!$A$2:$ZZ$1000, ROW(J287), MATCH(J$1, 'raw-sheet'!$A$1:$ZZ$1, 0))</f>
        <v>綠茶保濕胺基酸潔面乳 150g</v>
      </c>
      <c r="K288" s="28" t="str">
        <f t="array" ref="K288">INDEX('raw-sheet'!$A$2:$ZZ$1000, ROW(K287), MATCH(K$1, 'raw-sheet'!$A$1:$ZZ$1, 0))</f>
        <v>1</v>
      </c>
      <c r="L288" s="30" t="s">
        <v>11</v>
      </c>
      <c r="M288" s="28" t="str">
        <f t="array" ref="M288">INDEX('raw-sheet'!$A$2:$ZZ$1000, ROW(M287), MATCH(M$1, 'raw-sheet'!$A$1:$ZZ$1, 0))</f>
        <v>https://innisfree-taiwan.myshopify.com/products/innisfree-green-tea-amino-hydrating-cleansing-foam</v>
      </c>
      <c r="N288" s="30" t="str">
        <f t="shared" si="9"/>
        <v>Pass</v>
      </c>
      <c r="O288" s="28" t="str">
        <f t="array" ref="O288">INDEX('raw-sheet'!$A$2:$ZZ$1000, ROW(O287), MATCH(O$1, 'raw-sheet'!$A$1:$ZZ$1, 0))</f>
        <v>綠茶保濕胺基酸潔面乳 150g | INNISFREE Taiwan</v>
      </c>
      <c r="P288" s="28" t="str">
        <f t="array" ref="P288">INDEX('raw-sheet'!$A$2:$ZZ$1000, ROW(P287), MATCH(P$1, 'raw-sheet'!$A$1:$ZZ$1, 0))</f>
        <v>含有濟州美肌綠茶萃取與胺基酸複合物的清爽潔面乳，可以輕鬆洗去臉上的髒污，並使臉部肌膚柔嫩與潔淨。適合所有膚質。</v>
      </c>
      <c r="Q288" s="28" t="str">
        <f t="array" ref="Q288">INDEX('raw-sheet'!$A$2:$ZZ$1000, ROW(Q287), MATCH(Q$1, 'raw-sheet'!$A$1:$ZZ$1, 0))</f>
        <v>product</v>
      </c>
      <c r="R288" s="28" t="str">
        <f t="array" ref="R288">INDEX('raw-sheet'!$A$2:$ZZ$1000, ROW(R287), MATCH(R$1, 'raw-sheet'!$A$1:$ZZ$1, 0))</f>
        <v>INNISFREE Taiwan</v>
      </c>
      <c r="S288" s="28" t="str">
        <f t="array" ref="S288">INDEX('raw-sheet'!$A$2:$ZZ$1000, ROW(S287), MATCH(S$1, 'raw-sheet'!$A$1:$ZZ$1, 0))</f>
        <v>http://innisfree-taiwan.myshopify.com/cdn/shop/files/pdp_mig_41f8902d_20230731_838_ID0101_1_jpg.jpg?v=1768543105</v>
      </c>
      <c r="T288" s="28" t="str">
        <f t="array" ref="T288">INDEX('raw-sheet'!$A$2:$ZZ$1000, ROW(T287), MATCH(T$1, 'raw-sheet'!$A$1:$ZZ$1, 0))</f>
        <v>https://innisfree-taiwan.myshopify.com/cdn/shop/files/pdp_mig_41f8902d_20230731_838_ID0101_1_jpg.jpg?v=1768543105</v>
      </c>
      <c r="U288" s="28" t="str">
        <f t="array" ref="U288">INDEX('raw-sheet'!$A$2:$ZZ$1000, ROW(U287), MATCH(U$1, 'raw-sheet'!$A$1:$ZZ$1, 0))</f>
        <v>https://innisfree-taiwan.myshopify.com/products/innisfree-green-tea-amino-hydrating-cleansing-foam</v>
      </c>
      <c r="V288" s="28" t="str">
        <f t="array" ref="V288">INDEX('raw-sheet'!$A$2:$ZZ$1000, ROW(V287), MATCH(V$1, 'raw-sheet'!$A$1:$ZZ$1, 0))</f>
        <v>綠茶保濕胺基酸潔面乳 150g | INNISFREE Taiwan</v>
      </c>
      <c r="W288" s="28" t="str">
        <f t="array" ref="W288">INDEX('raw-sheet'!$A$2:$ZZ$1000, ROW(W287), MATCH(W$1, 'raw-sheet'!$A$1:$ZZ$1, 0))</f>
        <v>含有濟州美肌綠茶萃取與胺基酸複合物的清爽潔面乳，可以輕鬆洗去臉上的髒污，並使臉部肌膚柔嫩與潔淨。適合所有膚質。</v>
      </c>
      <c r="X288" s="28" t="str">
        <f t="array" ref="X288">INDEX('raw-sheet'!$A$2:$ZZ$1000, ROW(X287), MATCH(X$1, 'raw-sheet'!$A$1:$ZZ$1, 0))</f>
        <v>summary_large_image</v>
      </c>
      <c r="Y288" s="30" t="s">
        <v>11</v>
      </c>
      <c r="Z288" s="28" t="str">
        <f>VLOOKUP($A288,'raw-schema'!$A:$R,14,0)</f>
        <v>Brand</v>
      </c>
      <c r="AA288" s="28" t="str">
        <f>VLOOKUP($A288,'raw-schema'!$A:$R,15,0)</f>
        <v>Offer</v>
      </c>
      <c r="AB288" s="28" t="str">
        <f>VLOOKUP($A288,'raw-schema'!$A:$R,16,0)</f>
        <v>Organization</v>
      </c>
      <c r="AC288" s="28" t="str">
        <f>VLOOKUP($A288,'raw-schema'!$A:$R,17,0)</f>
        <v>Product</v>
      </c>
      <c r="AD288" s="28">
        <f>VLOOKUP($A288,'raw-schema'!$A:$R,18,0)</f>
        <v>0</v>
      </c>
      <c r="AE288" s="30" t="s">
        <v>69</v>
      </c>
    </row>
    <row r="289" spans="1:31" x14ac:dyDescent="0.3">
      <c r="A289" s="28" t="str">
        <f t="array" ref="A289">INDEX('raw-sheet'!$A$2:$ZZ$1000, ROW(A288), MATCH(A$1, 'raw-sheet'!$A$1:$ZZ$1, 0))</f>
        <v>https://innisfree-taiwan.myshopify.com/products/innisfree-green-tea-ceramide-cream</v>
      </c>
      <c r="B289" s="30" t="s">
        <v>11</v>
      </c>
      <c r="C289" s="28" t="str">
        <f t="array" ref="C289">INDEX('raw-sheet'!$A$2:$ZZ$1000, ROW(C288), MATCH(C$1, 'raw-sheet'!$A$1:$ZZ$1, 0))</f>
        <v>Product Detail</v>
      </c>
      <c r="D289" s="28">
        <f t="array" ref="D289">INDEX('raw-sheet'!$A$2:$ZZ$1000, ROW(D288), MATCH(D$1, 'raw-sheet'!$A$1:$ZZ$1, 0))</f>
        <v>200</v>
      </c>
      <c r="E289" s="30" t="str">
        <f t="shared" si="8"/>
        <v>Pass</v>
      </c>
      <c r="F289" s="28" t="str">
        <f t="array" ref="F289">INDEX('raw-sheet'!$A$2:$ZZ$1000, ROW(F288), MATCH(F$1, 'raw-sheet'!$A$1:$ZZ$1, 0))</f>
        <v>綠茶神經醯胺保濕霜 50ml_x000D_ | INNISFREE Taiwan</v>
      </c>
      <c r="G289" s="30" t="s">
        <v>11</v>
      </c>
      <c r="H289" s="28" t="str">
        <f t="array" ref="H289">INDEX('raw-sheet'!$A$2:$ZZ$1000, ROW(H288), MATCH(H$1, 'raw-sheet'!$A$1:$ZZ$1, 0))</f>
        <v>強化肌膚保濕屏障的保濕霜，富含超導綠茶保濕科技™和神經酰胺的輕盈配方，可立即保濕舒緩乾燥肌膚。</v>
      </c>
      <c r="I289" s="30" t="s">
        <v>11</v>
      </c>
      <c r="J289" s="28" t="str">
        <f t="array" ref="J289">INDEX('raw-sheet'!$A$2:$ZZ$1000, ROW(J288), MATCH(J$1, 'raw-sheet'!$A$1:$ZZ$1, 0))</f>
        <v>綠茶神經醯胺保濕霜 50ml</v>
      </c>
      <c r="K289" s="28" t="str">
        <f t="array" ref="K289">INDEX('raw-sheet'!$A$2:$ZZ$1000, ROW(K288), MATCH(K$1, 'raw-sheet'!$A$1:$ZZ$1, 0))</f>
        <v>1</v>
      </c>
      <c r="L289" s="30" t="s">
        <v>11</v>
      </c>
      <c r="M289" s="28" t="str">
        <f t="array" ref="M289">INDEX('raw-sheet'!$A$2:$ZZ$1000, ROW(M288), MATCH(M$1, 'raw-sheet'!$A$1:$ZZ$1, 0))</f>
        <v>https://innisfree-taiwan.myshopify.com/products/innisfree-green-tea-ceramide-cream</v>
      </c>
      <c r="N289" s="30" t="str">
        <f t="shared" si="9"/>
        <v>Pass</v>
      </c>
      <c r="O289" s="28" t="str">
        <f t="array" ref="O289">INDEX('raw-sheet'!$A$2:$ZZ$1000, ROW(O288), MATCH(O$1, 'raw-sheet'!$A$1:$ZZ$1, 0))</f>
        <v>綠茶神經醯胺保濕霜 50ml | INNISFREE Taiwan</v>
      </c>
      <c r="P289" s="28" t="str">
        <f t="array" ref="P289">INDEX('raw-sheet'!$A$2:$ZZ$1000, ROW(P288), MATCH(P$1, 'raw-sheet'!$A$1:$ZZ$1, 0))</f>
        <v>強化肌膚保濕屏障的保濕霜，富含超導綠茶保濕科技™和神經酰胺的輕盈配方，可立即保濕舒緩乾燥肌膚。</v>
      </c>
      <c r="Q289" s="28" t="str">
        <f t="array" ref="Q289">INDEX('raw-sheet'!$A$2:$ZZ$1000, ROW(Q288), MATCH(Q$1, 'raw-sheet'!$A$1:$ZZ$1, 0))</f>
        <v>product</v>
      </c>
      <c r="R289" s="28" t="str">
        <f t="array" ref="R289">INDEX('raw-sheet'!$A$2:$ZZ$1000, ROW(R288), MATCH(R$1, 'raw-sheet'!$A$1:$ZZ$1, 0))</f>
        <v>INNISFREE Taiwan</v>
      </c>
      <c r="S289" s="28" t="str">
        <f t="array" ref="S289">INDEX('raw-sheet'!$A$2:$ZZ$1000, ROW(S288), MATCH(S$1, 'raw-sheet'!$A$1:$ZZ$1, 0))</f>
        <v>http://innisfree-taiwan.myshopify.com/cdn/shop/files/pdp_mig_ea368c93_20260109_1636_ID0101_1_jpg.jpg?v=1768543071</v>
      </c>
      <c r="T289" s="28" t="str">
        <f t="array" ref="T289">INDEX('raw-sheet'!$A$2:$ZZ$1000, ROW(T288), MATCH(T$1, 'raw-sheet'!$A$1:$ZZ$1, 0))</f>
        <v>https://innisfree-taiwan.myshopify.com/cdn/shop/files/pdp_mig_ea368c93_20260109_1636_ID0101_1_jpg.jpg?v=1768543071</v>
      </c>
      <c r="U289" s="28" t="str">
        <f t="array" ref="U289">INDEX('raw-sheet'!$A$2:$ZZ$1000, ROW(U288), MATCH(U$1, 'raw-sheet'!$A$1:$ZZ$1, 0))</f>
        <v>https://innisfree-taiwan.myshopify.com/products/innisfree-green-tea-ceramide-cream</v>
      </c>
      <c r="V289" s="28" t="str">
        <f t="array" ref="V289">INDEX('raw-sheet'!$A$2:$ZZ$1000, ROW(V288), MATCH(V$1, 'raw-sheet'!$A$1:$ZZ$1, 0))</f>
        <v>綠茶神經醯胺保濕霜 50ml | INNISFREE Taiwan</v>
      </c>
      <c r="W289" s="28" t="str">
        <f t="array" ref="W289">INDEX('raw-sheet'!$A$2:$ZZ$1000, ROW(W288), MATCH(W$1, 'raw-sheet'!$A$1:$ZZ$1, 0))</f>
        <v>強化肌膚保濕屏障的保濕霜，富含超導綠茶保濕科技™和神經酰胺的輕盈配方，可立即保濕舒緩乾燥肌膚。</v>
      </c>
      <c r="X289" s="28" t="str">
        <f t="array" ref="X289">INDEX('raw-sheet'!$A$2:$ZZ$1000, ROW(X288), MATCH(X$1, 'raw-sheet'!$A$1:$ZZ$1, 0))</f>
        <v>summary_large_image</v>
      </c>
      <c r="Y289" s="30" t="s">
        <v>11</v>
      </c>
      <c r="Z289" s="28" t="str">
        <f>VLOOKUP($A289,'raw-schema'!$A:$R,14,0)</f>
        <v>Brand</v>
      </c>
      <c r="AA289" s="28" t="str">
        <f>VLOOKUP($A289,'raw-schema'!$A:$R,15,0)</f>
        <v>Offer</v>
      </c>
      <c r="AB289" s="28" t="str">
        <f>VLOOKUP($A289,'raw-schema'!$A:$R,16,0)</f>
        <v>Organization</v>
      </c>
      <c r="AC289" s="28" t="str">
        <f>VLOOKUP($A289,'raw-schema'!$A:$R,17,0)</f>
        <v>Product</v>
      </c>
      <c r="AD289" s="28">
        <f>VLOOKUP($A289,'raw-schema'!$A:$R,18,0)</f>
        <v>0</v>
      </c>
      <c r="AE289" s="30" t="s">
        <v>69</v>
      </c>
    </row>
    <row r="290" spans="1:31" x14ac:dyDescent="0.3">
      <c r="A290" s="28" t="str">
        <f t="array" ref="A290">INDEX('raw-sheet'!$A$2:$ZZ$1000, ROW(A289), MATCH(A$1, 'raw-sheet'!$A$1:$ZZ$1, 0))</f>
        <v>https://innisfree-taiwan.myshopify.com/products/innisfree-green-tea-ceramide-milk</v>
      </c>
      <c r="B290" s="30" t="s">
        <v>11</v>
      </c>
      <c r="C290" s="28" t="str">
        <f t="array" ref="C290">INDEX('raw-sheet'!$A$2:$ZZ$1000, ROW(C289), MATCH(C$1, 'raw-sheet'!$A$1:$ZZ$1, 0))</f>
        <v>Product Detail</v>
      </c>
      <c r="D290" s="28">
        <f t="array" ref="D290">INDEX('raw-sheet'!$A$2:$ZZ$1000, ROW(D289), MATCH(D$1, 'raw-sheet'!$A$1:$ZZ$1, 0))</f>
        <v>200</v>
      </c>
      <c r="E290" s="30" t="str">
        <f t="shared" si="8"/>
        <v>Pass</v>
      </c>
      <c r="F290" s="28" t="str">
        <f t="array" ref="F290">INDEX('raw-sheet'!$A$2:$ZZ$1000, ROW(F289), MATCH(F$1, 'raw-sheet'!$A$1:$ZZ$1, 0))</f>
        <v>綠茶神經醯胺牛奶水精華 160ml_x000D_ | INNISFREE Taiwan</v>
      </c>
      <c r="G290" s="30" t="s">
        <v>11</v>
      </c>
      <c r="H290" s="28" t="str">
        <f t="array" ref="H290">INDEX('raw-sheet'!$A$2:$ZZ$1000, ROW(H289), MATCH(H$1, 'raw-sheet'!$A$1:$ZZ$1, 0))</f>
        <v>富含超導綠茶保濕科技™和神經酰胺的輕盈配方，有助於強化肌膚保濕屏障，使肌膚恢復健康水潤的精華液。</v>
      </c>
      <c r="I290" s="30" t="s">
        <v>60</v>
      </c>
      <c r="J290" s="28" t="str">
        <f t="array" ref="J290">INDEX('raw-sheet'!$A$2:$ZZ$1000, ROW(J289), MATCH(J$1, 'raw-sheet'!$A$1:$ZZ$1, 0))</f>
        <v>綠茶神經醯胺牛奶水精華 160ml</v>
      </c>
      <c r="K290" s="28" t="str">
        <f t="array" ref="K290">INDEX('raw-sheet'!$A$2:$ZZ$1000, ROW(K289), MATCH(K$1, 'raw-sheet'!$A$1:$ZZ$1, 0))</f>
        <v>1</v>
      </c>
      <c r="L290" s="30" t="s">
        <v>11</v>
      </c>
      <c r="M290" s="28" t="str">
        <f t="array" ref="M290">INDEX('raw-sheet'!$A$2:$ZZ$1000, ROW(M289), MATCH(M$1, 'raw-sheet'!$A$1:$ZZ$1, 0))</f>
        <v>https://innisfree-taiwan.myshopify.com/products/innisfree-green-tea-ceramide-milk</v>
      </c>
      <c r="N290" s="30" t="str">
        <f t="shared" si="9"/>
        <v>Pass</v>
      </c>
      <c r="O290" s="28" t="str">
        <f t="array" ref="O290">INDEX('raw-sheet'!$A$2:$ZZ$1000, ROW(O289), MATCH(O$1, 'raw-sheet'!$A$1:$ZZ$1, 0))</f>
        <v>綠茶神經醯胺牛奶水精華 160ml | INNISFREE Taiwan</v>
      </c>
      <c r="P290" s="28" t="str">
        <f t="array" ref="P290">INDEX('raw-sheet'!$A$2:$ZZ$1000, ROW(P289), MATCH(P$1, 'raw-sheet'!$A$1:$ZZ$1, 0))</f>
        <v>富含超導綠茶保濕科技™和神經酰胺的輕盈配方，有助於強化肌膚保濕屏障，使肌膚恢復健康水潤的精華液。</v>
      </c>
      <c r="Q290" s="28" t="str">
        <f t="array" ref="Q290">INDEX('raw-sheet'!$A$2:$ZZ$1000, ROW(Q289), MATCH(Q$1, 'raw-sheet'!$A$1:$ZZ$1, 0))</f>
        <v>product</v>
      </c>
      <c r="R290" s="28" t="str">
        <f t="array" ref="R290">INDEX('raw-sheet'!$A$2:$ZZ$1000, ROW(R289), MATCH(R$1, 'raw-sheet'!$A$1:$ZZ$1, 0))</f>
        <v>INNISFREE Taiwan</v>
      </c>
      <c r="S290" s="28" t="str">
        <f t="array" ref="S290">INDEX('raw-sheet'!$A$2:$ZZ$1000, ROW(S289), MATCH(S$1, 'raw-sheet'!$A$1:$ZZ$1, 0))</f>
        <v>http://innisfree-taiwan.myshopify.com/cdn/shop/files/pdp_mig_62ad2a25_20251202_1635_ID0101_1_jpg.jpg?v=1768543070</v>
      </c>
      <c r="T290" s="28" t="str">
        <f t="array" ref="T290">INDEX('raw-sheet'!$A$2:$ZZ$1000, ROW(T289), MATCH(T$1, 'raw-sheet'!$A$1:$ZZ$1, 0))</f>
        <v>https://innisfree-taiwan.myshopify.com/cdn/shop/files/pdp_mig_62ad2a25_20251202_1635_ID0101_1_jpg.jpg?v=1768543070</v>
      </c>
      <c r="U290" s="28" t="str">
        <f t="array" ref="U290">INDEX('raw-sheet'!$A$2:$ZZ$1000, ROW(U289), MATCH(U$1, 'raw-sheet'!$A$1:$ZZ$1, 0))</f>
        <v>https://innisfree-taiwan.myshopify.com/products/innisfree-green-tea-ceramide-milk</v>
      </c>
      <c r="V290" s="28" t="str">
        <f t="array" ref="V290">INDEX('raw-sheet'!$A$2:$ZZ$1000, ROW(V289), MATCH(V$1, 'raw-sheet'!$A$1:$ZZ$1, 0))</f>
        <v>綠茶神經醯胺牛奶水精華 160ml | INNISFREE Taiwan</v>
      </c>
      <c r="W290" s="28" t="str">
        <f t="array" ref="W290">INDEX('raw-sheet'!$A$2:$ZZ$1000, ROW(W289), MATCH(W$1, 'raw-sheet'!$A$1:$ZZ$1, 0))</f>
        <v>富含超導綠茶保濕科技™和神經酰胺的輕盈配方，有助於強化肌膚保濕屏障，使肌膚恢復健康水潤的精華液。</v>
      </c>
      <c r="X290" s="28" t="str">
        <f t="array" ref="X290">INDEX('raw-sheet'!$A$2:$ZZ$1000, ROW(X289), MATCH(X$1, 'raw-sheet'!$A$1:$ZZ$1, 0))</f>
        <v>summary_large_image</v>
      </c>
      <c r="Y290" s="30" t="s">
        <v>56</v>
      </c>
      <c r="Z290" s="28" t="str">
        <f>VLOOKUP($A290,'raw-schema'!$A:$R,14,0)</f>
        <v>Brand</v>
      </c>
      <c r="AA290" s="28" t="str">
        <f>VLOOKUP($A290,'raw-schema'!$A:$R,15,0)</f>
        <v>Offer</v>
      </c>
      <c r="AB290" s="28" t="str">
        <f>VLOOKUP($A290,'raw-schema'!$A:$R,16,0)</f>
        <v>Organization</v>
      </c>
      <c r="AC290" s="28" t="str">
        <f>VLOOKUP($A290,'raw-schema'!$A:$R,17,0)</f>
        <v>Product</v>
      </c>
      <c r="AD290" s="28">
        <f>VLOOKUP($A290,'raw-schema'!$A:$R,18,0)</f>
        <v>0</v>
      </c>
      <c r="AE290" s="30" t="s">
        <v>69</v>
      </c>
    </row>
    <row r="291" spans="1:31" x14ac:dyDescent="0.3">
      <c r="A291" s="28" t="str">
        <f t="array" ref="A291">INDEX('raw-sheet'!$A$2:$ZZ$1000, ROW(A290), MATCH(A$1, 'raw-sheet'!$A$1:$ZZ$1, 0))</f>
        <v>https://innisfree-taiwan.myshopify.com/products/innisfree-green-tea-ceramide-milk-photo</v>
      </c>
      <c r="B291" s="30" t="s">
        <v>11</v>
      </c>
      <c r="C291" s="28" t="str">
        <f t="array" ref="C291">INDEX('raw-sheet'!$A$2:$ZZ$1000, ROW(C290), MATCH(C$1, 'raw-sheet'!$A$1:$ZZ$1, 0))</f>
        <v>Product Detail</v>
      </c>
      <c r="D291" s="28">
        <f t="array" ref="D291">INDEX('raw-sheet'!$A$2:$ZZ$1000, ROW(D290), MATCH(D$1, 'raw-sheet'!$A$1:$ZZ$1, 0))</f>
        <v>200</v>
      </c>
      <c r="E291" s="30" t="str">
        <f t="shared" si="8"/>
        <v>Pass</v>
      </c>
      <c r="F291" s="28" t="str">
        <f t="array" ref="F291">INDEX('raw-sheet'!$A$2:$ZZ$1000, ROW(F290), MATCH(F$1, 'raw-sheet'!$A$1:$ZZ$1, 0))</f>
        <v>[Mingyu照片限定組]綠茶神經醯胺牛奶水精華_x000D_ | INNISFREE Taiwan</v>
      </c>
      <c r="G291" s="30" t="s">
        <v>11</v>
      </c>
      <c r="H291" s="28" t="str">
        <f t="array" ref="H291">INDEX('raw-sheet'!$A$2:$ZZ$1000, ROW(H290), MATCH(H$1, 'raw-sheet'!$A$1:$ZZ$1, 0))</f>
        <v>富含超導綠茶保濕科技™和神經酰胺的輕盈配方，有助於強化肌膚保濕屏障，使肌膚恢復健康水潤的精華液。</v>
      </c>
      <c r="I291" s="30" t="s">
        <v>60</v>
      </c>
      <c r="J291" s="28" t="str">
        <f t="array" ref="J291">INDEX('raw-sheet'!$A$2:$ZZ$1000, ROW(J290), MATCH(J$1, 'raw-sheet'!$A$1:$ZZ$1, 0))</f>
        <v>[Mingyu照片限定組]綠茶神經醯胺牛奶水精華</v>
      </c>
      <c r="K291" s="28" t="str">
        <f t="array" ref="K291">INDEX('raw-sheet'!$A$2:$ZZ$1000, ROW(K290), MATCH(K$1, 'raw-sheet'!$A$1:$ZZ$1, 0))</f>
        <v>1</v>
      </c>
      <c r="L291" s="30" t="s">
        <v>11</v>
      </c>
      <c r="M291" s="28" t="str">
        <f t="array" ref="M291">INDEX('raw-sheet'!$A$2:$ZZ$1000, ROW(M290), MATCH(M$1, 'raw-sheet'!$A$1:$ZZ$1, 0))</f>
        <v>https://innisfree-taiwan.myshopify.com/products/innisfree-green-tea-ceramide-milk-photo</v>
      </c>
      <c r="N291" s="30" t="str">
        <f t="shared" si="9"/>
        <v>Pass</v>
      </c>
      <c r="O291" s="28" t="str">
        <f t="array" ref="O291">INDEX('raw-sheet'!$A$2:$ZZ$1000, ROW(O290), MATCH(O$1, 'raw-sheet'!$A$1:$ZZ$1, 0))</f>
        <v>[Mingyu照片限定組]綠茶神經醯胺牛奶水精華 | INNISFREE Taiwan</v>
      </c>
      <c r="P291" s="28" t="str">
        <f t="array" ref="P291">INDEX('raw-sheet'!$A$2:$ZZ$1000, ROW(P290), MATCH(P$1, 'raw-sheet'!$A$1:$ZZ$1, 0))</f>
        <v>富含超導綠茶保濕科技™和神經酰胺的輕盈配方，有助於強化肌膚保濕屏障，使肌膚恢復健康水潤的精華液。</v>
      </c>
      <c r="Q291" s="28" t="str">
        <f t="array" ref="Q291">INDEX('raw-sheet'!$A$2:$ZZ$1000, ROW(Q290), MATCH(Q$1, 'raw-sheet'!$A$1:$ZZ$1, 0))</f>
        <v>product</v>
      </c>
      <c r="R291" s="28" t="str">
        <f t="array" ref="R291">INDEX('raw-sheet'!$A$2:$ZZ$1000, ROW(R290), MATCH(R$1, 'raw-sheet'!$A$1:$ZZ$1, 0))</f>
        <v>INNISFREE Taiwan</v>
      </c>
      <c r="S291" s="28" t="str">
        <f t="array" ref="S291">INDEX('raw-sheet'!$A$2:$ZZ$1000, ROW(S290), MATCH(S$1, 'raw-sheet'!$A$1:$ZZ$1, 0))</f>
        <v>http://innisfree-taiwan.myshopify.com/cdn/shop/files/20251224_1713_ID0101_1.jpg?v=1770623248</v>
      </c>
      <c r="T291" s="28" t="str">
        <f t="array" ref="T291">INDEX('raw-sheet'!$A$2:$ZZ$1000, ROW(T290), MATCH(T$1, 'raw-sheet'!$A$1:$ZZ$1, 0))</f>
        <v>https://innisfree-taiwan.myshopify.com/cdn/shop/files/20251224_1713_ID0101_1.jpg?v=1770623248</v>
      </c>
      <c r="U291" s="28" t="str">
        <f t="array" ref="U291">INDEX('raw-sheet'!$A$2:$ZZ$1000, ROW(U290), MATCH(U$1, 'raw-sheet'!$A$1:$ZZ$1, 0))</f>
        <v>https://innisfree-taiwan.myshopify.com/products/innisfree-green-tea-ceramide-milk-photo</v>
      </c>
      <c r="V291" s="28" t="str">
        <f t="array" ref="V291">INDEX('raw-sheet'!$A$2:$ZZ$1000, ROW(V290), MATCH(V$1, 'raw-sheet'!$A$1:$ZZ$1, 0))</f>
        <v>[Mingyu照片限定組]綠茶神經醯胺牛奶水精華 | INNISFREE Taiwan</v>
      </c>
      <c r="W291" s="28" t="str">
        <f t="array" ref="W291">INDEX('raw-sheet'!$A$2:$ZZ$1000, ROW(W290), MATCH(W$1, 'raw-sheet'!$A$1:$ZZ$1, 0))</f>
        <v>富含超導綠茶保濕科技™和神經酰胺的輕盈配方，有助於強化肌膚保濕屏障，使肌膚恢復健康水潤的精華液。</v>
      </c>
      <c r="X291" s="28" t="str">
        <f t="array" ref="X291">INDEX('raw-sheet'!$A$2:$ZZ$1000, ROW(X290), MATCH(X$1, 'raw-sheet'!$A$1:$ZZ$1, 0))</f>
        <v>summary_large_image</v>
      </c>
      <c r="Y291" s="30" t="s">
        <v>56</v>
      </c>
      <c r="Z291" s="28" t="str">
        <f>VLOOKUP($A291,'raw-schema'!$A:$R,14,0)</f>
        <v>Brand</v>
      </c>
      <c r="AA291" s="28" t="str">
        <f>VLOOKUP($A291,'raw-schema'!$A:$R,15,0)</f>
        <v>Offer</v>
      </c>
      <c r="AB291" s="28" t="str">
        <f>VLOOKUP($A291,'raw-schema'!$A:$R,16,0)</f>
        <v>Organization</v>
      </c>
      <c r="AC291" s="28" t="str">
        <f>VLOOKUP($A291,'raw-schema'!$A:$R,17,0)</f>
        <v>Product</v>
      </c>
      <c r="AD291" s="28">
        <f>VLOOKUP($A291,'raw-schema'!$A:$R,18,0)</f>
        <v>0</v>
      </c>
      <c r="AE291" s="30" t="s">
        <v>69</v>
      </c>
    </row>
    <row r="292" spans="1:31" x14ac:dyDescent="0.3">
      <c r="A292" s="28" t="str">
        <f t="array" ref="A292">INDEX('raw-sheet'!$A$2:$ZZ$1000, ROW(A291), MATCH(A$1, 'raw-sheet'!$A$1:$ZZ$1, 0))</f>
        <v>https://innisfree-taiwan.myshopify.com/products/innisfree-green-tea-ceramide-milk-refill</v>
      </c>
      <c r="B292" s="30" t="s">
        <v>11</v>
      </c>
      <c r="C292" s="28" t="str">
        <f t="array" ref="C292">INDEX('raw-sheet'!$A$2:$ZZ$1000, ROW(C291), MATCH(C$1, 'raw-sheet'!$A$1:$ZZ$1, 0))</f>
        <v>Product Detail</v>
      </c>
      <c r="D292" s="28">
        <f t="array" ref="D292">INDEX('raw-sheet'!$A$2:$ZZ$1000, ROW(D291), MATCH(D$1, 'raw-sheet'!$A$1:$ZZ$1, 0))</f>
        <v>200</v>
      </c>
      <c r="E292" s="30" t="str">
        <f t="shared" si="8"/>
        <v>Pass</v>
      </c>
      <c r="F292" s="28" t="str">
        <f t="array" ref="F292">INDEX('raw-sheet'!$A$2:$ZZ$1000, ROW(F291), MATCH(F$1, 'raw-sheet'!$A$1:$ZZ$1, 0))</f>
        <v>綠茶神經醯胺牛奶水精華160ml[補充包]_x000D_ | INNISFREE Taiwan</v>
      </c>
      <c r="G292" s="30" t="s">
        <v>11</v>
      </c>
      <c r="H292" s="28" t="str">
        <f t="array" ref="H292">INDEX('raw-sheet'!$A$2:$ZZ$1000, ROW(H291), MATCH(H$1, 'raw-sheet'!$A$1:$ZZ$1, 0))</f>
        <v>富含超導綠茶保濕科技™和神經酰胺的輕盈配方，有助於強化肌膚保濕屏障，使肌膚恢復健康水潤的精華液。</v>
      </c>
      <c r="I292" s="30" t="s">
        <v>60</v>
      </c>
      <c r="J292" s="28" t="str">
        <f t="array" ref="J292">INDEX('raw-sheet'!$A$2:$ZZ$1000, ROW(J291), MATCH(J$1, 'raw-sheet'!$A$1:$ZZ$1, 0))</f>
        <v>綠茶神經醯胺牛奶水精華160ml[補充包]</v>
      </c>
      <c r="K292" s="28" t="str">
        <f t="array" ref="K292">INDEX('raw-sheet'!$A$2:$ZZ$1000, ROW(K291), MATCH(K$1, 'raw-sheet'!$A$1:$ZZ$1, 0))</f>
        <v>1</v>
      </c>
      <c r="L292" s="30" t="s">
        <v>11</v>
      </c>
      <c r="M292" s="28" t="str">
        <f t="array" ref="M292">INDEX('raw-sheet'!$A$2:$ZZ$1000, ROW(M291), MATCH(M$1, 'raw-sheet'!$A$1:$ZZ$1, 0))</f>
        <v>https://innisfree-taiwan.myshopify.com/products/innisfree-green-tea-ceramide-milk-refill</v>
      </c>
      <c r="N292" s="30" t="str">
        <f t="shared" si="9"/>
        <v>Pass</v>
      </c>
      <c r="O292" s="28" t="str">
        <f t="array" ref="O292">INDEX('raw-sheet'!$A$2:$ZZ$1000, ROW(O291), MATCH(O$1, 'raw-sheet'!$A$1:$ZZ$1, 0))</f>
        <v>綠茶神經醯胺牛奶水精華160ml[補充包] | INNISFREE Taiwan</v>
      </c>
      <c r="P292" s="28" t="str">
        <f t="array" ref="P292">INDEX('raw-sheet'!$A$2:$ZZ$1000, ROW(P291), MATCH(P$1, 'raw-sheet'!$A$1:$ZZ$1, 0))</f>
        <v>富含超導綠茶保濕科技™和神經酰胺的輕盈配方，有助於強化肌膚保濕屏障，使肌膚恢復健康水潤的精華液。</v>
      </c>
      <c r="Q292" s="28" t="str">
        <f t="array" ref="Q292">INDEX('raw-sheet'!$A$2:$ZZ$1000, ROW(Q291), MATCH(Q$1, 'raw-sheet'!$A$1:$ZZ$1, 0))</f>
        <v>product</v>
      </c>
      <c r="R292" s="28" t="str">
        <f t="array" ref="R292">INDEX('raw-sheet'!$A$2:$ZZ$1000, ROW(R291), MATCH(R$1, 'raw-sheet'!$A$1:$ZZ$1, 0))</f>
        <v>INNISFREE Taiwan</v>
      </c>
      <c r="S292" s="28" t="str">
        <f t="array" ref="S292">INDEX('raw-sheet'!$A$2:$ZZ$1000, ROW(S291), MATCH(S$1, 'raw-sheet'!$A$1:$ZZ$1, 0))</f>
        <v>http://innisfree-taiwan.myshopify.com/cdn/shop/files/pdp_mig_c6f398ac_20251117_1675_ID0101_1_jpg.jpg?v=1768543071</v>
      </c>
      <c r="T292" s="28" t="str">
        <f t="array" ref="T292">INDEX('raw-sheet'!$A$2:$ZZ$1000, ROW(T291), MATCH(T$1, 'raw-sheet'!$A$1:$ZZ$1, 0))</f>
        <v>https://innisfree-taiwan.myshopify.com/cdn/shop/files/pdp_mig_c6f398ac_20251117_1675_ID0101_1_jpg.jpg?v=1768543071</v>
      </c>
      <c r="U292" s="28" t="str">
        <f t="array" ref="U292">INDEX('raw-sheet'!$A$2:$ZZ$1000, ROW(U291), MATCH(U$1, 'raw-sheet'!$A$1:$ZZ$1, 0))</f>
        <v>https://innisfree-taiwan.myshopify.com/products/innisfree-green-tea-ceramide-milk-refill</v>
      </c>
      <c r="V292" s="28" t="str">
        <f t="array" ref="V292">INDEX('raw-sheet'!$A$2:$ZZ$1000, ROW(V291), MATCH(V$1, 'raw-sheet'!$A$1:$ZZ$1, 0))</f>
        <v>綠茶神經醯胺牛奶水精華160ml[補充包] | INNISFREE Taiwan</v>
      </c>
      <c r="W292" s="28" t="str">
        <f t="array" ref="W292">INDEX('raw-sheet'!$A$2:$ZZ$1000, ROW(W291), MATCH(W$1, 'raw-sheet'!$A$1:$ZZ$1, 0))</f>
        <v>富含超導綠茶保濕科技™和神經酰胺的輕盈配方，有助於強化肌膚保濕屏障，使肌膚恢復健康水潤的精華液。</v>
      </c>
      <c r="X292" s="28" t="str">
        <f t="array" ref="X292">INDEX('raw-sheet'!$A$2:$ZZ$1000, ROW(X291), MATCH(X$1, 'raw-sheet'!$A$1:$ZZ$1, 0))</f>
        <v>summary_large_image</v>
      </c>
      <c r="Y292" s="30" t="s">
        <v>56</v>
      </c>
      <c r="Z292" s="28" t="str">
        <f>VLOOKUP($A292,'raw-schema'!$A:$R,14,0)</f>
        <v>Brand</v>
      </c>
      <c r="AA292" s="28" t="str">
        <f>VLOOKUP($A292,'raw-schema'!$A:$R,15,0)</f>
        <v>Offer</v>
      </c>
      <c r="AB292" s="28" t="str">
        <f>VLOOKUP($A292,'raw-schema'!$A:$R,16,0)</f>
        <v>Organization</v>
      </c>
      <c r="AC292" s="28" t="str">
        <f>VLOOKUP($A292,'raw-schema'!$A:$R,17,0)</f>
        <v>Product</v>
      </c>
      <c r="AD292" s="28">
        <f>VLOOKUP($A292,'raw-schema'!$A:$R,18,0)</f>
        <v>0</v>
      </c>
      <c r="AE292" s="30" t="s">
        <v>69</v>
      </c>
    </row>
    <row r="293" spans="1:31" x14ac:dyDescent="0.3">
      <c r="A293" s="28" t="str">
        <f t="array" ref="A293">INDEX('raw-sheet'!$A$2:$ZZ$1000, ROW(A292), MATCH(A$1, 'raw-sheet'!$A$1:$ZZ$1, 0))</f>
        <v>https://innisfree-taiwan.myshopify.com/products/innisfree-green-tea-hyaluronic-glow-eye-faceball</v>
      </c>
      <c r="B293" s="30" t="s">
        <v>11</v>
      </c>
      <c r="C293" s="28" t="str">
        <f t="array" ref="C293">INDEX('raw-sheet'!$A$2:$ZZ$1000, ROW(C292), MATCH(C$1, 'raw-sheet'!$A$1:$ZZ$1, 0))</f>
        <v>Product Detail</v>
      </c>
      <c r="D293" s="28">
        <f t="array" ref="D293">INDEX('raw-sheet'!$A$2:$ZZ$1000, ROW(D292), MATCH(D$1, 'raw-sheet'!$A$1:$ZZ$1, 0))</f>
        <v>200</v>
      </c>
      <c r="E293" s="30" t="str">
        <f t="shared" si="8"/>
        <v>Pass</v>
      </c>
      <c r="F293" s="28" t="str">
        <f t="array" ref="F293">INDEX('raw-sheet'!$A$2:$ZZ$1000, ROW(F292), MATCH(F$1, 'raw-sheet'!$A$1:$ZZ$1, 0))</f>
        <v>綠茶玻尿酸保濕滾珠眼部精華 10ml_x000D_ | INNISFREE Taiwan</v>
      </c>
      <c r="G293" s="30" t="s">
        <v>11</v>
      </c>
      <c r="H293" s="28" t="str">
        <f t="array" ref="H293">INDEX('raw-sheet'!$A$2:$ZZ$1000, ROW(H292), MATCH(H$1, 'raw-sheet'!$A$1:$ZZ$1, 0))</f>
        <v>富含綠茶萃取物、玻尿酸，清涼滾珠按摩疲勞的眼部肌膚，有助於滋潤和提亮眼周的眼部精華。適合所有膚質。</v>
      </c>
      <c r="I293" s="30" t="s">
        <v>11</v>
      </c>
      <c r="J293" s="28" t="str">
        <f t="array" ref="J293">INDEX('raw-sheet'!$A$2:$ZZ$1000, ROW(J292), MATCH(J$1, 'raw-sheet'!$A$1:$ZZ$1, 0))</f>
        <v>綠茶玻尿酸保濕滾珠眼部精華 10ml</v>
      </c>
      <c r="K293" s="28" t="str">
        <f t="array" ref="K293">INDEX('raw-sheet'!$A$2:$ZZ$1000, ROW(K292), MATCH(K$1, 'raw-sheet'!$A$1:$ZZ$1, 0))</f>
        <v>1</v>
      </c>
      <c r="L293" s="30" t="s">
        <v>11</v>
      </c>
      <c r="M293" s="28" t="str">
        <f t="array" ref="M293">INDEX('raw-sheet'!$A$2:$ZZ$1000, ROW(M292), MATCH(M$1, 'raw-sheet'!$A$1:$ZZ$1, 0))</f>
        <v>https://innisfree-taiwan.myshopify.com/products/innisfree-green-tea-hyaluronic-glow-eye-faceball</v>
      </c>
      <c r="N293" s="30" t="str">
        <f t="shared" si="9"/>
        <v>Pass</v>
      </c>
      <c r="O293" s="28" t="str">
        <f t="array" ref="O293">INDEX('raw-sheet'!$A$2:$ZZ$1000, ROW(O292), MATCH(O$1, 'raw-sheet'!$A$1:$ZZ$1, 0))</f>
        <v>綠茶玻尿酸保濕滾珠眼部精華 10ml | INNISFREE Taiwan</v>
      </c>
      <c r="P293" s="28" t="str">
        <f t="array" ref="P293">INDEX('raw-sheet'!$A$2:$ZZ$1000, ROW(P292), MATCH(P$1, 'raw-sheet'!$A$1:$ZZ$1, 0))</f>
        <v>富含綠茶萃取物、玻尿酸，清涼滾珠按摩疲勞的眼部肌膚，有助於滋潤和提亮眼周的眼部精華。適合所有膚質。</v>
      </c>
      <c r="Q293" s="28" t="str">
        <f t="array" ref="Q293">INDEX('raw-sheet'!$A$2:$ZZ$1000, ROW(Q292), MATCH(Q$1, 'raw-sheet'!$A$1:$ZZ$1, 0))</f>
        <v>product</v>
      </c>
      <c r="R293" s="28" t="str">
        <f t="array" ref="R293">INDEX('raw-sheet'!$A$2:$ZZ$1000, ROW(R292), MATCH(R$1, 'raw-sheet'!$A$1:$ZZ$1, 0))</f>
        <v>INNISFREE Taiwan</v>
      </c>
      <c r="S293" s="28" t="str">
        <f t="array" ref="S293">INDEX('raw-sheet'!$A$2:$ZZ$1000, ROW(S292), MATCH(S$1, 'raw-sheet'!$A$1:$ZZ$1, 0))</f>
        <v>http://innisfree-taiwan.myshopify.com/cdn/shop/files/pdp_mig_c0d241eb_20260109_849_ID0101_1_jpg.jpg?v=1768543108</v>
      </c>
      <c r="T293" s="28" t="str">
        <f t="array" ref="T293">INDEX('raw-sheet'!$A$2:$ZZ$1000, ROW(T292), MATCH(T$1, 'raw-sheet'!$A$1:$ZZ$1, 0))</f>
        <v>https://innisfree-taiwan.myshopify.com/cdn/shop/files/pdp_mig_c0d241eb_20260109_849_ID0101_1_jpg.jpg?v=1768543108</v>
      </c>
      <c r="U293" s="28" t="str">
        <f t="array" ref="U293">INDEX('raw-sheet'!$A$2:$ZZ$1000, ROW(U292), MATCH(U$1, 'raw-sheet'!$A$1:$ZZ$1, 0))</f>
        <v>https://innisfree-taiwan.myshopify.com/products/innisfree-green-tea-hyaluronic-glow-eye-faceball</v>
      </c>
      <c r="V293" s="28" t="str">
        <f t="array" ref="V293">INDEX('raw-sheet'!$A$2:$ZZ$1000, ROW(V292), MATCH(V$1, 'raw-sheet'!$A$1:$ZZ$1, 0))</f>
        <v>綠茶玻尿酸保濕滾珠眼部精華 10ml | INNISFREE Taiwan</v>
      </c>
      <c r="W293" s="28" t="str">
        <f t="array" ref="W293">INDEX('raw-sheet'!$A$2:$ZZ$1000, ROW(W292), MATCH(W$1, 'raw-sheet'!$A$1:$ZZ$1, 0))</f>
        <v>富含綠茶萃取物、玻尿酸，清涼滾珠按摩疲勞的眼部肌膚，有助於滋潤和提亮眼周的眼部精華。適合所有膚質。</v>
      </c>
      <c r="X293" s="28" t="str">
        <f t="array" ref="X293">INDEX('raw-sheet'!$A$2:$ZZ$1000, ROW(X292), MATCH(X$1, 'raw-sheet'!$A$1:$ZZ$1, 0))</f>
        <v>summary_large_image</v>
      </c>
      <c r="Y293" s="30" t="s">
        <v>11</v>
      </c>
      <c r="Z293" s="28" t="str">
        <f>VLOOKUP($A293,'raw-schema'!$A:$R,14,0)</f>
        <v>Brand</v>
      </c>
      <c r="AA293" s="28" t="str">
        <f>VLOOKUP($A293,'raw-schema'!$A:$R,15,0)</f>
        <v>Offer</v>
      </c>
      <c r="AB293" s="28" t="str">
        <f>VLOOKUP($A293,'raw-schema'!$A:$R,16,0)</f>
        <v>Organization</v>
      </c>
      <c r="AC293" s="28" t="str">
        <f>VLOOKUP($A293,'raw-schema'!$A:$R,17,0)</f>
        <v>Product</v>
      </c>
      <c r="AD293" s="28">
        <f>VLOOKUP($A293,'raw-schema'!$A:$R,18,0)</f>
        <v>0</v>
      </c>
      <c r="AE293" s="30" t="s">
        <v>69</v>
      </c>
    </row>
    <row r="294" spans="1:31" x14ac:dyDescent="0.3">
      <c r="A294" s="28" t="str">
        <f t="array" ref="A294">INDEX('raw-sheet'!$A$2:$ZZ$1000, ROW(A293), MATCH(A$1, 'raw-sheet'!$A$1:$ZZ$1, 0))</f>
        <v>https://innisfree-taiwan.myshopify.com/products/innisfree-green-tea-hyaluronic-lotion</v>
      </c>
      <c r="B294" s="30" t="s">
        <v>11</v>
      </c>
      <c r="C294" s="28" t="str">
        <f t="array" ref="C294">INDEX('raw-sheet'!$A$2:$ZZ$1000, ROW(C293), MATCH(C$1, 'raw-sheet'!$A$1:$ZZ$1, 0))</f>
        <v>Product Detail</v>
      </c>
      <c r="D294" s="28">
        <f t="array" ref="D294">INDEX('raw-sheet'!$A$2:$ZZ$1000, ROW(D293), MATCH(D$1, 'raw-sheet'!$A$1:$ZZ$1, 0))</f>
        <v>200</v>
      </c>
      <c r="E294" s="30" t="str">
        <f t="shared" si="8"/>
        <v>Pass</v>
      </c>
      <c r="F294" s="28" t="str">
        <f t="array" ref="F294">INDEX('raw-sheet'!$A$2:$ZZ$1000, ROW(F293), MATCH(F$1, 'raw-sheet'!$A$1:$ZZ$1, 0))</f>
        <v>綠茶玻尿酸保濕調理乳 170ml_x000D_ | INNISFREE Taiwan</v>
      </c>
      <c r="G294" s="30" t="s">
        <v>11</v>
      </c>
      <c r="H294" s="28" t="str">
        <f t="array" ref="H294">INDEX('raw-sheet'!$A$2:$ZZ$1000, ROW(H293), MATCH(H$1, 'raw-sheet'!$A$1:$ZZ$1, 0))</f>
        <v>採用綠茶萃取及玻尿酸成分，軟化肌膚、補水保濕，打造肌膚健康透亮的保濕乳液。</v>
      </c>
      <c r="I294" s="30" t="s">
        <v>11</v>
      </c>
      <c r="J294" s="28" t="str">
        <f t="array" ref="J294">INDEX('raw-sheet'!$A$2:$ZZ$1000, ROW(J293), MATCH(J$1, 'raw-sheet'!$A$1:$ZZ$1, 0))</f>
        <v>綠茶玻尿酸保濕調理乳 170ml</v>
      </c>
      <c r="K294" s="28" t="str">
        <f t="array" ref="K294">INDEX('raw-sheet'!$A$2:$ZZ$1000, ROW(K293), MATCH(K$1, 'raw-sheet'!$A$1:$ZZ$1, 0))</f>
        <v>1</v>
      </c>
      <c r="L294" s="30" t="s">
        <v>11</v>
      </c>
      <c r="M294" s="28" t="str">
        <f t="array" ref="M294">INDEX('raw-sheet'!$A$2:$ZZ$1000, ROW(M293), MATCH(M$1, 'raw-sheet'!$A$1:$ZZ$1, 0))</f>
        <v>https://innisfree-taiwan.myshopify.com/products/innisfree-green-tea-hyaluronic-lotion</v>
      </c>
      <c r="N294" s="30" t="str">
        <f t="shared" si="9"/>
        <v>Pass</v>
      </c>
      <c r="O294" s="28" t="str">
        <f t="array" ref="O294">INDEX('raw-sheet'!$A$2:$ZZ$1000, ROW(O293), MATCH(O$1, 'raw-sheet'!$A$1:$ZZ$1, 0))</f>
        <v>綠茶玻尿酸保濕調理乳 170ml | INNISFREE Taiwan</v>
      </c>
      <c r="P294" s="28" t="str">
        <f t="array" ref="P294">INDEX('raw-sheet'!$A$2:$ZZ$1000, ROW(P293), MATCH(P$1, 'raw-sheet'!$A$1:$ZZ$1, 0))</f>
        <v>採用綠茶萃取及玻尿酸成分，軟化肌膚、補水保濕，打造肌膚健康透亮的保濕乳液。</v>
      </c>
      <c r="Q294" s="28" t="str">
        <f t="array" ref="Q294">INDEX('raw-sheet'!$A$2:$ZZ$1000, ROW(Q293), MATCH(Q$1, 'raw-sheet'!$A$1:$ZZ$1, 0))</f>
        <v>product</v>
      </c>
      <c r="R294" s="28" t="str">
        <f t="array" ref="R294">INDEX('raw-sheet'!$A$2:$ZZ$1000, ROW(R293), MATCH(R$1, 'raw-sheet'!$A$1:$ZZ$1, 0))</f>
        <v>INNISFREE Taiwan</v>
      </c>
      <c r="S294" s="28" t="str">
        <f t="array" ref="S294">INDEX('raw-sheet'!$A$2:$ZZ$1000, ROW(S293), MATCH(S$1, 'raw-sheet'!$A$1:$ZZ$1, 0))</f>
        <v>http://innisfree-taiwan.myshopify.com/cdn/shop/files/pdp_mig_f5f691fc_20230731_1178_ID0101_1_jpg.jpg?v=1768543102</v>
      </c>
      <c r="T294" s="28" t="str">
        <f t="array" ref="T294">INDEX('raw-sheet'!$A$2:$ZZ$1000, ROW(T293), MATCH(T$1, 'raw-sheet'!$A$1:$ZZ$1, 0))</f>
        <v>https://innisfree-taiwan.myshopify.com/cdn/shop/files/pdp_mig_f5f691fc_20230731_1178_ID0101_1_jpg.jpg?v=1768543102</v>
      </c>
      <c r="U294" s="28" t="str">
        <f t="array" ref="U294">INDEX('raw-sheet'!$A$2:$ZZ$1000, ROW(U293), MATCH(U$1, 'raw-sheet'!$A$1:$ZZ$1, 0))</f>
        <v>https://innisfree-taiwan.myshopify.com/products/innisfree-green-tea-hyaluronic-lotion</v>
      </c>
      <c r="V294" s="28" t="str">
        <f t="array" ref="V294">INDEX('raw-sheet'!$A$2:$ZZ$1000, ROW(V293), MATCH(V$1, 'raw-sheet'!$A$1:$ZZ$1, 0))</f>
        <v>綠茶玻尿酸保濕調理乳 170ml | INNISFREE Taiwan</v>
      </c>
      <c r="W294" s="28" t="str">
        <f t="array" ref="W294">INDEX('raw-sheet'!$A$2:$ZZ$1000, ROW(W293), MATCH(W$1, 'raw-sheet'!$A$1:$ZZ$1, 0))</f>
        <v>採用綠茶萃取及玻尿酸成分，軟化肌膚、補水保濕，打造肌膚健康透亮的保濕乳液。</v>
      </c>
      <c r="X294" s="28" t="str">
        <f t="array" ref="X294">INDEX('raw-sheet'!$A$2:$ZZ$1000, ROW(X293), MATCH(X$1, 'raw-sheet'!$A$1:$ZZ$1, 0))</f>
        <v>summary_large_image</v>
      </c>
      <c r="Y294" s="30" t="s">
        <v>11</v>
      </c>
      <c r="Z294" s="28" t="str">
        <f>VLOOKUP($A294,'raw-schema'!$A:$R,14,0)</f>
        <v>Brand</v>
      </c>
      <c r="AA294" s="28" t="str">
        <f>VLOOKUP($A294,'raw-schema'!$A:$R,15,0)</f>
        <v>Offer</v>
      </c>
      <c r="AB294" s="28" t="str">
        <f>VLOOKUP($A294,'raw-schema'!$A:$R,16,0)</f>
        <v>Organization</v>
      </c>
      <c r="AC294" s="28" t="str">
        <f>VLOOKUP($A294,'raw-schema'!$A:$R,17,0)</f>
        <v>Product</v>
      </c>
      <c r="AD294" s="28">
        <f>VLOOKUP($A294,'raw-schema'!$A:$R,18,0)</f>
        <v>0</v>
      </c>
      <c r="AE294" s="30" t="s">
        <v>69</v>
      </c>
    </row>
    <row r="295" spans="1:31" x14ac:dyDescent="0.3">
      <c r="A295" s="28" t="str">
        <f t="array" ref="A295">INDEX('raw-sheet'!$A$2:$ZZ$1000, ROW(A294), MATCH(A$1, 'raw-sheet'!$A$1:$ZZ$1, 0))</f>
        <v>https://innisfree-taiwan.myshopify.com/products/innisfree-green-tea-hyaluronic-mist</v>
      </c>
      <c r="B295" s="30" t="s">
        <v>11</v>
      </c>
      <c r="C295" s="28" t="str">
        <f t="array" ref="C295">INDEX('raw-sheet'!$A$2:$ZZ$1000, ROW(C294), MATCH(C$1, 'raw-sheet'!$A$1:$ZZ$1, 0))</f>
        <v>Product Detail</v>
      </c>
      <c r="D295" s="28">
        <f t="array" ref="D295">INDEX('raw-sheet'!$A$2:$ZZ$1000, ROW(D294), MATCH(D$1, 'raw-sheet'!$A$1:$ZZ$1, 0))</f>
        <v>200</v>
      </c>
      <c r="E295" s="30" t="str">
        <f t="shared" si="8"/>
        <v>Pass</v>
      </c>
      <c r="F295" s="28" t="str">
        <f t="array" ref="F295">INDEX('raw-sheet'!$A$2:$ZZ$1000, ROW(F294), MATCH(F$1, 'raw-sheet'!$A$1:$ZZ$1, 0))</f>
        <v>綠茶玻尿酸保濕噴霧 150ml_x000D_ | INNISFREE Taiwan</v>
      </c>
      <c r="G295" s="30" t="s">
        <v>11</v>
      </c>
      <c r="H295" s="28" t="str">
        <f t="array" ref="H295">INDEX('raw-sheet'!$A$2:$ZZ$1000, ROW(H294), MATCH(H$1, 'raw-sheet'!$A$1:$ZZ$1, 0))</f>
        <v>噴霧型保濕水，搭配美肌綠茶及五種玻尿酸，能隨時使用，緩解肌膚乾燥情形</v>
      </c>
      <c r="I295" s="30" t="s">
        <v>11</v>
      </c>
      <c r="J295" s="28" t="str">
        <f t="array" ref="J295">INDEX('raw-sheet'!$A$2:$ZZ$1000, ROW(J294), MATCH(J$1, 'raw-sheet'!$A$1:$ZZ$1, 0))</f>
        <v>綠茶玻尿酸保濕噴霧 150ml</v>
      </c>
      <c r="K295" s="28" t="str">
        <f t="array" ref="K295">INDEX('raw-sheet'!$A$2:$ZZ$1000, ROW(K294), MATCH(K$1, 'raw-sheet'!$A$1:$ZZ$1, 0))</f>
        <v>1</v>
      </c>
      <c r="L295" s="30" t="s">
        <v>11</v>
      </c>
      <c r="M295" s="28" t="str">
        <f t="array" ref="M295">INDEX('raw-sheet'!$A$2:$ZZ$1000, ROW(M294), MATCH(M$1, 'raw-sheet'!$A$1:$ZZ$1, 0))</f>
        <v>https://innisfree-taiwan.myshopify.com/products/innisfree-green-tea-hyaluronic-mist</v>
      </c>
      <c r="N295" s="30" t="str">
        <f t="shared" si="9"/>
        <v>Pass</v>
      </c>
      <c r="O295" s="28" t="str">
        <f t="array" ref="O295">INDEX('raw-sheet'!$A$2:$ZZ$1000, ROW(O294), MATCH(O$1, 'raw-sheet'!$A$1:$ZZ$1, 0))</f>
        <v>綠茶玻尿酸保濕噴霧 150ml | INNISFREE Taiwan</v>
      </c>
      <c r="P295" s="28" t="str">
        <f t="array" ref="P295">INDEX('raw-sheet'!$A$2:$ZZ$1000, ROW(P294), MATCH(P$1, 'raw-sheet'!$A$1:$ZZ$1, 0))</f>
        <v>噴霧型保濕水，搭配美肌綠茶及五種玻尿酸，能隨時使用，緩解肌膚乾燥情形</v>
      </c>
      <c r="Q295" s="28" t="str">
        <f t="array" ref="Q295">INDEX('raw-sheet'!$A$2:$ZZ$1000, ROW(Q294), MATCH(Q$1, 'raw-sheet'!$A$1:$ZZ$1, 0))</f>
        <v>product</v>
      </c>
      <c r="R295" s="28" t="str">
        <f t="array" ref="R295">INDEX('raw-sheet'!$A$2:$ZZ$1000, ROW(R294), MATCH(R$1, 'raw-sheet'!$A$1:$ZZ$1, 0))</f>
        <v>INNISFREE Taiwan</v>
      </c>
      <c r="S295" s="28" t="str">
        <f t="array" ref="S295">INDEX('raw-sheet'!$A$2:$ZZ$1000, ROW(S294), MATCH(S$1, 'raw-sheet'!$A$1:$ZZ$1, 0))</f>
        <v>http://innisfree-taiwan.myshopify.com/cdn/shop/files/pdp_mig_bf4dba49_20230828_962_ID0101_1_jpg.jpg?v=1768543103</v>
      </c>
      <c r="T295" s="28" t="str">
        <f t="array" ref="T295">INDEX('raw-sheet'!$A$2:$ZZ$1000, ROW(T294), MATCH(T$1, 'raw-sheet'!$A$1:$ZZ$1, 0))</f>
        <v>https://innisfree-taiwan.myshopify.com/cdn/shop/files/pdp_mig_bf4dba49_20230828_962_ID0101_1_jpg.jpg?v=1768543103</v>
      </c>
      <c r="U295" s="28" t="str">
        <f t="array" ref="U295">INDEX('raw-sheet'!$A$2:$ZZ$1000, ROW(U294), MATCH(U$1, 'raw-sheet'!$A$1:$ZZ$1, 0))</f>
        <v>https://innisfree-taiwan.myshopify.com/products/innisfree-green-tea-hyaluronic-mist</v>
      </c>
      <c r="V295" s="28" t="str">
        <f t="array" ref="V295">INDEX('raw-sheet'!$A$2:$ZZ$1000, ROW(V294), MATCH(V$1, 'raw-sheet'!$A$1:$ZZ$1, 0))</f>
        <v>綠茶玻尿酸保濕噴霧 150ml | INNISFREE Taiwan</v>
      </c>
      <c r="W295" s="28" t="str">
        <f t="array" ref="W295">INDEX('raw-sheet'!$A$2:$ZZ$1000, ROW(W294), MATCH(W$1, 'raw-sheet'!$A$1:$ZZ$1, 0))</f>
        <v>噴霧型保濕水，搭配美肌綠茶及五種玻尿酸，能隨時使用，緩解肌膚乾燥情形</v>
      </c>
      <c r="X295" s="28" t="str">
        <f t="array" ref="X295">INDEX('raw-sheet'!$A$2:$ZZ$1000, ROW(X294), MATCH(X$1, 'raw-sheet'!$A$1:$ZZ$1, 0))</f>
        <v>summary_large_image</v>
      </c>
      <c r="Y295" s="30" t="s">
        <v>11</v>
      </c>
      <c r="Z295" s="28" t="str">
        <f>VLOOKUP($A295,'raw-schema'!$A:$R,14,0)</f>
        <v>Brand</v>
      </c>
      <c r="AA295" s="28" t="str">
        <f>VLOOKUP($A295,'raw-schema'!$A:$R,15,0)</f>
        <v>Offer</v>
      </c>
      <c r="AB295" s="28" t="str">
        <f>VLOOKUP($A295,'raw-schema'!$A:$R,16,0)</f>
        <v>Organization</v>
      </c>
      <c r="AC295" s="28" t="str">
        <f>VLOOKUP($A295,'raw-schema'!$A:$R,17,0)</f>
        <v>Product</v>
      </c>
      <c r="AD295" s="28">
        <f>VLOOKUP($A295,'raw-schema'!$A:$R,18,0)</f>
        <v>0</v>
      </c>
      <c r="AE295" s="30" t="s">
        <v>69</v>
      </c>
    </row>
    <row r="296" spans="1:31" x14ac:dyDescent="0.3">
      <c r="A296" s="28" t="str">
        <f t="array" ref="A296">INDEX('raw-sheet'!$A$2:$ZZ$1000, ROW(A295), MATCH(A$1, 'raw-sheet'!$A$1:$ZZ$1, 0))</f>
        <v>https://innisfree-taiwan.myshopify.com/products/innisfree-green-tea-hyaluronic-moist-sun-serum-spf</v>
      </c>
      <c r="B296" s="30" t="s">
        <v>11</v>
      </c>
      <c r="C296" s="28" t="str">
        <f t="array" ref="C296">INDEX('raw-sheet'!$A$2:$ZZ$1000, ROW(C295), MATCH(C$1, 'raw-sheet'!$A$1:$ZZ$1, 0))</f>
        <v>Product Detail</v>
      </c>
      <c r="D296" s="28">
        <f t="array" ref="D296">INDEX('raw-sheet'!$A$2:$ZZ$1000, ROW(D295), MATCH(D$1, 'raw-sheet'!$A$1:$ZZ$1, 0))</f>
        <v>200</v>
      </c>
      <c r="E296" s="30" t="str">
        <f t="shared" si="8"/>
        <v>Pass</v>
      </c>
      <c r="F296" s="28" t="str">
        <f t="array" ref="F296">INDEX('raw-sheet'!$A$2:$ZZ$1000, ROW(F295), MATCH(F$1, 'raw-sheet'!$A$1:$ZZ$1, 0))</f>
        <v>綠茶玻尿酸保濕防曬精華 SPF50+ PA++++ 50ml_x000D_ | INNISFREE Taiwan</v>
      </c>
      <c r="G296" s="30" t="s">
        <v>11</v>
      </c>
      <c r="H296" s="28" t="str">
        <f t="array" ref="H296">INDEX('raw-sheet'!$A$2:$ZZ$1000, ROW(H295), MATCH(H$1, 'raw-sheet'!$A$1:$ZZ$1, 0))</f>
        <v>富含綠茶萃取並採用玻尿酸膠囊科技，有效抗UV防護肌膚，同時高效保濕肌膚的清爽防曬精華。適合所有膚質。</v>
      </c>
      <c r="I296" s="30" t="s">
        <v>11</v>
      </c>
      <c r="J296" s="28" t="str">
        <f t="array" ref="J296">INDEX('raw-sheet'!$A$2:$ZZ$1000, ROW(J295), MATCH(J$1, 'raw-sheet'!$A$1:$ZZ$1, 0))</f>
        <v>綠茶玻尿酸保濕防曬精華 SPF50+ PA++++ 50ml</v>
      </c>
      <c r="K296" s="28" t="str">
        <f t="array" ref="K296">INDEX('raw-sheet'!$A$2:$ZZ$1000, ROW(K295), MATCH(K$1, 'raw-sheet'!$A$1:$ZZ$1, 0))</f>
        <v>1</v>
      </c>
      <c r="L296" s="30" t="s">
        <v>11</v>
      </c>
      <c r="M296" s="28" t="str">
        <f t="array" ref="M296">INDEX('raw-sheet'!$A$2:$ZZ$1000, ROW(M295), MATCH(M$1, 'raw-sheet'!$A$1:$ZZ$1, 0))</f>
        <v>https://innisfree-taiwan.myshopify.com/products/innisfree-green-tea-hyaluronic-moist-sun-serum-spf</v>
      </c>
      <c r="N296" s="30" t="str">
        <f t="shared" si="9"/>
        <v>Pass</v>
      </c>
      <c r="O296" s="28" t="str">
        <f t="array" ref="O296">INDEX('raw-sheet'!$A$2:$ZZ$1000, ROW(O295), MATCH(O$1, 'raw-sheet'!$A$1:$ZZ$1, 0))</f>
        <v>綠茶玻尿酸保濕防曬精華 SPF50+ PA++++ 50ml | INNISFREE Taiwan</v>
      </c>
      <c r="P296" s="28" t="str">
        <f t="array" ref="P296">INDEX('raw-sheet'!$A$2:$ZZ$1000, ROW(P295), MATCH(P$1, 'raw-sheet'!$A$1:$ZZ$1, 0))</f>
        <v>富含綠茶萃取並採用玻尿酸膠囊科技，有效抗UV防護肌膚，同時高效保濕肌膚的清爽防曬精華。適合所有膚質。</v>
      </c>
      <c r="Q296" s="28" t="str">
        <f t="array" ref="Q296">INDEX('raw-sheet'!$A$2:$ZZ$1000, ROW(Q295), MATCH(Q$1, 'raw-sheet'!$A$1:$ZZ$1, 0))</f>
        <v>product</v>
      </c>
      <c r="R296" s="28" t="str">
        <f t="array" ref="R296">INDEX('raw-sheet'!$A$2:$ZZ$1000, ROW(R295), MATCH(R$1, 'raw-sheet'!$A$1:$ZZ$1, 0))</f>
        <v>INNISFREE Taiwan</v>
      </c>
      <c r="S296" s="28" t="str">
        <f t="array" ref="S296">INDEX('raw-sheet'!$A$2:$ZZ$1000, ROW(S295), MATCH(S$1, 'raw-sheet'!$A$1:$ZZ$1, 0))</f>
        <v>http://innisfree-taiwan.myshopify.com/cdn/shop/files/pdp_mig_9de0db08_20240716_1392_ID0101_1_jpg.jpg?v=1768543073</v>
      </c>
      <c r="T296" s="28" t="str">
        <f t="array" ref="T296">INDEX('raw-sheet'!$A$2:$ZZ$1000, ROW(T295), MATCH(T$1, 'raw-sheet'!$A$1:$ZZ$1, 0))</f>
        <v>https://innisfree-taiwan.myshopify.com/cdn/shop/files/pdp_mig_9de0db08_20240716_1392_ID0101_1_jpg.jpg?v=1768543073</v>
      </c>
      <c r="U296" s="28" t="str">
        <f t="array" ref="U296">INDEX('raw-sheet'!$A$2:$ZZ$1000, ROW(U295), MATCH(U$1, 'raw-sheet'!$A$1:$ZZ$1, 0))</f>
        <v>https://innisfree-taiwan.myshopify.com/products/innisfree-green-tea-hyaluronic-moist-sun-serum-spf</v>
      </c>
      <c r="V296" s="28" t="str">
        <f t="array" ref="V296">INDEX('raw-sheet'!$A$2:$ZZ$1000, ROW(V295), MATCH(V$1, 'raw-sheet'!$A$1:$ZZ$1, 0))</f>
        <v>綠茶玻尿酸保濕防曬精華 SPF50+ PA++++ 50ml | INNISFREE Taiwan</v>
      </c>
      <c r="W296" s="28" t="str">
        <f t="array" ref="W296">INDEX('raw-sheet'!$A$2:$ZZ$1000, ROW(W295), MATCH(W$1, 'raw-sheet'!$A$1:$ZZ$1, 0))</f>
        <v>富含綠茶萃取並採用玻尿酸膠囊科技，有效抗UV防護肌膚，同時高效保濕肌膚的清爽防曬精華。適合所有膚質。</v>
      </c>
      <c r="X296" s="28" t="str">
        <f t="array" ref="X296">INDEX('raw-sheet'!$A$2:$ZZ$1000, ROW(X295), MATCH(X$1, 'raw-sheet'!$A$1:$ZZ$1, 0))</f>
        <v>summary_large_image</v>
      </c>
      <c r="Y296" s="30" t="s">
        <v>11</v>
      </c>
      <c r="Z296" s="28" t="str">
        <f>VLOOKUP($A296,'raw-schema'!$A:$R,14,0)</f>
        <v>Brand</v>
      </c>
      <c r="AA296" s="28" t="str">
        <f>VLOOKUP($A296,'raw-schema'!$A:$R,15,0)</f>
        <v>Offer</v>
      </c>
      <c r="AB296" s="28" t="str">
        <f>VLOOKUP($A296,'raw-schema'!$A:$R,16,0)</f>
        <v>Organization</v>
      </c>
      <c r="AC296" s="28" t="str">
        <f>VLOOKUP($A296,'raw-schema'!$A:$R,17,0)</f>
        <v>Product</v>
      </c>
      <c r="AD296" s="28">
        <f>VLOOKUP($A296,'raw-schema'!$A:$R,18,0)</f>
        <v>0</v>
      </c>
      <c r="AE296" s="30" t="s">
        <v>69</v>
      </c>
    </row>
    <row r="297" spans="1:31" x14ac:dyDescent="0.3">
      <c r="A297" s="28" t="str">
        <f t="array" ref="A297">INDEX('raw-sheet'!$A$2:$ZZ$1000, ROW(A296), MATCH(A$1, 'raw-sheet'!$A$1:$ZZ$1, 0))</f>
        <v>https://innisfree-taiwan.myshopify.com/products/innisfree-green-tea-hyaluronic-skin</v>
      </c>
      <c r="B297" s="30" t="s">
        <v>11</v>
      </c>
      <c r="C297" s="28" t="str">
        <f t="array" ref="C297">INDEX('raw-sheet'!$A$2:$ZZ$1000, ROW(C296), MATCH(C$1, 'raw-sheet'!$A$1:$ZZ$1, 0))</f>
        <v>Product Detail</v>
      </c>
      <c r="D297" s="28">
        <f t="array" ref="D297">INDEX('raw-sheet'!$A$2:$ZZ$1000, ROW(D296), MATCH(D$1, 'raw-sheet'!$A$1:$ZZ$1, 0))</f>
        <v>200</v>
      </c>
      <c r="E297" s="30" t="str">
        <f t="shared" si="8"/>
        <v>Pass</v>
      </c>
      <c r="F297" s="28" t="str">
        <f t="array" ref="F297">INDEX('raw-sheet'!$A$2:$ZZ$1000, ROW(F296), MATCH(F$1, 'raw-sheet'!$A$1:$ZZ$1, 0))</f>
        <v>綠茶玻尿酸保濕調理液 170ml_x000D_ | INNISFREE Taiwan</v>
      </c>
      <c r="G297" s="30" t="s">
        <v>11</v>
      </c>
      <c r="H297" s="28" t="str">
        <f t="array" ref="H297">INDEX('raw-sheet'!$A$2:$ZZ$1000, ROW(H296), MATCH(H$1, 'raw-sheet'!$A$1:$ZZ$1, 0))</f>
        <v>含有濟州美肌綠茶的萃取與綠茶籽油，給予肌膚充分的保濕與加強肌膚保濕屏障的清爽化妝水。適合所有膚質。</v>
      </c>
      <c r="I297" s="30" t="s">
        <v>11</v>
      </c>
      <c r="J297" s="28" t="str">
        <f t="array" ref="J297">INDEX('raw-sheet'!$A$2:$ZZ$1000, ROW(J296), MATCH(J$1, 'raw-sheet'!$A$1:$ZZ$1, 0))</f>
        <v>綠茶玻尿酸保濕調理液 170ml</v>
      </c>
      <c r="K297" s="28" t="str">
        <f t="array" ref="K297">INDEX('raw-sheet'!$A$2:$ZZ$1000, ROW(K296), MATCH(K$1, 'raw-sheet'!$A$1:$ZZ$1, 0))</f>
        <v>1</v>
      </c>
      <c r="L297" s="30" t="s">
        <v>11</v>
      </c>
      <c r="M297" s="28" t="str">
        <f t="array" ref="M297">INDEX('raw-sheet'!$A$2:$ZZ$1000, ROW(M296), MATCH(M$1, 'raw-sheet'!$A$1:$ZZ$1, 0))</f>
        <v>https://innisfree-taiwan.myshopify.com/products/innisfree-green-tea-hyaluronic-skin</v>
      </c>
      <c r="N297" s="30" t="str">
        <f t="shared" si="9"/>
        <v>Pass</v>
      </c>
      <c r="O297" s="28" t="str">
        <f t="array" ref="O297">INDEX('raw-sheet'!$A$2:$ZZ$1000, ROW(O296), MATCH(O$1, 'raw-sheet'!$A$1:$ZZ$1, 0))</f>
        <v>綠茶玻尿酸保濕調理液 170ml | INNISFREE Taiwan</v>
      </c>
      <c r="P297" s="28" t="str">
        <f t="array" ref="P297">INDEX('raw-sheet'!$A$2:$ZZ$1000, ROW(P296), MATCH(P$1, 'raw-sheet'!$A$1:$ZZ$1, 0))</f>
        <v>含有濟州美肌綠茶的萃取與綠茶籽油，給予肌膚充分的保濕與加強肌膚保濕屏障的清爽化妝水。適合所有膚質。</v>
      </c>
      <c r="Q297" s="28" t="str">
        <f t="array" ref="Q297">INDEX('raw-sheet'!$A$2:$ZZ$1000, ROW(Q296), MATCH(Q$1, 'raw-sheet'!$A$1:$ZZ$1, 0))</f>
        <v>product</v>
      </c>
      <c r="R297" s="28" t="str">
        <f t="array" ref="R297">INDEX('raw-sheet'!$A$2:$ZZ$1000, ROW(R296), MATCH(R$1, 'raw-sheet'!$A$1:$ZZ$1, 0))</f>
        <v>INNISFREE Taiwan</v>
      </c>
      <c r="S297" s="28" t="str">
        <f t="array" ref="S297">INDEX('raw-sheet'!$A$2:$ZZ$1000, ROW(S296), MATCH(S$1, 'raw-sheet'!$A$1:$ZZ$1, 0))</f>
        <v>http://innisfree-taiwan.myshopify.com/cdn/shop/files/pdp_mig_e11382a8_20230731_1177_ID0101_1_jpg.jpg?v=1768543101</v>
      </c>
      <c r="T297" s="28" t="str">
        <f t="array" ref="T297">INDEX('raw-sheet'!$A$2:$ZZ$1000, ROW(T296), MATCH(T$1, 'raw-sheet'!$A$1:$ZZ$1, 0))</f>
        <v>https://innisfree-taiwan.myshopify.com/cdn/shop/files/pdp_mig_e11382a8_20230731_1177_ID0101_1_jpg.jpg?v=1768543101</v>
      </c>
      <c r="U297" s="28" t="str">
        <f t="array" ref="U297">INDEX('raw-sheet'!$A$2:$ZZ$1000, ROW(U296), MATCH(U$1, 'raw-sheet'!$A$1:$ZZ$1, 0))</f>
        <v>https://innisfree-taiwan.myshopify.com/products/innisfree-green-tea-hyaluronic-skin</v>
      </c>
      <c r="V297" s="28" t="str">
        <f t="array" ref="V297">INDEX('raw-sheet'!$A$2:$ZZ$1000, ROW(V296), MATCH(V$1, 'raw-sheet'!$A$1:$ZZ$1, 0))</f>
        <v>綠茶玻尿酸保濕調理液 170ml | INNISFREE Taiwan</v>
      </c>
      <c r="W297" s="28" t="str">
        <f t="array" ref="W297">INDEX('raw-sheet'!$A$2:$ZZ$1000, ROW(W296), MATCH(W$1, 'raw-sheet'!$A$1:$ZZ$1, 0))</f>
        <v>含有濟州美肌綠茶的萃取與綠茶籽油，給予肌膚充分的保濕與加強肌膚保濕屏障的清爽化妝水。適合所有膚質。</v>
      </c>
      <c r="X297" s="28" t="str">
        <f t="array" ref="X297">INDEX('raw-sheet'!$A$2:$ZZ$1000, ROW(X296), MATCH(X$1, 'raw-sheet'!$A$1:$ZZ$1, 0))</f>
        <v>summary_large_image</v>
      </c>
      <c r="Y297" s="30" t="s">
        <v>11</v>
      </c>
      <c r="Z297" s="28" t="str">
        <f>VLOOKUP($A297,'raw-schema'!$A:$R,14,0)</f>
        <v>Brand</v>
      </c>
      <c r="AA297" s="28" t="str">
        <f>VLOOKUP($A297,'raw-schema'!$A:$R,15,0)</f>
        <v>Offer</v>
      </c>
      <c r="AB297" s="28" t="str">
        <f>VLOOKUP($A297,'raw-schema'!$A:$R,16,0)</f>
        <v>Organization</v>
      </c>
      <c r="AC297" s="28" t="str">
        <f>VLOOKUP($A297,'raw-schema'!$A:$R,17,0)</f>
        <v>Product</v>
      </c>
      <c r="AD297" s="28">
        <f>VLOOKUP($A297,'raw-schema'!$A:$R,18,0)</f>
        <v>0</v>
      </c>
      <c r="AE297" s="30" t="s">
        <v>69</v>
      </c>
    </row>
    <row r="298" spans="1:31" x14ac:dyDescent="0.3">
      <c r="A298" s="28" t="str">
        <f t="array" ref="A298">INDEX('raw-sheet'!$A$2:$ZZ$1000, ROW(A297), MATCH(A$1, 'raw-sheet'!$A$1:$ZZ$1, 0))</f>
        <v>https://innisfree-taiwan.myshopify.com/products/innisfree-green-tea-hyaluronic-sun-serum-spf50-pa</v>
      </c>
      <c r="B298" s="30" t="s">
        <v>11</v>
      </c>
      <c r="C298" s="28" t="str">
        <f t="array" ref="C298">INDEX('raw-sheet'!$A$2:$ZZ$1000, ROW(C297), MATCH(C$1, 'raw-sheet'!$A$1:$ZZ$1, 0))</f>
        <v>Product Detail</v>
      </c>
      <c r="D298" s="28">
        <f t="array" ref="D298">INDEX('raw-sheet'!$A$2:$ZZ$1000, ROW(D297), MATCH(D$1, 'raw-sheet'!$A$1:$ZZ$1, 0))</f>
        <v>200</v>
      </c>
      <c r="E298" s="30" t="str">
        <f t="shared" si="8"/>
        <v>Pass</v>
      </c>
      <c r="F298" s="28" t="str">
        <f t="array" ref="F298">INDEX('raw-sheet'!$A$2:$ZZ$1000, ROW(F297), MATCH(F$1, 'raw-sheet'!$A$1:$ZZ$1, 0))</f>
        <v>綠茶玻尿酸保濕防曬精華2件組 &amp;#40;小熊維尼限定版&amp;#41;_x000D_ | INNISFREE Taiwan</v>
      </c>
      <c r="G298" s="30" t="s">
        <v>11</v>
      </c>
      <c r="H298" s="28" t="str">
        <f t="array" ref="H298">INDEX('raw-sheet'!$A$2:$ZZ$1000, ROW(H297), MATCH(H$1, 'raw-sheet'!$A$1:$ZZ$1, 0))</f>
        <v>綠茶玻尿酸保濕防曬精華2件組 (小熊維尼限定版)</v>
      </c>
      <c r="I298" s="30" t="s">
        <v>11</v>
      </c>
      <c r="J298" s="28" t="str">
        <f t="array" ref="J298">INDEX('raw-sheet'!$A$2:$ZZ$1000, ROW(J297), MATCH(J$1, 'raw-sheet'!$A$1:$ZZ$1, 0))</f>
        <v>綠茶玻尿酸保濕防曬精華2件組 (小熊維尼限定版)</v>
      </c>
      <c r="K298" s="28" t="str">
        <f t="array" ref="K298">INDEX('raw-sheet'!$A$2:$ZZ$1000, ROW(K297), MATCH(K$1, 'raw-sheet'!$A$1:$ZZ$1, 0))</f>
        <v>1</v>
      </c>
      <c r="L298" s="30" t="s">
        <v>11</v>
      </c>
      <c r="M298" s="28" t="str">
        <f t="array" ref="M298">INDEX('raw-sheet'!$A$2:$ZZ$1000, ROW(M297), MATCH(M$1, 'raw-sheet'!$A$1:$ZZ$1, 0))</f>
        <v>https://innisfree-taiwan.myshopify.com/products/innisfree-green-tea-hyaluronic-sun-serum-spf50-pa</v>
      </c>
      <c r="N298" s="30" t="str">
        <f t="shared" si="9"/>
        <v>Pass</v>
      </c>
      <c r="O298" s="28" t="str">
        <f t="array" ref="O298">INDEX('raw-sheet'!$A$2:$ZZ$1000, ROW(O297), MATCH(O$1, 'raw-sheet'!$A$1:$ZZ$1, 0))</f>
        <v>綠茶玻尿酸保濕防曬精華2件組 &amp;#40;小熊維尼限定版&amp;#41; | INNISFREE Taiwan</v>
      </c>
      <c r="P298" s="28" t="str">
        <f t="array" ref="P298">INDEX('raw-sheet'!$A$2:$ZZ$1000, ROW(P297), MATCH(P$1, 'raw-sheet'!$A$1:$ZZ$1, 0))</f>
        <v>綠茶玻尿酸保濕防曬精華2件組 (小熊維尼限定版)</v>
      </c>
      <c r="Q298" s="28" t="str">
        <f t="array" ref="Q298">INDEX('raw-sheet'!$A$2:$ZZ$1000, ROW(Q297), MATCH(Q$1, 'raw-sheet'!$A$1:$ZZ$1, 0))</f>
        <v>product</v>
      </c>
      <c r="R298" s="28" t="str">
        <f t="array" ref="R298">INDEX('raw-sheet'!$A$2:$ZZ$1000, ROW(R297), MATCH(R$1, 'raw-sheet'!$A$1:$ZZ$1, 0))</f>
        <v>INNISFREE Taiwan</v>
      </c>
      <c r="S298" s="28" t="str">
        <f t="array" ref="S298">INDEX('raw-sheet'!$A$2:$ZZ$1000, ROW(S297), MATCH(S$1, 'raw-sheet'!$A$1:$ZZ$1, 0))</f>
        <v>http://innisfree-taiwan.myshopify.com/cdn/shop/files/pdp_mig_b7660a4c_20250826_1621_ID0101_1_jpg.jpg?v=1768543070</v>
      </c>
      <c r="T298" s="28" t="str">
        <f t="array" ref="T298">INDEX('raw-sheet'!$A$2:$ZZ$1000, ROW(T297), MATCH(T$1, 'raw-sheet'!$A$1:$ZZ$1, 0))</f>
        <v>https://innisfree-taiwan.myshopify.com/cdn/shop/files/pdp_mig_b7660a4c_20250826_1621_ID0101_1_jpg.jpg?v=1768543070</v>
      </c>
      <c r="U298" s="28" t="str">
        <f t="array" ref="U298">INDEX('raw-sheet'!$A$2:$ZZ$1000, ROW(U297), MATCH(U$1, 'raw-sheet'!$A$1:$ZZ$1, 0))</f>
        <v>https://innisfree-taiwan.myshopify.com/products/innisfree-green-tea-hyaluronic-sun-serum-spf50-pa</v>
      </c>
      <c r="V298" s="28" t="str">
        <f t="array" ref="V298">INDEX('raw-sheet'!$A$2:$ZZ$1000, ROW(V297), MATCH(V$1, 'raw-sheet'!$A$1:$ZZ$1, 0))</f>
        <v>綠茶玻尿酸保濕防曬精華2件組 &amp;#40;小熊維尼限定版&amp;#41; | INNISFREE Taiwan</v>
      </c>
      <c r="W298" s="28" t="str">
        <f t="array" ref="W298">INDEX('raw-sheet'!$A$2:$ZZ$1000, ROW(W297), MATCH(W$1, 'raw-sheet'!$A$1:$ZZ$1, 0))</f>
        <v>綠茶玻尿酸保濕防曬精華2件組 (小熊維尼限定版)</v>
      </c>
      <c r="X298" s="28" t="str">
        <f t="array" ref="X298">INDEX('raw-sheet'!$A$2:$ZZ$1000, ROW(X297), MATCH(X$1, 'raw-sheet'!$A$1:$ZZ$1, 0))</f>
        <v>summary_large_image</v>
      </c>
      <c r="Y298" s="30" t="s">
        <v>11</v>
      </c>
      <c r="Z298" s="28" t="str">
        <f>VLOOKUP($A298,'raw-schema'!$A:$R,14,0)</f>
        <v>Brand</v>
      </c>
      <c r="AA298" s="28" t="str">
        <f>VLOOKUP($A298,'raw-schema'!$A:$R,15,0)</f>
        <v>Offer</v>
      </c>
      <c r="AB298" s="28" t="str">
        <f>VLOOKUP($A298,'raw-schema'!$A:$R,16,0)</f>
        <v>Organization</v>
      </c>
      <c r="AC298" s="28" t="str">
        <f>VLOOKUP($A298,'raw-schema'!$A:$R,17,0)</f>
        <v>Product</v>
      </c>
      <c r="AD298" s="28">
        <f>VLOOKUP($A298,'raw-schema'!$A:$R,18,0)</f>
        <v>0</v>
      </c>
      <c r="AE298" s="30" t="s">
        <v>69</v>
      </c>
    </row>
    <row r="299" spans="1:31" x14ac:dyDescent="0.3">
      <c r="A299" s="28" t="str">
        <f t="array" ref="A299">INDEX('raw-sheet'!$A$2:$ZZ$1000, ROW(A298), MATCH(A$1, 'raw-sheet'!$A$1:$ZZ$1, 0))</f>
        <v>https://innisfree-taiwan.myshopify.com/products/innisfree-green-tea-seed-hyaluronic-cream</v>
      </c>
      <c r="B299" s="30" t="s">
        <v>11</v>
      </c>
      <c r="C299" s="28" t="str">
        <f t="array" ref="C299">INDEX('raw-sheet'!$A$2:$ZZ$1000, ROW(C298), MATCH(C$1, 'raw-sheet'!$A$1:$ZZ$1, 0))</f>
        <v>Product Detail</v>
      </c>
      <c r="D299" s="28">
        <f t="array" ref="D299">INDEX('raw-sheet'!$A$2:$ZZ$1000, ROW(D298), MATCH(D$1, 'raw-sheet'!$A$1:$ZZ$1, 0))</f>
        <v>200</v>
      </c>
      <c r="E299" s="30" t="str">
        <f t="shared" si="8"/>
        <v>Pass</v>
      </c>
      <c r="F299" s="28" t="str">
        <f t="array" ref="F299">INDEX('raw-sheet'!$A$2:$ZZ$1000, ROW(F298), MATCH(F$1, 'raw-sheet'!$A$1:$ZZ$1, 0))</f>
        <v>綠茶籽玻尿酸保濕霜 50ml_x000D_ | INNISFREE Taiwan</v>
      </c>
      <c r="G299" s="30" t="s">
        <v>11</v>
      </c>
      <c r="H299" s="28" t="str">
        <f t="array" ref="H299">INDEX('raw-sheet'!$A$2:$ZZ$1000, ROW(H298), MATCH(H$1, 'raw-sheet'!$A$1:$ZZ$1, 0))</f>
        <v>採用綠茶萃取及玻尿酸成分，給予肌膚補水保濕，打造肌膚健康透亮的保濕面霜。適合所有膚質。</v>
      </c>
      <c r="I299" s="30" t="s">
        <v>11</v>
      </c>
      <c r="J299" s="28" t="str">
        <f t="array" ref="J299">INDEX('raw-sheet'!$A$2:$ZZ$1000, ROW(J298), MATCH(J$1, 'raw-sheet'!$A$1:$ZZ$1, 0))</f>
        <v>綠茶籽玻尿酸保濕霜 50ml</v>
      </c>
      <c r="K299" s="28" t="str">
        <f t="array" ref="K299">INDEX('raw-sheet'!$A$2:$ZZ$1000, ROW(K298), MATCH(K$1, 'raw-sheet'!$A$1:$ZZ$1, 0))</f>
        <v>1</v>
      </c>
      <c r="L299" s="30" t="s">
        <v>11</v>
      </c>
      <c r="M299" s="28" t="str">
        <f t="array" ref="M299">INDEX('raw-sheet'!$A$2:$ZZ$1000, ROW(M298), MATCH(M$1, 'raw-sheet'!$A$1:$ZZ$1, 0))</f>
        <v>https://innisfree-taiwan.myshopify.com/products/innisfree-green-tea-seed-hyaluronic-cream</v>
      </c>
      <c r="N299" s="30" t="str">
        <f t="shared" si="9"/>
        <v>Pass</v>
      </c>
      <c r="O299" s="28" t="str">
        <f t="array" ref="O299">INDEX('raw-sheet'!$A$2:$ZZ$1000, ROW(O298), MATCH(O$1, 'raw-sheet'!$A$1:$ZZ$1, 0))</f>
        <v>綠茶籽玻尿酸保濕霜 50ml | INNISFREE Taiwan</v>
      </c>
      <c r="P299" s="28" t="str">
        <f t="array" ref="P299">INDEX('raw-sheet'!$A$2:$ZZ$1000, ROW(P298), MATCH(P$1, 'raw-sheet'!$A$1:$ZZ$1, 0))</f>
        <v>採用綠茶萃取及玻尿酸成分，給予肌膚補水保濕，打造肌膚健康透亮的保濕面霜。適合所有膚質。</v>
      </c>
      <c r="Q299" s="28" t="str">
        <f t="array" ref="Q299">INDEX('raw-sheet'!$A$2:$ZZ$1000, ROW(Q298), MATCH(Q$1, 'raw-sheet'!$A$1:$ZZ$1, 0))</f>
        <v>product</v>
      </c>
      <c r="R299" s="28" t="str">
        <f t="array" ref="R299">INDEX('raw-sheet'!$A$2:$ZZ$1000, ROW(R298), MATCH(R$1, 'raw-sheet'!$A$1:$ZZ$1, 0))</f>
        <v>INNISFREE Taiwan</v>
      </c>
      <c r="S299" s="28" t="str">
        <f t="array" ref="S299">INDEX('raw-sheet'!$A$2:$ZZ$1000, ROW(S298), MATCH(S$1, 'raw-sheet'!$A$1:$ZZ$1, 0))</f>
        <v>http://innisfree-taiwan.myshopify.com/cdn/shop/files/pdp_mig_9c74e39a_20260109_847_ID0101_1_jpg.jpg?v=1768543110</v>
      </c>
      <c r="T299" s="28" t="str">
        <f t="array" ref="T299">INDEX('raw-sheet'!$A$2:$ZZ$1000, ROW(T298), MATCH(T$1, 'raw-sheet'!$A$1:$ZZ$1, 0))</f>
        <v>https://innisfree-taiwan.myshopify.com/cdn/shop/files/pdp_mig_9c74e39a_20260109_847_ID0101_1_jpg.jpg?v=1768543110</v>
      </c>
      <c r="U299" s="28" t="str">
        <f t="array" ref="U299">INDEX('raw-sheet'!$A$2:$ZZ$1000, ROW(U298), MATCH(U$1, 'raw-sheet'!$A$1:$ZZ$1, 0))</f>
        <v>https://innisfree-taiwan.myshopify.com/products/innisfree-green-tea-seed-hyaluronic-cream</v>
      </c>
      <c r="V299" s="28" t="str">
        <f t="array" ref="V299">INDEX('raw-sheet'!$A$2:$ZZ$1000, ROW(V298), MATCH(V$1, 'raw-sheet'!$A$1:$ZZ$1, 0))</f>
        <v>綠茶籽玻尿酸保濕霜 50ml | INNISFREE Taiwan</v>
      </c>
      <c r="W299" s="28" t="str">
        <f t="array" ref="W299">INDEX('raw-sheet'!$A$2:$ZZ$1000, ROW(W298), MATCH(W$1, 'raw-sheet'!$A$1:$ZZ$1, 0))</f>
        <v>採用綠茶萃取及玻尿酸成分，給予肌膚補水保濕，打造肌膚健康透亮的保濕面霜。適合所有膚質。</v>
      </c>
      <c r="X299" s="28" t="str">
        <f t="array" ref="X299">INDEX('raw-sheet'!$A$2:$ZZ$1000, ROW(X298), MATCH(X$1, 'raw-sheet'!$A$1:$ZZ$1, 0))</f>
        <v>summary_large_image</v>
      </c>
      <c r="Y299" s="30" t="s">
        <v>11</v>
      </c>
      <c r="Z299" s="28" t="str">
        <f>VLOOKUP($A299,'raw-schema'!$A:$R,14,0)</f>
        <v>Brand</v>
      </c>
      <c r="AA299" s="28" t="str">
        <f>VLOOKUP($A299,'raw-schema'!$A:$R,15,0)</f>
        <v>Offer</v>
      </c>
      <c r="AB299" s="28" t="str">
        <f>VLOOKUP($A299,'raw-schema'!$A:$R,16,0)</f>
        <v>Organization</v>
      </c>
      <c r="AC299" s="28" t="str">
        <f>VLOOKUP($A299,'raw-schema'!$A:$R,17,0)</f>
        <v>Product</v>
      </c>
      <c r="AD299" s="28">
        <f>VLOOKUP($A299,'raw-schema'!$A:$R,18,0)</f>
        <v>0</v>
      </c>
      <c r="AE299" s="30" t="s">
        <v>69</v>
      </c>
    </row>
    <row r="300" spans="1:31" x14ac:dyDescent="0.3">
      <c r="A300" s="28" t="str">
        <f t="array" ref="A300">INDEX('raw-sheet'!$A$2:$ZZ$1000, ROW(A299), MATCH(A$1, 'raw-sheet'!$A$1:$ZZ$1, 0))</f>
        <v>https://innisfree-taiwan.myshopify.com/products/innisfree-green-tea-seed-hyaluronic-serum</v>
      </c>
      <c r="B300" s="30" t="s">
        <v>11</v>
      </c>
      <c r="C300" s="28" t="str">
        <f t="array" ref="C300">INDEX('raw-sheet'!$A$2:$ZZ$1000, ROW(C299), MATCH(C$1, 'raw-sheet'!$A$1:$ZZ$1, 0))</f>
        <v>Product Detail</v>
      </c>
      <c r="D300" s="28">
        <f t="array" ref="D300">INDEX('raw-sheet'!$A$2:$ZZ$1000, ROW(D299), MATCH(D$1, 'raw-sheet'!$A$1:$ZZ$1, 0))</f>
        <v>200</v>
      </c>
      <c r="E300" s="30" t="str">
        <f t="shared" si="8"/>
        <v>Pass</v>
      </c>
      <c r="F300" s="28" t="str">
        <f t="array" ref="F300">INDEX('raw-sheet'!$A$2:$ZZ$1000, ROW(F299), MATCH(F$1, 'raw-sheet'!$A$1:$ZZ$1, 0))</f>
        <v>綠茶籽玻尿酸保濕精華 80ml_x000D_ | INNISFREE Taiwan</v>
      </c>
      <c r="G300" s="30" t="s">
        <v>11</v>
      </c>
      <c r="H300" s="28" t="str">
        <f t="array" ref="H300">INDEX('raw-sheet'!$A$2:$ZZ$1000, ROW(H299), MATCH(H$1, 'raw-sheet'!$A$1:$ZZ$1, 0))</f>
        <v>綠茶萃取+玻尿酸的協同作用能夠快速解決肌膚缺水問題，加強保濕屏障幫助肌膚365天長效保濕，打造健康透亮的保濕精華。全膚質適用的國民精華。</v>
      </c>
      <c r="I300" s="30" t="s">
        <v>11</v>
      </c>
      <c r="J300" s="28" t="str">
        <f t="array" ref="J300">INDEX('raw-sheet'!$A$2:$ZZ$1000, ROW(J299), MATCH(J$1, 'raw-sheet'!$A$1:$ZZ$1, 0))</f>
        <v>綠茶籽玻尿酸保濕精華 80ml</v>
      </c>
      <c r="K300" s="28" t="str">
        <f t="array" ref="K300">INDEX('raw-sheet'!$A$2:$ZZ$1000, ROW(K299), MATCH(K$1, 'raw-sheet'!$A$1:$ZZ$1, 0))</f>
        <v>1</v>
      </c>
      <c r="L300" s="30" t="s">
        <v>11</v>
      </c>
      <c r="M300" s="28" t="str">
        <f t="array" ref="M300">INDEX('raw-sheet'!$A$2:$ZZ$1000, ROW(M299), MATCH(M$1, 'raw-sheet'!$A$1:$ZZ$1, 0))</f>
        <v>https://innisfree-taiwan.myshopify.com/products/innisfree-green-tea-seed-hyaluronic-serum</v>
      </c>
      <c r="N300" s="30" t="str">
        <f t="shared" si="9"/>
        <v>Pass</v>
      </c>
      <c r="O300" s="28" t="str">
        <f t="array" ref="O300">INDEX('raw-sheet'!$A$2:$ZZ$1000, ROW(O299), MATCH(O$1, 'raw-sheet'!$A$1:$ZZ$1, 0))</f>
        <v>綠茶籽玻尿酸保濕精華 80ml | INNISFREE Taiwan</v>
      </c>
      <c r="P300" s="28" t="str">
        <f t="array" ref="P300">INDEX('raw-sheet'!$A$2:$ZZ$1000, ROW(P299), MATCH(P$1, 'raw-sheet'!$A$1:$ZZ$1, 0))</f>
        <v>綠茶萃取+玻尿酸的協同作用能夠快速解決肌膚缺水問題，加強保濕屏障幫助肌膚365天長效保濕，打造健康透亮的保濕精華。全膚質適用的國民精華。</v>
      </c>
      <c r="Q300" s="28" t="str">
        <f t="array" ref="Q300">INDEX('raw-sheet'!$A$2:$ZZ$1000, ROW(Q299), MATCH(Q$1, 'raw-sheet'!$A$1:$ZZ$1, 0))</f>
        <v>product</v>
      </c>
      <c r="R300" s="28" t="str">
        <f t="array" ref="R300">INDEX('raw-sheet'!$A$2:$ZZ$1000, ROW(R299), MATCH(R$1, 'raw-sheet'!$A$1:$ZZ$1, 0))</f>
        <v>INNISFREE Taiwan</v>
      </c>
      <c r="S300" s="28" t="str">
        <f t="array" ref="S300">INDEX('raw-sheet'!$A$2:$ZZ$1000, ROW(S299), MATCH(S$1, 'raw-sheet'!$A$1:$ZZ$1, 0))</f>
        <v>http://innisfree-taiwan.myshopify.com/cdn/shop/files/pdp_mig_8fe6051a_20250630_471_ID0101_1_jpg.jpg?v=1768543104</v>
      </c>
      <c r="T300" s="28" t="str">
        <f t="array" ref="T300">INDEX('raw-sheet'!$A$2:$ZZ$1000, ROW(T299), MATCH(T$1, 'raw-sheet'!$A$1:$ZZ$1, 0))</f>
        <v>https://innisfree-taiwan.myshopify.com/cdn/shop/files/pdp_mig_8fe6051a_20250630_471_ID0101_1_jpg.jpg?v=1768543104</v>
      </c>
      <c r="U300" s="28" t="str">
        <f t="array" ref="U300">INDEX('raw-sheet'!$A$2:$ZZ$1000, ROW(U299), MATCH(U$1, 'raw-sheet'!$A$1:$ZZ$1, 0))</f>
        <v>https://innisfree-taiwan.myshopify.com/products/innisfree-green-tea-seed-hyaluronic-serum</v>
      </c>
      <c r="V300" s="28" t="str">
        <f t="array" ref="V300">INDEX('raw-sheet'!$A$2:$ZZ$1000, ROW(V299), MATCH(V$1, 'raw-sheet'!$A$1:$ZZ$1, 0))</f>
        <v>綠茶籽玻尿酸保濕精華 80ml | INNISFREE Taiwan</v>
      </c>
      <c r="W300" s="28" t="str">
        <f t="array" ref="W300">INDEX('raw-sheet'!$A$2:$ZZ$1000, ROW(W299), MATCH(W$1, 'raw-sheet'!$A$1:$ZZ$1, 0))</f>
        <v>綠茶萃取+玻尿酸的協同作用能夠快速解決肌膚缺水問題，加強保濕屏障幫助肌膚365天長效保濕，打造健康透亮的保濕精華。全膚質適用的國民精華。</v>
      </c>
      <c r="X300" s="28" t="str">
        <f t="array" ref="X300">INDEX('raw-sheet'!$A$2:$ZZ$1000, ROW(X299), MATCH(X$1, 'raw-sheet'!$A$1:$ZZ$1, 0))</f>
        <v>summary_large_image</v>
      </c>
      <c r="Y300" s="30" t="s">
        <v>11</v>
      </c>
      <c r="Z300" s="28" t="str">
        <f>VLOOKUP($A300,'raw-schema'!$A:$R,14,0)</f>
        <v>Brand</v>
      </c>
      <c r="AA300" s="28" t="str">
        <f>VLOOKUP($A300,'raw-schema'!$A:$R,15,0)</f>
        <v>Offer</v>
      </c>
      <c r="AB300" s="28" t="str">
        <f>VLOOKUP($A300,'raw-schema'!$A:$R,16,0)</f>
        <v>Organization</v>
      </c>
      <c r="AC300" s="28" t="str">
        <f>VLOOKUP($A300,'raw-schema'!$A:$R,17,0)</f>
        <v>Product</v>
      </c>
      <c r="AD300" s="28">
        <f>VLOOKUP($A300,'raw-schema'!$A:$R,18,0)</f>
        <v>0</v>
      </c>
      <c r="AE300" s="30" t="s">
        <v>69</v>
      </c>
    </row>
    <row r="301" spans="1:31" x14ac:dyDescent="0.3">
      <c r="A301" s="28" t="str">
        <f t="array" ref="A301">INDEX('raw-sheet'!$A$2:$ZZ$1000, ROW(A300), MATCH(A$1, 'raw-sheet'!$A$1:$ZZ$1, 0))</f>
        <v>https://innisfree-taiwan.myshopify.com/products/innisfree-green-tea-seed-hyaluronic-serum-130ml</v>
      </c>
      <c r="B301" s="30" t="s">
        <v>11</v>
      </c>
      <c r="C301" s="28" t="str">
        <f t="array" ref="C301">INDEX('raw-sheet'!$A$2:$ZZ$1000, ROW(C300), MATCH(C$1, 'raw-sheet'!$A$1:$ZZ$1, 0))</f>
        <v>Product Detail</v>
      </c>
      <c r="D301" s="28">
        <f t="array" ref="D301">INDEX('raw-sheet'!$A$2:$ZZ$1000, ROW(D300), MATCH(D$1, 'raw-sheet'!$A$1:$ZZ$1, 0))</f>
        <v>200</v>
      </c>
      <c r="E301" s="30" t="str">
        <f t="shared" si="8"/>
        <v>Pass</v>
      </c>
      <c r="F301" s="28" t="str">
        <f t="array" ref="F301">INDEX('raw-sheet'!$A$2:$ZZ$1000, ROW(F300), MATCH(F$1, 'raw-sheet'!$A$1:$ZZ$1, 0))</f>
        <v>綠茶籽玻尿酸保濕精華130ml [加大版]_x000D_ | INNISFREE Taiwan</v>
      </c>
      <c r="G301" s="30" t="s">
        <v>11</v>
      </c>
      <c r="H301" s="28" t="str">
        <f t="array" ref="H301">INDEX('raw-sheet'!$A$2:$ZZ$1000, ROW(H300), MATCH(H$1, 'raw-sheet'!$A$1:$ZZ$1, 0))</f>
        <v>綠茶萃取+玻尿酸的協同作用能夠快速解決肌膚缺水問題，加強保濕屏障幫助肌膚365天長效保濕，打造健康透亮的保濕精華。</v>
      </c>
      <c r="I301" s="30" t="s">
        <v>11</v>
      </c>
      <c r="J301" s="28" t="str">
        <f t="array" ref="J301">INDEX('raw-sheet'!$A$2:$ZZ$1000, ROW(J300), MATCH(J$1, 'raw-sheet'!$A$1:$ZZ$1, 0))</f>
        <v>綠茶籽玻尿酸保濕精華130ml [加大版]</v>
      </c>
      <c r="K301" s="28" t="str">
        <f t="array" ref="K301">INDEX('raw-sheet'!$A$2:$ZZ$1000, ROW(K300), MATCH(K$1, 'raw-sheet'!$A$1:$ZZ$1, 0))</f>
        <v>1</v>
      </c>
      <c r="L301" s="30" t="s">
        <v>11</v>
      </c>
      <c r="M301" s="28" t="str">
        <f t="array" ref="M301">INDEX('raw-sheet'!$A$2:$ZZ$1000, ROW(M300), MATCH(M$1, 'raw-sheet'!$A$1:$ZZ$1, 0))</f>
        <v>https://innisfree-taiwan.myshopify.com/products/innisfree-green-tea-seed-hyaluronic-serum-130ml</v>
      </c>
      <c r="N301" s="30" t="str">
        <f t="shared" si="9"/>
        <v>Pass</v>
      </c>
      <c r="O301" s="28" t="str">
        <f t="array" ref="O301">INDEX('raw-sheet'!$A$2:$ZZ$1000, ROW(O300), MATCH(O$1, 'raw-sheet'!$A$1:$ZZ$1, 0))</f>
        <v>綠茶籽玻尿酸保濕精華130ml [加大版] | INNISFREE Taiwan</v>
      </c>
      <c r="P301" s="28" t="str">
        <f t="array" ref="P301">INDEX('raw-sheet'!$A$2:$ZZ$1000, ROW(P300), MATCH(P$1, 'raw-sheet'!$A$1:$ZZ$1, 0))</f>
        <v>綠茶萃取+玻尿酸的協同作用能夠快速解決肌膚缺水問題，加強保濕屏障幫助肌膚365天長效保濕，打造健康透亮的保濕精華。</v>
      </c>
      <c r="Q301" s="28" t="str">
        <f t="array" ref="Q301">INDEX('raw-sheet'!$A$2:$ZZ$1000, ROW(Q300), MATCH(Q$1, 'raw-sheet'!$A$1:$ZZ$1, 0))</f>
        <v>product</v>
      </c>
      <c r="R301" s="28" t="str">
        <f t="array" ref="R301">INDEX('raw-sheet'!$A$2:$ZZ$1000, ROW(R300), MATCH(R$1, 'raw-sheet'!$A$1:$ZZ$1, 0))</f>
        <v>INNISFREE Taiwan</v>
      </c>
      <c r="S301" s="28" t="str">
        <f t="array" ref="S301">INDEX('raw-sheet'!$A$2:$ZZ$1000, ROW(S300), MATCH(S$1, 'raw-sheet'!$A$1:$ZZ$1, 0))</f>
        <v>http://innisfree-taiwan.myshopify.com/cdn/shop/files/pdp_mig_b26e9ca6_20240319_1314_ID0101_1_jpg.jpg?v=1768543080</v>
      </c>
      <c r="T301" s="28" t="str">
        <f t="array" ref="T301">INDEX('raw-sheet'!$A$2:$ZZ$1000, ROW(T300), MATCH(T$1, 'raw-sheet'!$A$1:$ZZ$1, 0))</f>
        <v>https://innisfree-taiwan.myshopify.com/cdn/shop/files/pdp_mig_b26e9ca6_20240319_1314_ID0101_1_jpg.jpg?v=1768543080</v>
      </c>
      <c r="U301" s="28" t="str">
        <f t="array" ref="U301">INDEX('raw-sheet'!$A$2:$ZZ$1000, ROW(U300), MATCH(U$1, 'raw-sheet'!$A$1:$ZZ$1, 0))</f>
        <v>https://innisfree-taiwan.myshopify.com/products/innisfree-green-tea-seed-hyaluronic-serum-130ml</v>
      </c>
      <c r="V301" s="28" t="str">
        <f t="array" ref="V301">INDEX('raw-sheet'!$A$2:$ZZ$1000, ROW(V300), MATCH(V$1, 'raw-sheet'!$A$1:$ZZ$1, 0))</f>
        <v>綠茶籽玻尿酸保濕精華130ml [加大版] | INNISFREE Taiwan</v>
      </c>
      <c r="W301" s="28" t="str">
        <f t="array" ref="W301">INDEX('raw-sheet'!$A$2:$ZZ$1000, ROW(W300), MATCH(W$1, 'raw-sheet'!$A$1:$ZZ$1, 0))</f>
        <v>綠茶萃取+玻尿酸的協同作用能夠快速解決肌膚缺水問題，加強保濕屏障幫助肌膚365天長效保濕，打造健康透亮的保濕精華。</v>
      </c>
      <c r="X301" s="28" t="str">
        <f t="array" ref="X301">INDEX('raw-sheet'!$A$2:$ZZ$1000, ROW(X300), MATCH(X$1, 'raw-sheet'!$A$1:$ZZ$1, 0))</f>
        <v>summary_large_image</v>
      </c>
      <c r="Y301" s="30" t="s">
        <v>11</v>
      </c>
      <c r="Z301" s="28" t="str">
        <f>VLOOKUP($A301,'raw-schema'!$A:$R,14,0)</f>
        <v>Brand</v>
      </c>
      <c r="AA301" s="28" t="str">
        <f>VLOOKUP($A301,'raw-schema'!$A:$R,15,0)</f>
        <v>Offer</v>
      </c>
      <c r="AB301" s="28" t="str">
        <f>VLOOKUP($A301,'raw-schema'!$A:$R,16,0)</f>
        <v>Organization</v>
      </c>
      <c r="AC301" s="28" t="str">
        <f>VLOOKUP($A301,'raw-schema'!$A:$R,17,0)</f>
        <v>Product</v>
      </c>
      <c r="AD301" s="28">
        <f>VLOOKUP($A301,'raw-schema'!$A:$R,18,0)</f>
        <v>0</v>
      </c>
      <c r="AE301" s="30" t="s">
        <v>69</v>
      </c>
    </row>
    <row r="302" spans="1:31" x14ac:dyDescent="0.3">
      <c r="A302" s="28" t="str">
        <f t="array" ref="A302">INDEX('raw-sheet'!$A$2:$ZZ$1000, ROW(A301), MATCH(A$1, 'raw-sheet'!$A$1:$ZZ$1, 0))</f>
        <v>https://innisfree-taiwan.myshopify.com/products/innisfree-hyaluron-moist-sunscreen-spf50-pa</v>
      </c>
      <c r="B302" s="30" t="s">
        <v>11</v>
      </c>
      <c r="C302" s="28" t="str">
        <f t="array" ref="C302">INDEX('raw-sheet'!$A$2:$ZZ$1000, ROW(C301), MATCH(C$1, 'raw-sheet'!$A$1:$ZZ$1, 0))</f>
        <v>Product Detail</v>
      </c>
      <c r="D302" s="28">
        <f t="array" ref="D302">INDEX('raw-sheet'!$A$2:$ZZ$1000, ROW(D301), MATCH(D$1, 'raw-sheet'!$A$1:$ZZ$1, 0))</f>
        <v>200</v>
      </c>
      <c r="E302" s="30" t="str">
        <f t="shared" si="8"/>
        <v>Pass</v>
      </c>
      <c r="F302" s="28" t="str">
        <f t="array" ref="F302">INDEX('raw-sheet'!$A$2:$ZZ$1000, ROW(F301), MATCH(F$1, 'raw-sheet'!$A$1:$ZZ$1, 0))</f>
        <v>玻尿酸保濕水感防曬霜 SPF50+ PA++++ &amp;#40;小熊維尼限定版&amp;#41;_x000D_ | INNISFREE Taiwan</v>
      </c>
      <c r="G302" s="30" t="s">
        <v>11</v>
      </c>
      <c r="H302" s="28" t="str">
        <f t="array" ref="H302">INDEX('raw-sheet'!$A$2:$ZZ$1000, ROW(H301), MATCH(H$1, 'raw-sheet'!$A$1:$ZZ$1, 0))</f>
        <v>富含有8種玻尿酸配方的輕爽保濕防曬霜。</v>
      </c>
      <c r="I302" s="30" t="s">
        <v>11</v>
      </c>
      <c r="J302" s="28" t="str">
        <f t="array" ref="J302">INDEX('raw-sheet'!$A$2:$ZZ$1000, ROW(J301), MATCH(J$1, 'raw-sheet'!$A$1:$ZZ$1, 0))</f>
        <v>玻尿酸保濕水感防曬霜 SPF50+ PA++++ (小熊維尼限定版)</v>
      </c>
      <c r="K302" s="28" t="str">
        <f t="array" ref="K302">INDEX('raw-sheet'!$A$2:$ZZ$1000, ROW(K301), MATCH(K$1, 'raw-sheet'!$A$1:$ZZ$1, 0))</f>
        <v>1</v>
      </c>
      <c r="L302" s="30" t="s">
        <v>11</v>
      </c>
      <c r="M302" s="28" t="str">
        <f t="array" ref="M302">INDEX('raw-sheet'!$A$2:$ZZ$1000, ROW(M301), MATCH(M$1, 'raw-sheet'!$A$1:$ZZ$1, 0))</f>
        <v>https://innisfree-taiwan.myshopify.com/products/innisfree-hyaluron-moist-sunscreen-spf50-pa</v>
      </c>
      <c r="N302" s="30" t="str">
        <f t="shared" si="9"/>
        <v>Pass</v>
      </c>
      <c r="O302" s="28" t="str">
        <f t="array" ref="O302">INDEX('raw-sheet'!$A$2:$ZZ$1000, ROW(O301), MATCH(O$1, 'raw-sheet'!$A$1:$ZZ$1, 0))</f>
        <v>玻尿酸保濕水感防曬霜 SPF50+ PA++++ &amp;#40;小熊維尼限定版&amp;#41; | INNISFREE Taiwan</v>
      </c>
      <c r="P302" s="28" t="str">
        <f t="array" ref="P302">INDEX('raw-sheet'!$A$2:$ZZ$1000, ROW(P301), MATCH(P$1, 'raw-sheet'!$A$1:$ZZ$1, 0))</f>
        <v>富含有8種玻尿酸配方的輕爽保濕防曬霜。</v>
      </c>
      <c r="Q302" s="28" t="str">
        <f t="array" ref="Q302">INDEX('raw-sheet'!$A$2:$ZZ$1000, ROW(Q301), MATCH(Q$1, 'raw-sheet'!$A$1:$ZZ$1, 0))</f>
        <v>product</v>
      </c>
      <c r="R302" s="28" t="str">
        <f t="array" ref="R302">INDEX('raw-sheet'!$A$2:$ZZ$1000, ROW(R301), MATCH(R$1, 'raw-sheet'!$A$1:$ZZ$1, 0))</f>
        <v>INNISFREE Taiwan</v>
      </c>
      <c r="S302" s="28" t="str">
        <f t="array" ref="S302">INDEX('raw-sheet'!$A$2:$ZZ$1000, ROW(S301), MATCH(S$1, 'raw-sheet'!$A$1:$ZZ$1, 0))</f>
        <v>http://innisfree-taiwan.myshopify.com/cdn/shop/files/pdp_mig_66a5b891_20250826_1615_ID0101_1_jpg.jpg?v=1768543071</v>
      </c>
      <c r="T302" s="28" t="str">
        <f t="array" ref="T302">INDEX('raw-sheet'!$A$2:$ZZ$1000, ROW(T301), MATCH(T$1, 'raw-sheet'!$A$1:$ZZ$1, 0))</f>
        <v>https://innisfree-taiwan.myshopify.com/cdn/shop/files/pdp_mig_66a5b891_20250826_1615_ID0101_1_jpg.jpg?v=1768543071</v>
      </c>
      <c r="U302" s="28" t="str">
        <f t="array" ref="U302">INDEX('raw-sheet'!$A$2:$ZZ$1000, ROW(U301), MATCH(U$1, 'raw-sheet'!$A$1:$ZZ$1, 0))</f>
        <v>https://innisfree-taiwan.myshopify.com/products/innisfree-hyaluron-moist-sunscreen-spf50-pa</v>
      </c>
      <c r="V302" s="28" t="str">
        <f t="array" ref="V302">INDEX('raw-sheet'!$A$2:$ZZ$1000, ROW(V301), MATCH(V$1, 'raw-sheet'!$A$1:$ZZ$1, 0))</f>
        <v>玻尿酸保濕水感防曬霜 SPF50+ PA++++ &amp;#40;小熊維尼限定版&amp;#41; | INNISFREE Taiwan</v>
      </c>
      <c r="W302" s="28" t="str">
        <f t="array" ref="W302">INDEX('raw-sheet'!$A$2:$ZZ$1000, ROW(W301), MATCH(W$1, 'raw-sheet'!$A$1:$ZZ$1, 0))</f>
        <v>富含有8種玻尿酸配方的輕爽保濕防曬霜。</v>
      </c>
      <c r="X302" s="28" t="str">
        <f t="array" ref="X302">INDEX('raw-sheet'!$A$2:$ZZ$1000, ROW(X301), MATCH(X$1, 'raw-sheet'!$A$1:$ZZ$1, 0))</f>
        <v>summary_large_image</v>
      </c>
      <c r="Y302" s="30" t="s">
        <v>11</v>
      </c>
      <c r="Z302" s="28" t="str">
        <f>VLOOKUP($A302,'raw-schema'!$A:$R,14,0)</f>
        <v>Brand</v>
      </c>
      <c r="AA302" s="28" t="str">
        <f>VLOOKUP($A302,'raw-schema'!$A:$R,15,0)</f>
        <v>Offer</v>
      </c>
      <c r="AB302" s="28" t="str">
        <f>VLOOKUP($A302,'raw-schema'!$A:$R,16,0)</f>
        <v>Organization</v>
      </c>
      <c r="AC302" s="28" t="str">
        <f>VLOOKUP($A302,'raw-schema'!$A:$R,17,0)</f>
        <v>Product</v>
      </c>
      <c r="AD302" s="28">
        <f>VLOOKUP($A302,'raw-schema'!$A:$R,18,0)</f>
        <v>0</v>
      </c>
      <c r="AE302" s="30" t="s">
        <v>69</v>
      </c>
    </row>
    <row r="303" spans="1:31" x14ac:dyDescent="0.3">
      <c r="A303" s="28" t="str">
        <f t="array" ref="A303">INDEX('raw-sheet'!$A$2:$ZZ$1000, ROW(A302), MATCH(A$1, 'raw-sheet'!$A$1:$ZZ$1, 0))</f>
        <v>https://innisfree-taiwan.myshopify.com/products/innisfree-intensive-leisure-sun-stick-spf50-pa</v>
      </c>
      <c r="B303" s="30" t="s">
        <v>11</v>
      </c>
      <c r="C303" s="28" t="str">
        <f t="array" ref="C303">INDEX('raw-sheet'!$A$2:$ZZ$1000, ROW(C302), MATCH(C$1, 'raw-sheet'!$A$1:$ZZ$1, 0))</f>
        <v>Product Detail</v>
      </c>
      <c r="D303" s="28">
        <f t="array" ref="D303">INDEX('raw-sheet'!$A$2:$ZZ$1000, ROW(D302), MATCH(D$1, 'raw-sheet'!$A$1:$ZZ$1, 0))</f>
        <v>200</v>
      </c>
      <c r="E303" s="30" t="str">
        <f t="shared" si="8"/>
        <v>Pass</v>
      </c>
      <c r="F303" s="28" t="str">
        <f t="array" ref="F303">INDEX('raw-sheet'!$A$2:$ZZ$1000, ROW(F302), MATCH(F$1, 'raw-sheet'!$A$1:$ZZ$1, 0))</f>
        <v>強效防水休閒防曬棒 SPF50+ PA++++ 18g_x000D_ | INNISFREE Taiwan</v>
      </c>
      <c r="G303" s="30" t="s">
        <v>11</v>
      </c>
      <c r="H303" s="28" t="str">
        <f t="array" ref="H303">INDEX('raw-sheet'!$A$2:$ZZ$1000, ROW(H302), MATCH(H$1, 'raw-sheet'!$A$1:$ZZ$1, 0))</f>
        <v>防水抗汗! 適用於休閒運動等戶外活動，補擦方便的防曬棒。</v>
      </c>
      <c r="I303" s="30" t="s">
        <v>11</v>
      </c>
      <c r="J303" s="28" t="str">
        <f t="array" ref="J303">INDEX('raw-sheet'!$A$2:$ZZ$1000, ROW(J302), MATCH(J$1, 'raw-sheet'!$A$1:$ZZ$1, 0))</f>
        <v>強效防水休閒防曬棒 SPF50+ PA++++ 18g</v>
      </c>
      <c r="K303" s="28" t="str">
        <f t="array" ref="K303">INDEX('raw-sheet'!$A$2:$ZZ$1000, ROW(K302), MATCH(K$1, 'raw-sheet'!$A$1:$ZZ$1, 0))</f>
        <v>1</v>
      </c>
      <c r="L303" s="30" t="s">
        <v>11</v>
      </c>
      <c r="M303" s="28" t="str">
        <f t="array" ref="M303">INDEX('raw-sheet'!$A$2:$ZZ$1000, ROW(M302), MATCH(M$1, 'raw-sheet'!$A$1:$ZZ$1, 0))</f>
        <v>https://innisfree-taiwan.myshopify.com/products/innisfree-intensive-leisure-sun-stick-spf50-pa</v>
      </c>
      <c r="N303" s="30" t="str">
        <f t="shared" si="9"/>
        <v>Pass</v>
      </c>
      <c r="O303" s="28" t="str">
        <f t="array" ref="O303">INDEX('raw-sheet'!$A$2:$ZZ$1000, ROW(O302), MATCH(O$1, 'raw-sheet'!$A$1:$ZZ$1, 0))</f>
        <v>強效防水休閒防曬棒 SPF50+ PA++++ 18g | INNISFREE Taiwan</v>
      </c>
      <c r="P303" s="28" t="str">
        <f t="array" ref="P303">INDEX('raw-sheet'!$A$2:$ZZ$1000, ROW(P302), MATCH(P$1, 'raw-sheet'!$A$1:$ZZ$1, 0))</f>
        <v>防水抗汗! 適用於休閒運動等戶外活動，補擦方便的防曬棒。</v>
      </c>
      <c r="Q303" s="28" t="str">
        <f t="array" ref="Q303">INDEX('raw-sheet'!$A$2:$ZZ$1000, ROW(Q302), MATCH(Q$1, 'raw-sheet'!$A$1:$ZZ$1, 0))</f>
        <v>product</v>
      </c>
      <c r="R303" s="28" t="str">
        <f t="array" ref="R303">INDEX('raw-sheet'!$A$2:$ZZ$1000, ROW(R302), MATCH(R$1, 'raw-sheet'!$A$1:$ZZ$1, 0))</f>
        <v>INNISFREE Taiwan</v>
      </c>
      <c r="S303" s="28" t="str">
        <f t="array" ref="S303">INDEX('raw-sheet'!$A$2:$ZZ$1000, ROW(S302), MATCH(S$1, 'raw-sheet'!$A$1:$ZZ$1, 0))</f>
        <v>http://innisfree-taiwan.myshopify.com/cdn/shop/files/pdp_mig_e907467a_20240923_1423_ID0101_1_jpg.jpg?v=1768543073</v>
      </c>
      <c r="T303" s="28" t="str">
        <f t="array" ref="T303">INDEX('raw-sheet'!$A$2:$ZZ$1000, ROW(T302), MATCH(T$1, 'raw-sheet'!$A$1:$ZZ$1, 0))</f>
        <v>https://innisfree-taiwan.myshopify.com/cdn/shop/files/pdp_mig_e907467a_20240923_1423_ID0101_1_jpg.jpg?v=1768543073</v>
      </c>
      <c r="U303" s="28" t="str">
        <f t="array" ref="U303">INDEX('raw-sheet'!$A$2:$ZZ$1000, ROW(U302), MATCH(U$1, 'raw-sheet'!$A$1:$ZZ$1, 0))</f>
        <v>https://innisfree-taiwan.myshopify.com/products/innisfree-intensive-leisure-sun-stick-spf50-pa</v>
      </c>
      <c r="V303" s="28" t="str">
        <f t="array" ref="V303">INDEX('raw-sheet'!$A$2:$ZZ$1000, ROW(V302), MATCH(V$1, 'raw-sheet'!$A$1:$ZZ$1, 0))</f>
        <v>強效防水休閒防曬棒 SPF50+ PA++++ 18g | INNISFREE Taiwan</v>
      </c>
      <c r="W303" s="28" t="str">
        <f t="array" ref="W303">INDEX('raw-sheet'!$A$2:$ZZ$1000, ROW(W302), MATCH(W$1, 'raw-sheet'!$A$1:$ZZ$1, 0))</f>
        <v>防水抗汗! 適用於休閒運動等戶外活動，補擦方便的防曬棒。</v>
      </c>
      <c r="X303" s="28" t="str">
        <f t="array" ref="X303">INDEX('raw-sheet'!$A$2:$ZZ$1000, ROW(X302), MATCH(X$1, 'raw-sheet'!$A$1:$ZZ$1, 0))</f>
        <v>summary_large_image</v>
      </c>
      <c r="Y303" s="30" t="s">
        <v>11</v>
      </c>
      <c r="Z303" s="28" t="str">
        <f>VLOOKUP($A303,'raw-schema'!$A:$R,14,0)</f>
        <v>Brand</v>
      </c>
      <c r="AA303" s="28" t="str">
        <f>VLOOKUP($A303,'raw-schema'!$A:$R,15,0)</f>
        <v>Offer</v>
      </c>
      <c r="AB303" s="28" t="str">
        <f>VLOOKUP($A303,'raw-schema'!$A:$R,16,0)</f>
        <v>Organization</v>
      </c>
      <c r="AC303" s="28" t="str">
        <f>VLOOKUP($A303,'raw-schema'!$A:$R,17,0)</f>
        <v>Product</v>
      </c>
      <c r="AD303" s="28">
        <f>VLOOKUP($A303,'raw-schema'!$A:$R,18,0)</f>
        <v>0</v>
      </c>
      <c r="AE303" s="30" t="s">
        <v>69</v>
      </c>
    </row>
    <row r="304" spans="1:31" x14ac:dyDescent="0.3">
      <c r="A304" s="28" t="str">
        <f t="array" ref="A304">INDEX('raw-sheet'!$A$2:$ZZ$1000, ROW(A303), MATCH(A$1, 'raw-sheet'!$A$1:$ZZ$1, 0))</f>
        <v>https://innisfree-taiwan.myshopify.com/products/innisfree-isle-number-body-hand-wash-green-tea</v>
      </c>
      <c r="B304" s="30" t="s">
        <v>11</v>
      </c>
      <c r="C304" s="28" t="str">
        <f t="array" ref="C304">INDEX('raw-sheet'!$A$2:$ZZ$1000, ROW(C303), MATCH(C$1, 'raw-sheet'!$A$1:$ZZ$1, 0))</f>
        <v>Product Detail</v>
      </c>
      <c r="D304" s="28">
        <f t="array" ref="D304">INDEX('raw-sheet'!$A$2:$ZZ$1000, ROW(D303), MATCH(D$1, 'raw-sheet'!$A$1:$ZZ$1, 0))</f>
        <v>200</v>
      </c>
      <c r="E304" s="30" t="str">
        <f t="shared" si="8"/>
        <v>Pass</v>
      </c>
      <c r="F304" s="28" t="str">
        <f t="array" ref="F304">INDEX('raw-sheet'!$A$2:$ZZ$1000, ROW(F303), MATCH(F$1, 'raw-sheet'!$A$1:$ZZ$1, 0))</f>
        <v>ISLE NUMBER手部及身體沐浴乳 [綠茶精萃]_x000D_ | INNISFREE Taiwan</v>
      </c>
      <c r="G304" s="30" t="s">
        <v>11</v>
      </c>
      <c r="H304" s="28" t="str">
        <f t="array" ref="H304">INDEX('raw-sheet'!$A$2:$ZZ$1000, ROW(H303), MATCH(H$1, 'raw-sheet'!$A$1:$ZZ$1, 0))</f>
        <v>「THE NEW ISLE」是 INNISFREE 的經典香氛，融合了多種靈感來自於自然與虛擬地點的香氣，帶領人們探索充滿未知自然的新島嶼，呈現多樣化的香氣。獨家配方含有綠茶萃取及植物油複合物™，擁有豐富泡泡的弱酸性沐浴乳，清爽綠色花香調舒緩身體。</v>
      </c>
      <c r="I304" s="30" t="s">
        <v>11</v>
      </c>
      <c r="J304" s="28" t="str">
        <f t="array" ref="J304">INDEX('raw-sheet'!$A$2:$ZZ$1000, ROW(J303), MATCH(J$1, 'raw-sheet'!$A$1:$ZZ$1, 0))</f>
        <v>ISLE NUMBER手部及身體沐浴乳 300ml [綠茶精萃]</v>
      </c>
      <c r="K304" s="28" t="str">
        <f t="array" ref="K304">INDEX('raw-sheet'!$A$2:$ZZ$1000, ROW(K303), MATCH(K$1, 'raw-sheet'!$A$1:$ZZ$1, 0))</f>
        <v>1</v>
      </c>
      <c r="L304" s="30" t="s">
        <v>11</v>
      </c>
      <c r="M304" s="28" t="str">
        <f t="array" ref="M304">INDEX('raw-sheet'!$A$2:$ZZ$1000, ROW(M303), MATCH(M$1, 'raw-sheet'!$A$1:$ZZ$1, 0))</f>
        <v>https://innisfree-taiwan.myshopify.com/products/innisfree-isle-number-body-hand-wash-green-tea</v>
      </c>
      <c r="N304" s="30" t="str">
        <f t="shared" si="9"/>
        <v>Pass</v>
      </c>
      <c r="O304" s="28" t="str">
        <f t="array" ref="O304">INDEX('raw-sheet'!$A$2:$ZZ$1000, ROW(O303), MATCH(O$1, 'raw-sheet'!$A$1:$ZZ$1, 0))</f>
        <v>ISLE NUMBER手部及身體沐浴乳 [綠茶精萃] | INNISFREE Taiwan</v>
      </c>
      <c r="P304" s="28" t="str">
        <f t="array" ref="P304">INDEX('raw-sheet'!$A$2:$ZZ$1000, ROW(P303), MATCH(P$1, 'raw-sheet'!$A$1:$ZZ$1, 0))</f>
        <v>「THE NEW ISLE」是 INNISFREE 的經典香氛，融合了多種靈感來自於自然與虛擬地點的香氣，帶領人們探索充滿未知自然的新島嶼，呈現多樣化的香氣。獨家配方含有綠茶萃取及植物油複合物™，擁有豐富泡泡的弱酸性沐浴乳，清爽綠色花香調舒緩身體。</v>
      </c>
      <c r="Q304" s="28" t="str">
        <f t="array" ref="Q304">INDEX('raw-sheet'!$A$2:$ZZ$1000, ROW(Q303), MATCH(Q$1, 'raw-sheet'!$A$1:$ZZ$1, 0))</f>
        <v>product</v>
      </c>
      <c r="R304" s="28" t="str">
        <f t="array" ref="R304">INDEX('raw-sheet'!$A$2:$ZZ$1000, ROW(R303), MATCH(R$1, 'raw-sheet'!$A$1:$ZZ$1, 0))</f>
        <v>INNISFREE Taiwan</v>
      </c>
      <c r="S304" s="28" t="str">
        <f t="array" ref="S304">INDEX('raw-sheet'!$A$2:$ZZ$1000, ROW(S303), MATCH(S$1, 'raw-sheet'!$A$1:$ZZ$1, 0))</f>
        <v>http://innisfree-taiwan.myshopify.com/cdn/shop/files/pdp_mig_e9eacf42_20250116_1495_ID0101_1_jpg.jpg?v=1768543073</v>
      </c>
      <c r="T304" s="28" t="str">
        <f t="array" ref="T304">INDEX('raw-sheet'!$A$2:$ZZ$1000, ROW(T303), MATCH(T$1, 'raw-sheet'!$A$1:$ZZ$1, 0))</f>
        <v>https://innisfree-taiwan.myshopify.com/cdn/shop/files/pdp_mig_e9eacf42_20250116_1495_ID0101_1_jpg.jpg?v=1768543073</v>
      </c>
      <c r="U304" s="28" t="str">
        <f t="array" ref="U304">INDEX('raw-sheet'!$A$2:$ZZ$1000, ROW(U303), MATCH(U$1, 'raw-sheet'!$A$1:$ZZ$1, 0))</f>
        <v>https://innisfree-taiwan.myshopify.com/products/innisfree-isle-number-body-hand-wash-green-tea</v>
      </c>
      <c r="V304" s="28" t="str">
        <f t="array" ref="V304">INDEX('raw-sheet'!$A$2:$ZZ$1000, ROW(V303), MATCH(V$1, 'raw-sheet'!$A$1:$ZZ$1, 0))</f>
        <v>ISLE NUMBER手部及身體沐浴乳 [綠茶精萃] | INNISFREE Taiwan</v>
      </c>
      <c r="W304" s="28" t="str">
        <f t="array" ref="W304">INDEX('raw-sheet'!$A$2:$ZZ$1000, ROW(W303), MATCH(W$1, 'raw-sheet'!$A$1:$ZZ$1, 0))</f>
        <v>「THE NEW ISLE」是 INNISFREE 的經典香氛，融合了多種靈感來自於自然與虛擬地點的香氣，帶領人們探索充滿未知自然的新島嶼，呈現多樣化的香氣。獨家配方含有綠茶萃取及植物油複合物™，擁有豐富泡泡的弱酸性沐浴乳，清爽綠色花香調舒緩身體。</v>
      </c>
      <c r="X304" s="28" t="str">
        <f t="array" ref="X304">INDEX('raw-sheet'!$A$2:$ZZ$1000, ROW(X303), MATCH(X$1, 'raw-sheet'!$A$1:$ZZ$1, 0))</f>
        <v>summary_large_image</v>
      </c>
      <c r="Y304" s="30" t="s">
        <v>11</v>
      </c>
      <c r="Z304" s="28" t="str">
        <f>VLOOKUP($A304,'raw-schema'!$A:$R,14,0)</f>
        <v>Brand</v>
      </c>
      <c r="AA304" s="28" t="str">
        <f>VLOOKUP($A304,'raw-schema'!$A:$R,15,0)</f>
        <v>Offer</v>
      </c>
      <c r="AB304" s="28" t="str">
        <f>VLOOKUP($A304,'raw-schema'!$A:$R,16,0)</f>
        <v>Organization</v>
      </c>
      <c r="AC304" s="28" t="str">
        <f>VLOOKUP($A304,'raw-schema'!$A:$R,17,0)</f>
        <v>Product</v>
      </c>
      <c r="AD304" s="28">
        <f>VLOOKUP($A304,'raw-schema'!$A:$R,18,0)</f>
        <v>0</v>
      </c>
      <c r="AE304" s="30" t="s">
        <v>69</v>
      </c>
    </row>
    <row r="305" spans="1:31" x14ac:dyDescent="0.3">
      <c r="A305" s="28" t="str">
        <f t="array" ref="A305">INDEX('raw-sheet'!$A$2:$ZZ$1000, ROW(A304), MATCH(A$1, 'raw-sheet'!$A$1:$ZZ$1, 0))</f>
        <v>https://innisfree-taiwan.myshopify.com/products/innisfree-isle-number-body-lotion</v>
      </c>
      <c r="B305" s="30" t="s">
        <v>11</v>
      </c>
      <c r="C305" s="28" t="str">
        <f t="array" ref="C305">INDEX('raw-sheet'!$A$2:$ZZ$1000, ROW(C304), MATCH(C$1, 'raw-sheet'!$A$1:$ZZ$1, 0))</f>
        <v>Product Detail</v>
      </c>
      <c r="D305" s="28">
        <f t="array" ref="D305">INDEX('raw-sheet'!$A$2:$ZZ$1000, ROW(D304), MATCH(D$1, 'raw-sheet'!$A$1:$ZZ$1, 0))</f>
        <v>200</v>
      </c>
      <c r="E305" s="30" t="str">
        <f t="shared" si="8"/>
        <v>Pass</v>
      </c>
      <c r="F305" s="28" t="str">
        <f t="array" ref="F305">INDEX('raw-sheet'!$A$2:$ZZ$1000, ROW(F304), MATCH(F$1, 'raw-sheet'!$A$1:$ZZ$1, 0))</f>
        <v>ISLE NUMBER身體乳 300ml_x000D_ | INNISFREE Taiwan</v>
      </c>
      <c r="G305" s="30" t="s">
        <v>11</v>
      </c>
      <c r="H305" s="28" t="str">
        <f t="array" ref="H305">INDEX('raw-sheet'!$A$2:$ZZ$1000, ROW(H304), MATCH(H$1, 'raw-sheet'!$A$1:$ZZ$1, 0))</f>
        <v>獨家配方含有綠茶萃取及植物油複合物™的弱酸性身體乳，充滿香氣兼具優異保溼效果，留香效果持久。</v>
      </c>
      <c r="I305" s="30" t="s">
        <v>11</v>
      </c>
      <c r="J305" s="28" t="str">
        <f t="array" ref="J305">INDEX('raw-sheet'!$A$2:$ZZ$1000, ROW(J304), MATCH(J$1, 'raw-sheet'!$A$1:$ZZ$1, 0))</f>
        <v>ISLE NUMBER身體乳 300ml</v>
      </c>
      <c r="K305" s="28" t="str">
        <f t="array" ref="K305">INDEX('raw-sheet'!$A$2:$ZZ$1000, ROW(K304), MATCH(K$1, 'raw-sheet'!$A$1:$ZZ$1, 0))</f>
        <v>1</v>
      </c>
      <c r="L305" s="30" t="s">
        <v>11</v>
      </c>
      <c r="M305" s="28" t="str">
        <f t="array" ref="M305">INDEX('raw-sheet'!$A$2:$ZZ$1000, ROW(M304), MATCH(M$1, 'raw-sheet'!$A$1:$ZZ$1, 0))</f>
        <v>https://innisfree-taiwan.myshopify.com/products/innisfree-isle-number-body-lotion</v>
      </c>
      <c r="N305" s="30" t="str">
        <f t="shared" si="9"/>
        <v>Pass</v>
      </c>
      <c r="O305" s="28" t="str">
        <f t="array" ref="O305">INDEX('raw-sheet'!$A$2:$ZZ$1000, ROW(O304), MATCH(O$1, 'raw-sheet'!$A$1:$ZZ$1, 0))</f>
        <v>ISLE NUMBER身體乳 300ml | INNISFREE Taiwan</v>
      </c>
      <c r="P305" s="28" t="str">
        <f t="array" ref="P305">INDEX('raw-sheet'!$A$2:$ZZ$1000, ROW(P304), MATCH(P$1, 'raw-sheet'!$A$1:$ZZ$1, 0))</f>
        <v>獨家配方含有綠茶萃取及植物油複合物™的弱酸性身體乳，充滿香氣兼具優異保溼效果，留香效果持久。</v>
      </c>
      <c r="Q305" s="28" t="str">
        <f t="array" ref="Q305">INDEX('raw-sheet'!$A$2:$ZZ$1000, ROW(Q304), MATCH(Q$1, 'raw-sheet'!$A$1:$ZZ$1, 0))</f>
        <v>product</v>
      </c>
      <c r="R305" s="28" t="str">
        <f t="array" ref="R305">INDEX('raw-sheet'!$A$2:$ZZ$1000, ROW(R304), MATCH(R$1, 'raw-sheet'!$A$1:$ZZ$1, 0))</f>
        <v>INNISFREE Taiwan</v>
      </c>
      <c r="S305" s="28" t="str">
        <f t="array" ref="S305">INDEX('raw-sheet'!$A$2:$ZZ$1000, ROW(S304), MATCH(S$1, 'raw-sheet'!$A$1:$ZZ$1, 0))</f>
        <v>http://innisfree-taiwan.myshopify.com/cdn/shop/files/pdp_mig_e0a1277d_20231127_1274_ID0101_1_jpg.jpg?v=1768543076</v>
      </c>
      <c r="T305" s="28" t="str">
        <f t="array" ref="T305">INDEX('raw-sheet'!$A$2:$ZZ$1000, ROW(T304), MATCH(T$1, 'raw-sheet'!$A$1:$ZZ$1, 0))</f>
        <v>https://innisfree-taiwan.myshopify.com/cdn/shop/files/pdp_mig_e0a1277d_20231127_1274_ID0101_1_jpg.jpg?v=1768543076</v>
      </c>
      <c r="U305" s="28" t="str">
        <f t="array" ref="U305">INDEX('raw-sheet'!$A$2:$ZZ$1000, ROW(U304), MATCH(U$1, 'raw-sheet'!$A$1:$ZZ$1, 0))</f>
        <v>https://innisfree-taiwan.myshopify.com/products/innisfree-isle-number-body-lotion</v>
      </c>
      <c r="V305" s="28" t="str">
        <f t="array" ref="V305">INDEX('raw-sheet'!$A$2:$ZZ$1000, ROW(V304), MATCH(V$1, 'raw-sheet'!$A$1:$ZZ$1, 0))</f>
        <v>ISLE NUMBER身體乳 300ml | INNISFREE Taiwan</v>
      </c>
      <c r="W305" s="28" t="str">
        <f t="array" ref="W305">INDEX('raw-sheet'!$A$2:$ZZ$1000, ROW(W304), MATCH(W$1, 'raw-sheet'!$A$1:$ZZ$1, 0))</f>
        <v>獨家配方含有綠茶萃取及植物油複合物™的弱酸性身體乳，充滿香氣兼具優異保溼效果，留香效果持久。</v>
      </c>
      <c r="X305" s="28" t="str">
        <f t="array" ref="X305">INDEX('raw-sheet'!$A$2:$ZZ$1000, ROW(X304), MATCH(X$1, 'raw-sheet'!$A$1:$ZZ$1, 0))</f>
        <v>summary_large_image</v>
      </c>
      <c r="Y305" s="30" t="s">
        <v>11</v>
      </c>
      <c r="Z305" s="28" t="str">
        <f>VLOOKUP($A305,'raw-schema'!$A:$R,14,0)</f>
        <v>Brand</v>
      </c>
      <c r="AA305" s="28" t="str">
        <f>VLOOKUP($A305,'raw-schema'!$A:$R,15,0)</f>
        <v>Offer</v>
      </c>
      <c r="AB305" s="28" t="str">
        <f>VLOOKUP($A305,'raw-schema'!$A:$R,16,0)</f>
        <v>Organization</v>
      </c>
      <c r="AC305" s="28" t="str">
        <f>VLOOKUP($A305,'raw-schema'!$A:$R,17,0)</f>
        <v>Product</v>
      </c>
      <c r="AD305" s="28" t="str">
        <f>VLOOKUP($A305,'raw-schema'!$A:$R,18,0)</f>
        <v>ProductGroup</v>
      </c>
      <c r="AE305" s="30" t="s">
        <v>69</v>
      </c>
    </row>
    <row r="306" spans="1:31" x14ac:dyDescent="0.3">
      <c r="A306" s="28" t="str">
        <f t="array" ref="A306">INDEX('raw-sheet'!$A$2:$ZZ$1000, ROW(A305), MATCH(A$1, 'raw-sheet'!$A$1:$ZZ$1, 0))</f>
        <v>https://innisfree-taiwan.myshopify.com/products/innisfree-isle-number-body-lotion-green-tea</v>
      </c>
      <c r="B306" s="30" t="s">
        <v>11</v>
      </c>
      <c r="C306" s="28" t="str">
        <f t="array" ref="C306">INDEX('raw-sheet'!$A$2:$ZZ$1000, ROW(C305), MATCH(C$1, 'raw-sheet'!$A$1:$ZZ$1, 0))</f>
        <v>Product Detail</v>
      </c>
      <c r="D306" s="28">
        <f t="array" ref="D306">INDEX('raw-sheet'!$A$2:$ZZ$1000, ROW(D305), MATCH(D$1, 'raw-sheet'!$A$1:$ZZ$1, 0))</f>
        <v>200</v>
      </c>
      <c r="E306" s="30" t="str">
        <f t="shared" si="8"/>
        <v>Pass</v>
      </c>
      <c r="F306" s="28" t="str">
        <f t="array" ref="F306">INDEX('raw-sheet'!$A$2:$ZZ$1000, ROW(F305), MATCH(F$1, 'raw-sheet'!$A$1:$ZZ$1, 0))</f>
        <v>ISLE NUMBER身體乳 300ml [綠茶精萃]_x000D_ | INNISFREE Taiwan</v>
      </c>
      <c r="G306" s="30" t="s">
        <v>11</v>
      </c>
      <c r="H306" s="28" t="str">
        <f t="array" ref="H306">INDEX('raw-sheet'!$A$2:$ZZ$1000, ROW(H305), MATCH(H$1, 'raw-sheet'!$A$1:$ZZ$1, 0))</f>
        <v>「THE NEW ISLE」是 INNISFREE 的經典香氛，融合了多種靈感來自於自然與虛擬地點的香氣，帶領人們探索充滿未知自然的新島嶼，呈現多樣化的香氣。獨家配方含有綠茶萃取及植物油複合物™，擁有豐富泡泡的弱酸性身體乳，清爽綠色花香調舒緩身體。</v>
      </c>
      <c r="I306" s="30" t="s">
        <v>11</v>
      </c>
      <c r="J306" s="28" t="str">
        <f t="array" ref="J306">INDEX('raw-sheet'!$A$2:$ZZ$1000, ROW(J305), MATCH(J$1, 'raw-sheet'!$A$1:$ZZ$1, 0))</f>
        <v>ISLE NUMBER身體乳 300ml [綠茶精萃]</v>
      </c>
      <c r="K306" s="28" t="str">
        <f t="array" ref="K306">INDEX('raw-sheet'!$A$2:$ZZ$1000, ROW(K305), MATCH(K$1, 'raw-sheet'!$A$1:$ZZ$1, 0))</f>
        <v>1</v>
      </c>
      <c r="L306" s="30" t="s">
        <v>11</v>
      </c>
      <c r="M306" s="28" t="str">
        <f t="array" ref="M306">INDEX('raw-sheet'!$A$2:$ZZ$1000, ROW(M305), MATCH(M$1, 'raw-sheet'!$A$1:$ZZ$1, 0))</f>
        <v>https://innisfree-taiwan.myshopify.com/products/innisfree-isle-number-body-lotion-green-tea</v>
      </c>
      <c r="N306" s="30" t="str">
        <f t="shared" si="9"/>
        <v>Pass</v>
      </c>
      <c r="O306" s="28" t="str">
        <f t="array" ref="O306">INDEX('raw-sheet'!$A$2:$ZZ$1000, ROW(O305), MATCH(O$1, 'raw-sheet'!$A$1:$ZZ$1, 0))</f>
        <v>ISLE NUMBER身體乳 300ml [綠茶精萃] | INNISFREE Taiwan</v>
      </c>
      <c r="P306" s="28" t="str">
        <f t="array" ref="P306">INDEX('raw-sheet'!$A$2:$ZZ$1000, ROW(P305), MATCH(P$1, 'raw-sheet'!$A$1:$ZZ$1, 0))</f>
        <v>「THE NEW ISLE」是 INNISFREE 的經典香氛，融合了多種靈感來自於自然與虛擬地點的香氣，帶領人們探索充滿未知自然的新島嶼，呈現多樣化的香氣。獨家配方含有綠茶萃取及植物油複合物™，擁有豐富泡泡的弱酸性身體乳，清爽綠色花香調舒緩身體。</v>
      </c>
      <c r="Q306" s="28" t="str">
        <f t="array" ref="Q306">INDEX('raw-sheet'!$A$2:$ZZ$1000, ROW(Q305), MATCH(Q$1, 'raw-sheet'!$A$1:$ZZ$1, 0))</f>
        <v>product</v>
      </c>
      <c r="R306" s="28" t="str">
        <f t="array" ref="R306">INDEX('raw-sheet'!$A$2:$ZZ$1000, ROW(R305), MATCH(R$1, 'raw-sheet'!$A$1:$ZZ$1, 0))</f>
        <v>INNISFREE Taiwan</v>
      </c>
      <c r="S306" s="28" t="str">
        <f t="array" ref="S306">INDEX('raw-sheet'!$A$2:$ZZ$1000, ROW(S305), MATCH(S$1, 'raw-sheet'!$A$1:$ZZ$1, 0))</f>
        <v>http://innisfree-taiwan.myshopify.com/cdn/shop/files/pdp_mig_6a68b0f6_20250116_1496_ID0101_1_jpg.jpg?v=1768543074</v>
      </c>
      <c r="T306" s="28" t="str">
        <f t="array" ref="T306">INDEX('raw-sheet'!$A$2:$ZZ$1000, ROW(T305), MATCH(T$1, 'raw-sheet'!$A$1:$ZZ$1, 0))</f>
        <v>https://innisfree-taiwan.myshopify.com/cdn/shop/files/pdp_mig_6a68b0f6_20250116_1496_ID0101_1_jpg.jpg?v=1768543074</v>
      </c>
      <c r="U306" s="28" t="str">
        <f t="array" ref="U306">INDEX('raw-sheet'!$A$2:$ZZ$1000, ROW(U305), MATCH(U$1, 'raw-sheet'!$A$1:$ZZ$1, 0))</f>
        <v>https://innisfree-taiwan.myshopify.com/products/innisfree-isle-number-body-lotion-green-tea</v>
      </c>
      <c r="V306" s="28" t="str">
        <f t="array" ref="V306">INDEX('raw-sheet'!$A$2:$ZZ$1000, ROW(V305), MATCH(V$1, 'raw-sheet'!$A$1:$ZZ$1, 0))</f>
        <v>ISLE NUMBER身體乳 300ml [綠茶精萃] | INNISFREE Taiwan</v>
      </c>
      <c r="W306" s="28" t="str">
        <f t="array" ref="W306">INDEX('raw-sheet'!$A$2:$ZZ$1000, ROW(W305), MATCH(W$1, 'raw-sheet'!$A$1:$ZZ$1, 0))</f>
        <v>「THE NEW ISLE」是 INNISFREE 的經典香氛，融合了多種靈感來自於自然與虛擬地點的香氣，帶領人們探索充滿未知自然的新島嶼，呈現多樣化的香氣。獨家配方含有綠茶萃取及植物油複合物™，擁有豐富泡泡的弱酸性身體乳，清爽綠色花香調舒緩身體。</v>
      </c>
      <c r="X306" s="28" t="str">
        <f t="array" ref="X306">INDEX('raw-sheet'!$A$2:$ZZ$1000, ROW(X305), MATCH(X$1, 'raw-sheet'!$A$1:$ZZ$1, 0))</f>
        <v>summary_large_image</v>
      </c>
      <c r="Y306" s="30" t="s">
        <v>11</v>
      </c>
      <c r="Z306" s="28" t="str">
        <f>VLOOKUP($A306,'raw-schema'!$A:$R,14,0)</f>
        <v>Brand</v>
      </c>
      <c r="AA306" s="28" t="str">
        <f>VLOOKUP($A306,'raw-schema'!$A:$R,15,0)</f>
        <v>Offer</v>
      </c>
      <c r="AB306" s="28" t="str">
        <f>VLOOKUP($A306,'raw-schema'!$A:$R,16,0)</f>
        <v>Organization</v>
      </c>
      <c r="AC306" s="28" t="str">
        <f>VLOOKUP($A306,'raw-schema'!$A:$R,17,0)</f>
        <v>Product</v>
      </c>
      <c r="AD306" s="28">
        <f>VLOOKUP($A306,'raw-schema'!$A:$R,18,0)</f>
        <v>0</v>
      </c>
      <c r="AE306" s="30" t="s">
        <v>69</v>
      </c>
    </row>
    <row r="307" spans="1:31" x14ac:dyDescent="0.3">
      <c r="A307" s="28" t="str">
        <f t="array" ref="A307">INDEX('raw-sheet'!$A$2:$ZZ$1000, ROW(A306), MATCH(A$1, 'raw-sheet'!$A$1:$ZZ$1, 0))</f>
        <v>https://innisfree-taiwan.myshopify.com/products/innisfree-isle-number-body-wash</v>
      </c>
      <c r="B307" s="30" t="s">
        <v>11</v>
      </c>
      <c r="C307" s="28" t="str">
        <f t="array" ref="C307">INDEX('raw-sheet'!$A$2:$ZZ$1000, ROW(C306), MATCH(C$1, 'raw-sheet'!$A$1:$ZZ$1, 0))</f>
        <v>Product Detail</v>
      </c>
      <c r="D307" s="28">
        <f t="array" ref="D307">INDEX('raw-sheet'!$A$2:$ZZ$1000, ROW(D306), MATCH(D$1, 'raw-sheet'!$A$1:$ZZ$1, 0))</f>
        <v>200</v>
      </c>
      <c r="E307" s="30" t="str">
        <f t="shared" si="8"/>
        <v>Pass</v>
      </c>
      <c r="F307" s="28" t="str">
        <f t="array" ref="F307">INDEX('raw-sheet'!$A$2:$ZZ$1000, ROW(F306), MATCH(F$1, 'raw-sheet'!$A$1:$ZZ$1, 0))</f>
        <v>ISLE NUMBER手部及身體沐浴乳 300ml_x000D_ | INNISFREE Taiwan</v>
      </c>
      <c r="G307" s="30" t="s">
        <v>11</v>
      </c>
      <c r="H307" s="28" t="str">
        <f t="array" ref="H307">INDEX('raw-sheet'!$A$2:$ZZ$1000, ROW(H306), MATCH(H$1, 'raw-sheet'!$A$1:$ZZ$1, 0))</f>
        <v>獨家配方含有綠茶萃取及植物油複合物™，擁有豐富泡泡的弱酸性沐浴乳。</v>
      </c>
      <c r="I307" s="30" t="s">
        <v>11</v>
      </c>
      <c r="J307" s="28" t="str">
        <f t="array" ref="J307">INDEX('raw-sheet'!$A$2:$ZZ$1000, ROW(J306), MATCH(J$1, 'raw-sheet'!$A$1:$ZZ$1, 0))</f>
        <v>ISLE NUMBER手部及身體沐浴乳 300ml</v>
      </c>
      <c r="K307" s="28" t="str">
        <f t="array" ref="K307">INDEX('raw-sheet'!$A$2:$ZZ$1000, ROW(K306), MATCH(K$1, 'raw-sheet'!$A$1:$ZZ$1, 0))</f>
        <v>1</v>
      </c>
      <c r="L307" s="30" t="s">
        <v>11</v>
      </c>
      <c r="M307" s="28" t="str">
        <f t="array" ref="M307">INDEX('raw-sheet'!$A$2:$ZZ$1000, ROW(M306), MATCH(M$1, 'raw-sheet'!$A$1:$ZZ$1, 0))</f>
        <v>https://innisfree-taiwan.myshopify.com/products/innisfree-isle-number-body-wash</v>
      </c>
      <c r="N307" s="30" t="str">
        <f t="shared" si="9"/>
        <v>Pass</v>
      </c>
      <c r="O307" s="28" t="str">
        <f t="array" ref="O307">INDEX('raw-sheet'!$A$2:$ZZ$1000, ROW(O306), MATCH(O$1, 'raw-sheet'!$A$1:$ZZ$1, 0))</f>
        <v>ISLE NUMBER手部及身體沐浴乳 300ml | INNISFREE Taiwan</v>
      </c>
      <c r="P307" s="28" t="str">
        <f t="array" ref="P307">INDEX('raw-sheet'!$A$2:$ZZ$1000, ROW(P306), MATCH(P$1, 'raw-sheet'!$A$1:$ZZ$1, 0))</f>
        <v>獨家配方含有綠茶萃取及植物油複合物™，擁有豐富泡泡的弱酸性沐浴乳。</v>
      </c>
      <c r="Q307" s="28" t="str">
        <f t="array" ref="Q307">INDEX('raw-sheet'!$A$2:$ZZ$1000, ROW(Q306), MATCH(Q$1, 'raw-sheet'!$A$1:$ZZ$1, 0))</f>
        <v>product</v>
      </c>
      <c r="R307" s="28" t="str">
        <f t="array" ref="R307">INDEX('raw-sheet'!$A$2:$ZZ$1000, ROW(R306), MATCH(R$1, 'raw-sheet'!$A$1:$ZZ$1, 0))</f>
        <v>INNISFREE Taiwan</v>
      </c>
      <c r="S307" s="28" t="str">
        <f t="array" ref="S307">INDEX('raw-sheet'!$A$2:$ZZ$1000, ROW(S306), MATCH(S$1, 'raw-sheet'!$A$1:$ZZ$1, 0))</f>
        <v>http://innisfree-taiwan.myshopify.com/cdn/shop/files/pdp_mig_f8afe039_20231127_1273_ID0101_1_jpg.jpg?v=1768543076</v>
      </c>
      <c r="T307" s="28" t="str">
        <f t="array" ref="T307">INDEX('raw-sheet'!$A$2:$ZZ$1000, ROW(T306), MATCH(T$1, 'raw-sheet'!$A$1:$ZZ$1, 0))</f>
        <v>https://innisfree-taiwan.myshopify.com/cdn/shop/files/pdp_mig_f8afe039_20231127_1273_ID0101_1_jpg.jpg?v=1768543076</v>
      </c>
      <c r="U307" s="28" t="str">
        <f t="array" ref="U307">INDEX('raw-sheet'!$A$2:$ZZ$1000, ROW(U306), MATCH(U$1, 'raw-sheet'!$A$1:$ZZ$1, 0))</f>
        <v>https://innisfree-taiwan.myshopify.com/products/innisfree-isle-number-body-wash</v>
      </c>
      <c r="V307" s="28" t="str">
        <f t="array" ref="V307">INDEX('raw-sheet'!$A$2:$ZZ$1000, ROW(V306), MATCH(V$1, 'raw-sheet'!$A$1:$ZZ$1, 0))</f>
        <v>ISLE NUMBER手部及身體沐浴乳 300ml | INNISFREE Taiwan</v>
      </c>
      <c r="W307" s="28" t="str">
        <f t="array" ref="W307">INDEX('raw-sheet'!$A$2:$ZZ$1000, ROW(W306), MATCH(W$1, 'raw-sheet'!$A$1:$ZZ$1, 0))</f>
        <v>獨家配方含有綠茶萃取及植物油複合物™，擁有豐富泡泡的弱酸性沐浴乳。</v>
      </c>
      <c r="X307" s="28" t="str">
        <f t="array" ref="X307">INDEX('raw-sheet'!$A$2:$ZZ$1000, ROW(X306), MATCH(X$1, 'raw-sheet'!$A$1:$ZZ$1, 0))</f>
        <v>summary_large_image</v>
      </c>
      <c r="Y307" s="30" t="s">
        <v>11</v>
      </c>
      <c r="Z307" s="28" t="str">
        <f>VLOOKUP($A307,'raw-schema'!$A:$R,14,0)</f>
        <v>Brand</v>
      </c>
      <c r="AA307" s="28" t="str">
        <f>VLOOKUP($A307,'raw-schema'!$A:$R,15,0)</f>
        <v>Offer</v>
      </c>
      <c r="AB307" s="28" t="str">
        <f>VLOOKUP($A307,'raw-schema'!$A:$R,16,0)</f>
        <v>Organization</v>
      </c>
      <c r="AC307" s="28" t="str">
        <f>VLOOKUP($A307,'raw-schema'!$A:$R,17,0)</f>
        <v>Product</v>
      </c>
      <c r="AD307" s="28" t="str">
        <f>VLOOKUP($A307,'raw-schema'!$A:$R,18,0)</f>
        <v>ProductGroup</v>
      </c>
      <c r="AE307" s="30" t="s">
        <v>69</v>
      </c>
    </row>
    <row r="308" spans="1:31" x14ac:dyDescent="0.3">
      <c r="A308" s="28" t="str">
        <f t="array" ref="A308">INDEX('raw-sheet'!$A$2:$ZZ$1000, ROW(A307), MATCH(A$1, 'raw-sheet'!$A$1:$ZZ$1, 0))</f>
        <v>https://innisfree-taiwan.myshopify.com/products/innisfree-isle-number-hand-cream</v>
      </c>
      <c r="B308" s="30" t="s">
        <v>11</v>
      </c>
      <c r="C308" s="28" t="str">
        <f t="array" ref="C308">INDEX('raw-sheet'!$A$2:$ZZ$1000, ROW(C307), MATCH(C$1, 'raw-sheet'!$A$1:$ZZ$1, 0))</f>
        <v>Product Detail</v>
      </c>
      <c r="D308" s="28">
        <f t="array" ref="D308">INDEX('raw-sheet'!$A$2:$ZZ$1000, ROW(D307), MATCH(D$1, 'raw-sheet'!$A$1:$ZZ$1, 0))</f>
        <v>200</v>
      </c>
      <c r="E308" s="30" t="str">
        <f t="shared" si="8"/>
        <v>Pass</v>
      </c>
      <c r="F308" s="28" t="str">
        <f t="array" ref="F308">INDEX('raw-sheet'!$A$2:$ZZ$1000, ROW(F307), MATCH(F$1, 'raw-sheet'!$A$1:$ZZ$1, 0))</f>
        <v>ISLE NUMBER護手霜 50ml_x000D_ | INNISFREE Taiwan</v>
      </c>
      <c r="G308" s="30" t="s">
        <v>11</v>
      </c>
      <c r="H308" s="28" t="str">
        <f t="array" ref="H308">INDEX('raw-sheet'!$A$2:$ZZ$1000, ROW(H307), MATCH(H$1, 'raw-sheet'!$A$1:$ZZ$1, 0))</f>
        <v>獨家配方含有綠茶萃取及植物油複合物™的保濕護手霜。</v>
      </c>
      <c r="I308" s="30" t="s">
        <v>11</v>
      </c>
      <c r="J308" s="28" t="str">
        <f t="array" ref="J308">INDEX('raw-sheet'!$A$2:$ZZ$1000, ROW(J307), MATCH(J$1, 'raw-sheet'!$A$1:$ZZ$1, 0))</f>
        <v>ISLE NUMBER護手霜 50ml</v>
      </c>
      <c r="K308" s="28" t="str">
        <f t="array" ref="K308">INDEX('raw-sheet'!$A$2:$ZZ$1000, ROW(K307), MATCH(K$1, 'raw-sheet'!$A$1:$ZZ$1, 0))</f>
        <v>1</v>
      </c>
      <c r="L308" s="30" t="s">
        <v>11</v>
      </c>
      <c r="M308" s="28" t="str">
        <f t="array" ref="M308">INDEX('raw-sheet'!$A$2:$ZZ$1000, ROW(M307), MATCH(M$1, 'raw-sheet'!$A$1:$ZZ$1, 0))</f>
        <v>https://innisfree-taiwan.myshopify.com/products/innisfree-isle-number-hand-cream</v>
      </c>
      <c r="N308" s="30" t="str">
        <f t="shared" si="9"/>
        <v>Pass</v>
      </c>
      <c r="O308" s="28" t="str">
        <f t="array" ref="O308">INDEX('raw-sheet'!$A$2:$ZZ$1000, ROW(O307), MATCH(O$1, 'raw-sheet'!$A$1:$ZZ$1, 0))</f>
        <v>ISLE NUMBER護手霜 50ml | INNISFREE Taiwan</v>
      </c>
      <c r="P308" s="28" t="str">
        <f t="array" ref="P308">INDEX('raw-sheet'!$A$2:$ZZ$1000, ROW(P307), MATCH(P$1, 'raw-sheet'!$A$1:$ZZ$1, 0))</f>
        <v>獨家配方含有綠茶萃取及植物油複合物™的保濕護手霜。</v>
      </c>
      <c r="Q308" s="28" t="str">
        <f t="array" ref="Q308">INDEX('raw-sheet'!$A$2:$ZZ$1000, ROW(Q307), MATCH(Q$1, 'raw-sheet'!$A$1:$ZZ$1, 0))</f>
        <v>product</v>
      </c>
      <c r="R308" s="28" t="str">
        <f t="array" ref="R308">INDEX('raw-sheet'!$A$2:$ZZ$1000, ROW(R307), MATCH(R$1, 'raw-sheet'!$A$1:$ZZ$1, 0))</f>
        <v>INNISFREE Taiwan</v>
      </c>
      <c r="S308" s="28" t="str">
        <f t="array" ref="S308">INDEX('raw-sheet'!$A$2:$ZZ$1000, ROW(S307), MATCH(S$1, 'raw-sheet'!$A$1:$ZZ$1, 0))</f>
        <v>http://innisfree-taiwan.myshopify.com/cdn/shop/files/pdp_mig_dc7dba2f_20231127_1275_ID0101_1_jpg.jpg?v=1768543076</v>
      </c>
      <c r="T308" s="28" t="str">
        <f t="array" ref="T308">INDEX('raw-sheet'!$A$2:$ZZ$1000, ROW(T307), MATCH(T$1, 'raw-sheet'!$A$1:$ZZ$1, 0))</f>
        <v>https://innisfree-taiwan.myshopify.com/cdn/shop/files/pdp_mig_dc7dba2f_20231127_1275_ID0101_1_jpg.jpg?v=1768543076</v>
      </c>
      <c r="U308" s="28" t="str">
        <f t="array" ref="U308">INDEX('raw-sheet'!$A$2:$ZZ$1000, ROW(U307), MATCH(U$1, 'raw-sheet'!$A$1:$ZZ$1, 0))</f>
        <v>https://innisfree-taiwan.myshopify.com/products/innisfree-isle-number-hand-cream</v>
      </c>
      <c r="V308" s="28" t="str">
        <f t="array" ref="V308">INDEX('raw-sheet'!$A$2:$ZZ$1000, ROW(V307), MATCH(V$1, 'raw-sheet'!$A$1:$ZZ$1, 0))</f>
        <v>ISLE NUMBER護手霜 50ml | INNISFREE Taiwan</v>
      </c>
      <c r="W308" s="28" t="str">
        <f t="array" ref="W308">INDEX('raw-sheet'!$A$2:$ZZ$1000, ROW(W307), MATCH(W$1, 'raw-sheet'!$A$1:$ZZ$1, 0))</f>
        <v>獨家配方含有綠茶萃取及植物油複合物™的保濕護手霜。</v>
      </c>
      <c r="X308" s="28" t="str">
        <f t="array" ref="X308">INDEX('raw-sheet'!$A$2:$ZZ$1000, ROW(X307), MATCH(X$1, 'raw-sheet'!$A$1:$ZZ$1, 0))</f>
        <v>summary_large_image</v>
      </c>
      <c r="Y308" s="30" t="s">
        <v>11</v>
      </c>
      <c r="Z308" s="28" t="str">
        <f>VLOOKUP($A308,'raw-schema'!$A:$R,14,0)</f>
        <v>Brand</v>
      </c>
      <c r="AA308" s="28" t="str">
        <f>VLOOKUP($A308,'raw-schema'!$A:$R,15,0)</f>
        <v>Offer</v>
      </c>
      <c r="AB308" s="28" t="str">
        <f>VLOOKUP($A308,'raw-schema'!$A:$R,16,0)</f>
        <v>Organization</v>
      </c>
      <c r="AC308" s="28" t="str">
        <f>VLOOKUP($A308,'raw-schema'!$A:$R,17,0)</f>
        <v>Product</v>
      </c>
      <c r="AD308" s="28" t="str">
        <f>VLOOKUP($A308,'raw-schema'!$A:$R,18,0)</f>
        <v>ProductGroup</v>
      </c>
      <c r="AE308" s="30" t="s">
        <v>69</v>
      </c>
    </row>
    <row r="309" spans="1:31" x14ac:dyDescent="0.3">
      <c r="A309" s="28" t="str">
        <f t="array" ref="A309">INDEX('raw-sheet'!$A$2:$ZZ$1000, ROW(A308), MATCH(A$1, 'raw-sheet'!$A$1:$ZZ$1, 0))</f>
        <v>https://innisfree-taiwan.myshopify.com/products/innisfree-isle-number-hand-cream-green-tea</v>
      </c>
      <c r="B309" s="30" t="s">
        <v>11</v>
      </c>
      <c r="C309" s="28" t="str">
        <f t="array" ref="C309">INDEX('raw-sheet'!$A$2:$ZZ$1000, ROW(C308), MATCH(C$1, 'raw-sheet'!$A$1:$ZZ$1, 0))</f>
        <v>Product Detail</v>
      </c>
      <c r="D309" s="28">
        <f t="array" ref="D309">INDEX('raw-sheet'!$A$2:$ZZ$1000, ROW(D308), MATCH(D$1, 'raw-sheet'!$A$1:$ZZ$1, 0))</f>
        <v>200</v>
      </c>
      <c r="E309" s="30" t="str">
        <f t="shared" si="8"/>
        <v>Pass</v>
      </c>
      <c r="F309" s="28" t="str">
        <f t="array" ref="F309">INDEX('raw-sheet'!$A$2:$ZZ$1000, ROW(F308), MATCH(F$1, 'raw-sheet'!$A$1:$ZZ$1, 0))</f>
        <v>ISLE NUMBER護手霜 50ml [綠茶精萃]_x000D_ | INNISFREE Taiwan</v>
      </c>
      <c r="G309" s="30" t="s">
        <v>11</v>
      </c>
      <c r="H309" s="28" t="str">
        <f t="array" ref="H309">INDEX('raw-sheet'!$A$2:$ZZ$1000, ROW(H308), MATCH(H$1, 'raw-sheet'!$A$1:$ZZ$1, 0))</f>
        <v>「THE NEW ISLE」是 INNISFREE 的經典香氛，融合了多種靈感來自於自然與虛擬地點的香氣，帶領人們探索充滿未知自然的新島嶼，呈現多樣化的香氣。獨家配方含有綠茶萃取及植物油複合物™的保濕護手霜，清爽綠色花香調呵護雙手。</v>
      </c>
      <c r="I309" s="30" t="s">
        <v>11</v>
      </c>
      <c r="J309" s="28" t="str">
        <f t="array" ref="J309">INDEX('raw-sheet'!$A$2:$ZZ$1000, ROW(J308), MATCH(J$1, 'raw-sheet'!$A$1:$ZZ$1, 0))</f>
        <v>ISLE NUMBER護手霜 50ml [綠茶精萃]</v>
      </c>
      <c r="K309" s="28" t="str">
        <f t="array" ref="K309">INDEX('raw-sheet'!$A$2:$ZZ$1000, ROW(K308), MATCH(K$1, 'raw-sheet'!$A$1:$ZZ$1, 0))</f>
        <v>1</v>
      </c>
      <c r="L309" s="30" t="s">
        <v>11</v>
      </c>
      <c r="M309" s="28" t="str">
        <f t="array" ref="M309">INDEX('raw-sheet'!$A$2:$ZZ$1000, ROW(M308), MATCH(M$1, 'raw-sheet'!$A$1:$ZZ$1, 0))</f>
        <v>https://innisfree-taiwan.myshopify.com/products/innisfree-isle-number-hand-cream-green-tea</v>
      </c>
      <c r="N309" s="30" t="str">
        <f t="shared" si="9"/>
        <v>Pass</v>
      </c>
      <c r="O309" s="28" t="str">
        <f t="array" ref="O309">INDEX('raw-sheet'!$A$2:$ZZ$1000, ROW(O308), MATCH(O$1, 'raw-sheet'!$A$1:$ZZ$1, 0))</f>
        <v>ISLE NUMBER護手霜 50ml [綠茶精萃] | INNISFREE Taiwan</v>
      </c>
      <c r="P309" s="28" t="str">
        <f t="array" ref="P309">INDEX('raw-sheet'!$A$2:$ZZ$1000, ROW(P308), MATCH(P$1, 'raw-sheet'!$A$1:$ZZ$1, 0))</f>
        <v>「THE NEW ISLE」是 INNISFREE 的經典香氛，融合了多種靈感來自於自然與虛擬地點的香氣，帶領人們探索充滿未知自然的新島嶼，呈現多樣化的香氣。獨家配方含有綠茶萃取及植物油複合物™的保濕護手霜，清爽綠色花香調呵護雙手。</v>
      </c>
      <c r="Q309" s="28" t="str">
        <f t="array" ref="Q309">INDEX('raw-sheet'!$A$2:$ZZ$1000, ROW(Q308), MATCH(Q$1, 'raw-sheet'!$A$1:$ZZ$1, 0))</f>
        <v>product</v>
      </c>
      <c r="R309" s="28" t="str">
        <f t="array" ref="R309">INDEX('raw-sheet'!$A$2:$ZZ$1000, ROW(R308), MATCH(R$1, 'raw-sheet'!$A$1:$ZZ$1, 0))</f>
        <v>INNISFREE Taiwan</v>
      </c>
      <c r="S309" s="28" t="str">
        <f t="array" ref="S309">INDEX('raw-sheet'!$A$2:$ZZ$1000, ROW(S308), MATCH(S$1, 'raw-sheet'!$A$1:$ZZ$1, 0))</f>
        <v>http://innisfree-taiwan.myshopify.com/cdn/shop/files/pdp_mig_81247e18_20250116_1497_ID0101_1_jpg.jpg?v=1768543072</v>
      </c>
      <c r="T309" s="28" t="str">
        <f t="array" ref="T309">INDEX('raw-sheet'!$A$2:$ZZ$1000, ROW(T308), MATCH(T$1, 'raw-sheet'!$A$1:$ZZ$1, 0))</f>
        <v>https://innisfree-taiwan.myshopify.com/cdn/shop/files/pdp_mig_81247e18_20250116_1497_ID0101_1_jpg.jpg?v=1768543072</v>
      </c>
      <c r="U309" s="28" t="str">
        <f t="array" ref="U309">INDEX('raw-sheet'!$A$2:$ZZ$1000, ROW(U308), MATCH(U$1, 'raw-sheet'!$A$1:$ZZ$1, 0))</f>
        <v>https://innisfree-taiwan.myshopify.com/products/innisfree-isle-number-hand-cream-green-tea</v>
      </c>
      <c r="V309" s="28" t="str">
        <f t="array" ref="V309">INDEX('raw-sheet'!$A$2:$ZZ$1000, ROW(V308), MATCH(V$1, 'raw-sheet'!$A$1:$ZZ$1, 0))</f>
        <v>ISLE NUMBER護手霜 50ml [綠茶精萃] | INNISFREE Taiwan</v>
      </c>
      <c r="W309" s="28" t="str">
        <f t="array" ref="W309">INDEX('raw-sheet'!$A$2:$ZZ$1000, ROW(W308), MATCH(W$1, 'raw-sheet'!$A$1:$ZZ$1, 0))</f>
        <v>「THE NEW ISLE」是 INNISFREE 的經典香氛，融合了多種靈感來自於自然與虛擬地點的香氣，帶領人們探索充滿未知自然的新島嶼，呈現多樣化的香氣。獨家配方含有綠茶萃取及植物油複合物™的保濕護手霜，清爽綠色花香調呵護雙手。</v>
      </c>
      <c r="X309" s="28" t="str">
        <f t="array" ref="X309">INDEX('raw-sheet'!$A$2:$ZZ$1000, ROW(X308), MATCH(X$1, 'raw-sheet'!$A$1:$ZZ$1, 0))</f>
        <v>summary_large_image</v>
      </c>
      <c r="Y309" s="30" t="s">
        <v>11</v>
      </c>
      <c r="Z309" s="28" t="str">
        <f>VLOOKUP($A309,'raw-schema'!$A:$R,14,0)</f>
        <v>Brand</v>
      </c>
      <c r="AA309" s="28" t="str">
        <f>VLOOKUP($A309,'raw-schema'!$A:$R,15,0)</f>
        <v>Offer</v>
      </c>
      <c r="AB309" s="28" t="str">
        <f>VLOOKUP($A309,'raw-schema'!$A:$R,16,0)</f>
        <v>Organization</v>
      </c>
      <c r="AC309" s="28" t="str">
        <f>VLOOKUP($A309,'raw-schema'!$A:$R,17,0)</f>
        <v>Product</v>
      </c>
      <c r="AD309" s="28">
        <f>VLOOKUP($A309,'raw-schema'!$A:$R,18,0)</f>
        <v>0</v>
      </c>
      <c r="AE309" s="30" t="s">
        <v>69</v>
      </c>
    </row>
    <row r="310" spans="1:31" x14ac:dyDescent="0.3">
      <c r="A310" s="28" t="str">
        <f t="array" ref="A310">INDEX('raw-sheet'!$A$2:$ZZ$1000, ROW(A309), MATCH(A$1, 'raw-sheet'!$A$1:$ZZ$1, 0))</f>
        <v>https://innisfree-taiwan.myshopify.com/products/innisfree-jeju-orchid-enriched-cream</v>
      </c>
      <c r="B310" s="30" t="s">
        <v>11</v>
      </c>
      <c r="C310" s="28" t="str">
        <f t="array" ref="C310">INDEX('raw-sheet'!$A$2:$ZZ$1000, ROW(C309), MATCH(C$1, 'raw-sheet'!$A$1:$ZZ$1, 0))</f>
        <v>Product Detail</v>
      </c>
      <c r="D310" s="28">
        <f t="array" ref="D310">INDEX('raw-sheet'!$A$2:$ZZ$1000, ROW(D309), MATCH(D$1, 'raw-sheet'!$A$1:$ZZ$1, 0))</f>
        <v>200</v>
      </c>
      <c r="E310" s="30" t="str">
        <f t="shared" si="8"/>
        <v>Pass</v>
      </c>
      <c r="F310" s="28" t="str">
        <f t="array" ref="F310">INDEX('raw-sheet'!$A$2:$ZZ$1000, ROW(F309), MATCH(F$1, 'raw-sheet'!$A$1:$ZZ$1, 0))</f>
        <v>寒蘭複合滋養霜 50ml_x000D_ | INNISFREE Taiwan</v>
      </c>
      <c r="G310" s="30" t="s">
        <v>11</v>
      </c>
      <c r="H310" s="28" t="str">
        <f t="array" ref="H310">INDEX('raw-sheet'!$A$2:$ZZ$1000, ROW(H309), MATCH(H$1, 'raw-sheet'!$A$1:$ZZ$1, 0))</f>
        <v>採用寒蘭肌活萃取物2.0™配方，有效滋養肌膚、全方位修護五大肌膚問題的多效合一面霜</v>
      </c>
      <c r="I310" s="30" t="s">
        <v>11</v>
      </c>
      <c r="J310" s="28" t="str">
        <f t="array" ref="J310">INDEX('raw-sheet'!$A$2:$ZZ$1000, ROW(J309), MATCH(J$1, 'raw-sheet'!$A$1:$ZZ$1, 0))</f>
        <v>寒蘭複合滋養霜 50ml</v>
      </c>
      <c r="K310" s="28" t="str">
        <f t="array" ref="K310">INDEX('raw-sheet'!$A$2:$ZZ$1000, ROW(K309), MATCH(K$1, 'raw-sheet'!$A$1:$ZZ$1, 0))</f>
        <v>1</v>
      </c>
      <c r="L310" s="30" t="s">
        <v>11</v>
      </c>
      <c r="M310" s="28" t="str">
        <f t="array" ref="M310">INDEX('raw-sheet'!$A$2:$ZZ$1000, ROW(M309), MATCH(M$1, 'raw-sheet'!$A$1:$ZZ$1, 0))</f>
        <v>https://innisfree-taiwan.myshopify.com/products/innisfree-jeju-orchid-enriched-cream</v>
      </c>
      <c r="N310" s="30" t="str">
        <f t="shared" si="9"/>
        <v>Pass</v>
      </c>
      <c r="O310" s="28" t="str">
        <f t="array" ref="O310">INDEX('raw-sheet'!$A$2:$ZZ$1000, ROW(O309), MATCH(O$1, 'raw-sheet'!$A$1:$ZZ$1, 0))</f>
        <v>寒蘭複合滋養霜 50ml | INNISFREE Taiwan</v>
      </c>
      <c r="P310" s="28" t="str">
        <f t="array" ref="P310">INDEX('raw-sheet'!$A$2:$ZZ$1000, ROW(P309), MATCH(P$1, 'raw-sheet'!$A$1:$ZZ$1, 0))</f>
        <v>採用寒蘭肌活萃取物2.0™配方，有效滋養肌膚、全方位修護五大肌膚問題的多效合一面霜</v>
      </c>
      <c r="Q310" s="28" t="str">
        <f t="array" ref="Q310">INDEX('raw-sheet'!$A$2:$ZZ$1000, ROW(Q309), MATCH(Q$1, 'raw-sheet'!$A$1:$ZZ$1, 0))</f>
        <v>product</v>
      </c>
      <c r="R310" s="28" t="str">
        <f t="array" ref="R310">INDEX('raw-sheet'!$A$2:$ZZ$1000, ROW(R309), MATCH(R$1, 'raw-sheet'!$A$1:$ZZ$1, 0))</f>
        <v>INNISFREE Taiwan</v>
      </c>
      <c r="S310" s="28" t="str">
        <f t="array" ref="S310">INDEX('raw-sheet'!$A$2:$ZZ$1000, ROW(S309), MATCH(S$1, 'raw-sheet'!$A$1:$ZZ$1, 0))</f>
        <v>http://innisfree-taiwan.myshopify.com/cdn/shop/files/pdp_mig_872ac216_20260109_52_ID0101_1_jpg.jpg?v=1768543120</v>
      </c>
      <c r="T310" s="28" t="str">
        <f t="array" ref="T310">INDEX('raw-sheet'!$A$2:$ZZ$1000, ROW(T309), MATCH(T$1, 'raw-sheet'!$A$1:$ZZ$1, 0))</f>
        <v>https://innisfree-taiwan.myshopify.com/cdn/shop/files/pdp_mig_872ac216_20260109_52_ID0101_1_jpg.jpg?v=1768543120</v>
      </c>
      <c r="U310" s="28" t="str">
        <f t="array" ref="U310">INDEX('raw-sheet'!$A$2:$ZZ$1000, ROW(U309), MATCH(U$1, 'raw-sheet'!$A$1:$ZZ$1, 0))</f>
        <v>https://innisfree-taiwan.myshopify.com/products/innisfree-jeju-orchid-enriched-cream</v>
      </c>
      <c r="V310" s="28" t="str">
        <f t="array" ref="V310">INDEX('raw-sheet'!$A$2:$ZZ$1000, ROW(V309), MATCH(V$1, 'raw-sheet'!$A$1:$ZZ$1, 0))</f>
        <v>寒蘭複合滋養霜 50ml | INNISFREE Taiwan</v>
      </c>
      <c r="W310" s="28" t="str">
        <f t="array" ref="W310">INDEX('raw-sheet'!$A$2:$ZZ$1000, ROW(W309), MATCH(W$1, 'raw-sheet'!$A$1:$ZZ$1, 0))</f>
        <v>採用寒蘭肌活萃取物2.0™配方，有效滋養肌膚、全方位修護五大肌膚問題的多效合一面霜</v>
      </c>
      <c r="X310" s="28" t="str">
        <f t="array" ref="X310">INDEX('raw-sheet'!$A$2:$ZZ$1000, ROW(X309), MATCH(X$1, 'raw-sheet'!$A$1:$ZZ$1, 0))</f>
        <v>summary_large_image</v>
      </c>
      <c r="Y310" s="30" t="s">
        <v>11</v>
      </c>
      <c r="Z310" s="28" t="str">
        <f>VLOOKUP($A310,'raw-schema'!$A:$R,14,0)</f>
        <v>Brand</v>
      </c>
      <c r="AA310" s="28" t="str">
        <f>VLOOKUP($A310,'raw-schema'!$A:$R,15,0)</f>
        <v>Offer</v>
      </c>
      <c r="AB310" s="28" t="str">
        <f>VLOOKUP($A310,'raw-schema'!$A:$R,16,0)</f>
        <v>Organization</v>
      </c>
      <c r="AC310" s="28" t="str">
        <f>VLOOKUP($A310,'raw-schema'!$A:$R,17,0)</f>
        <v>Product</v>
      </c>
      <c r="AD310" s="28">
        <f>VLOOKUP($A310,'raw-schema'!$A:$R,18,0)</f>
        <v>0</v>
      </c>
      <c r="AE310" s="30" t="s">
        <v>69</v>
      </c>
    </row>
    <row r="311" spans="1:31" x14ac:dyDescent="0.3">
      <c r="A311" s="28" t="str">
        <f t="array" ref="A311">INDEX('raw-sheet'!$A$2:$ZZ$1000, ROW(A310), MATCH(A$1, 'raw-sheet'!$A$1:$ZZ$1, 0))</f>
        <v>https://innisfree-taiwan.myshopify.com/products/innisfree-jeju-orchid-enriched-essence</v>
      </c>
      <c r="B311" s="30" t="s">
        <v>11</v>
      </c>
      <c r="C311" s="28" t="str">
        <f t="array" ref="C311">INDEX('raw-sheet'!$A$2:$ZZ$1000, ROW(C310), MATCH(C$1, 'raw-sheet'!$A$1:$ZZ$1, 0))</f>
        <v>Product Detail</v>
      </c>
      <c r="D311" s="28">
        <f t="array" ref="D311">INDEX('raw-sheet'!$A$2:$ZZ$1000, ROW(D310), MATCH(D$1, 'raw-sheet'!$A$1:$ZZ$1, 0))</f>
        <v>200</v>
      </c>
      <c r="E311" s="30" t="str">
        <f t="shared" si="8"/>
        <v>Pass</v>
      </c>
      <c r="F311" s="28" t="str">
        <f t="array" ref="F311">INDEX('raw-sheet'!$A$2:$ZZ$1000, ROW(F310), MATCH(F$1, 'raw-sheet'!$A$1:$ZZ$1, 0))</f>
        <v>寒蘭複合滋養精華 50ml_x000D_ | INNISFREE Taiwan</v>
      </c>
      <c r="G311" s="30" t="s">
        <v>11</v>
      </c>
      <c r="H311" s="28" t="str">
        <f t="array" ref="H311">INDEX('raw-sheet'!$A$2:$ZZ$1000, ROW(H310), MATCH(H$1, 'raw-sheet'!$A$1:$ZZ$1, 0))</f>
        <v>採用寒蘭肌活萃取物2.0™配方，有效滋養肌膚、全方位修護五大肌膚問題的多效合一精華</v>
      </c>
      <c r="I311" s="30" t="s">
        <v>11</v>
      </c>
      <c r="J311" s="28" t="str">
        <f t="array" ref="J311">INDEX('raw-sheet'!$A$2:$ZZ$1000, ROW(J310), MATCH(J$1, 'raw-sheet'!$A$1:$ZZ$1, 0))</f>
        <v>寒蘭複合滋養精華 50ml</v>
      </c>
      <c r="K311" s="28" t="str">
        <f t="array" ref="K311">INDEX('raw-sheet'!$A$2:$ZZ$1000, ROW(K310), MATCH(K$1, 'raw-sheet'!$A$1:$ZZ$1, 0))</f>
        <v>1</v>
      </c>
      <c r="L311" s="30" t="s">
        <v>11</v>
      </c>
      <c r="M311" s="28" t="str">
        <f t="array" ref="M311">INDEX('raw-sheet'!$A$2:$ZZ$1000, ROW(M310), MATCH(M$1, 'raw-sheet'!$A$1:$ZZ$1, 0))</f>
        <v>https://innisfree-taiwan.myshopify.com/products/innisfree-jeju-orchid-enriched-essence</v>
      </c>
      <c r="N311" s="30" t="str">
        <f t="shared" si="9"/>
        <v>Pass</v>
      </c>
      <c r="O311" s="28" t="str">
        <f t="array" ref="O311">INDEX('raw-sheet'!$A$2:$ZZ$1000, ROW(O310), MATCH(O$1, 'raw-sheet'!$A$1:$ZZ$1, 0))</f>
        <v>寒蘭複合滋養精華 50ml | INNISFREE Taiwan</v>
      </c>
      <c r="P311" s="28" t="str">
        <f t="array" ref="P311">INDEX('raw-sheet'!$A$2:$ZZ$1000, ROW(P310), MATCH(P$1, 'raw-sheet'!$A$1:$ZZ$1, 0))</f>
        <v>採用寒蘭肌活萃取物2.0™配方，有效滋養肌膚、全方位修護五大肌膚問題的多效合一精華</v>
      </c>
      <c r="Q311" s="28" t="str">
        <f t="array" ref="Q311">INDEX('raw-sheet'!$A$2:$ZZ$1000, ROW(Q310), MATCH(Q$1, 'raw-sheet'!$A$1:$ZZ$1, 0))</f>
        <v>product</v>
      </c>
      <c r="R311" s="28" t="str">
        <f t="array" ref="R311">INDEX('raw-sheet'!$A$2:$ZZ$1000, ROW(R310), MATCH(R$1, 'raw-sheet'!$A$1:$ZZ$1, 0))</f>
        <v>INNISFREE Taiwan</v>
      </c>
      <c r="S311" s="28" t="str">
        <f t="array" ref="S311">INDEX('raw-sheet'!$A$2:$ZZ$1000, ROW(S310), MATCH(S$1, 'raw-sheet'!$A$1:$ZZ$1, 0))</f>
        <v>http://innisfree-taiwan.myshopify.com/cdn/shop/files/pdp_mig_2bd971ef_20231228_53_ID0101_1_jpg.jpg?v=1768543114</v>
      </c>
      <c r="T311" s="28" t="str">
        <f t="array" ref="T311">INDEX('raw-sheet'!$A$2:$ZZ$1000, ROW(T310), MATCH(T$1, 'raw-sheet'!$A$1:$ZZ$1, 0))</f>
        <v>https://innisfree-taiwan.myshopify.com/cdn/shop/files/pdp_mig_2bd971ef_20231228_53_ID0101_1_jpg.jpg?v=1768543114</v>
      </c>
      <c r="U311" s="28" t="str">
        <f t="array" ref="U311">INDEX('raw-sheet'!$A$2:$ZZ$1000, ROW(U310), MATCH(U$1, 'raw-sheet'!$A$1:$ZZ$1, 0))</f>
        <v>https://innisfree-taiwan.myshopify.com/products/innisfree-jeju-orchid-enriched-essence</v>
      </c>
      <c r="V311" s="28" t="str">
        <f t="array" ref="V311">INDEX('raw-sheet'!$A$2:$ZZ$1000, ROW(V310), MATCH(V$1, 'raw-sheet'!$A$1:$ZZ$1, 0))</f>
        <v>寒蘭複合滋養精華 50ml | INNISFREE Taiwan</v>
      </c>
      <c r="W311" s="28" t="str">
        <f t="array" ref="W311">INDEX('raw-sheet'!$A$2:$ZZ$1000, ROW(W310), MATCH(W$1, 'raw-sheet'!$A$1:$ZZ$1, 0))</f>
        <v>採用寒蘭肌活萃取物2.0™配方，有效滋養肌膚、全方位修護五大肌膚問題的多效合一精華</v>
      </c>
      <c r="X311" s="28" t="str">
        <f t="array" ref="X311">INDEX('raw-sheet'!$A$2:$ZZ$1000, ROW(X310), MATCH(X$1, 'raw-sheet'!$A$1:$ZZ$1, 0))</f>
        <v>summary_large_image</v>
      </c>
      <c r="Y311" s="30" t="s">
        <v>11</v>
      </c>
      <c r="Z311" s="28" t="str">
        <f>VLOOKUP($A311,'raw-schema'!$A:$R,14,0)</f>
        <v>Brand</v>
      </c>
      <c r="AA311" s="28" t="str">
        <f>VLOOKUP($A311,'raw-schema'!$A:$R,15,0)</f>
        <v>Offer</v>
      </c>
      <c r="AB311" s="28" t="str">
        <f>VLOOKUP($A311,'raw-schema'!$A:$R,16,0)</f>
        <v>Organization</v>
      </c>
      <c r="AC311" s="28" t="str">
        <f>VLOOKUP($A311,'raw-schema'!$A:$R,17,0)</f>
        <v>Product</v>
      </c>
      <c r="AD311" s="28">
        <f>VLOOKUP($A311,'raw-schema'!$A:$R,18,0)</f>
        <v>0</v>
      </c>
      <c r="AE311" s="30" t="s">
        <v>69</v>
      </c>
    </row>
    <row r="312" spans="1:31" x14ac:dyDescent="0.3">
      <c r="A312" s="28" t="str">
        <f t="array" ref="A312">INDEX('raw-sheet'!$A$2:$ZZ$1000, ROW(A311), MATCH(A$1, 'raw-sheet'!$A$1:$ZZ$1, 0))</f>
        <v>https://innisfree-taiwan.myshopify.com/products/innisfree-jeju-orchid-eye-cream</v>
      </c>
      <c r="B312" s="30" t="s">
        <v>11</v>
      </c>
      <c r="C312" s="28" t="str">
        <f t="array" ref="C312">INDEX('raw-sheet'!$A$2:$ZZ$1000, ROW(C311), MATCH(C$1, 'raw-sheet'!$A$1:$ZZ$1, 0))</f>
        <v>Product Detail</v>
      </c>
      <c r="D312" s="28">
        <f t="array" ref="D312">INDEX('raw-sheet'!$A$2:$ZZ$1000, ROW(D311), MATCH(D$1, 'raw-sheet'!$A$1:$ZZ$1, 0))</f>
        <v>200</v>
      </c>
      <c r="E312" s="30" t="str">
        <f t="shared" si="8"/>
        <v>Pass</v>
      </c>
      <c r="F312" s="28" t="str">
        <f t="array" ref="F312">INDEX('raw-sheet'!$A$2:$ZZ$1000, ROW(F311), MATCH(F$1, 'raw-sheet'!$A$1:$ZZ$1, 0))</f>
        <v>寒蘭複合眼霜 30ml_x000D_ | INNISFREE Taiwan</v>
      </c>
      <c r="G312" s="30" t="s">
        <v>11</v>
      </c>
      <c r="H312" s="28" t="str">
        <f t="array" ref="H312">INDEX('raw-sheet'!$A$2:$ZZ$1000, ROW(H311), MATCH(H$1, 'raw-sheet'!$A$1:$ZZ$1, 0))</f>
        <v>採用寒蘭肌活萃取物2.0™配方，有效滋養眼周肌膚、全方位修護眼周肌膚問題的多效合一眼霜</v>
      </c>
      <c r="I312" s="30" t="s">
        <v>11</v>
      </c>
      <c r="J312" s="28" t="str">
        <f t="array" ref="J312">INDEX('raw-sheet'!$A$2:$ZZ$1000, ROW(J311), MATCH(J$1, 'raw-sheet'!$A$1:$ZZ$1, 0))</f>
        <v>寒蘭複合眼霜 30ml</v>
      </c>
      <c r="K312" s="28" t="str">
        <f t="array" ref="K312">INDEX('raw-sheet'!$A$2:$ZZ$1000, ROW(K311), MATCH(K$1, 'raw-sheet'!$A$1:$ZZ$1, 0))</f>
        <v>1</v>
      </c>
      <c r="L312" s="30" t="s">
        <v>11</v>
      </c>
      <c r="M312" s="28" t="str">
        <f t="array" ref="M312">INDEX('raw-sheet'!$A$2:$ZZ$1000, ROW(M311), MATCH(M$1, 'raw-sheet'!$A$1:$ZZ$1, 0))</f>
        <v>https://innisfree-taiwan.myshopify.com/products/innisfree-jeju-orchid-eye-cream</v>
      </c>
      <c r="N312" s="30" t="str">
        <f t="shared" si="9"/>
        <v>Pass</v>
      </c>
      <c r="O312" s="28" t="str">
        <f t="array" ref="O312">INDEX('raw-sheet'!$A$2:$ZZ$1000, ROW(O311), MATCH(O$1, 'raw-sheet'!$A$1:$ZZ$1, 0))</f>
        <v>寒蘭複合眼霜 30ml | INNISFREE Taiwan</v>
      </c>
      <c r="P312" s="28" t="str">
        <f t="array" ref="P312">INDEX('raw-sheet'!$A$2:$ZZ$1000, ROW(P311), MATCH(P$1, 'raw-sheet'!$A$1:$ZZ$1, 0))</f>
        <v>採用寒蘭肌活萃取物2.0™配方，有效滋養眼周肌膚、全方位修護眼周肌膚問題的多效合一眼霜</v>
      </c>
      <c r="Q312" s="28" t="str">
        <f t="array" ref="Q312">INDEX('raw-sheet'!$A$2:$ZZ$1000, ROW(Q311), MATCH(Q$1, 'raw-sheet'!$A$1:$ZZ$1, 0))</f>
        <v>product</v>
      </c>
      <c r="R312" s="28" t="str">
        <f t="array" ref="R312">INDEX('raw-sheet'!$A$2:$ZZ$1000, ROW(R311), MATCH(R$1, 'raw-sheet'!$A$1:$ZZ$1, 0))</f>
        <v>INNISFREE Taiwan</v>
      </c>
      <c r="S312" s="28" t="str">
        <f t="array" ref="S312">INDEX('raw-sheet'!$A$2:$ZZ$1000, ROW(S311), MATCH(S$1, 'raw-sheet'!$A$1:$ZZ$1, 0))</f>
        <v>http://innisfree-taiwan.myshopify.com/cdn/shop/files/pdp_mig_2b7686e7_20260109_54_ID0101_1_jpg.jpg?v=1768543114</v>
      </c>
      <c r="T312" s="28" t="str">
        <f t="array" ref="T312">INDEX('raw-sheet'!$A$2:$ZZ$1000, ROW(T311), MATCH(T$1, 'raw-sheet'!$A$1:$ZZ$1, 0))</f>
        <v>https://innisfree-taiwan.myshopify.com/cdn/shop/files/pdp_mig_2b7686e7_20260109_54_ID0101_1_jpg.jpg?v=1768543114</v>
      </c>
      <c r="U312" s="28" t="str">
        <f t="array" ref="U312">INDEX('raw-sheet'!$A$2:$ZZ$1000, ROW(U311), MATCH(U$1, 'raw-sheet'!$A$1:$ZZ$1, 0))</f>
        <v>https://innisfree-taiwan.myshopify.com/products/innisfree-jeju-orchid-eye-cream</v>
      </c>
      <c r="V312" s="28" t="str">
        <f t="array" ref="V312">INDEX('raw-sheet'!$A$2:$ZZ$1000, ROW(V311), MATCH(V$1, 'raw-sheet'!$A$1:$ZZ$1, 0))</f>
        <v>寒蘭複合眼霜 30ml | INNISFREE Taiwan</v>
      </c>
      <c r="W312" s="28" t="str">
        <f t="array" ref="W312">INDEX('raw-sheet'!$A$2:$ZZ$1000, ROW(W311), MATCH(W$1, 'raw-sheet'!$A$1:$ZZ$1, 0))</f>
        <v>採用寒蘭肌活萃取物2.0™配方，有效滋養眼周肌膚、全方位修護眼周肌膚問題的多效合一眼霜</v>
      </c>
      <c r="X312" s="28" t="str">
        <f t="array" ref="X312">INDEX('raw-sheet'!$A$2:$ZZ$1000, ROW(X311), MATCH(X$1, 'raw-sheet'!$A$1:$ZZ$1, 0))</f>
        <v>summary_large_image</v>
      </c>
      <c r="Y312" s="30" t="s">
        <v>11</v>
      </c>
      <c r="Z312" s="28" t="str">
        <f>VLOOKUP($A312,'raw-schema'!$A:$R,14,0)</f>
        <v>Brand</v>
      </c>
      <c r="AA312" s="28" t="str">
        <f>VLOOKUP($A312,'raw-schema'!$A:$R,15,0)</f>
        <v>Offer</v>
      </c>
      <c r="AB312" s="28" t="str">
        <f>VLOOKUP($A312,'raw-schema'!$A:$R,16,0)</f>
        <v>Organization</v>
      </c>
      <c r="AC312" s="28" t="str">
        <f>VLOOKUP($A312,'raw-schema'!$A:$R,17,0)</f>
        <v>Product</v>
      </c>
      <c r="AD312" s="28">
        <f>VLOOKUP($A312,'raw-schema'!$A:$R,18,0)</f>
        <v>0</v>
      </c>
      <c r="AE312" s="30" t="s">
        <v>69</v>
      </c>
    </row>
    <row r="313" spans="1:31" x14ac:dyDescent="0.3">
      <c r="A313" s="28" t="str">
        <f t="array" ref="A313">INDEX('raw-sheet'!$A$2:$ZZ$1000, ROW(A312), MATCH(A$1, 'raw-sheet'!$A$1:$ZZ$1, 0))</f>
        <v>https://innisfree-taiwan.myshopify.com/products/innisfree-jeju-orchid-lotion</v>
      </c>
      <c r="B313" s="30" t="s">
        <v>11</v>
      </c>
      <c r="C313" s="28" t="str">
        <f t="array" ref="C313">INDEX('raw-sheet'!$A$2:$ZZ$1000, ROW(C312), MATCH(C$1, 'raw-sheet'!$A$1:$ZZ$1, 0))</f>
        <v>Product Detail</v>
      </c>
      <c r="D313" s="28">
        <f t="array" ref="D313">INDEX('raw-sheet'!$A$2:$ZZ$1000, ROW(D312), MATCH(D$1, 'raw-sheet'!$A$1:$ZZ$1, 0))</f>
        <v>200</v>
      </c>
      <c r="E313" s="30" t="str">
        <f t="shared" si="8"/>
        <v>Pass</v>
      </c>
      <c r="F313" s="28" t="str">
        <f t="array" ref="F313">INDEX('raw-sheet'!$A$2:$ZZ$1000, ROW(F312), MATCH(F$1, 'raw-sheet'!$A$1:$ZZ$1, 0))</f>
        <v>寒蘭複合滋養乳 170ml_x000D_ | INNISFREE Taiwan</v>
      </c>
      <c r="G313" s="30" t="s">
        <v>11</v>
      </c>
      <c r="H313" s="28" t="str">
        <f t="array" ref="H313">INDEX('raw-sheet'!$A$2:$ZZ$1000, ROW(H312), MATCH(H$1, 'raw-sheet'!$A$1:$ZZ$1, 0))</f>
        <v>採用寒蘭肌活萃取物2.0™配方，有效滋養肌膚、全方位修護五大肌膚問題的多效合一滋養乳</v>
      </c>
      <c r="I313" s="30" t="s">
        <v>11</v>
      </c>
      <c r="J313" s="28" t="str">
        <f t="array" ref="J313">INDEX('raw-sheet'!$A$2:$ZZ$1000, ROW(J312), MATCH(J$1, 'raw-sheet'!$A$1:$ZZ$1, 0))</f>
        <v>寒蘭複合滋養乳 170ml</v>
      </c>
      <c r="K313" s="28" t="str">
        <f t="array" ref="K313">INDEX('raw-sheet'!$A$2:$ZZ$1000, ROW(K312), MATCH(K$1, 'raw-sheet'!$A$1:$ZZ$1, 0))</f>
        <v>1</v>
      </c>
      <c r="L313" s="30" t="s">
        <v>11</v>
      </c>
      <c r="M313" s="28" t="str">
        <f t="array" ref="M313">INDEX('raw-sheet'!$A$2:$ZZ$1000, ROW(M312), MATCH(M$1, 'raw-sheet'!$A$1:$ZZ$1, 0))</f>
        <v>https://innisfree-taiwan.myshopify.com/products/innisfree-jeju-orchid-lotion</v>
      </c>
      <c r="N313" s="30" t="str">
        <f t="shared" si="9"/>
        <v>Pass</v>
      </c>
      <c r="O313" s="28" t="str">
        <f t="array" ref="O313">INDEX('raw-sheet'!$A$2:$ZZ$1000, ROW(O312), MATCH(O$1, 'raw-sheet'!$A$1:$ZZ$1, 0))</f>
        <v>寒蘭複合滋養乳 170ml | INNISFREE Taiwan</v>
      </c>
      <c r="P313" s="28" t="str">
        <f t="array" ref="P313">INDEX('raw-sheet'!$A$2:$ZZ$1000, ROW(P312), MATCH(P$1, 'raw-sheet'!$A$1:$ZZ$1, 0))</f>
        <v>採用寒蘭肌活萃取物2.0™配方，有效滋養肌膚、全方位修護五大肌膚問題的多效合一滋養乳</v>
      </c>
      <c r="Q313" s="28" t="str">
        <f t="array" ref="Q313">INDEX('raw-sheet'!$A$2:$ZZ$1000, ROW(Q312), MATCH(Q$1, 'raw-sheet'!$A$1:$ZZ$1, 0))</f>
        <v>product</v>
      </c>
      <c r="R313" s="28" t="str">
        <f t="array" ref="R313">INDEX('raw-sheet'!$A$2:$ZZ$1000, ROW(R312), MATCH(R$1, 'raw-sheet'!$A$1:$ZZ$1, 0))</f>
        <v>INNISFREE Taiwan</v>
      </c>
      <c r="S313" s="28" t="str">
        <f t="array" ref="S313">INDEX('raw-sheet'!$A$2:$ZZ$1000, ROW(S312), MATCH(S$1, 'raw-sheet'!$A$1:$ZZ$1, 0))</f>
        <v>http://innisfree-taiwan.myshopify.com/cdn/shop/files/pdp_mig_eb283eba_20231228_56_ID0101_1_jpg.jpg?v=1768543113</v>
      </c>
      <c r="T313" s="28" t="str">
        <f t="array" ref="T313">INDEX('raw-sheet'!$A$2:$ZZ$1000, ROW(T312), MATCH(T$1, 'raw-sheet'!$A$1:$ZZ$1, 0))</f>
        <v>https://innisfree-taiwan.myshopify.com/cdn/shop/files/pdp_mig_eb283eba_20231228_56_ID0101_1_jpg.jpg?v=1768543113</v>
      </c>
      <c r="U313" s="28" t="str">
        <f t="array" ref="U313">INDEX('raw-sheet'!$A$2:$ZZ$1000, ROW(U312), MATCH(U$1, 'raw-sheet'!$A$1:$ZZ$1, 0))</f>
        <v>https://innisfree-taiwan.myshopify.com/products/innisfree-jeju-orchid-lotion</v>
      </c>
      <c r="V313" s="28" t="str">
        <f t="array" ref="V313">INDEX('raw-sheet'!$A$2:$ZZ$1000, ROW(V312), MATCH(V$1, 'raw-sheet'!$A$1:$ZZ$1, 0))</f>
        <v>寒蘭複合滋養乳 170ml | INNISFREE Taiwan</v>
      </c>
      <c r="W313" s="28" t="str">
        <f t="array" ref="W313">INDEX('raw-sheet'!$A$2:$ZZ$1000, ROW(W312), MATCH(W$1, 'raw-sheet'!$A$1:$ZZ$1, 0))</f>
        <v>採用寒蘭肌活萃取物2.0™配方，有效滋養肌膚、全方位修護五大肌膚問題的多效合一滋養乳</v>
      </c>
      <c r="X313" s="28" t="str">
        <f t="array" ref="X313">INDEX('raw-sheet'!$A$2:$ZZ$1000, ROW(X312), MATCH(X$1, 'raw-sheet'!$A$1:$ZZ$1, 0))</f>
        <v>summary_large_image</v>
      </c>
      <c r="Y313" s="30" t="s">
        <v>11</v>
      </c>
      <c r="Z313" s="28" t="str">
        <f>VLOOKUP($A313,'raw-schema'!$A:$R,14,0)</f>
        <v>Brand</v>
      </c>
      <c r="AA313" s="28" t="str">
        <f>VLOOKUP($A313,'raw-schema'!$A:$R,15,0)</f>
        <v>Offer</v>
      </c>
      <c r="AB313" s="28" t="str">
        <f>VLOOKUP($A313,'raw-schema'!$A:$R,16,0)</f>
        <v>Organization</v>
      </c>
      <c r="AC313" s="28" t="str">
        <f>VLOOKUP($A313,'raw-schema'!$A:$R,17,0)</f>
        <v>Product</v>
      </c>
      <c r="AD313" s="28">
        <f>VLOOKUP($A313,'raw-schema'!$A:$R,18,0)</f>
        <v>0</v>
      </c>
      <c r="AE313" s="30" t="s">
        <v>69</v>
      </c>
    </row>
    <row r="314" spans="1:31" x14ac:dyDescent="0.3">
      <c r="A314" s="28" t="str">
        <f t="array" ref="A314">INDEX('raw-sheet'!$A$2:$ZZ$1000, ROW(A313), MATCH(A$1, 'raw-sheet'!$A$1:$ZZ$1, 0))</f>
        <v>https://innisfree-taiwan.myshopify.com/products/innisfree-jeju-orchid-skin</v>
      </c>
      <c r="B314" s="30" t="s">
        <v>11</v>
      </c>
      <c r="C314" s="28" t="str">
        <f t="array" ref="C314">INDEX('raw-sheet'!$A$2:$ZZ$1000, ROW(C313), MATCH(C$1, 'raw-sheet'!$A$1:$ZZ$1, 0))</f>
        <v>Product Detail</v>
      </c>
      <c r="D314" s="28">
        <f t="array" ref="D314">INDEX('raw-sheet'!$A$2:$ZZ$1000, ROW(D313), MATCH(D$1, 'raw-sheet'!$A$1:$ZZ$1, 0))</f>
        <v>200</v>
      </c>
      <c r="E314" s="30" t="str">
        <f t="shared" si="8"/>
        <v>Pass</v>
      </c>
      <c r="F314" s="28" t="str">
        <f t="array" ref="F314">INDEX('raw-sheet'!$A$2:$ZZ$1000, ROW(F313), MATCH(F$1, 'raw-sheet'!$A$1:$ZZ$1, 0))</f>
        <v>寒蘭複合滋養水 170ml_x000D_ | INNISFREE Taiwan</v>
      </c>
      <c r="G314" s="30" t="s">
        <v>11</v>
      </c>
      <c r="H314" s="28" t="str">
        <f t="array" ref="H314">INDEX('raw-sheet'!$A$2:$ZZ$1000, ROW(H313), MATCH(H$1, 'raw-sheet'!$A$1:$ZZ$1, 0))</f>
        <v>蘊含濟州寒蘭強大生命能量，有效滋養肌膚、改善五大老化肌膚問題的多效合一滋養水</v>
      </c>
      <c r="I314" s="30" t="s">
        <v>11</v>
      </c>
      <c r="J314" s="28" t="str">
        <f t="array" ref="J314">INDEX('raw-sheet'!$A$2:$ZZ$1000, ROW(J313), MATCH(J$1, 'raw-sheet'!$A$1:$ZZ$1, 0))</f>
        <v>寒蘭複合滋養水 170ml</v>
      </c>
      <c r="K314" s="28" t="str">
        <f t="array" ref="K314">INDEX('raw-sheet'!$A$2:$ZZ$1000, ROW(K313), MATCH(K$1, 'raw-sheet'!$A$1:$ZZ$1, 0))</f>
        <v>1</v>
      </c>
      <c r="L314" s="30" t="s">
        <v>11</v>
      </c>
      <c r="M314" s="28" t="str">
        <f t="array" ref="M314">INDEX('raw-sheet'!$A$2:$ZZ$1000, ROW(M313), MATCH(M$1, 'raw-sheet'!$A$1:$ZZ$1, 0))</f>
        <v>https://innisfree-taiwan.myshopify.com/products/innisfree-jeju-orchid-skin</v>
      </c>
      <c r="N314" s="30" t="str">
        <f t="shared" si="9"/>
        <v>Pass</v>
      </c>
      <c r="O314" s="28" t="str">
        <f t="array" ref="O314">INDEX('raw-sheet'!$A$2:$ZZ$1000, ROW(O313), MATCH(O$1, 'raw-sheet'!$A$1:$ZZ$1, 0))</f>
        <v>寒蘭複合滋養水 170ml | INNISFREE Taiwan</v>
      </c>
      <c r="P314" s="28" t="str">
        <f t="array" ref="P314">INDEX('raw-sheet'!$A$2:$ZZ$1000, ROW(P313), MATCH(P$1, 'raw-sheet'!$A$1:$ZZ$1, 0))</f>
        <v>蘊含濟州寒蘭強大生命能量，有效滋養肌膚、改善五大老化肌膚問題的多效合一滋養水</v>
      </c>
      <c r="Q314" s="28" t="str">
        <f t="array" ref="Q314">INDEX('raw-sheet'!$A$2:$ZZ$1000, ROW(Q313), MATCH(Q$1, 'raw-sheet'!$A$1:$ZZ$1, 0))</f>
        <v>product</v>
      </c>
      <c r="R314" s="28" t="str">
        <f t="array" ref="R314">INDEX('raw-sheet'!$A$2:$ZZ$1000, ROW(R313), MATCH(R$1, 'raw-sheet'!$A$1:$ZZ$1, 0))</f>
        <v>INNISFREE Taiwan</v>
      </c>
      <c r="S314" s="28" t="str">
        <f t="array" ref="S314">INDEX('raw-sheet'!$A$2:$ZZ$1000, ROW(S313), MATCH(S$1, 'raw-sheet'!$A$1:$ZZ$1, 0))</f>
        <v>http://innisfree-taiwan.myshopify.com/cdn/shop/files/pdp_mig_012915c8_20231228_57_ID0101_1_jpg.jpg?v=1768543114</v>
      </c>
      <c r="T314" s="28" t="str">
        <f t="array" ref="T314">INDEX('raw-sheet'!$A$2:$ZZ$1000, ROW(T313), MATCH(T$1, 'raw-sheet'!$A$1:$ZZ$1, 0))</f>
        <v>https://innisfree-taiwan.myshopify.com/cdn/shop/files/pdp_mig_012915c8_20231228_57_ID0101_1_jpg.jpg?v=1768543114</v>
      </c>
      <c r="U314" s="28" t="str">
        <f t="array" ref="U314">INDEX('raw-sheet'!$A$2:$ZZ$1000, ROW(U313), MATCH(U$1, 'raw-sheet'!$A$1:$ZZ$1, 0))</f>
        <v>https://innisfree-taiwan.myshopify.com/products/innisfree-jeju-orchid-skin</v>
      </c>
      <c r="V314" s="28" t="str">
        <f t="array" ref="V314">INDEX('raw-sheet'!$A$2:$ZZ$1000, ROW(V313), MATCH(V$1, 'raw-sheet'!$A$1:$ZZ$1, 0))</f>
        <v>寒蘭複合滋養水 170ml | INNISFREE Taiwan</v>
      </c>
      <c r="W314" s="28" t="str">
        <f t="array" ref="W314">INDEX('raw-sheet'!$A$2:$ZZ$1000, ROW(W313), MATCH(W$1, 'raw-sheet'!$A$1:$ZZ$1, 0))</f>
        <v>蘊含濟州寒蘭強大生命能量，有效滋養肌膚、改善五大老化肌膚問題的多效合一滋養水</v>
      </c>
      <c r="X314" s="28" t="str">
        <f t="array" ref="X314">INDEX('raw-sheet'!$A$2:$ZZ$1000, ROW(X313), MATCH(X$1, 'raw-sheet'!$A$1:$ZZ$1, 0))</f>
        <v>summary_large_image</v>
      </c>
      <c r="Y314" s="30" t="s">
        <v>11</v>
      </c>
      <c r="Z314" s="28" t="str">
        <f>VLOOKUP($A314,'raw-schema'!$A:$R,14,0)</f>
        <v>Brand</v>
      </c>
      <c r="AA314" s="28" t="str">
        <f>VLOOKUP($A314,'raw-schema'!$A:$R,15,0)</f>
        <v>Offer</v>
      </c>
      <c r="AB314" s="28" t="str">
        <f>VLOOKUP($A314,'raw-schema'!$A:$R,16,0)</f>
        <v>Organization</v>
      </c>
      <c r="AC314" s="28" t="str">
        <f>VLOOKUP($A314,'raw-schema'!$A:$R,17,0)</f>
        <v>Product</v>
      </c>
      <c r="AD314" s="28">
        <f>VLOOKUP($A314,'raw-schema'!$A:$R,18,0)</f>
        <v>0</v>
      </c>
      <c r="AE314" s="30" t="s">
        <v>69</v>
      </c>
    </row>
    <row r="315" spans="1:31" x14ac:dyDescent="0.3">
      <c r="A315" s="28" t="str">
        <f t="array" ref="A315">INDEX('raw-sheet'!$A$2:$ZZ$1000, ROW(A314), MATCH(A$1, 'raw-sheet'!$A$1:$ZZ$1, 0))</f>
        <v>https://innisfree-taiwan.myshopify.com/products/innisfree-light-fitting-concealer</v>
      </c>
      <c r="B315" s="30" t="s">
        <v>11</v>
      </c>
      <c r="C315" s="28" t="str">
        <f t="array" ref="C315">INDEX('raw-sheet'!$A$2:$ZZ$1000, ROW(C314), MATCH(C$1, 'raw-sheet'!$A$1:$ZZ$1, 0))</f>
        <v>Product Detail</v>
      </c>
      <c r="D315" s="28">
        <f t="array" ref="D315">INDEX('raw-sheet'!$A$2:$ZZ$1000, ROW(D314), MATCH(D$1, 'raw-sheet'!$A$1:$ZZ$1, 0))</f>
        <v>200</v>
      </c>
      <c r="E315" s="30" t="str">
        <f t="shared" si="8"/>
        <v>Pass</v>
      </c>
      <c r="F315" s="28" t="str">
        <f t="array" ref="F315">INDEX('raw-sheet'!$A$2:$ZZ$1000, ROW(F314), MATCH(F$1, 'raw-sheet'!$A$1:$ZZ$1, 0))</f>
        <v>輕薄透服貼遮瑕膏 7g_x000D_ | INNISFREE Taiwan</v>
      </c>
      <c r="G315" s="30" t="s">
        <v>11</v>
      </c>
      <c r="H315" s="28" t="str">
        <f t="array" ref="H315">INDEX('raw-sheet'!$A$2:$ZZ$1000, ROW(H314), MATCH(H$1, 'raw-sheet'!$A$1:$ZZ$1, 0))</f>
        <v>專門遮蓋黑眼圈的遮瑕膏，高分子服貼配方、針對不同瑕疵程度的遮瑕效果</v>
      </c>
      <c r="I315" s="30" t="s">
        <v>11</v>
      </c>
      <c r="J315" s="28" t="str">
        <f t="array" ref="J315">INDEX('raw-sheet'!$A$2:$ZZ$1000, ROW(J314), MATCH(J$1, 'raw-sheet'!$A$1:$ZZ$1, 0))</f>
        <v>輕薄透服貼遮瑕膏 7g</v>
      </c>
      <c r="K315" s="28" t="str">
        <f t="array" ref="K315">INDEX('raw-sheet'!$A$2:$ZZ$1000, ROW(K314), MATCH(K$1, 'raw-sheet'!$A$1:$ZZ$1, 0))</f>
        <v>1</v>
      </c>
      <c r="L315" s="30" t="s">
        <v>11</v>
      </c>
      <c r="M315" s="28" t="str">
        <f t="array" ref="M315">INDEX('raw-sheet'!$A$2:$ZZ$1000, ROW(M314), MATCH(M$1, 'raw-sheet'!$A$1:$ZZ$1, 0))</f>
        <v>https://innisfree-taiwan.myshopify.com/products/innisfree-light-fitting-concealer</v>
      </c>
      <c r="N315" s="30" t="str">
        <f t="shared" si="9"/>
        <v>Pass</v>
      </c>
      <c r="O315" s="28" t="str">
        <f t="array" ref="O315">INDEX('raw-sheet'!$A$2:$ZZ$1000, ROW(O314), MATCH(O$1, 'raw-sheet'!$A$1:$ZZ$1, 0))</f>
        <v>輕薄透服貼遮瑕膏 7g | INNISFREE Taiwan</v>
      </c>
      <c r="P315" s="28" t="str">
        <f t="array" ref="P315">INDEX('raw-sheet'!$A$2:$ZZ$1000, ROW(P314), MATCH(P$1, 'raw-sheet'!$A$1:$ZZ$1, 0))</f>
        <v>專門遮蓋黑眼圈的遮瑕膏，高分子服貼配方、針對不同瑕疵程度的遮瑕效果</v>
      </c>
      <c r="Q315" s="28" t="str">
        <f t="array" ref="Q315">INDEX('raw-sheet'!$A$2:$ZZ$1000, ROW(Q314), MATCH(Q$1, 'raw-sheet'!$A$1:$ZZ$1, 0))</f>
        <v>product</v>
      </c>
      <c r="R315" s="28" t="str">
        <f t="array" ref="R315">INDEX('raw-sheet'!$A$2:$ZZ$1000, ROW(R314), MATCH(R$1, 'raw-sheet'!$A$1:$ZZ$1, 0))</f>
        <v>INNISFREE Taiwan</v>
      </c>
      <c r="S315" s="28" t="str">
        <f t="array" ref="S315">INDEX('raw-sheet'!$A$2:$ZZ$1000, ROW(S314), MATCH(S$1, 'raw-sheet'!$A$1:$ZZ$1, 0))</f>
        <v>http://innisfree-taiwan.myshopify.com/cdn/shop/files/pdp_mig_734d225c_20240103_1296_ID0101_1_jpg.jpg?v=1768543074</v>
      </c>
      <c r="T315" s="28" t="str">
        <f t="array" ref="T315">INDEX('raw-sheet'!$A$2:$ZZ$1000, ROW(T314), MATCH(T$1, 'raw-sheet'!$A$1:$ZZ$1, 0))</f>
        <v>https://innisfree-taiwan.myshopify.com/cdn/shop/files/pdp_mig_734d225c_20240103_1296_ID0101_1_jpg.jpg?v=1768543074</v>
      </c>
      <c r="U315" s="28" t="str">
        <f t="array" ref="U315">INDEX('raw-sheet'!$A$2:$ZZ$1000, ROW(U314), MATCH(U$1, 'raw-sheet'!$A$1:$ZZ$1, 0))</f>
        <v>https://innisfree-taiwan.myshopify.com/products/innisfree-light-fitting-concealer</v>
      </c>
      <c r="V315" s="28" t="str">
        <f t="array" ref="V315">INDEX('raw-sheet'!$A$2:$ZZ$1000, ROW(V314), MATCH(V$1, 'raw-sheet'!$A$1:$ZZ$1, 0))</f>
        <v>輕薄透服貼遮瑕膏 7g | INNISFREE Taiwan</v>
      </c>
      <c r="W315" s="28" t="str">
        <f t="array" ref="W315">INDEX('raw-sheet'!$A$2:$ZZ$1000, ROW(W314), MATCH(W$1, 'raw-sheet'!$A$1:$ZZ$1, 0))</f>
        <v>專門遮蓋黑眼圈的遮瑕膏，高分子服貼配方、針對不同瑕疵程度的遮瑕效果</v>
      </c>
      <c r="X315" s="28" t="str">
        <f t="array" ref="X315">INDEX('raw-sheet'!$A$2:$ZZ$1000, ROW(X314), MATCH(X$1, 'raw-sheet'!$A$1:$ZZ$1, 0))</f>
        <v>summary_large_image</v>
      </c>
      <c r="Y315" s="30" t="s">
        <v>11</v>
      </c>
      <c r="Z315" s="28" t="str">
        <f>VLOOKUP($A315,'raw-schema'!$A:$R,14,0)</f>
        <v>Brand</v>
      </c>
      <c r="AA315" s="28" t="str">
        <f>VLOOKUP($A315,'raw-schema'!$A:$R,15,0)</f>
        <v>Offer</v>
      </c>
      <c r="AB315" s="28" t="str">
        <f>VLOOKUP($A315,'raw-schema'!$A:$R,16,0)</f>
        <v>Organization</v>
      </c>
      <c r="AC315" s="28" t="str">
        <f>VLOOKUP($A315,'raw-schema'!$A:$R,17,0)</f>
        <v>Product</v>
      </c>
      <c r="AD315" s="28" t="str">
        <f>VLOOKUP($A315,'raw-schema'!$A:$R,18,0)</f>
        <v>ProductGroup</v>
      </c>
      <c r="AE315" s="30" t="s">
        <v>69</v>
      </c>
    </row>
    <row r="316" spans="1:31" x14ac:dyDescent="0.3">
      <c r="A316" s="28" t="str">
        <f t="array" ref="A316">INDEX('raw-sheet'!$A$2:$ZZ$1000, ROW(A315), MATCH(A$1, 'raw-sheet'!$A$1:$ZZ$1, 0))</f>
        <v>https://innisfree-taiwan.myshopify.com/products/innisfree-light-fitting-foundation-spf20-pa</v>
      </c>
      <c r="B316" s="30" t="s">
        <v>11</v>
      </c>
      <c r="C316" s="28" t="str">
        <f t="array" ref="C316">INDEX('raw-sheet'!$A$2:$ZZ$1000, ROW(C315), MATCH(C$1, 'raw-sheet'!$A$1:$ZZ$1, 0))</f>
        <v>Product Detail</v>
      </c>
      <c r="D316" s="28">
        <f t="array" ref="D316">INDEX('raw-sheet'!$A$2:$ZZ$1000, ROW(D315), MATCH(D$1, 'raw-sheet'!$A$1:$ZZ$1, 0))</f>
        <v>200</v>
      </c>
      <c r="E316" s="30" t="str">
        <f t="shared" si="8"/>
        <v>Pass</v>
      </c>
      <c r="F316" s="28" t="str">
        <f t="array" ref="F316">INDEX('raw-sheet'!$A$2:$ZZ$1000, ROW(F315), MATCH(F$1, 'raw-sheet'!$A$1:$ZZ$1, 0))</f>
        <v>輕薄透服貼粉底液 SPF20 PA++ 30ml_x000D_ | INNISFREE Taiwan</v>
      </c>
      <c r="G316" s="30" t="s">
        <v>11</v>
      </c>
      <c r="H316" s="28" t="str">
        <f t="array" ref="H316">INDEX('raw-sheet'!$A$2:$ZZ$1000, ROW(H315), MATCH(H$1, 'raw-sheet'!$A$1:$ZZ$1, 0))</f>
        <v>全新高分子服貼配方，完美貼合肌膚，打造輕薄光滑的底妝</v>
      </c>
      <c r="I316" s="30" t="s">
        <v>11</v>
      </c>
      <c r="J316" s="28" t="str">
        <f t="array" ref="J316">INDEX('raw-sheet'!$A$2:$ZZ$1000, ROW(J315), MATCH(J$1, 'raw-sheet'!$A$1:$ZZ$1, 0))</f>
        <v>輕薄透服貼粉底液 SPF20 PA++ 30ml</v>
      </c>
      <c r="K316" s="28" t="str">
        <f t="array" ref="K316">INDEX('raw-sheet'!$A$2:$ZZ$1000, ROW(K315), MATCH(K$1, 'raw-sheet'!$A$1:$ZZ$1, 0))</f>
        <v>1</v>
      </c>
      <c r="L316" s="30" t="s">
        <v>11</v>
      </c>
      <c r="M316" s="28" t="str">
        <f t="array" ref="M316">INDEX('raw-sheet'!$A$2:$ZZ$1000, ROW(M315), MATCH(M$1, 'raw-sheet'!$A$1:$ZZ$1, 0))</f>
        <v>https://innisfree-taiwan.myshopify.com/products/innisfree-light-fitting-foundation-spf20-pa</v>
      </c>
      <c r="N316" s="30" t="str">
        <f t="shared" si="9"/>
        <v>Pass</v>
      </c>
      <c r="O316" s="28" t="str">
        <f t="array" ref="O316">INDEX('raw-sheet'!$A$2:$ZZ$1000, ROW(O315), MATCH(O$1, 'raw-sheet'!$A$1:$ZZ$1, 0))</f>
        <v>輕薄透服貼粉底液 SPF20 PA++ 30ml | INNISFREE Taiwan</v>
      </c>
      <c r="P316" s="28" t="str">
        <f t="array" ref="P316">INDEX('raw-sheet'!$A$2:$ZZ$1000, ROW(P315), MATCH(P$1, 'raw-sheet'!$A$1:$ZZ$1, 0))</f>
        <v>全新高分子服貼配方，完美貼合肌膚，打造輕薄光滑的底妝</v>
      </c>
      <c r="Q316" s="28" t="str">
        <f t="array" ref="Q316">INDEX('raw-sheet'!$A$2:$ZZ$1000, ROW(Q315), MATCH(Q$1, 'raw-sheet'!$A$1:$ZZ$1, 0))</f>
        <v>product</v>
      </c>
      <c r="R316" s="28" t="str">
        <f t="array" ref="R316">INDEX('raw-sheet'!$A$2:$ZZ$1000, ROW(R315), MATCH(R$1, 'raw-sheet'!$A$1:$ZZ$1, 0))</f>
        <v>INNISFREE Taiwan</v>
      </c>
      <c r="S316" s="28" t="str">
        <f t="array" ref="S316">INDEX('raw-sheet'!$A$2:$ZZ$1000, ROW(S315), MATCH(S$1, 'raw-sheet'!$A$1:$ZZ$1, 0))</f>
        <v>http://innisfree-taiwan.myshopify.com/cdn/shop/files/pdp_mig_0823a8e3_20230928_1258_ID0101_1_jpg.jpg?v=1768543087</v>
      </c>
      <c r="T316" s="28" t="str">
        <f t="array" ref="T316">INDEX('raw-sheet'!$A$2:$ZZ$1000, ROW(T315), MATCH(T$1, 'raw-sheet'!$A$1:$ZZ$1, 0))</f>
        <v>https://innisfree-taiwan.myshopify.com/cdn/shop/files/pdp_mig_0823a8e3_20230928_1258_ID0101_1_jpg.jpg?v=1768543087</v>
      </c>
      <c r="U316" s="28" t="str">
        <f t="array" ref="U316">INDEX('raw-sheet'!$A$2:$ZZ$1000, ROW(U315), MATCH(U$1, 'raw-sheet'!$A$1:$ZZ$1, 0))</f>
        <v>https://innisfree-taiwan.myshopify.com/products/innisfree-light-fitting-foundation-spf20-pa</v>
      </c>
      <c r="V316" s="28" t="str">
        <f t="array" ref="V316">INDEX('raw-sheet'!$A$2:$ZZ$1000, ROW(V315), MATCH(V$1, 'raw-sheet'!$A$1:$ZZ$1, 0))</f>
        <v>輕薄透服貼粉底液 SPF20 PA++ 30ml | INNISFREE Taiwan</v>
      </c>
      <c r="W316" s="28" t="str">
        <f t="array" ref="W316">INDEX('raw-sheet'!$A$2:$ZZ$1000, ROW(W315), MATCH(W$1, 'raw-sheet'!$A$1:$ZZ$1, 0))</f>
        <v>全新高分子服貼配方，完美貼合肌膚，打造輕薄光滑的底妝</v>
      </c>
      <c r="X316" s="28" t="str">
        <f t="array" ref="X316">INDEX('raw-sheet'!$A$2:$ZZ$1000, ROW(X315), MATCH(X$1, 'raw-sheet'!$A$1:$ZZ$1, 0))</f>
        <v>summary_large_image</v>
      </c>
      <c r="Y316" s="30" t="s">
        <v>11</v>
      </c>
      <c r="Z316" s="28" t="str">
        <f>VLOOKUP($A316,'raw-schema'!$A:$R,14,0)</f>
        <v>Brand</v>
      </c>
      <c r="AA316" s="28" t="str">
        <f>VLOOKUP($A316,'raw-schema'!$A:$R,15,0)</f>
        <v>Offer</v>
      </c>
      <c r="AB316" s="28" t="str">
        <f>VLOOKUP($A316,'raw-schema'!$A:$R,16,0)</f>
        <v>Organization</v>
      </c>
      <c r="AC316" s="28" t="str">
        <f>VLOOKUP($A316,'raw-schema'!$A:$R,17,0)</f>
        <v>Product</v>
      </c>
      <c r="AD316" s="28" t="str">
        <f>VLOOKUP($A316,'raw-schema'!$A:$R,18,0)</f>
        <v>ProductGroup</v>
      </c>
      <c r="AE316" s="30" t="s">
        <v>69</v>
      </c>
    </row>
    <row r="317" spans="1:31" x14ac:dyDescent="0.3">
      <c r="A317" s="28" t="str">
        <f t="array" ref="A317">INDEX('raw-sheet'!$A$2:$ZZ$1000, ROW(A316), MATCH(A$1, 'raw-sheet'!$A$1:$ZZ$1, 0))</f>
        <v>https://innisfree-taiwan.myshopify.com/products/innisfree-light-fitting-makeup-base</v>
      </c>
      <c r="B317" s="30" t="s">
        <v>11</v>
      </c>
      <c r="C317" s="28" t="str">
        <f t="array" ref="C317">INDEX('raw-sheet'!$A$2:$ZZ$1000, ROW(C316), MATCH(C$1, 'raw-sheet'!$A$1:$ZZ$1, 0))</f>
        <v>Product Detail</v>
      </c>
      <c r="D317" s="28">
        <f t="array" ref="D317">INDEX('raw-sheet'!$A$2:$ZZ$1000, ROW(D316), MATCH(D$1, 'raw-sheet'!$A$1:$ZZ$1, 0))</f>
        <v>200</v>
      </c>
      <c r="E317" s="30" t="str">
        <f t="shared" si="8"/>
        <v>Pass</v>
      </c>
      <c r="F317" s="28" t="str">
        <f t="array" ref="F317">INDEX('raw-sheet'!$A$2:$ZZ$1000, ROW(F316), MATCH(F$1, 'raw-sheet'!$A$1:$ZZ$1, 0))</f>
        <v>輕薄透服貼飾底乳SPF23 PA++ 30ml_x000D_ | INNISFREE Taiwan</v>
      </c>
      <c r="G317" s="30" t="s">
        <v>11</v>
      </c>
      <c r="H317" s="28" t="str">
        <f t="array" ref="H317">INDEX('raw-sheet'!$A$2:$ZZ$1000, ROW(H316), MATCH(H$1, 'raw-sheet'!$A$1:$ZZ$1, 0))</f>
        <v>防曬及保濕功能兼具的飾底乳，水潤輕薄質地可完美服貼肌膚，單獨使用即可打造天生偽素顏。</v>
      </c>
      <c r="I317" s="30" t="s">
        <v>11</v>
      </c>
      <c r="J317" s="28" t="str">
        <f t="array" ref="J317">INDEX('raw-sheet'!$A$2:$ZZ$1000, ROW(J316), MATCH(J$1, 'raw-sheet'!$A$1:$ZZ$1, 0))</f>
        <v>輕薄透服貼飾底乳SPF23 PA++ 30ml</v>
      </c>
      <c r="K317" s="28" t="str">
        <f t="array" ref="K317">INDEX('raw-sheet'!$A$2:$ZZ$1000, ROW(K316), MATCH(K$1, 'raw-sheet'!$A$1:$ZZ$1, 0))</f>
        <v>1</v>
      </c>
      <c r="L317" s="30" t="s">
        <v>11</v>
      </c>
      <c r="M317" s="28" t="str">
        <f t="array" ref="M317">INDEX('raw-sheet'!$A$2:$ZZ$1000, ROW(M316), MATCH(M$1, 'raw-sheet'!$A$1:$ZZ$1, 0))</f>
        <v>https://innisfree-taiwan.myshopify.com/products/innisfree-light-fitting-makeup-base</v>
      </c>
      <c r="N317" s="30" t="str">
        <f t="shared" si="9"/>
        <v>Pass</v>
      </c>
      <c r="O317" s="28" t="str">
        <f t="array" ref="O317">INDEX('raw-sheet'!$A$2:$ZZ$1000, ROW(O316), MATCH(O$1, 'raw-sheet'!$A$1:$ZZ$1, 0))</f>
        <v>輕薄透服貼飾底乳SPF23 PA++ 30ml | INNISFREE Taiwan</v>
      </c>
      <c r="P317" s="28" t="str">
        <f t="array" ref="P317">INDEX('raw-sheet'!$A$2:$ZZ$1000, ROW(P316), MATCH(P$1, 'raw-sheet'!$A$1:$ZZ$1, 0))</f>
        <v>防曬及保濕功能兼具的飾底乳，水潤輕薄質地可完美服貼肌膚，單獨使用即可打造天生偽素顏。</v>
      </c>
      <c r="Q317" s="28" t="str">
        <f t="array" ref="Q317">INDEX('raw-sheet'!$A$2:$ZZ$1000, ROW(Q316), MATCH(Q$1, 'raw-sheet'!$A$1:$ZZ$1, 0))</f>
        <v>product</v>
      </c>
      <c r="R317" s="28" t="str">
        <f t="array" ref="R317">INDEX('raw-sheet'!$A$2:$ZZ$1000, ROW(R316), MATCH(R$1, 'raw-sheet'!$A$1:$ZZ$1, 0))</f>
        <v>INNISFREE Taiwan</v>
      </c>
      <c r="S317" s="28" t="str">
        <f t="array" ref="S317">INDEX('raw-sheet'!$A$2:$ZZ$1000, ROW(S316), MATCH(S$1, 'raw-sheet'!$A$1:$ZZ$1, 0))</f>
        <v>http://innisfree-taiwan.myshopify.com/cdn/shop/files/pdp_mig_343571ea_20240318_1331_ID0101_1_jpg.jpg?v=1768543075</v>
      </c>
      <c r="T317" s="28" t="str">
        <f t="array" ref="T317">INDEX('raw-sheet'!$A$2:$ZZ$1000, ROW(T316), MATCH(T$1, 'raw-sheet'!$A$1:$ZZ$1, 0))</f>
        <v>https://innisfree-taiwan.myshopify.com/cdn/shop/files/pdp_mig_343571ea_20240318_1331_ID0101_1_jpg.jpg?v=1768543075</v>
      </c>
      <c r="U317" s="28" t="str">
        <f t="array" ref="U317">INDEX('raw-sheet'!$A$2:$ZZ$1000, ROW(U316), MATCH(U$1, 'raw-sheet'!$A$1:$ZZ$1, 0))</f>
        <v>https://innisfree-taiwan.myshopify.com/products/innisfree-light-fitting-makeup-base</v>
      </c>
      <c r="V317" s="28" t="str">
        <f t="array" ref="V317">INDEX('raw-sheet'!$A$2:$ZZ$1000, ROW(V316), MATCH(V$1, 'raw-sheet'!$A$1:$ZZ$1, 0))</f>
        <v>輕薄透服貼飾底乳SPF23 PA++ 30ml | INNISFREE Taiwan</v>
      </c>
      <c r="W317" s="28" t="str">
        <f t="array" ref="W317">INDEX('raw-sheet'!$A$2:$ZZ$1000, ROW(W316), MATCH(W$1, 'raw-sheet'!$A$1:$ZZ$1, 0))</f>
        <v>防曬及保濕功能兼具的飾底乳，水潤輕薄質地可完美服貼肌膚，單獨使用即可打造天生偽素顏。</v>
      </c>
      <c r="X317" s="28" t="str">
        <f t="array" ref="X317">INDEX('raw-sheet'!$A$2:$ZZ$1000, ROW(X316), MATCH(X$1, 'raw-sheet'!$A$1:$ZZ$1, 0))</f>
        <v>summary_large_image</v>
      </c>
      <c r="Y317" s="30" t="s">
        <v>11</v>
      </c>
      <c r="Z317" s="28" t="str">
        <f>VLOOKUP($A317,'raw-schema'!$A:$R,14,0)</f>
        <v>Brand</v>
      </c>
      <c r="AA317" s="28" t="str">
        <f>VLOOKUP($A317,'raw-schema'!$A:$R,15,0)</f>
        <v>Offer</v>
      </c>
      <c r="AB317" s="28" t="str">
        <f>VLOOKUP($A317,'raw-schema'!$A:$R,16,0)</f>
        <v>Organization</v>
      </c>
      <c r="AC317" s="28" t="str">
        <f>VLOOKUP($A317,'raw-schema'!$A:$R,17,0)</f>
        <v>Product</v>
      </c>
      <c r="AD317" s="28" t="str">
        <f>VLOOKUP($A317,'raw-schema'!$A:$R,18,0)</f>
        <v>ProductGroup</v>
      </c>
      <c r="AE317" s="30" t="s">
        <v>69</v>
      </c>
    </row>
    <row r="318" spans="1:31" x14ac:dyDescent="0.3">
      <c r="A318" s="28" t="str">
        <f t="array" ref="A318">INDEX('raw-sheet'!$A$2:$ZZ$1000, ROW(A317), MATCH(A$1, 'raw-sheet'!$A$1:$ZZ$1, 0))</f>
        <v>https://innisfree-taiwan.myshopify.com/products/innisfree-mini-pact-puff</v>
      </c>
      <c r="B318" s="30" t="s">
        <v>11</v>
      </c>
      <c r="C318" s="28" t="str">
        <f t="array" ref="C318">INDEX('raw-sheet'!$A$2:$ZZ$1000, ROW(C317), MATCH(C$1, 'raw-sheet'!$A$1:$ZZ$1, 0))</f>
        <v>Product Detail</v>
      </c>
      <c r="D318" s="28">
        <f t="array" ref="D318">INDEX('raw-sheet'!$A$2:$ZZ$1000, ROW(D317), MATCH(D$1, 'raw-sheet'!$A$1:$ZZ$1, 0))</f>
        <v>200</v>
      </c>
      <c r="E318" s="30" t="str">
        <f t="shared" si="8"/>
        <v>Pass</v>
      </c>
      <c r="F318" s="28" t="str">
        <f t="array" ref="F318">INDEX('raw-sheet'!$A$2:$ZZ$1000, ROW(F317), MATCH(F$1, 'raw-sheet'!$A$1:$ZZ$1, 0))</f>
        <v>妝自然美妝工具 - 迷你粉餅粉撲_x000D_ | INNISFREE Taiwan</v>
      </c>
      <c r="G318" s="30" t="s">
        <v>11</v>
      </c>
      <c r="H318" s="28" t="str">
        <f t="array" ref="H318">INDEX('raw-sheet'!$A$2:$ZZ$1000, ROW(H317), MATCH(H$1, 'raw-sheet'!$A$1:$ZZ$1, 0))</f>
        <v>打造輕透自然妝容的迷你粉餅粉撲</v>
      </c>
      <c r="I318" s="30" t="s">
        <v>11</v>
      </c>
      <c r="J318" s="28" t="str">
        <f t="array" ref="J318">INDEX('raw-sheet'!$A$2:$ZZ$1000, ROW(J317), MATCH(J$1, 'raw-sheet'!$A$1:$ZZ$1, 0))</f>
        <v>妝自然美妝工具 - 迷你粉餅粉撲</v>
      </c>
      <c r="K318" s="28" t="str">
        <f t="array" ref="K318">INDEX('raw-sheet'!$A$2:$ZZ$1000, ROW(K317), MATCH(K$1, 'raw-sheet'!$A$1:$ZZ$1, 0))</f>
        <v>1</v>
      </c>
      <c r="L318" s="30" t="s">
        <v>11</v>
      </c>
      <c r="M318" s="28" t="str">
        <f t="array" ref="M318">INDEX('raw-sheet'!$A$2:$ZZ$1000, ROW(M317), MATCH(M$1, 'raw-sheet'!$A$1:$ZZ$1, 0))</f>
        <v>https://innisfree-taiwan.myshopify.com/products/innisfree-mini-pact-puff</v>
      </c>
      <c r="N318" s="30" t="str">
        <f t="shared" si="9"/>
        <v>Pass</v>
      </c>
      <c r="O318" s="28" t="str">
        <f t="array" ref="O318">INDEX('raw-sheet'!$A$2:$ZZ$1000, ROW(O317), MATCH(O$1, 'raw-sheet'!$A$1:$ZZ$1, 0))</f>
        <v>妝自然美妝工具 - 迷你粉餅粉撲 | INNISFREE Taiwan</v>
      </c>
      <c r="P318" s="28" t="str">
        <f t="array" ref="P318">INDEX('raw-sheet'!$A$2:$ZZ$1000, ROW(P317), MATCH(P$1, 'raw-sheet'!$A$1:$ZZ$1, 0))</f>
        <v>打造輕透自然妝容的迷你粉餅粉撲</v>
      </c>
      <c r="Q318" s="28" t="str">
        <f t="array" ref="Q318">INDEX('raw-sheet'!$A$2:$ZZ$1000, ROW(Q317), MATCH(Q$1, 'raw-sheet'!$A$1:$ZZ$1, 0))</f>
        <v>product</v>
      </c>
      <c r="R318" s="28" t="str">
        <f t="array" ref="R318">INDEX('raw-sheet'!$A$2:$ZZ$1000, ROW(R317), MATCH(R$1, 'raw-sheet'!$A$1:$ZZ$1, 0))</f>
        <v>INNISFREE Taiwan</v>
      </c>
      <c r="S318" s="28" t="str">
        <f t="array" ref="S318">INDEX('raw-sheet'!$A$2:$ZZ$1000, ROW(S317), MATCH(S$1, 'raw-sheet'!$A$1:$ZZ$1, 0))</f>
        <v>http://innisfree-taiwan.myshopify.com/cdn/shop/files/pdp_mig_cdcecff8_20231129_75_ID0101_1_jpg.jpg?v=1768543113</v>
      </c>
      <c r="T318" s="28" t="str">
        <f t="array" ref="T318">INDEX('raw-sheet'!$A$2:$ZZ$1000, ROW(T317), MATCH(T$1, 'raw-sheet'!$A$1:$ZZ$1, 0))</f>
        <v>https://innisfree-taiwan.myshopify.com/cdn/shop/files/pdp_mig_cdcecff8_20231129_75_ID0101_1_jpg.jpg?v=1768543113</v>
      </c>
      <c r="U318" s="28" t="str">
        <f t="array" ref="U318">INDEX('raw-sheet'!$A$2:$ZZ$1000, ROW(U317), MATCH(U$1, 'raw-sheet'!$A$1:$ZZ$1, 0))</f>
        <v>https://innisfree-taiwan.myshopify.com/products/innisfree-mini-pact-puff</v>
      </c>
      <c r="V318" s="28" t="str">
        <f t="array" ref="V318">INDEX('raw-sheet'!$A$2:$ZZ$1000, ROW(V317), MATCH(V$1, 'raw-sheet'!$A$1:$ZZ$1, 0))</f>
        <v>妝自然美妝工具 - 迷你粉餅粉撲 | INNISFREE Taiwan</v>
      </c>
      <c r="W318" s="28" t="str">
        <f t="array" ref="W318">INDEX('raw-sheet'!$A$2:$ZZ$1000, ROW(W317), MATCH(W$1, 'raw-sheet'!$A$1:$ZZ$1, 0))</f>
        <v>打造輕透自然妝容的迷你粉餅粉撲</v>
      </c>
      <c r="X318" s="28" t="str">
        <f t="array" ref="X318">INDEX('raw-sheet'!$A$2:$ZZ$1000, ROW(X317), MATCH(X$1, 'raw-sheet'!$A$1:$ZZ$1, 0))</f>
        <v>summary_large_image</v>
      </c>
      <c r="Y318" s="30" t="s">
        <v>11</v>
      </c>
      <c r="Z318" s="28" t="str">
        <f>VLOOKUP($A318,'raw-schema'!$A:$R,14,0)</f>
        <v>Brand</v>
      </c>
      <c r="AA318" s="28" t="str">
        <f>VLOOKUP($A318,'raw-schema'!$A:$R,15,0)</f>
        <v>Offer</v>
      </c>
      <c r="AB318" s="28" t="str">
        <f>VLOOKUP($A318,'raw-schema'!$A:$R,16,0)</f>
        <v>Organization</v>
      </c>
      <c r="AC318" s="28" t="str">
        <f>VLOOKUP($A318,'raw-schema'!$A:$R,17,0)</f>
        <v>Product</v>
      </c>
      <c r="AD318" s="28">
        <f>VLOOKUP($A318,'raw-schema'!$A:$R,18,0)</f>
        <v>0</v>
      </c>
      <c r="AE318" s="30" t="s">
        <v>69</v>
      </c>
    </row>
    <row r="319" spans="1:31" x14ac:dyDescent="0.3">
      <c r="A319" s="28" t="str">
        <f t="array" ref="A319">INDEX('raw-sheet'!$A$2:$ZZ$1000, ROW(A318), MATCH(A$1, 'raw-sheet'!$A$1:$ZZ$1, 0))</f>
        <v>https://innisfree-taiwan.myshopify.com/products/innisfree-mini-powder-puff-23</v>
      </c>
      <c r="B319" s="30" t="s">
        <v>70</v>
      </c>
      <c r="C319" s="28" t="str">
        <f t="array" ref="C319">INDEX('raw-sheet'!$A$2:$ZZ$1000, ROW(C318), MATCH(C$1, 'raw-sheet'!$A$1:$ZZ$1, 0))</f>
        <v>Product Detail</v>
      </c>
      <c r="D319" s="28">
        <f t="array" ref="D319">INDEX('raw-sheet'!$A$2:$ZZ$1000, ROW(D318), MATCH(D$1, 'raw-sheet'!$A$1:$ZZ$1, 0))</f>
        <v>200</v>
      </c>
      <c r="E319" s="30" t="str">
        <f t="shared" si="8"/>
        <v>Pass</v>
      </c>
      <c r="F319" s="28" t="str">
        <f t="array" ref="F319">INDEX('raw-sheet'!$A$2:$ZZ$1000, ROW(F318), MATCH(F$1, 'raw-sheet'!$A$1:$ZZ$1, 0))</f>
        <v>妝自然美妝工具 - 迷你蜜粉粉撲_x000D_ | INNISFREE Taiwan</v>
      </c>
      <c r="G319" s="30" t="s">
        <v>11</v>
      </c>
      <c r="H319" s="28" t="str">
        <f t="array" ref="H319">INDEX('raw-sheet'!$A$2:$ZZ$1000, ROW(H318), MATCH(H$1, 'raw-sheet'!$A$1:$ZZ$1, 0))</f>
        <v>打造細膩霧面妝容的迷你蜜粉粉撲。</v>
      </c>
      <c r="I319" s="30" t="s">
        <v>11</v>
      </c>
      <c r="J319" s="28" t="str">
        <f t="array" ref="J319">INDEX('raw-sheet'!$A$2:$ZZ$1000, ROW(J318), MATCH(J$1, 'raw-sheet'!$A$1:$ZZ$1, 0))</f>
        <v>妝自然美妝工具 - 迷你蜜粉粉撲</v>
      </c>
      <c r="K319" s="28" t="str">
        <f t="array" ref="K319">INDEX('raw-sheet'!$A$2:$ZZ$1000, ROW(K318), MATCH(K$1, 'raw-sheet'!$A$1:$ZZ$1, 0))</f>
        <v>1</v>
      </c>
      <c r="L319" s="30" t="s">
        <v>11</v>
      </c>
      <c r="M319" s="28" t="str">
        <f t="array" ref="M319">INDEX('raw-sheet'!$A$2:$ZZ$1000, ROW(M318), MATCH(M$1, 'raw-sheet'!$A$1:$ZZ$1, 0))</f>
        <v>https://innisfree-taiwan.myshopify.com/products/innisfree-mini-powder-puff-23</v>
      </c>
      <c r="N319" s="30" t="str">
        <f t="shared" si="9"/>
        <v>Pass</v>
      </c>
      <c r="O319" s="28" t="str">
        <f t="array" ref="O319">INDEX('raw-sheet'!$A$2:$ZZ$1000, ROW(O318), MATCH(O$1, 'raw-sheet'!$A$1:$ZZ$1, 0))</f>
        <v>妝自然美妝工具 - 迷你蜜粉粉撲 | INNISFREE Taiwan</v>
      </c>
      <c r="P319" s="28" t="str">
        <f t="array" ref="P319">INDEX('raw-sheet'!$A$2:$ZZ$1000, ROW(P318), MATCH(P$1, 'raw-sheet'!$A$1:$ZZ$1, 0))</f>
        <v>打造細膩霧面妝容的迷你蜜粉粉撲。</v>
      </c>
      <c r="Q319" s="28" t="str">
        <f t="array" ref="Q319">INDEX('raw-sheet'!$A$2:$ZZ$1000, ROW(Q318), MATCH(Q$1, 'raw-sheet'!$A$1:$ZZ$1, 0))</f>
        <v>product</v>
      </c>
      <c r="R319" s="28" t="str">
        <f t="array" ref="R319">INDEX('raw-sheet'!$A$2:$ZZ$1000, ROW(R318), MATCH(R$1, 'raw-sheet'!$A$1:$ZZ$1, 0))</f>
        <v>INNISFREE Taiwan</v>
      </c>
      <c r="S319" s="28" t="str">
        <f t="array" ref="S319">INDEX('raw-sheet'!$A$2:$ZZ$1000, ROW(S318), MATCH(S$1, 'raw-sheet'!$A$1:$ZZ$1, 0))</f>
        <v>http://innisfree-taiwan.myshopify.com/cdn/shop/files/pdp_mig_4760c671_20231129_964_ID0101_1_jpg.jpg?v=1768543095</v>
      </c>
      <c r="T319" s="28" t="str">
        <f t="array" ref="T319">INDEX('raw-sheet'!$A$2:$ZZ$1000, ROW(T318), MATCH(T$1, 'raw-sheet'!$A$1:$ZZ$1, 0))</f>
        <v>https://innisfree-taiwan.myshopify.com/cdn/shop/files/pdp_mig_4760c671_20231129_964_ID0101_1_jpg.jpg?v=1768543095</v>
      </c>
      <c r="U319" s="28" t="str">
        <f t="array" ref="U319">INDEX('raw-sheet'!$A$2:$ZZ$1000, ROW(U318), MATCH(U$1, 'raw-sheet'!$A$1:$ZZ$1, 0))</f>
        <v>https://innisfree-taiwan.myshopify.com/products/innisfree-mini-powder-puff-23</v>
      </c>
      <c r="V319" s="28" t="str">
        <f t="array" ref="V319">INDEX('raw-sheet'!$A$2:$ZZ$1000, ROW(V318), MATCH(V$1, 'raw-sheet'!$A$1:$ZZ$1, 0))</f>
        <v>妝自然美妝工具 - 迷你蜜粉粉撲 | INNISFREE Taiwan</v>
      </c>
      <c r="W319" s="28" t="str">
        <f t="array" ref="W319">INDEX('raw-sheet'!$A$2:$ZZ$1000, ROW(W318), MATCH(W$1, 'raw-sheet'!$A$1:$ZZ$1, 0))</f>
        <v>打造細膩霧面妝容的迷你蜜粉粉撲。</v>
      </c>
      <c r="X319" s="28" t="str">
        <f t="array" ref="X319">INDEX('raw-sheet'!$A$2:$ZZ$1000, ROW(X318), MATCH(X$1, 'raw-sheet'!$A$1:$ZZ$1, 0))</f>
        <v>summary_large_image</v>
      </c>
      <c r="Y319" s="30" t="s">
        <v>11</v>
      </c>
      <c r="Z319" s="28" t="str">
        <f>VLOOKUP($A319,'raw-schema'!$A:$R,14,0)</f>
        <v>Brand</v>
      </c>
      <c r="AA319" s="28" t="str">
        <f>VLOOKUP($A319,'raw-schema'!$A:$R,15,0)</f>
        <v>Offer</v>
      </c>
      <c r="AB319" s="28" t="str">
        <f>VLOOKUP($A319,'raw-schema'!$A:$R,16,0)</f>
        <v>Organization</v>
      </c>
      <c r="AC319" s="28" t="str">
        <f>VLOOKUP($A319,'raw-schema'!$A:$R,17,0)</f>
        <v>Product</v>
      </c>
      <c r="AD319" s="28">
        <f>VLOOKUP($A319,'raw-schema'!$A:$R,18,0)</f>
        <v>0</v>
      </c>
      <c r="AE319" s="30" t="s">
        <v>69</v>
      </c>
    </row>
    <row r="320" spans="1:31" x14ac:dyDescent="0.3">
      <c r="A320" s="28" t="str">
        <f t="array" ref="A320">INDEX('raw-sheet'!$A$2:$ZZ$1000, ROW(A319), MATCH(A$1, 'raw-sheet'!$A$1:$ZZ$1, 0))</f>
        <v>https://innisfree-taiwan.myshopify.com/products/innisfree-my-hair-recipe-curl-up-essence</v>
      </c>
      <c r="B320" s="30" t="s">
        <v>11</v>
      </c>
      <c r="C320" s="28" t="str">
        <f t="array" ref="C320">INDEX('raw-sheet'!$A$2:$ZZ$1000, ROW(C319), MATCH(C$1, 'raw-sheet'!$A$1:$ZZ$1, 0))</f>
        <v>Product Detail</v>
      </c>
      <c r="D320" s="28">
        <f t="array" ref="D320">INDEX('raw-sheet'!$A$2:$ZZ$1000, ROW(D319), MATCH(D$1, 'raw-sheet'!$A$1:$ZZ$1, 0))</f>
        <v>200</v>
      </c>
      <c r="E320" s="30" t="str">
        <f t="shared" si="8"/>
        <v>Pass</v>
      </c>
      <c r="F320" s="28" t="str">
        <f t="array" ref="F320">INDEX('raw-sheet'!$A$2:$ZZ$1000, ROW(F319), MATCH(F$1, 'raw-sheet'!$A$1:$ZZ$1, 0))</f>
        <v>我的秀髮 - 輕舞柔亮精華乳[捲髮專用] 100ml_x000D_ | INNISFREE Taiwan</v>
      </c>
      <c r="G320" s="30" t="s">
        <v>11</v>
      </c>
      <c r="H320" s="28" t="str">
        <f t="array" ref="H320">INDEX('raw-sheet'!$A$2:$ZZ$1000, ROW(H319), MATCH(H$1, 'raw-sheet'!$A$1:$ZZ$1, 0))</f>
        <v>針對捲燙髮使用的精華乳，含有滋養的蛋白質成分，使捲髮維持漂亮的捲度與蓬鬆感。</v>
      </c>
      <c r="I320" s="30" t="s">
        <v>11</v>
      </c>
      <c r="J320" s="28" t="str">
        <f t="array" ref="J320">INDEX('raw-sheet'!$A$2:$ZZ$1000, ROW(J319), MATCH(J$1, 'raw-sheet'!$A$1:$ZZ$1, 0))</f>
        <v>我的秀髮 - 輕舞柔亮精華乳[捲髮專用] 100ml</v>
      </c>
      <c r="K320" s="28" t="str">
        <f t="array" ref="K320">INDEX('raw-sheet'!$A$2:$ZZ$1000, ROW(K319), MATCH(K$1, 'raw-sheet'!$A$1:$ZZ$1, 0))</f>
        <v>1</v>
      </c>
      <c r="L320" s="30" t="s">
        <v>11</v>
      </c>
      <c r="M320" s="28" t="str">
        <f t="array" ref="M320">INDEX('raw-sheet'!$A$2:$ZZ$1000, ROW(M319), MATCH(M$1, 'raw-sheet'!$A$1:$ZZ$1, 0))</f>
        <v>https://innisfree-taiwan.myshopify.com/products/innisfree-my-hair-recipe-curl-up-essence</v>
      </c>
      <c r="N320" s="30" t="str">
        <f t="shared" si="9"/>
        <v>Pass</v>
      </c>
      <c r="O320" s="28" t="str">
        <f t="array" ref="O320">INDEX('raw-sheet'!$A$2:$ZZ$1000, ROW(O319), MATCH(O$1, 'raw-sheet'!$A$1:$ZZ$1, 0))</f>
        <v>我的秀髮 - 輕舞柔亮精華乳[捲髮專用] 100ml | INNISFREE Taiwan</v>
      </c>
      <c r="P320" s="28" t="str">
        <f t="array" ref="P320">INDEX('raw-sheet'!$A$2:$ZZ$1000, ROW(P319), MATCH(P$1, 'raw-sheet'!$A$1:$ZZ$1, 0))</f>
        <v>針對捲燙髮使用的精華乳，含有滋養的蛋白質成分，使捲髮維持漂亮的捲度與蓬鬆感。</v>
      </c>
      <c r="Q320" s="28" t="str">
        <f t="array" ref="Q320">INDEX('raw-sheet'!$A$2:$ZZ$1000, ROW(Q319), MATCH(Q$1, 'raw-sheet'!$A$1:$ZZ$1, 0))</f>
        <v>product</v>
      </c>
      <c r="R320" s="28" t="str">
        <f t="array" ref="R320">INDEX('raw-sheet'!$A$2:$ZZ$1000, ROW(R319), MATCH(R$1, 'raw-sheet'!$A$1:$ZZ$1, 0))</f>
        <v>INNISFREE Taiwan</v>
      </c>
      <c r="S320" s="28" t="str">
        <f t="array" ref="S320">INDEX('raw-sheet'!$A$2:$ZZ$1000, ROW(S319), MATCH(S$1, 'raw-sheet'!$A$1:$ZZ$1, 0))</f>
        <v>http://innisfree-taiwan.myshopify.com/cdn/shop/files/pdp_mig_b4515f54_20231006_312_ID0101_1_jpg.jpg?v=1768543104</v>
      </c>
      <c r="T320" s="28" t="str">
        <f t="array" ref="T320">INDEX('raw-sheet'!$A$2:$ZZ$1000, ROW(T319), MATCH(T$1, 'raw-sheet'!$A$1:$ZZ$1, 0))</f>
        <v>https://innisfree-taiwan.myshopify.com/cdn/shop/files/pdp_mig_b4515f54_20231006_312_ID0101_1_jpg.jpg?v=1768543104</v>
      </c>
      <c r="U320" s="28" t="str">
        <f t="array" ref="U320">INDEX('raw-sheet'!$A$2:$ZZ$1000, ROW(U319), MATCH(U$1, 'raw-sheet'!$A$1:$ZZ$1, 0))</f>
        <v>https://innisfree-taiwan.myshopify.com/products/innisfree-my-hair-recipe-curl-up-essence</v>
      </c>
      <c r="V320" s="28" t="str">
        <f t="array" ref="V320">INDEX('raw-sheet'!$A$2:$ZZ$1000, ROW(V319), MATCH(V$1, 'raw-sheet'!$A$1:$ZZ$1, 0))</f>
        <v>我的秀髮 - 輕舞柔亮精華乳[捲髮專用] 100ml | INNISFREE Taiwan</v>
      </c>
      <c r="W320" s="28" t="str">
        <f t="array" ref="W320">INDEX('raw-sheet'!$A$2:$ZZ$1000, ROW(W319), MATCH(W$1, 'raw-sheet'!$A$1:$ZZ$1, 0))</f>
        <v>針對捲燙髮使用的精華乳，含有滋養的蛋白質成分，使捲髮維持漂亮的捲度與蓬鬆感。</v>
      </c>
      <c r="X320" s="28" t="str">
        <f t="array" ref="X320">INDEX('raw-sheet'!$A$2:$ZZ$1000, ROW(X319), MATCH(X$1, 'raw-sheet'!$A$1:$ZZ$1, 0))</f>
        <v>summary_large_image</v>
      </c>
      <c r="Y320" s="30" t="s">
        <v>11</v>
      </c>
      <c r="Z320" s="28" t="str">
        <f>VLOOKUP($A320,'raw-schema'!$A:$R,14,0)</f>
        <v>Brand</v>
      </c>
      <c r="AA320" s="28" t="str">
        <f>VLOOKUP($A320,'raw-schema'!$A:$R,15,0)</f>
        <v>Offer</v>
      </c>
      <c r="AB320" s="28" t="str">
        <f>VLOOKUP($A320,'raw-schema'!$A:$R,16,0)</f>
        <v>Organization</v>
      </c>
      <c r="AC320" s="28" t="str">
        <f>VLOOKUP($A320,'raw-schema'!$A:$R,17,0)</f>
        <v>Product</v>
      </c>
      <c r="AD320" s="28">
        <f>VLOOKUP($A320,'raw-schema'!$A:$R,18,0)</f>
        <v>0</v>
      </c>
      <c r="AE320" s="30" t="s">
        <v>69</v>
      </c>
    </row>
    <row r="321" spans="1:31" x14ac:dyDescent="0.3">
      <c r="A321" s="28" t="str">
        <f t="array" ref="A321">INDEX('raw-sheet'!$A$2:$ZZ$1000, ROW(A320), MATCH(A$1, 'raw-sheet'!$A$1:$ZZ$1, 0))</f>
        <v>https://innisfree-taiwan.myshopify.com/products/innisfree-my-hair-recipe-essential-hair-oil-serum</v>
      </c>
      <c r="B321" s="30" t="s">
        <v>11</v>
      </c>
      <c r="C321" s="28" t="str">
        <f t="array" ref="C321">INDEX('raw-sheet'!$A$2:$ZZ$1000, ROW(C320), MATCH(C$1, 'raw-sheet'!$A$1:$ZZ$1, 0))</f>
        <v>Product Detail</v>
      </c>
      <c r="D321" s="28">
        <f t="array" ref="D321">INDEX('raw-sheet'!$A$2:$ZZ$1000, ROW(D320), MATCH(D$1, 'raw-sheet'!$A$1:$ZZ$1, 0))</f>
        <v>200</v>
      </c>
      <c r="E321" s="30" t="str">
        <f t="shared" si="8"/>
        <v>Pass</v>
      </c>
      <c r="F321" s="28" t="str">
        <f t="array" ref="F321">INDEX('raw-sheet'!$A$2:$ZZ$1000, ROW(F320), MATCH(F$1, 'raw-sheet'!$A$1:$ZZ$1, 0))</f>
        <v>我的秀髮 - 奇蹟修護精華油[受損髮質] 100ml_x000D_ | INNISFREE Taiwan</v>
      </c>
      <c r="G321" s="30" t="s">
        <v>11</v>
      </c>
      <c r="H321" s="28">
        <f t="array" ref="H321">INDEX('raw-sheet'!$A$2:$ZZ$1000, ROW(H320), MATCH(H$1, 'raw-sheet'!$A$1:$ZZ$1, 0))</f>
        <v>0</v>
      </c>
      <c r="I321" s="30" t="s">
        <v>61</v>
      </c>
      <c r="J321" s="28" t="str">
        <f t="array" ref="J321">INDEX('raw-sheet'!$A$2:$ZZ$1000, ROW(J320), MATCH(J$1, 'raw-sheet'!$A$1:$ZZ$1, 0))</f>
        <v>我的秀髮 - 奇蹟修護精華油[受損髮質] 100ml</v>
      </c>
      <c r="K321" s="28" t="str">
        <f t="array" ref="K321">INDEX('raw-sheet'!$A$2:$ZZ$1000, ROW(K320), MATCH(K$1, 'raw-sheet'!$A$1:$ZZ$1, 0))</f>
        <v>1</v>
      </c>
      <c r="L321" s="30" t="s">
        <v>11</v>
      </c>
      <c r="M321" s="28" t="str">
        <f t="array" ref="M321">INDEX('raw-sheet'!$A$2:$ZZ$1000, ROW(M320), MATCH(M$1, 'raw-sheet'!$A$1:$ZZ$1, 0))</f>
        <v>https://innisfree-taiwan.myshopify.com/products/innisfree-my-hair-recipe-essential-hair-oil-serum</v>
      </c>
      <c r="N321" s="30" t="str">
        <f t="shared" si="9"/>
        <v>Pass</v>
      </c>
      <c r="O321" s="28" t="str">
        <f t="array" ref="O321">INDEX('raw-sheet'!$A$2:$ZZ$1000, ROW(O320), MATCH(O$1, 'raw-sheet'!$A$1:$ZZ$1, 0))</f>
        <v>我的秀髮 - 奇蹟修護精華油[受損髮質] 100ml | INNISFREE Taiwan</v>
      </c>
      <c r="P321" s="28" t="str">
        <f t="array" ref="P321">INDEX('raw-sheet'!$A$2:$ZZ$1000, ROW(P320),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321" s="28" t="str">
        <f t="array" ref="Q321">INDEX('raw-sheet'!$A$2:$ZZ$1000, ROW(Q320), MATCH(Q$1, 'raw-sheet'!$A$1:$ZZ$1, 0))</f>
        <v>product</v>
      </c>
      <c r="R321" s="28" t="str">
        <f t="array" ref="R321">INDEX('raw-sheet'!$A$2:$ZZ$1000, ROW(R320), MATCH(R$1, 'raw-sheet'!$A$1:$ZZ$1, 0))</f>
        <v>INNISFREE Taiwan</v>
      </c>
      <c r="S321" s="28" t="str">
        <f t="array" ref="S321">INDEX('raw-sheet'!$A$2:$ZZ$1000, ROW(S320), MATCH(S$1, 'raw-sheet'!$A$1:$ZZ$1, 0))</f>
        <v>http://innisfree-taiwan.myshopify.com/cdn/shop/files/pdp_mig_75ff5392_20231006_84_ID0101_1_jpg.jpg?v=1768543113</v>
      </c>
      <c r="T321" s="28" t="str">
        <f t="array" ref="T321">INDEX('raw-sheet'!$A$2:$ZZ$1000, ROW(T320), MATCH(T$1, 'raw-sheet'!$A$1:$ZZ$1, 0))</f>
        <v>https://innisfree-taiwan.myshopify.com/cdn/shop/files/pdp_mig_75ff5392_20231006_84_ID0101_1_jpg.jpg?v=1768543113</v>
      </c>
      <c r="U321" s="28" t="str">
        <f t="array" ref="U321">INDEX('raw-sheet'!$A$2:$ZZ$1000, ROW(U320), MATCH(U$1, 'raw-sheet'!$A$1:$ZZ$1, 0))</f>
        <v>https://innisfree-taiwan.myshopify.com/products/innisfree-my-hair-recipe-essential-hair-oil-serum</v>
      </c>
      <c r="V321" s="28" t="str">
        <f t="array" ref="V321">INDEX('raw-sheet'!$A$2:$ZZ$1000, ROW(V320), MATCH(V$1, 'raw-sheet'!$A$1:$ZZ$1, 0))</f>
        <v>我的秀髮 - 奇蹟修護精華油[受損髮質] 100ml | INNISFREE Taiwan</v>
      </c>
      <c r="W321" s="28" t="str">
        <f t="array" ref="W321">INDEX('raw-sheet'!$A$2:$ZZ$1000, ROW(W320),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321" s="28" t="str">
        <f t="array" ref="X321">INDEX('raw-sheet'!$A$2:$ZZ$1000, ROW(X320), MATCH(X$1, 'raw-sheet'!$A$1:$ZZ$1, 0))</f>
        <v>summary_large_image</v>
      </c>
      <c r="Y321" s="30" t="s">
        <v>56</v>
      </c>
      <c r="Z321" s="28" t="str">
        <f>VLOOKUP($A321,'raw-schema'!$A:$R,14,0)</f>
        <v>Brand</v>
      </c>
      <c r="AA321" s="28" t="str">
        <f>VLOOKUP($A321,'raw-schema'!$A:$R,15,0)</f>
        <v>Offer</v>
      </c>
      <c r="AB321" s="28" t="str">
        <f>VLOOKUP($A321,'raw-schema'!$A:$R,16,0)</f>
        <v>Organization</v>
      </c>
      <c r="AC321" s="28" t="str">
        <f>VLOOKUP($A321,'raw-schema'!$A:$R,17,0)</f>
        <v>Product</v>
      </c>
      <c r="AD321" s="28">
        <f>VLOOKUP($A321,'raw-schema'!$A:$R,18,0)</f>
        <v>0</v>
      </c>
      <c r="AE321" s="30" t="s">
        <v>69</v>
      </c>
    </row>
    <row r="322" spans="1:31" x14ac:dyDescent="0.3">
      <c r="A322" s="28" t="str">
        <f t="array" ref="A322">INDEX('raw-sheet'!$A$2:$ZZ$1000, ROW(A321), MATCH(A$1, 'raw-sheet'!$A$1:$ZZ$1, 0))</f>
        <v>https://innisfree-taiwan.myshopify.com/products/innisfree-my-hair-recipe-strength-shampoo</v>
      </c>
      <c r="B322" s="30" t="s">
        <v>11</v>
      </c>
      <c r="C322" s="28" t="str">
        <f t="array" ref="C322">INDEX('raw-sheet'!$A$2:$ZZ$1000, ROW(C321), MATCH(C$1, 'raw-sheet'!$A$1:$ZZ$1, 0))</f>
        <v>Product Detail</v>
      </c>
      <c r="D322" s="28">
        <f t="array" ref="D322">INDEX('raw-sheet'!$A$2:$ZZ$1000, ROW(D321), MATCH(D$1, 'raw-sheet'!$A$1:$ZZ$1, 0))</f>
        <v>200</v>
      </c>
      <c r="E322" s="30" t="str">
        <f t="shared" ref="E322:E385" si="10">IF(D322=200,"Pass","Not")</f>
        <v>Pass</v>
      </c>
      <c r="F322" s="28" t="str">
        <f t="array" ref="F322">INDEX('raw-sheet'!$A$2:$ZZ$1000, ROW(F321), MATCH(F$1, 'raw-sheet'!$A$1:$ZZ$1, 0))</f>
        <v>我的秀髮-強健修護洗髮精[強健髮根] 330ml_x000D_ | INNISFREE Taiwan</v>
      </c>
      <c r="G322" s="30" t="s">
        <v>11</v>
      </c>
      <c r="H322" s="28" t="str">
        <f t="array" ref="H322">INDEX('raw-sheet'!$A$2:$ZZ$1000, ROW(H321), MATCH(H$1, 'raw-sheet'!$A$1:$ZZ$1, 0))</f>
        <v>針對細軟髮頭皮專用的無矽靈配方天然洗髮精，強韌髮根以創造豐盈的秀髮。 針對落髮困擾設計，補充毛囊營養能量，為逐漸疲憊的髮根恢復活力。</v>
      </c>
      <c r="I322" s="30" t="s">
        <v>11</v>
      </c>
      <c r="J322" s="28" t="str">
        <f t="array" ref="J322">INDEX('raw-sheet'!$A$2:$ZZ$1000, ROW(J321), MATCH(J$1, 'raw-sheet'!$A$1:$ZZ$1, 0))</f>
        <v>我的秀髮-強健修護洗髮精[強健髮根] 330ml</v>
      </c>
      <c r="K322" s="28" t="str">
        <f t="array" ref="K322">INDEX('raw-sheet'!$A$2:$ZZ$1000, ROW(K321), MATCH(K$1, 'raw-sheet'!$A$1:$ZZ$1, 0))</f>
        <v>1</v>
      </c>
      <c r="L322" s="30" t="s">
        <v>11</v>
      </c>
      <c r="M322" s="28" t="str">
        <f t="array" ref="M322">INDEX('raw-sheet'!$A$2:$ZZ$1000, ROW(M321), MATCH(M$1, 'raw-sheet'!$A$1:$ZZ$1, 0))</f>
        <v>https://innisfree-taiwan.myshopify.com/products/innisfree-my-hair-recipe-strength-shampoo</v>
      </c>
      <c r="N322" s="30" t="str">
        <f t="shared" ref="N322:N385" si="11">IF(A322=M322,"Pass","Not")</f>
        <v>Pass</v>
      </c>
      <c r="O322" s="28" t="str">
        <f t="array" ref="O322">INDEX('raw-sheet'!$A$2:$ZZ$1000, ROW(O321), MATCH(O$1, 'raw-sheet'!$A$1:$ZZ$1, 0))</f>
        <v>我的秀髮-強健修護洗髮精[強健髮根] 330ml | INNISFREE Taiwan</v>
      </c>
      <c r="P322" s="28" t="str">
        <f t="array" ref="P322">INDEX('raw-sheet'!$A$2:$ZZ$1000, ROW(P321), MATCH(P$1, 'raw-sheet'!$A$1:$ZZ$1, 0))</f>
        <v>針對細軟髮頭皮專用的無矽靈配方天然洗髮精，強韌髮根以創造豐盈的秀髮。 針對落髮困擾設計，補充毛囊營養能量，為逐漸疲憊的髮根恢復活力。</v>
      </c>
      <c r="Q322" s="28" t="str">
        <f t="array" ref="Q322">INDEX('raw-sheet'!$A$2:$ZZ$1000, ROW(Q321), MATCH(Q$1, 'raw-sheet'!$A$1:$ZZ$1, 0))</f>
        <v>product</v>
      </c>
      <c r="R322" s="28" t="str">
        <f t="array" ref="R322">INDEX('raw-sheet'!$A$2:$ZZ$1000, ROW(R321), MATCH(R$1, 'raw-sheet'!$A$1:$ZZ$1, 0))</f>
        <v>INNISFREE Taiwan</v>
      </c>
      <c r="S322" s="28" t="str">
        <f t="array" ref="S322">INDEX('raw-sheet'!$A$2:$ZZ$1000, ROW(S321), MATCH(S$1, 'raw-sheet'!$A$1:$ZZ$1, 0))</f>
        <v>http://innisfree-taiwan.myshopify.com/cdn/shop/files/pdp_mig_5aec4707_20231006_1140_ID0101_1_jpg.jpg?v=1768543099</v>
      </c>
      <c r="T322" s="28" t="str">
        <f t="array" ref="T322">INDEX('raw-sheet'!$A$2:$ZZ$1000, ROW(T321), MATCH(T$1, 'raw-sheet'!$A$1:$ZZ$1, 0))</f>
        <v>https://innisfree-taiwan.myshopify.com/cdn/shop/files/pdp_mig_5aec4707_20231006_1140_ID0101_1_jpg.jpg?v=1768543099</v>
      </c>
      <c r="U322" s="28" t="str">
        <f t="array" ref="U322">INDEX('raw-sheet'!$A$2:$ZZ$1000, ROW(U321), MATCH(U$1, 'raw-sheet'!$A$1:$ZZ$1, 0))</f>
        <v>https://innisfree-taiwan.myshopify.com/products/innisfree-my-hair-recipe-strength-shampoo</v>
      </c>
      <c r="V322" s="28" t="str">
        <f t="array" ref="V322">INDEX('raw-sheet'!$A$2:$ZZ$1000, ROW(V321), MATCH(V$1, 'raw-sheet'!$A$1:$ZZ$1, 0))</f>
        <v>我的秀髮-強健修護洗髮精[強健髮根] 330ml | INNISFREE Taiwan</v>
      </c>
      <c r="W322" s="28" t="str">
        <f t="array" ref="W322">INDEX('raw-sheet'!$A$2:$ZZ$1000, ROW(W321), MATCH(W$1, 'raw-sheet'!$A$1:$ZZ$1, 0))</f>
        <v>針對細軟髮頭皮專用的無矽靈配方天然洗髮精，強韌髮根以創造豐盈的秀髮。 針對落髮困擾設計，補充毛囊營養能量，為逐漸疲憊的髮根恢復活力。</v>
      </c>
      <c r="X322" s="28" t="str">
        <f t="array" ref="X322">INDEX('raw-sheet'!$A$2:$ZZ$1000, ROW(X321), MATCH(X$1, 'raw-sheet'!$A$1:$ZZ$1, 0))</f>
        <v>summary_large_image</v>
      </c>
      <c r="Y322" s="30" t="s">
        <v>11</v>
      </c>
      <c r="Z322" s="28" t="str">
        <f>VLOOKUP($A322,'raw-schema'!$A:$R,14,0)</f>
        <v>Brand</v>
      </c>
      <c r="AA322" s="28" t="str">
        <f>VLOOKUP($A322,'raw-schema'!$A:$R,15,0)</f>
        <v>Offer</v>
      </c>
      <c r="AB322" s="28" t="str">
        <f>VLOOKUP($A322,'raw-schema'!$A:$R,16,0)</f>
        <v>Organization</v>
      </c>
      <c r="AC322" s="28" t="str">
        <f>VLOOKUP($A322,'raw-schema'!$A:$R,17,0)</f>
        <v>Product</v>
      </c>
      <c r="AD322" s="28">
        <f>VLOOKUP($A322,'raw-schema'!$A:$R,18,0)</f>
        <v>0</v>
      </c>
      <c r="AE322" s="30" t="s">
        <v>69</v>
      </c>
    </row>
    <row r="323" spans="1:31" x14ac:dyDescent="0.3">
      <c r="A323" s="28" t="str">
        <f t="array" ref="A323">INDEX('raw-sheet'!$A$2:$ZZ$1000, ROW(A322), MATCH(A$1, 'raw-sheet'!$A$1:$ZZ$1, 0))</f>
        <v>https://innisfree-taiwan.myshopify.com/products/innisfree-my-hair-recipe-strength-tonic-essence</v>
      </c>
      <c r="B323" s="30" t="s">
        <v>11</v>
      </c>
      <c r="C323" s="28" t="str">
        <f t="array" ref="C323">INDEX('raw-sheet'!$A$2:$ZZ$1000, ROW(C322), MATCH(C$1, 'raw-sheet'!$A$1:$ZZ$1, 0))</f>
        <v>Product Detail</v>
      </c>
      <c r="D323" s="28">
        <f t="array" ref="D323">INDEX('raw-sheet'!$A$2:$ZZ$1000, ROW(D322), MATCH(D$1, 'raw-sheet'!$A$1:$ZZ$1, 0))</f>
        <v>200</v>
      </c>
      <c r="E323" s="30" t="str">
        <f t="shared" si="10"/>
        <v>Pass</v>
      </c>
      <c r="F323" s="28" t="str">
        <f t="array" ref="F323">INDEX('raw-sheet'!$A$2:$ZZ$1000, ROW(F322), MATCH(F$1, 'raw-sheet'!$A$1:$ZZ$1, 0))</f>
        <v>我的秀髮 - 強健修護頭皮精華[強健髮根] 100ml_x000D_ | INNISFREE Taiwan</v>
      </c>
      <c r="G323" s="30" t="s">
        <v>11</v>
      </c>
      <c r="H323" s="28" t="str">
        <f t="array" ref="H323">INDEX('raw-sheet'!$A$2:$ZZ$1000, ROW(H322), MATCH(H$1, 'raw-sheet'!$A$1:$ZZ$1, 0))</f>
        <v>針對細軟髮頭皮專用的無矽靈配方精華，給予頭皮最直接的護理。</v>
      </c>
      <c r="I323" s="30" t="s">
        <v>11</v>
      </c>
      <c r="J323" s="28" t="str">
        <f t="array" ref="J323">INDEX('raw-sheet'!$A$2:$ZZ$1000, ROW(J322), MATCH(J$1, 'raw-sheet'!$A$1:$ZZ$1, 0))</f>
        <v>我的秀髮 - 強健修護頭皮精華[強健髮根] 100ml</v>
      </c>
      <c r="K323" s="28" t="str">
        <f t="array" ref="K323">INDEX('raw-sheet'!$A$2:$ZZ$1000, ROW(K322), MATCH(K$1, 'raw-sheet'!$A$1:$ZZ$1, 0))</f>
        <v>1</v>
      </c>
      <c r="L323" s="30" t="s">
        <v>11</v>
      </c>
      <c r="M323" s="28" t="str">
        <f t="array" ref="M323">INDEX('raw-sheet'!$A$2:$ZZ$1000, ROW(M322), MATCH(M$1, 'raw-sheet'!$A$1:$ZZ$1, 0))</f>
        <v>https://innisfree-taiwan.myshopify.com/products/innisfree-my-hair-recipe-strength-tonic-essence</v>
      </c>
      <c r="N323" s="30" t="str">
        <f t="shared" si="11"/>
        <v>Pass</v>
      </c>
      <c r="O323" s="28" t="str">
        <f t="array" ref="O323">INDEX('raw-sheet'!$A$2:$ZZ$1000, ROW(O322), MATCH(O$1, 'raw-sheet'!$A$1:$ZZ$1, 0))</f>
        <v>我的秀髮 - 強健修護頭皮精華[強健髮根] 100ml | INNISFREE Taiwan</v>
      </c>
      <c r="P323" s="28" t="str">
        <f t="array" ref="P323">INDEX('raw-sheet'!$A$2:$ZZ$1000, ROW(P322), MATCH(P$1, 'raw-sheet'!$A$1:$ZZ$1, 0))</f>
        <v>針對細軟髮頭皮專用的無矽靈配方精華，給予頭皮最直接的護理。</v>
      </c>
      <c r="Q323" s="28" t="str">
        <f t="array" ref="Q323">INDEX('raw-sheet'!$A$2:$ZZ$1000, ROW(Q322), MATCH(Q$1, 'raw-sheet'!$A$1:$ZZ$1, 0))</f>
        <v>product</v>
      </c>
      <c r="R323" s="28" t="str">
        <f t="array" ref="R323">INDEX('raw-sheet'!$A$2:$ZZ$1000, ROW(R322), MATCH(R$1, 'raw-sheet'!$A$1:$ZZ$1, 0))</f>
        <v>INNISFREE Taiwan</v>
      </c>
      <c r="S323" s="28" t="str">
        <f t="array" ref="S323">INDEX('raw-sheet'!$A$2:$ZZ$1000, ROW(S322), MATCH(S$1, 'raw-sheet'!$A$1:$ZZ$1, 0))</f>
        <v>http://innisfree-taiwan.myshopify.com/cdn/shop/files/pdp_mig_9aaeac4c_20231006_160_ID0101_1_jpg.jpg?v=1768543117</v>
      </c>
      <c r="T323" s="28" t="str">
        <f t="array" ref="T323">INDEX('raw-sheet'!$A$2:$ZZ$1000, ROW(T322), MATCH(T$1, 'raw-sheet'!$A$1:$ZZ$1, 0))</f>
        <v>https://innisfree-taiwan.myshopify.com/cdn/shop/files/pdp_mig_9aaeac4c_20231006_160_ID0101_1_jpg.jpg?v=1768543117</v>
      </c>
      <c r="U323" s="28" t="str">
        <f t="array" ref="U323">INDEX('raw-sheet'!$A$2:$ZZ$1000, ROW(U322), MATCH(U$1, 'raw-sheet'!$A$1:$ZZ$1, 0))</f>
        <v>https://innisfree-taiwan.myshopify.com/products/innisfree-my-hair-recipe-strength-tonic-essence</v>
      </c>
      <c r="V323" s="28" t="str">
        <f t="array" ref="V323">INDEX('raw-sheet'!$A$2:$ZZ$1000, ROW(V322), MATCH(V$1, 'raw-sheet'!$A$1:$ZZ$1, 0))</f>
        <v>我的秀髮 - 強健修護頭皮精華[強健髮根] 100ml | INNISFREE Taiwan</v>
      </c>
      <c r="W323" s="28" t="str">
        <f t="array" ref="W323">INDEX('raw-sheet'!$A$2:$ZZ$1000, ROW(W322), MATCH(W$1, 'raw-sheet'!$A$1:$ZZ$1, 0))</f>
        <v>針對細軟髮頭皮專用的無矽靈配方精華，給予頭皮最直接的護理。</v>
      </c>
      <c r="X323" s="28" t="str">
        <f t="array" ref="X323">INDEX('raw-sheet'!$A$2:$ZZ$1000, ROW(X322), MATCH(X$1, 'raw-sheet'!$A$1:$ZZ$1, 0))</f>
        <v>summary_large_image</v>
      </c>
      <c r="Y323" s="30" t="s">
        <v>11</v>
      </c>
      <c r="Z323" s="28" t="str">
        <f>VLOOKUP($A323,'raw-schema'!$A:$R,14,0)</f>
        <v>Brand</v>
      </c>
      <c r="AA323" s="28" t="str">
        <f>VLOOKUP($A323,'raw-schema'!$A:$R,15,0)</f>
        <v>Offer</v>
      </c>
      <c r="AB323" s="28" t="str">
        <f>VLOOKUP($A323,'raw-schema'!$A:$R,16,0)</f>
        <v>Organization</v>
      </c>
      <c r="AC323" s="28" t="str">
        <f>VLOOKUP($A323,'raw-schema'!$A:$R,17,0)</f>
        <v>Product</v>
      </c>
      <c r="AD323" s="28">
        <f>VLOOKUP($A323,'raw-schema'!$A:$R,18,0)</f>
        <v>0</v>
      </c>
      <c r="AE323" s="30" t="s">
        <v>69</v>
      </c>
    </row>
    <row r="324" spans="1:31" x14ac:dyDescent="0.3">
      <c r="A324" s="28" t="str">
        <f t="array" ref="A324">INDEX('raw-sheet'!$A$2:$ZZ$1000, ROW(A323), MATCH(A$1, 'raw-sheet'!$A$1:$ZZ$1, 0))</f>
        <v>https://innisfree-taiwan.myshopify.com/products/innisfree-my-hair-recipe-strength-treatment</v>
      </c>
      <c r="B324" s="30" t="s">
        <v>11</v>
      </c>
      <c r="C324" s="28" t="str">
        <f t="array" ref="C324">INDEX('raw-sheet'!$A$2:$ZZ$1000, ROW(C323), MATCH(C$1, 'raw-sheet'!$A$1:$ZZ$1, 0))</f>
        <v>Product Detail</v>
      </c>
      <c r="D324" s="28">
        <f t="array" ref="D324">INDEX('raw-sheet'!$A$2:$ZZ$1000, ROW(D323), MATCH(D$1, 'raw-sheet'!$A$1:$ZZ$1, 0))</f>
        <v>200</v>
      </c>
      <c r="E324" s="30" t="str">
        <f t="shared" si="10"/>
        <v>Pass</v>
      </c>
      <c r="F324" s="28" t="str">
        <f t="array" ref="F324">INDEX('raw-sheet'!$A$2:$ZZ$1000, ROW(F323), MATCH(F$1, 'raw-sheet'!$A$1:$ZZ$1, 0))</f>
        <v>我的秀髮-強健修護護髮乳[強健髮根]_x000D_ | INNISFREE Taiwan</v>
      </c>
      <c r="G324" s="30" t="s">
        <v>11</v>
      </c>
      <c r="H324" s="28" t="str">
        <f t="array" ref="H324">INDEX('raw-sheet'!$A$2:$ZZ$1000, ROW(H323), MATCH(H$1, 'raw-sheet'!$A$1:$ZZ$1, 0))</f>
        <v>針對細軟髮頭皮專用的無矽靈配方天然護髮乳，強韌髮根並滋潤秀髮給予豐盈效果。</v>
      </c>
      <c r="I324" s="30" t="s">
        <v>11</v>
      </c>
      <c r="J324" s="28" t="str">
        <f t="array" ref="J324">INDEX('raw-sheet'!$A$2:$ZZ$1000, ROW(J323), MATCH(J$1, 'raw-sheet'!$A$1:$ZZ$1, 0))</f>
        <v>我的秀髮-強健修護護髮乳[強健髮根]</v>
      </c>
      <c r="K324" s="28" t="str">
        <f t="array" ref="K324">INDEX('raw-sheet'!$A$2:$ZZ$1000, ROW(K323), MATCH(K$1, 'raw-sheet'!$A$1:$ZZ$1, 0))</f>
        <v>1</v>
      </c>
      <c r="L324" s="30" t="s">
        <v>11</v>
      </c>
      <c r="M324" s="28" t="str">
        <f t="array" ref="M324">INDEX('raw-sheet'!$A$2:$ZZ$1000, ROW(M323), MATCH(M$1, 'raw-sheet'!$A$1:$ZZ$1, 0))</f>
        <v>https://innisfree-taiwan.myshopify.com/products/innisfree-my-hair-recipe-strength-treatment</v>
      </c>
      <c r="N324" s="30" t="str">
        <f t="shared" si="11"/>
        <v>Pass</v>
      </c>
      <c r="O324" s="28" t="str">
        <f t="array" ref="O324">INDEX('raw-sheet'!$A$2:$ZZ$1000, ROW(O323), MATCH(O$1, 'raw-sheet'!$A$1:$ZZ$1, 0))</f>
        <v>我的秀髮-強健修護護髮乳[強健髮根] | INNISFREE Taiwan</v>
      </c>
      <c r="P324" s="28" t="str">
        <f t="array" ref="P324">INDEX('raw-sheet'!$A$2:$ZZ$1000, ROW(P323), MATCH(P$1, 'raw-sheet'!$A$1:$ZZ$1, 0))</f>
        <v>針對細軟髮頭皮專用的無矽靈配方天然護髮乳，強韌髮根並滋潤秀髮給予豐盈效果。</v>
      </c>
      <c r="Q324" s="28" t="str">
        <f t="array" ref="Q324">INDEX('raw-sheet'!$A$2:$ZZ$1000, ROW(Q323), MATCH(Q$1, 'raw-sheet'!$A$1:$ZZ$1, 0))</f>
        <v>product</v>
      </c>
      <c r="R324" s="28" t="str">
        <f t="array" ref="R324">INDEX('raw-sheet'!$A$2:$ZZ$1000, ROW(R323), MATCH(R$1, 'raw-sheet'!$A$1:$ZZ$1, 0))</f>
        <v>INNISFREE Taiwan</v>
      </c>
      <c r="S324" s="28" t="str">
        <f t="array" ref="S324">INDEX('raw-sheet'!$A$2:$ZZ$1000, ROW(S323), MATCH(S$1, 'raw-sheet'!$A$1:$ZZ$1, 0))</f>
        <v>http://innisfree-taiwan.myshopify.com/cdn/shop/files/pdp_mig_a55ea2cd_20231006_87_ID0101_1_jpg.jpg?v=1768543113</v>
      </c>
      <c r="T324" s="28" t="str">
        <f t="array" ref="T324">INDEX('raw-sheet'!$A$2:$ZZ$1000, ROW(T323), MATCH(T$1, 'raw-sheet'!$A$1:$ZZ$1, 0))</f>
        <v>https://innisfree-taiwan.myshopify.com/cdn/shop/files/pdp_mig_a55ea2cd_20231006_87_ID0101_1_jpg.jpg?v=1768543113</v>
      </c>
      <c r="U324" s="28" t="str">
        <f t="array" ref="U324">INDEX('raw-sheet'!$A$2:$ZZ$1000, ROW(U323), MATCH(U$1, 'raw-sheet'!$A$1:$ZZ$1, 0))</f>
        <v>https://innisfree-taiwan.myshopify.com/products/innisfree-my-hair-recipe-strength-treatment</v>
      </c>
      <c r="V324" s="28" t="str">
        <f t="array" ref="V324">INDEX('raw-sheet'!$A$2:$ZZ$1000, ROW(V323), MATCH(V$1, 'raw-sheet'!$A$1:$ZZ$1, 0))</f>
        <v>我的秀髮-強健修護護髮乳[強健髮根] | INNISFREE Taiwan</v>
      </c>
      <c r="W324" s="28" t="str">
        <f t="array" ref="W324">INDEX('raw-sheet'!$A$2:$ZZ$1000, ROW(W323), MATCH(W$1, 'raw-sheet'!$A$1:$ZZ$1, 0))</f>
        <v>針對細軟髮頭皮專用的無矽靈配方天然護髮乳，強韌髮根並滋潤秀髮給予豐盈效果。</v>
      </c>
      <c r="X324" s="28" t="str">
        <f t="array" ref="X324">INDEX('raw-sheet'!$A$2:$ZZ$1000, ROW(X323), MATCH(X$1, 'raw-sheet'!$A$1:$ZZ$1, 0))</f>
        <v>summary_large_image</v>
      </c>
      <c r="Y324" s="30" t="s">
        <v>11</v>
      </c>
      <c r="Z324" s="28" t="str">
        <f>VLOOKUP($A324,'raw-schema'!$A:$R,14,0)</f>
        <v>Brand</v>
      </c>
      <c r="AA324" s="28" t="str">
        <f>VLOOKUP($A324,'raw-schema'!$A:$R,15,0)</f>
        <v>Offer</v>
      </c>
      <c r="AB324" s="28" t="str">
        <f>VLOOKUP($A324,'raw-schema'!$A:$R,16,0)</f>
        <v>Organization</v>
      </c>
      <c r="AC324" s="28" t="str">
        <f>VLOOKUP($A324,'raw-schema'!$A:$R,17,0)</f>
        <v>Product</v>
      </c>
      <c r="AD324" s="28">
        <f>VLOOKUP($A324,'raw-schema'!$A:$R,18,0)</f>
        <v>0</v>
      </c>
      <c r="AE324" s="30" t="s">
        <v>69</v>
      </c>
    </row>
    <row r="325" spans="1:31" x14ac:dyDescent="0.3">
      <c r="A325" s="28" t="str">
        <f t="array" ref="A325">INDEX('raw-sheet'!$A$2:$ZZ$1000, ROW(A324), MATCH(A$1, 'raw-sheet'!$A$1:$ZZ$1, 0))</f>
        <v>https://innisfree-taiwan.myshopify.com/products/innisfree-my-perfumed-body-cleanser</v>
      </c>
      <c r="B325" s="30" t="s">
        <v>11</v>
      </c>
      <c r="C325" s="28" t="str">
        <f t="array" ref="C325">INDEX('raw-sheet'!$A$2:$ZZ$1000, ROW(C324), MATCH(C$1, 'raw-sheet'!$A$1:$ZZ$1, 0))</f>
        <v>Product Detail</v>
      </c>
      <c r="D325" s="28">
        <f t="array" ref="D325">INDEX('raw-sheet'!$A$2:$ZZ$1000, ROW(D324), MATCH(D$1, 'raw-sheet'!$A$1:$ZZ$1, 0))</f>
        <v>200</v>
      </c>
      <c r="E325" s="30" t="str">
        <f t="shared" si="10"/>
        <v>Pass</v>
      </c>
      <c r="F325" s="28" t="str">
        <f t="array" ref="F325">INDEX('raw-sheet'!$A$2:$ZZ$1000, ROW(F324), MATCH(F$1, 'raw-sheet'!$A$1:$ZZ$1, 0))</f>
        <v>我的香氛沐浴乳 330ml_x000D_ | INNISFREE Taiwan</v>
      </c>
      <c r="G325" s="30" t="s">
        <v>11</v>
      </c>
      <c r="H325" s="28" t="str">
        <f t="array" ref="H325">INDEX('raw-sheet'!$A$2:$ZZ$1000, ROW(H324), MATCH(H$1, 'raw-sheet'!$A$1:$ZZ$1, 0))</f>
        <v>享受來自濟州島自由放鬆的香氣，帶給身體一整天水潤保濕的身體保養系列，採用天然界面活性劑，泡沫細緻柔和，洗完不緊繃、香氣怡人帶來放鬆舒適的沐浴時光。</v>
      </c>
      <c r="I325" s="30" t="s">
        <v>11</v>
      </c>
      <c r="J325" s="28" t="str">
        <f t="array" ref="J325">INDEX('raw-sheet'!$A$2:$ZZ$1000, ROW(J324), MATCH(J$1, 'raw-sheet'!$A$1:$ZZ$1, 0))</f>
        <v>我的香氛沐浴乳 330ml</v>
      </c>
      <c r="K325" s="28" t="str">
        <f t="array" ref="K325">INDEX('raw-sheet'!$A$2:$ZZ$1000, ROW(K324), MATCH(K$1, 'raw-sheet'!$A$1:$ZZ$1, 0))</f>
        <v>1</v>
      </c>
      <c r="L325" s="30" t="s">
        <v>11</v>
      </c>
      <c r="M325" s="28" t="str">
        <f t="array" ref="M325">INDEX('raw-sheet'!$A$2:$ZZ$1000, ROW(M324), MATCH(M$1, 'raw-sheet'!$A$1:$ZZ$1, 0))</f>
        <v>https://innisfree-taiwan.myshopify.com/products/innisfree-my-perfumed-body-cleanser</v>
      </c>
      <c r="N325" s="30" t="str">
        <f t="shared" si="11"/>
        <v>Pass</v>
      </c>
      <c r="O325" s="28" t="str">
        <f t="array" ref="O325">INDEX('raw-sheet'!$A$2:$ZZ$1000, ROW(O324), MATCH(O$1, 'raw-sheet'!$A$1:$ZZ$1, 0))</f>
        <v>我的香氛沐浴乳 330ml | INNISFREE Taiwan</v>
      </c>
      <c r="P325" s="28" t="str">
        <f t="array" ref="P325">INDEX('raw-sheet'!$A$2:$ZZ$1000, ROW(P324), MATCH(P$1, 'raw-sheet'!$A$1:$ZZ$1, 0))</f>
        <v>享受來自濟州島自由放鬆的香氣，帶給身體一整天水潤保濕的身體保養系列，採用天然界面活性劑，泡沫細緻柔和，洗完不緊繃、香氣怡人帶來放鬆舒適的沐浴時光。</v>
      </c>
      <c r="Q325" s="28" t="str">
        <f t="array" ref="Q325">INDEX('raw-sheet'!$A$2:$ZZ$1000, ROW(Q324), MATCH(Q$1, 'raw-sheet'!$A$1:$ZZ$1, 0))</f>
        <v>product</v>
      </c>
      <c r="R325" s="28" t="str">
        <f t="array" ref="R325">INDEX('raw-sheet'!$A$2:$ZZ$1000, ROW(R324), MATCH(R$1, 'raw-sheet'!$A$1:$ZZ$1, 0))</f>
        <v>INNISFREE Taiwan</v>
      </c>
      <c r="S325" s="28" t="str">
        <f t="array" ref="S325">INDEX('raw-sheet'!$A$2:$ZZ$1000, ROW(S324), MATCH(S$1, 'raw-sheet'!$A$1:$ZZ$1, 0))</f>
        <v>http://innisfree-taiwan.myshopify.com/cdn/shop/files/pdp_mig_78e91b92_20230928_1255_ID0101_1_jpg.jpg?v=1768543094</v>
      </c>
      <c r="T325" s="28" t="str">
        <f t="array" ref="T325">INDEX('raw-sheet'!$A$2:$ZZ$1000, ROW(T324), MATCH(T$1, 'raw-sheet'!$A$1:$ZZ$1, 0))</f>
        <v>https://innisfree-taiwan.myshopify.com/cdn/shop/files/pdp_mig_78e91b92_20230928_1255_ID0101_1_jpg.jpg?v=1768543094</v>
      </c>
      <c r="U325" s="28" t="str">
        <f t="array" ref="U325">INDEX('raw-sheet'!$A$2:$ZZ$1000, ROW(U324), MATCH(U$1, 'raw-sheet'!$A$1:$ZZ$1, 0))</f>
        <v>https://innisfree-taiwan.myshopify.com/products/innisfree-my-perfumed-body-cleanser</v>
      </c>
      <c r="V325" s="28" t="str">
        <f t="array" ref="V325">INDEX('raw-sheet'!$A$2:$ZZ$1000, ROW(V324), MATCH(V$1, 'raw-sheet'!$A$1:$ZZ$1, 0))</f>
        <v>我的香氛沐浴乳 330ml | INNISFREE Taiwan</v>
      </c>
      <c r="W325" s="28" t="str">
        <f t="array" ref="W325">INDEX('raw-sheet'!$A$2:$ZZ$1000, ROW(W324), MATCH(W$1, 'raw-sheet'!$A$1:$ZZ$1, 0))</f>
        <v>享受來自濟州島自由放鬆的香氣，帶給身體一整天水潤保濕的身體保養系列，採用天然界面活性劑，泡沫細緻柔和，洗完不緊繃、香氣怡人帶來放鬆舒適的沐浴時光。</v>
      </c>
      <c r="X325" s="28" t="str">
        <f t="array" ref="X325">INDEX('raw-sheet'!$A$2:$ZZ$1000, ROW(X324), MATCH(X$1, 'raw-sheet'!$A$1:$ZZ$1, 0))</f>
        <v>summary_large_image</v>
      </c>
      <c r="Y325" s="30" t="s">
        <v>11</v>
      </c>
      <c r="Z325" s="28" t="str">
        <f>VLOOKUP($A325,'raw-schema'!$A:$R,14,0)</f>
        <v>Brand</v>
      </c>
      <c r="AA325" s="28" t="str">
        <f>VLOOKUP($A325,'raw-schema'!$A:$R,15,0)</f>
        <v>Offer</v>
      </c>
      <c r="AB325" s="28" t="str">
        <f>VLOOKUP($A325,'raw-schema'!$A:$R,16,0)</f>
        <v>Organization</v>
      </c>
      <c r="AC325" s="28" t="str">
        <f>VLOOKUP($A325,'raw-schema'!$A:$R,17,0)</f>
        <v>Product</v>
      </c>
      <c r="AD325" s="28" t="str">
        <f>VLOOKUP($A325,'raw-schema'!$A:$R,18,0)</f>
        <v>ProductGroup</v>
      </c>
      <c r="AE325" s="30" t="s">
        <v>69</v>
      </c>
    </row>
    <row r="326" spans="1:31" x14ac:dyDescent="0.3">
      <c r="A326" s="28" t="str">
        <f t="array" ref="A326">INDEX('raw-sheet'!$A$2:$ZZ$1000, ROW(A325), MATCH(A$1, 'raw-sheet'!$A$1:$ZZ$1, 0))</f>
        <v>https://innisfree-taiwan.myshopify.com/products/innisfree-my-perfumed-body-hair-mist</v>
      </c>
      <c r="B326" s="30" t="s">
        <v>11</v>
      </c>
      <c r="C326" s="28" t="str">
        <f t="array" ref="C326">INDEX('raw-sheet'!$A$2:$ZZ$1000, ROW(C325), MATCH(C$1, 'raw-sheet'!$A$1:$ZZ$1, 0))</f>
        <v>Product Detail</v>
      </c>
      <c r="D326" s="28">
        <f t="array" ref="D326">INDEX('raw-sheet'!$A$2:$ZZ$1000, ROW(D325), MATCH(D$1, 'raw-sheet'!$A$1:$ZZ$1, 0))</f>
        <v>200</v>
      </c>
      <c r="E326" s="30" t="str">
        <f t="shared" si="10"/>
        <v>Pass</v>
      </c>
      <c r="F326" s="28" t="str">
        <f t="array" ref="F326">INDEX('raw-sheet'!$A$2:$ZZ$1000, ROW(F325), MATCH(F$1, 'raw-sheet'!$A$1:$ZZ$1, 0))</f>
        <v>我的身體髮香噴霧 100ml_x000D_ | INNISFREE Taiwan</v>
      </c>
      <c r="G326" s="30" t="s">
        <v>11</v>
      </c>
      <c r="H326" s="28" t="str">
        <f t="array" ref="H326">INDEX('raw-sheet'!$A$2:$ZZ$1000, ROW(H325), MATCH(H$1, 'raw-sheet'!$A$1:$ZZ$1, 0))</f>
        <v>給予身心完全放鬆的身體髮香噴霧。</v>
      </c>
      <c r="I326" s="30" t="s">
        <v>11</v>
      </c>
      <c r="J326" s="28" t="str">
        <f t="array" ref="J326">INDEX('raw-sheet'!$A$2:$ZZ$1000, ROW(J325), MATCH(J$1, 'raw-sheet'!$A$1:$ZZ$1, 0))</f>
        <v>我的身體髮香噴霧 100ml</v>
      </c>
      <c r="K326" s="28" t="str">
        <f t="array" ref="K326">INDEX('raw-sheet'!$A$2:$ZZ$1000, ROW(K325), MATCH(K$1, 'raw-sheet'!$A$1:$ZZ$1, 0))</f>
        <v>1</v>
      </c>
      <c r="L326" s="30" t="s">
        <v>11</v>
      </c>
      <c r="M326" s="28" t="str">
        <f t="array" ref="M326">INDEX('raw-sheet'!$A$2:$ZZ$1000, ROW(M325), MATCH(M$1, 'raw-sheet'!$A$1:$ZZ$1, 0))</f>
        <v>https://innisfree-taiwan.myshopify.com/products/innisfree-my-perfumed-body-hair-mist</v>
      </c>
      <c r="N326" s="30" t="str">
        <f t="shared" si="11"/>
        <v>Pass</v>
      </c>
      <c r="O326" s="28" t="str">
        <f t="array" ref="O326">INDEX('raw-sheet'!$A$2:$ZZ$1000, ROW(O325), MATCH(O$1, 'raw-sheet'!$A$1:$ZZ$1, 0))</f>
        <v>我的身體髮香噴霧 100ml | INNISFREE Taiwan</v>
      </c>
      <c r="P326" s="28" t="str">
        <f t="array" ref="P326">INDEX('raw-sheet'!$A$2:$ZZ$1000, ROW(P325), MATCH(P$1, 'raw-sheet'!$A$1:$ZZ$1, 0))</f>
        <v>給予身心完全放鬆的身體髮香噴霧。</v>
      </c>
      <c r="Q326" s="28" t="str">
        <f t="array" ref="Q326">INDEX('raw-sheet'!$A$2:$ZZ$1000, ROW(Q325), MATCH(Q$1, 'raw-sheet'!$A$1:$ZZ$1, 0))</f>
        <v>product</v>
      </c>
      <c r="R326" s="28" t="str">
        <f t="array" ref="R326">INDEX('raw-sheet'!$A$2:$ZZ$1000, ROW(R325), MATCH(R$1, 'raw-sheet'!$A$1:$ZZ$1, 0))</f>
        <v>INNISFREE Taiwan</v>
      </c>
      <c r="S326" s="28" t="str">
        <f t="array" ref="S326">INDEX('raw-sheet'!$A$2:$ZZ$1000, ROW(S325), MATCH(S$1, 'raw-sheet'!$A$1:$ZZ$1, 0))</f>
        <v>http://innisfree-taiwan.myshopify.com/cdn/shop/files/pdp_mig_0b976b4b_20231006_1061_ID0101_1_jpg.jpg?v=1768543099</v>
      </c>
      <c r="T326" s="28" t="str">
        <f t="array" ref="T326">INDEX('raw-sheet'!$A$2:$ZZ$1000, ROW(T325), MATCH(T$1, 'raw-sheet'!$A$1:$ZZ$1, 0))</f>
        <v>https://innisfree-taiwan.myshopify.com/cdn/shop/files/pdp_mig_0b976b4b_20231006_1061_ID0101_1_jpg.jpg?v=1768543099</v>
      </c>
      <c r="U326" s="28" t="str">
        <f t="array" ref="U326">INDEX('raw-sheet'!$A$2:$ZZ$1000, ROW(U325), MATCH(U$1, 'raw-sheet'!$A$1:$ZZ$1, 0))</f>
        <v>https://innisfree-taiwan.myshopify.com/products/innisfree-my-perfumed-body-hair-mist</v>
      </c>
      <c r="V326" s="28" t="str">
        <f t="array" ref="V326">INDEX('raw-sheet'!$A$2:$ZZ$1000, ROW(V325), MATCH(V$1, 'raw-sheet'!$A$1:$ZZ$1, 0))</f>
        <v>我的身體髮香噴霧 100ml | INNISFREE Taiwan</v>
      </c>
      <c r="W326" s="28" t="str">
        <f t="array" ref="W326">INDEX('raw-sheet'!$A$2:$ZZ$1000, ROW(W325), MATCH(W$1, 'raw-sheet'!$A$1:$ZZ$1, 0))</f>
        <v>給予身心完全放鬆的身體髮香噴霧。</v>
      </c>
      <c r="X326" s="28" t="str">
        <f t="array" ref="X326">INDEX('raw-sheet'!$A$2:$ZZ$1000, ROW(X325), MATCH(X$1, 'raw-sheet'!$A$1:$ZZ$1, 0))</f>
        <v>summary_large_image</v>
      </c>
      <c r="Y326" s="30" t="s">
        <v>11</v>
      </c>
      <c r="Z326" s="28" t="str">
        <f>VLOOKUP($A326,'raw-schema'!$A:$R,14,0)</f>
        <v>Brand</v>
      </c>
      <c r="AA326" s="28" t="str">
        <f>VLOOKUP($A326,'raw-schema'!$A:$R,15,0)</f>
        <v>Offer</v>
      </c>
      <c r="AB326" s="28" t="str">
        <f>VLOOKUP($A326,'raw-schema'!$A:$R,16,0)</f>
        <v>Organization</v>
      </c>
      <c r="AC326" s="28" t="str">
        <f>VLOOKUP($A326,'raw-schema'!$A:$R,17,0)</f>
        <v>Product</v>
      </c>
      <c r="AD326" s="28" t="str">
        <f>VLOOKUP($A326,'raw-schema'!$A:$R,18,0)</f>
        <v>ProductGroup</v>
      </c>
      <c r="AE326" s="30" t="s">
        <v>69</v>
      </c>
    </row>
    <row r="327" spans="1:31" x14ac:dyDescent="0.3">
      <c r="A327" s="28" t="str">
        <f t="array" ref="A327">INDEX('raw-sheet'!$A$2:$ZZ$1000, ROW(A326), MATCH(A$1, 'raw-sheet'!$A$1:$ZZ$1, 0))</f>
        <v>https://innisfree-taiwan.myshopify.com/products/innisfree-my-perfumed-body-lotion23</v>
      </c>
      <c r="B327" s="30" t="s">
        <v>11</v>
      </c>
      <c r="C327" s="28" t="str">
        <f t="array" ref="C327">INDEX('raw-sheet'!$A$2:$ZZ$1000, ROW(C326), MATCH(C$1, 'raw-sheet'!$A$1:$ZZ$1, 0))</f>
        <v>Product Detail</v>
      </c>
      <c r="D327" s="28">
        <f t="array" ref="D327">INDEX('raw-sheet'!$A$2:$ZZ$1000, ROW(D326), MATCH(D$1, 'raw-sheet'!$A$1:$ZZ$1, 0))</f>
        <v>200</v>
      </c>
      <c r="E327" s="30" t="str">
        <f t="shared" si="10"/>
        <v>Pass</v>
      </c>
      <c r="F327" s="28" t="str">
        <f t="array" ref="F327">INDEX('raw-sheet'!$A$2:$ZZ$1000, ROW(F326), MATCH(F$1, 'raw-sheet'!$A$1:$ZZ$1, 0))</f>
        <v>我的香氛身體乳 330ml_x000D_ | INNISFREE Taiwan</v>
      </c>
      <c r="G327" s="30" t="s">
        <v>11</v>
      </c>
      <c r="H327" s="28" t="str">
        <f t="array" ref="H327">INDEX('raw-sheet'!$A$2:$ZZ$1000, ROW(H326), MATCH(H$1, 'raw-sheet'!$A$1:$ZZ$1, 0))</f>
        <v>舒緩療癒味道的身體乳，來自濟州自由與純淨香氛，有如擦上香水般的持久迷人 。</v>
      </c>
      <c r="I327" s="30" t="s">
        <v>11</v>
      </c>
      <c r="J327" s="28" t="str">
        <f t="array" ref="J327">INDEX('raw-sheet'!$A$2:$ZZ$1000, ROW(J326), MATCH(J$1, 'raw-sheet'!$A$1:$ZZ$1, 0))</f>
        <v>我的香氛身體乳 330ml</v>
      </c>
      <c r="K327" s="28" t="str">
        <f t="array" ref="K327">INDEX('raw-sheet'!$A$2:$ZZ$1000, ROW(K326), MATCH(K$1, 'raw-sheet'!$A$1:$ZZ$1, 0))</f>
        <v>1</v>
      </c>
      <c r="L327" s="30" t="s">
        <v>11</v>
      </c>
      <c r="M327" s="28" t="str">
        <f t="array" ref="M327">INDEX('raw-sheet'!$A$2:$ZZ$1000, ROW(M326), MATCH(M$1, 'raw-sheet'!$A$1:$ZZ$1, 0))</f>
        <v>https://innisfree-taiwan.myshopify.com/products/innisfree-my-perfumed-body-lotion23</v>
      </c>
      <c r="N327" s="30" t="str">
        <f t="shared" si="11"/>
        <v>Pass</v>
      </c>
      <c r="O327" s="28" t="str">
        <f t="array" ref="O327">INDEX('raw-sheet'!$A$2:$ZZ$1000, ROW(O326), MATCH(O$1, 'raw-sheet'!$A$1:$ZZ$1, 0))</f>
        <v>我的香氛身體乳 330ml | INNISFREE Taiwan</v>
      </c>
      <c r="P327" s="28" t="str">
        <f t="array" ref="P327">INDEX('raw-sheet'!$A$2:$ZZ$1000, ROW(P326), MATCH(P$1, 'raw-sheet'!$A$1:$ZZ$1, 0))</f>
        <v>舒緩療癒味道的身體乳，來自濟州自由與純淨香氛，有如擦上香水般的持久迷人 。</v>
      </c>
      <c r="Q327" s="28" t="str">
        <f t="array" ref="Q327">INDEX('raw-sheet'!$A$2:$ZZ$1000, ROW(Q326), MATCH(Q$1, 'raw-sheet'!$A$1:$ZZ$1, 0))</f>
        <v>product</v>
      </c>
      <c r="R327" s="28" t="str">
        <f t="array" ref="R327">INDEX('raw-sheet'!$A$2:$ZZ$1000, ROW(R326), MATCH(R$1, 'raw-sheet'!$A$1:$ZZ$1, 0))</f>
        <v>INNISFREE Taiwan</v>
      </c>
      <c r="S327" s="28" t="str">
        <f t="array" ref="S327">INDEX('raw-sheet'!$A$2:$ZZ$1000, ROW(S326), MATCH(S$1, 'raw-sheet'!$A$1:$ZZ$1, 0))</f>
        <v>http://innisfree-taiwan.myshopify.com/cdn/shop/files/pdp_mig_9e9ec3fd_20230928_1256_ID0101_1_jpg.jpg?v=1768543095</v>
      </c>
      <c r="T327" s="28" t="str">
        <f t="array" ref="T327">INDEX('raw-sheet'!$A$2:$ZZ$1000, ROW(T326), MATCH(T$1, 'raw-sheet'!$A$1:$ZZ$1, 0))</f>
        <v>https://innisfree-taiwan.myshopify.com/cdn/shop/files/pdp_mig_9e9ec3fd_20230928_1256_ID0101_1_jpg.jpg?v=1768543095</v>
      </c>
      <c r="U327" s="28" t="str">
        <f t="array" ref="U327">INDEX('raw-sheet'!$A$2:$ZZ$1000, ROW(U326), MATCH(U$1, 'raw-sheet'!$A$1:$ZZ$1, 0))</f>
        <v>https://innisfree-taiwan.myshopify.com/products/innisfree-my-perfumed-body-lotion23</v>
      </c>
      <c r="V327" s="28" t="str">
        <f t="array" ref="V327">INDEX('raw-sheet'!$A$2:$ZZ$1000, ROW(V326), MATCH(V$1, 'raw-sheet'!$A$1:$ZZ$1, 0))</f>
        <v>我的香氛身體乳 330ml | INNISFREE Taiwan</v>
      </c>
      <c r="W327" s="28" t="str">
        <f t="array" ref="W327">INDEX('raw-sheet'!$A$2:$ZZ$1000, ROW(W326), MATCH(W$1, 'raw-sheet'!$A$1:$ZZ$1, 0))</f>
        <v>舒緩療癒味道的身體乳，來自濟州自由與純淨香氛，有如擦上香水般的持久迷人 。</v>
      </c>
      <c r="X327" s="28" t="str">
        <f t="array" ref="X327">INDEX('raw-sheet'!$A$2:$ZZ$1000, ROW(X326), MATCH(X$1, 'raw-sheet'!$A$1:$ZZ$1, 0))</f>
        <v>summary_large_image</v>
      </c>
      <c r="Y327" s="30" t="s">
        <v>11</v>
      </c>
      <c r="Z327" s="28" t="str">
        <f>VLOOKUP($A327,'raw-schema'!$A:$R,14,0)</f>
        <v>Brand</v>
      </c>
      <c r="AA327" s="28" t="str">
        <f>VLOOKUP($A327,'raw-schema'!$A:$R,15,0)</f>
        <v>Offer</v>
      </c>
      <c r="AB327" s="28" t="str">
        <f>VLOOKUP($A327,'raw-schema'!$A:$R,16,0)</f>
        <v>Organization</v>
      </c>
      <c r="AC327" s="28" t="str">
        <f>VLOOKUP($A327,'raw-schema'!$A:$R,17,0)</f>
        <v>Product</v>
      </c>
      <c r="AD327" s="28" t="str">
        <f>VLOOKUP($A327,'raw-schema'!$A:$R,18,0)</f>
        <v>ProductGroup</v>
      </c>
      <c r="AE327" s="30" t="s">
        <v>69</v>
      </c>
    </row>
    <row r="328" spans="1:31" x14ac:dyDescent="0.3">
      <c r="A328" s="28" t="str">
        <f t="array" ref="A328">INDEX('raw-sheet'!$A$2:$ZZ$1000, ROW(A327), MATCH(A$1, 'raw-sheet'!$A$1:$ZZ$1, 0))</f>
        <v>https://innisfree-taiwan.myshopify.com/products/innisfree-my-perfumed-hand-cream</v>
      </c>
      <c r="B328" s="30" t="s">
        <v>11</v>
      </c>
      <c r="C328" s="28" t="str">
        <f t="array" ref="C328">INDEX('raw-sheet'!$A$2:$ZZ$1000, ROW(C327), MATCH(C$1, 'raw-sheet'!$A$1:$ZZ$1, 0))</f>
        <v>Product Detail</v>
      </c>
      <c r="D328" s="28">
        <f t="array" ref="D328">INDEX('raw-sheet'!$A$2:$ZZ$1000, ROW(D327), MATCH(D$1, 'raw-sheet'!$A$1:$ZZ$1, 0))</f>
        <v>200</v>
      </c>
      <c r="E328" s="30" t="str">
        <f t="shared" si="10"/>
        <v>Pass</v>
      </c>
      <c r="F328" s="28" t="str">
        <f t="array" ref="F328">INDEX('raw-sheet'!$A$2:$ZZ$1000, ROW(F327), MATCH(F$1, 'raw-sheet'!$A$1:$ZZ$1, 0))</f>
        <v>我的香氛護手霜 30ml_x000D_ | INNISFREE Taiwan</v>
      </c>
      <c r="G328" s="30" t="s">
        <v>11</v>
      </c>
      <c r="H328" s="28" t="str">
        <f t="array" ref="H328">INDEX('raw-sheet'!$A$2:$ZZ$1000, ROW(H327), MATCH(H$1, 'raw-sheet'!$A$1:$ZZ$1, 0))</f>
        <v>迷人香氣、輕巧好攜帶的保濕香氛護手霜。由日常生活中各種香味組成的護手霜，因此，您可以每天依照心情選擇喜歡的香味使用。</v>
      </c>
      <c r="I328" s="30" t="s">
        <v>11</v>
      </c>
      <c r="J328" s="28" t="str">
        <f t="array" ref="J328">INDEX('raw-sheet'!$A$2:$ZZ$1000, ROW(J327), MATCH(J$1, 'raw-sheet'!$A$1:$ZZ$1, 0))</f>
        <v>我的香氛護手霜 30ml</v>
      </c>
      <c r="K328" s="28" t="str">
        <f t="array" ref="K328">INDEX('raw-sheet'!$A$2:$ZZ$1000, ROW(K327), MATCH(K$1, 'raw-sheet'!$A$1:$ZZ$1, 0))</f>
        <v>1</v>
      </c>
      <c r="L328" s="30" t="s">
        <v>11</v>
      </c>
      <c r="M328" s="28" t="str">
        <f t="array" ref="M328">INDEX('raw-sheet'!$A$2:$ZZ$1000, ROW(M327), MATCH(M$1, 'raw-sheet'!$A$1:$ZZ$1, 0))</f>
        <v>https://innisfree-taiwan.myshopify.com/products/innisfree-my-perfumed-hand-cream</v>
      </c>
      <c r="N328" s="30" t="str">
        <f t="shared" si="11"/>
        <v>Pass</v>
      </c>
      <c r="O328" s="28" t="str">
        <f t="array" ref="O328">INDEX('raw-sheet'!$A$2:$ZZ$1000, ROW(O327), MATCH(O$1, 'raw-sheet'!$A$1:$ZZ$1, 0))</f>
        <v>我的香氛護手霜 30ml | INNISFREE Taiwan</v>
      </c>
      <c r="P328" s="28" t="str">
        <f t="array" ref="P328">INDEX('raw-sheet'!$A$2:$ZZ$1000, ROW(P327), MATCH(P$1, 'raw-sheet'!$A$1:$ZZ$1, 0))</f>
        <v>迷人香氣、輕巧好攜帶的保濕香氛護手霜。由日常生活中各種香味組成的護手霜，因此，您可以每天依照心情選擇喜歡的香味使用。</v>
      </c>
      <c r="Q328" s="28" t="str">
        <f t="array" ref="Q328">INDEX('raw-sheet'!$A$2:$ZZ$1000, ROW(Q327), MATCH(Q$1, 'raw-sheet'!$A$1:$ZZ$1, 0))</f>
        <v>product</v>
      </c>
      <c r="R328" s="28" t="str">
        <f t="array" ref="R328">INDEX('raw-sheet'!$A$2:$ZZ$1000, ROW(R327), MATCH(R$1, 'raw-sheet'!$A$1:$ZZ$1, 0))</f>
        <v>INNISFREE Taiwan</v>
      </c>
      <c r="S328" s="28" t="str">
        <f t="array" ref="S328">INDEX('raw-sheet'!$A$2:$ZZ$1000, ROW(S327), MATCH(S$1, 'raw-sheet'!$A$1:$ZZ$1, 0))</f>
        <v>http://innisfree-taiwan.myshopify.com/cdn/shop/files/pdp_mig_bafc4ed0_20251117_1257_ID0101_1_jpg.jpg?v=1768543091</v>
      </c>
      <c r="T328" s="28" t="str">
        <f t="array" ref="T328">INDEX('raw-sheet'!$A$2:$ZZ$1000, ROW(T327), MATCH(T$1, 'raw-sheet'!$A$1:$ZZ$1, 0))</f>
        <v>https://innisfree-taiwan.myshopify.com/cdn/shop/files/pdp_mig_bafc4ed0_20251117_1257_ID0101_1_jpg.jpg?v=1768543091</v>
      </c>
      <c r="U328" s="28" t="str">
        <f t="array" ref="U328">INDEX('raw-sheet'!$A$2:$ZZ$1000, ROW(U327), MATCH(U$1, 'raw-sheet'!$A$1:$ZZ$1, 0))</f>
        <v>https://innisfree-taiwan.myshopify.com/products/innisfree-my-perfumed-hand-cream</v>
      </c>
      <c r="V328" s="28" t="str">
        <f t="array" ref="V328">INDEX('raw-sheet'!$A$2:$ZZ$1000, ROW(V327), MATCH(V$1, 'raw-sheet'!$A$1:$ZZ$1, 0))</f>
        <v>我的香氛護手霜 30ml | INNISFREE Taiwan</v>
      </c>
      <c r="W328" s="28" t="str">
        <f t="array" ref="W328">INDEX('raw-sheet'!$A$2:$ZZ$1000, ROW(W327), MATCH(W$1, 'raw-sheet'!$A$1:$ZZ$1, 0))</f>
        <v>迷人香氣、輕巧好攜帶的保濕香氛護手霜。由日常生活中各種香味組成的護手霜，因此，您可以每天依照心情選擇喜歡的香味使用。</v>
      </c>
      <c r="X328" s="28" t="str">
        <f t="array" ref="X328">INDEX('raw-sheet'!$A$2:$ZZ$1000, ROW(X327), MATCH(X$1, 'raw-sheet'!$A$1:$ZZ$1, 0))</f>
        <v>summary_large_image</v>
      </c>
      <c r="Y328" s="30" t="s">
        <v>11</v>
      </c>
      <c r="Z328" s="28" t="str">
        <f>VLOOKUP($A328,'raw-schema'!$A:$R,14,0)</f>
        <v>Brand</v>
      </c>
      <c r="AA328" s="28" t="str">
        <f>VLOOKUP($A328,'raw-schema'!$A:$R,15,0)</f>
        <v>Offer</v>
      </c>
      <c r="AB328" s="28" t="str">
        <f>VLOOKUP($A328,'raw-schema'!$A:$R,16,0)</f>
        <v>Organization</v>
      </c>
      <c r="AC328" s="28" t="str">
        <f>VLOOKUP($A328,'raw-schema'!$A:$R,17,0)</f>
        <v>Product</v>
      </c>
      <c r="AD328" s="28" t="str">
        <f>VLOOKUP($A328,'raw-schema'!$A:$R,18,0)</f>
        <v>ProductGroup</v>
      </c>
      <c r="AE328" s="30" t="s">
        <v>69</v>
      </c>
    </row>
    <row r="329" spans="1:31" x14ac:dyDescent="0.3">
      <c r="A329" s="28" t="str">
        <f t="array" ref="A329">INDEX('raw-sheet'!$A$2:$ZZ$1000, ROW(A328), MATCH(A$1, 'raw-sheet'!$A$1:$ZZ$1, 0))</f>
        <v>https://innisfree-taiwan.myshopify.com/products/innisfree-no-sebum-ac-powder</v>
      </c>
      <c r="B329" s="30" t="s">
        <v>11</v>
      </c>
      <c r="C329" s="28" t="str">
        <f t="array" ref="C329">INDEX('raw-sheet'!$A$2:$ZZ$1000, ROW(C328), MATCH(C$1, 'raw-sheet'!$A$1:$ZZ$1, 0))</f>
        <v>Product Detail</v>
      </c>
      <c r="D329" s="28">
        <f t="array" ref="D329">INDEX('raw-sheet'!$A$2:$ZZ$1000, ROW(D328), MATCH(D$1, 'raw-sheet'!$A$1:$ZZ$1, 0))</f>
        <v>200</v>
      </c>
      <c r="E329" s="30" t="str">
        <f t="shared" si="10"/>
        <v>Pass</v>
      </c>
      <c r="F329" s="28" t="str">
        <f t="array" ref="F329">INDEX('raw-sheet'!$A$2:$ZZ$1000, ROW(F328), MATCH(F$1, 'raw-sheet'!$A$1:$ZZ$1, 0))</f>
        <v>無油無慮真心保濕蜜粉 5g_x000D_ | INNISFREE Taiwan</v>
      </c>
      <c r="G329" s="30" t="s">
        <v>11</v>
      </c>
      <c r="H329" s="28" t="str">
        <f t="array" ref="H329">INDEX('raw-sheet'!$A$2:$ZZ$1000, ROW(H328), MATCH(H$1, 'raw-sheet'!$A$1:$ZZ$1, 0))</f>
        <v>產品配方有控油保濕複合成份，使用一周後，能有效改善痘痘粉刺狀況，平衡皮脂分泌，改善皮膚油水失衡問題，另外也有保濕舒緩功效，使用舒適不乾燥</v>
      </c>
      <c r="I329" s="30" t="s">
        <v>11</v>
      </c>
      <c r="J329" s="28" t="str">
        <f t="array" ref="J329">INDEX('raw-sheet'!$A$2:$ZZ$1000, ROW(J328), MATCH(J$1, 'raw-sheet'!$A$1:$ZZ$1, 0))</f>
        <v>無油無慮真心保濕蜜粉 5g</v>
      </c>
      <c r="K329" s="28" t="str">
        <f t="array" ref="K329">INDEX('raw-sheet'!$A$2:$ZZ$1000, ROW(K328), MATCH(K$1, 'raw-sheet'!$A$1:$ZZ$1, 0))</f>
        <v>1</v>
      </c>
      <c r="L329" s="30" t="s">
        <v>11</v>
      </c>
      <c r="M329" s="28" t="str">
        <f t="array" ref="M329">INDEX('raw-sheet'!$A$2:$ZZ$1000, ROW(M328), MATCH(M$1, 'raw-sheet'!$A$1:$ZZ$1, 0))</f>
        <v>https://innisfree-taiwan.myshopify.com/products/innisfree-no-sebum-ac-powder</v>
      </c>
      <c r="N329" s="30" t="str">
        <f t="shared" si="11"/>
        <v>Pass</v>
      </c>
      <c r="O329" s="28" t="str">
        <f t="array" ref="O329">INDEX('raw-sheet'!$A$2:$ZZ$1000, ROW(O328), MATCH(O$1, 'raw-sheet'!$A$1:$ZZ$1, 0))</f>
        <v>無油無慮真心保濕蜜粉 5g | INNISFREE Taiwan</v>
      </c>
      <c r="P329" s="28" t="str">
        <f t="array" ref="P329">INDEX('raw-sheet'!$A$2:$ZZ$1000, ROW(P328), MATCH(P$1, 'raw-sheet'!$A$1:$ZZ$1, 0))</f>
        <v>產品配方有控油保濕複合成份，使用一周後，能有效改善痘痘粉刺狀況，平衡皮脂分泌，改善皮膚油水失衡問題，另外也有保濕舒緩功效，使用舒適不乾燥</v>
      </c>
      <c r="Q329" s="28" t="str">
        <f t="array" ref="Q329">INDEX('raw-sheet'!$A$2:$ZZ$1000, ROW(Q328), MATCH(Q$1, 'raw-sheet'!$A$1:$ZZ$1, 0))</f>
        <v>product</v>
      </c>
      <c r="R329" s="28" t="str">
        <f t="array" ref="R329">INDEX('raw-sheet'!$A$2:$ZZ$1000, ROW(R328), MATCH(R$1, 'raw-sheet'!$A$1:$ZZ$1, 0))</f>
        <v>INNISFREE Taiwan</v>
      </c>
      <c r="S329" s="28" t="str">
        <f t="array" ref="S329">INDEX('raw-sheet'!$A$2:$ZZ$1000, ROW(S328), MATCH(S$1, 'raw-sheet'!$A$1:$ZZ$1, 0))</f>
        <v>http://innisfree-taiwan.myshopify.com/cdn/shop/files/pdp_mig_098a2776_20230726_606_ID0101_1_jpg.jpg?v=1768543109</v>
      </c>
      <c r="T329" s="28" t="str">
        <f t="array" ref="T329">INDEX('raw-sheet'!$A$2:$ZZ$1000, ROW(T328), MATCH(T$1, 'raw-sheet'!$A$1:$ZZ$1, 0))</f>
        <v>https://innisfree-taiwan.myshopify.com/cdn/shop/files/pdp_mig_098a2776_20230726_606_ID0101_1_jpg.jpg?v=1768543109</v>
      </c>
      <c r="U329" s="28" t="str">
        <f t="array" ref="U329">INDEX('raw-sheet'!$A$2:$ZZ$1000, ROW(U328), MATCH(U$1, 'raw-sheet'!$A$1:$ZZ$1, 0))</f>
        <v>https://innisfree-taiwan.myshopify.com/products/innisfree-no-sebum-ac-powder</v>
      </c>
      <c r="V329" s="28" t="str">
        <f t="array" ref="V329">INDEX('raw-sheet'!$A$2:$ZZ$1000, ROW(V328), MATCH(V$1, 'raw-sheet'!$A$1:$ZZ$1, 0))</f>
        <v>無油無慮真心保濕蜜粉 5g | INNISFREE Taiwan</v>
      </c>
      <c r="W329" s="28" t="str">
        <f t="array" ref="W329">INDEX('raw-sheet'!$A$2:$ZZ$1000, ROW(W328), MATCH(W$1, 'raw-sheet'!$A$1:$ZZ$1, 0))</f>
        <v>產品配方有控油保濕複合成份，使用一周後，能有效改善痘痘粉刺狀況，平衡皮脂分泌，改善皮膚油水失衡問題，另外也有保濕舒緩功效，使用舒適不乾燥</v>
      </c>
      <c r="X329" s="28" t="str">
        <f t="array" ref="X329">INDEX('raw-sheet'!$A$2:$ZZ$1000, ROW(X328), MATCH(X$1, 'raw-sheet'!$A$1:$ZZ$1, 0))</f>
        <v>summary_large_image</v>
      </c>
      <c r="Y329" s="30" t="s">
        <v>11</v>
      </c>
      <c r="Z329" s="28" t="str">
        <f>VLOOKUP($A329,'raw-schema'!$A:$R,14,0)</f>
        <v>Brand</v>
      </c>
      <c r="AA329" s="28" t="str">
        <f>VLOOKUP($A329,'raw-schema'!$A:$R,15,0)</f>
        <v>Offer</v>
      </c>
      <c r="AB329" s="28" t="str">
        <f>VLOOKUP($A329,'raw-schema'!$A:$R,16,0)</f>
        <v>Organization</v>
      </c>
      <c r="AC329" s="28" t="str">
        <f>VLOOKUP($A329,'raw-schema'!$A:$R,17,0)</f>
        <v>Product</v>
      </c>
      <c r="AD329" s="28">
        <f>VLOOKUP($A329,'raw-schema'!$A:$R,18,0)</f>
        <v>0</v>
      </c>
      <c r="AE329" s="30" t="s">
        <v>69</v>
      </c>
    </row>
    <row r="330" spans="1:31" x14ac:dyDescent="0.3">
      <c r="A330" s="28" t="str">
        <f t="array" ref="A330">INDEX('raw-sheet'!$A$2:$ZZ$1000, ROW(A329), MATCH(A$1, 'raw-sheet'!$A$1:$ZZ$1, 0))</f>
        <v>https://innisfree-taiwan.myshopify.com/products/innisfree-no-sebum-blur-primer</v>
      </c>
      <c r="B330" s="30" t="s">
        <v>11</v>
      </c>
      <c r="C330" s="28" t="str">
        <f t="array" ref="C330">INDEX('raw-sheet'!$A$2:$ZZ$1000, ROW(C329), MATCH(C$1, 'raw-sheet'!$A$1:$ZZ$1, 0))</f>
        <v>Product Detail</v>
      </c>
      <c r="D330" s="28">
        <f t="array" ref="D330">INDEX('raw-sheet'!$A$2:$ZZ$1000, ROW(D329), MATCH(D$1, 'raw-sheet'!$A$1:$ZZ$1, 0))</f>
        <v>200</v>
      </c>
      <c r="E330" s="30" t="str">
        <f t="shared" si="10"/>
        <v>Pass</v>
      </c>
      <c r="F330" s="28" t="str">
        <f t="array" ref="F330">INDEX('raw-sheet'!$A$2:$ZZ$1000, ROW(F329), MATCH(F$1, 'raw-sheet'!$A$1:$ZZ$1, 0))</f>
        <v>無油無慮美肌飾底乳 25ml_x000D_ | INNISFREE Taiwan</v>
      </c>
      <c r="G330" s="30" t="s">
        <v>11</v>
      </c>
      <c r="H330" s="28" t="str">
        <f t="array" ref="H330">INDEX('raw-sheet'!$A$2:$ZZ$1000, ROW(H329), MATCH(H$1, 'raw-sheet'!$A$1:$ZZ$1, 0))</f>
        <v>修飾毛孔與細紋，打造光滑美肌的控油飾底乳。</v>
      </c>
      <c r="I330" s="30" t="s">
        <v>11</v>
      </c>
      <c r="J330" s="28" t="str">
        <f t="array" ref="J330">INDEX('raw-sheet'!$A$2:$ZZ$1000, ROW(J329), MATCH(J$1, 'raw-sheet'!$A$1:$ZZ$1, 0))</f>
        <v>無油無慮美肌飾底乳 25ml</v>
      </c>
      <c r="K330" s="28" t="str">
        <f t="array" ref="K330">INDEX('raw-sheet'!$A$2:$ZZ$1000, ROW(K329), MATCH(K$1, 'raw-sheet'!$A$1:$ZZ$1, 0))</f>
        <v>1</v>
      </c>
      <c r="L330" s="30" t="s">
        <v>11</v>
      </c>
      <c r="M330" s="28" t="str">
        <f t="array" ref="M330">INDEX('raw-sheet'!$A$2:$ZZ$1000, ROW(M329), MATCH(M$1, 'raw-sheet'!$A$1:$ZZ$1, 0))</f>
        <v>https://innisfree-taiwan.myshopify.com/products/innisfree-no-sebum-blur-primer</v>
      </c>
      <c r="N330" s="30" t="str">
        <f t="shared" si="11"/>
        <v>Pass</v>
      </c>
      <c r="O330" s="28" t="str">
        <f t="array" ref="O330">INDEX('raw-sheet'!$A$2:$ZZ$1000, ROW(O329), MATCH(O$1, 'raw-sheet'!$A$1:$ZZ$1, 0))</f>
        <v>無油無慮美肌飾底乳 25ml | INNISFREE Taiwan</v>
      </c>
      <c r="P330" s="28" t="str">
        <f t="array" ref="P330">INDEX('raw-sheet'!$A$2:$ZZ$1000, ROW(P329), MATCH(P$1, 'raw-sheet'!$A$1:$ZZ$1, 0))</f>
        <v>修飾毛孔與細紋，打造光滑美肌的控油飾底乳。</v>
      </c>
      <c r="Q330" s="28" t="str">
        <f t="array" ref="Q330">INDEX('raw-sheet'!$A$2:$ZZ$1000, ROW(Q329), MATCH(Q$1, 'raw-sheet'!$A$1:$ZZ$1, 0))</f>
        <v>product</v>
      </c>
      <c r="R330" s="28" t="str">
        <f t="array" ref="R330">INDEX('raw-sheet'!$A$2:$ZZ$1000, ROW(R329), MATCH(R$1, 'raw-sheet'!$A$1:$ZZ$1, 0))</f>
        <v>INNISFREE Taiwan</v>
      </c>
      <c r="S330" s="28" t="str">
        <f t="array" ref="S330">INDEX('raw-sheet'!$A$2:$ZZ$1000, ROW(S329), MATCH(S$1, 'raw-sheet'!$A$1:$ZZ$1, 0))</f>
        <v>http://innisfree-taiwan.myshopify.com/cdn/shop/files/pdp_mig_2e9c3b16_20230724_1189_ID0101_1_jpg.jpg?v=1768543095</v>
      </c>
      <c r="T330" s="28" t="str">
        <f t="array" ref="T330">INDEX('raw-sheet'!$A$2:$ZZ$1000, ROW(T329), MATCH(T$1, 'raw-sheet'!$A$1:$ZZ$1, 0))</f>
        <v>https://innisfree-taiwan.myshopify.com/cdn/shop/files/pdp_mig_2e9c3b16_20230724_1189_ID0101_1_jpg.jpg?v=1768543095</v>
      </c>
      <c r="U330" s="28" t="str">
        <f t="array" ref="U330">INDEX('raw-sheet'!$A$2:$ZZ$1000, ROW(U329), MATCH(U$1, 'raw-sheet'!$A$1:$ZZ$1, 0))</f>
        <v>https://innisfree-taiwan.myshopify.com/products/innisfree-no-sebum-blur-primer</v>
      </c>
      <c r="V330" s="28" t="str">
        <f t="array" ref="V330">INDEX('raw-sheet'!$A$2:$ZZ$1000, ROW(V329), MATCH(V$1, 'raw-sheet'!$A$1:$ZZ$1, 0))</f>
        <v>無油無慮美肌飾底乳 25ml | INNISFREE Taiwan</v>
      </c>
      <c r="W330" s="28" t="str">
        <f t="array" ref="W330">INDEX('raw-sheet'!$A$2:$ZZ$1000, ROW(W329), MATCH(W$1, 'raw-sheet'!$A$1:$ZZ$1, 0))</f>
        <v>修飾毛孔與細紋，打造光滑美肌的控油飾底乳。</v>
      </c>
      <c r="X330" s="28" t="str">
        <f t="array" ref="X330">INDEX('raw-sheet'!$A$2:$ZZ$1000, ROW(X329), MATCH(X$1, 'raw-sheet'!$A$1:$ZZ$1, 0))</f>
        <v>summary_large_image</v>
      </c>
      <c r="Y330" s="30" t="s">
        <v>11</v>
      </c>
      <c r="Z330" s="28" t="str">
        <f>VLOOKUP($A330,'raw-schema'!$A:$R,14,0)</f>
        <v>Brand</v>
      </c>
      <c r="AA330" s="28" t="str">
        <f>VLOOKUP($A330,'raw-schema'!$A:$R,15,0)</f>
        <v>Offer</v>
      </c>
      <c r="AB330" s="28" t="str">
        <f>VLOOKUP($A330,'raw-schema'!$A:$R,16,0)</f>
        <v>Organization</v>
      </c>
      <c r="AC330" s="28" t="str">
        <f>VLOOKUP($A330,'raw-schema'!$A:$R,17,0)</f>
        <v>Product</v>
      </c>
      <c r="AD330" s="28">
        <f>VLOOKUP($A330,'raw-schema'!$A:$R,18,0)</f>
        <v>0</v>
      </c>
      <c r="AE330" s="30" t="s">
        <v>69</v>
      </c>
    </row>
    <row r="331" spans="1:31" x14ac:dyDescent="0.3">
      <c r="A331" s="28" t="str">
        <f t="array" ref="A331">INDEX('raw-sheet'!$A$2:$ZZ$1000, ROW(A330), MATCH(A$1, 'raw-sheet'!$A$1:$ZZ$1, 0))</f>
        <v>https://innisfree-taiwan.myshopify.com/products/innisfree-no-sebum-mineral-color-powder</v>
      </c>
      <c r="B331" s="30" t="s">
        <v>11</v>
      </c>
      <c r="C331" s="28" t="str">
        <f t="array" ref="C331">INDEX('raw-sheet'!$A$2:$ZZ$1000, ROW(C330), MATCH(C$1, 'raw-sheet'!$A$1:$ZZ$1, 0))</f>
        <v>Product Detail</v>
      </c>
      <c r="D331" s="28">
        <f t="array" ref="D331">INDEX('raw-sheet'!$A$2:$ZZ$1000, ROW(D330), MATCH(D$1, 'raw-sheet'!$A$1:$ZZ$1, 0))</f>
        <v>200</v>
      </c>
      <c r="E331" s="30" t="str">
        <f t="shared" si="10"/>
        <v>Pass</v>
      </c>
      <c r="F331" s="28" t="str">
        <f t="array" ref="F331">INDEX('raw-sheet'!$A$2:$ZZ$1000, ROW(F330), MATCH(F$1, 'raw-sheet'!$A$1:$ZZ$1, 0))</f>
        <v>無油無慮繽紛蜜粉 5g_x000D_ | INNISFREE Taiwan</v>
      </c>
      <c r="G331" s="30" t="s">
        <v>11</v>
      </c>
      <c r="H331" s="28" t="str">
        <f t="array" ref="H331">INDEX('raw-sheet'!$A$2:$ZZ$1000, ROW(H330), MATCH(H$1, 'raw-sheet'!$A$1:$ZZ$1, 0))</f>
        <v>針對暗沉無活力的肌膚輕鬆提亮與校色的控油蜜粉</v>
      </c>
      <c r="I331" s="30" t="s">
        <v>11</v>
      </c>
      <c r="J331" s="28" t="str">
        <f t="array" ref="J331">INDEX('raw-sheet'!$A$2:$ZZ$1000, ROW(J330), MATCH(J$1, 'raw-sheet'!$A$1:$ZZ$1, 0))</f>
        <v>無油無慮繽紛蜜粉 5g</v>
      </c>
      <c r="K331" s="28" t="str">
        <f t="array" ref="K331">INDEX('raw-sheet'!$A$2:$ZZ$1000, ROW(K330), MATCH(K$1, 'raw-sheet'!$A$1:$ZZ$1, 0))</f>
        <v>1</v>
      </c>
      <c r="L331" s="30" t="s">
        <v>11</v>
      </c>
      <c r="M331" s="28" t="str">
        <f t="array" ref="M331">INDEX('raw-sheet'!$A$2:$ZZ$1000, ROW(M330), MATCH(M$1, 'raw-sheet'!$A$1:$ZZ$1, 0))</f>
        <v>https://innisfree-taiwan.myshopify.com/products/innisfree-no-sebum-mineral-color-powder</v>
      </c>
      <c r="N331" s="30" t="str">
        <f t="shared" si="11"/>
        <v>Pass</v>
      </c>
      <c r="O331" s="28" t="str">
        <f t="array" ref="O331">INDEX('raw-sheet'!$A$2:$ZZ$1000, ROW(O330), MATCH(O$1, 'raw-sheet'!$A$1:$ZZ$1, 0))</f>
        <v>無油無慮繽紛蜜粉 5g | INNISFREE Taiwan</v>
      </c>
      <c r="P331" s="28" t="str">
        <f t="array" ref="P331">INDEX('raw-sheet'!$A$2:$ZZ$1000, ROW(P330), MATCH(P$1, 'raw-sheet'!$A$1:$ZZ$1, 0))</f>
        <v>針對暗沉無活力的肌膚輕鬆提亮與校色的控油蜜粉</v>
      </c>
      <c r="Q331" s="28" t="str">
        <f t="array" ref="Q331">INDEX('raw-sheet'!$A$2:$ZZ$1000, ROW(Q330), MATCH(Q$1, 'raw-sheet'!$A$1:$ZZ$1, 0))</f>
        <v>product</v>
      </c>
      <c r="R331" s="28" t="str">
        <f t="array" ref="R331">INDEX('raw-sheet'!$A$2:$ZZ$1000, ROW(R330), MATCH(R$1, 'raw-sheet'!$A$1:$ZZ$1, 0))</f>
        <v>INNISFREE Taiwan</v>
      </c>
      <c r="S331" s="28" t="str">
        <f t="array" ref="S331">INDEX('raw-sheet'!$A$2:$ZZ$1000, ROW(S330), MATCH(S$1, 'raw-sheet'!$A$1:$ZZ$1, 0))</f>
        <v>http://innisfree-taiwan.myshopify.com/cdn/shop/files/pdp_mig_03911736_20230807_99_ID0101_1_jpg.jpg?v=1768543112</v>
      </c>
      <c r="T331" s="28" t="str">
        <f t="array" ref="T331">INDEX('raw-sheet'!$A$2:$ZZ$1000, ROW(T330), MATCH(T$1, 'raw-sheet'!$A$1:$ZZ$1, 0))</f>
        <v>https://innisfree-taiwan.myshopify.com/cdn/shop/files/pdp_mig_03911736_20230807_99_ID0101_1_jpg.jpg?v=1768543112</v>
      </c>
      <c r="U331" s="28" t="str">
        <f t="array" ref="U331">INDEX('raw-sheet'!$A$2:$ZZ$1000, ROW(U330), MATCH(U$1, 'raw-sheet'!$A$1:$ZZ$1, 0))</f>
        <v>https://innisfree-taiwan.myshopify.com/products/innisfree-no-sebum-mineral-color-powder</v>
      </c>
      <c r="V331" s="28" t="str">
        <f t="array" ref="V331">INDEX('raw-sheet'!$A$2:$ZZ$1000, ROW(V330), MATCH(V$1, 'raw-sheet'!$A$1:$ZZ$1, 0))</f>
        <v>無油無慮繽紛蜜粉 5g | INNISFREE Taiwan</v>
      </c>
      <c r="W331" s="28" t="str">
        <f t="array" ref="W331">INDEX('raw-sheet'!$A$2:$ZZ$1000, ROW(W330), MATCH(W$1, 'raw-sheet'!$A$1:$ZZ$1, 0))</f>
        <v>針對暗沉無活力的肌膚輕鬆提亮與校色的控油蜜粉</v>
      </c>
      <c r="X331" s="28" t="str">
        <f t="array" ref="X331">INDEX('raw-sheet'!$A$2:$ZZ$1000, ROW(X330), MATCH(X$1, 'raw-sheet'!$A$1:$ZZ$1, 0))</f>
        <v>summary_large_image</v>
      </c>
      <c r="Y331" s="30" t="s">
        <v>11</v>
      </c>
      <c r="Z331" s="28" t="str">
        <f>VLOOKUP($A331,'raw-schema'!$A:$R,14,0)</f>
        <v>Brand</v>
      </c>
      <c r="AA331" s="28" t="str">
        <f>VLOOKUP($A331,'raw-schema'!$A:$R,15,0)</f>
        <v>Offer</v>
      </c>
      <c r="AB331" s="28" t="str">
        <f>VLOOKUP($A331,'raw-schema'!$A:$R,16,0)</f>
        <v>Organization</v>
      </c>
      <c r="AC331" s="28" t="str">
        <f>VLOOKUP($A331,'raw-schema'!$A:$R,17,0)</f>
        <v>Product</v>
      </c>
      <c r="AD331" s="28" t="str">
        <f>VLOOKUP($A331,'raw-schema'!$A:$R,18,0)</f>
        <v>ProductGroup</v>
      </c>
      <c r="AE331" s="30" t="s">
        <v>69</v>
      </c>
    </row>
    <row r="332" spans="1:31" x14ac:dyDescent="0.3">
      <c r="A332" s="28" t="str">
        <f t="array" ref="A332">INDEX('raw-sheet'!$A$2:$ZZ$1000, ROW(A331), MATCH(A$1, 'raw-sheet'!$A$1:$ZZ$1, 0))</f>
        <v>https://innisfree-taiwan.myshopify.com/products/innisfree-no-sebum-mineral-powder</v>
      </c>
      <c r="B332" s="30" t="s">
        <v>11</v>
      </c>
      <c r="C332" s="28" t="str">
        <f t="array" ref="C332">INDEX('raw-sheet'!$A$2:$ZZ$1000, ROW(C331), MATCH(C$1, 'raw-sheet'!$A$1:$ZZ$1, 0))</f>
        <v>Product Detail</v>
      </c>
      <c r="D332" s="28">
        <f t="array" ref="D332">INDEX('raw-sheet'!$A$2:$ZZ$1000, ROW(D331), MATCH(D$1, 'raw-sheet'!$A$1:$ZZ$1, 0))</f>
        <v>200</v>
      </c>
      <c r="E332" s="30" t="str">
        <f t="shared" si="10"/>
        <v>Pass</v>
      </c>
      <c r="F332" s="28" t="str">
        <f t="array" ref="F332">INDEX('raw-sheet'!$A$2:$ZZ$1000, ROW(F331), MATCH(F$1, 'raw-sheet'!$A$1:$ZZ$1, 0))</f>
        <v>無油無慮礦物控油蜜粉 5g_x000D_ | INNISFREE Taiwan</v>
      </c>
      <c r="G332" s="30" t="s">
        <v>11</v>
      </c>
      <c r="H332" s="28" t="str">
        <f t="array" ref="H332">INDEX('raw-sheet'!$A$2:$ZZ$1000, ROW(H331), MATCH(H$1, 'raw-sheet'!$A$1:$ZZ$1, 0))</f>
        <v>透過雙重皮脂調理科技，立即吸附多餘油脂、長時間調理皮脂分泌，打造乾爽舒適的霧面肌膚。</v>
      </c>
      <c r="I332" s="30" t="s">
        <v>60</v>
      </c>
      <c r="J332" s="28" t="str">
        <f t="array" ref="J332">INDEX('raw-sheet'!$A$2:$ZZ$1000, ROW(J331), MATCH(J$1, 'raw-sheet'!$A$1:$ZZ$1, 0))</f>
        <v>無油無慮礦物控油蜜粉 5g</v>
      </c>
      <c r="K332" s="28" t="str">
        <f t="array" ref="K332">INDEX('raw-sheet'!$A$2:$ZZ$1000, ROW(K331), MATCH(K$1, 'raw-sheet'!$A$1:$ZZ$1, 0))</f>
        <v>1</v>
      </c>
      <c r="L332" s="30" t="s">
        <v>11</v>
      </c>
      <c r="M332" s="28" t="str">
        <f t="array" ref="M332">INDEX('raw-sheet'!$A$2:$ZZ$1000, ROW(M331), MATCH(M$1, 'raw-sheet'!$A$1:$ZZ$1, 0))</f>
        <v>https://innisfree-taiwan.myshopify.com/products/innisfree-no-sebum-mineral-powder</v>
      </c>
      <c r="N332" s="30" t="str">
        <f t="shared" si="11"/>
        <v>Pass</v>
      </c>
      <c r="O332" s="28" t="str">
        <f t="array" ref="O332">INDEX('raw-sheet'!$A$2:$ZZ$1000, ROW(O331), MATCH(O$1, 'raw-sheet'!$A$1:$ZZ$1, 0))</f>
        <v>無油無慮礦物控油蜜粉 5g | INNISFREE Taiwan</v>
      </c>
      <c r="P332" s="28" t="str">
        <f t="array" ref="P332">INDEX('raw-sheet'!$A$2:$ZZ$1000, ROW(P331), MATCH(P$1, 'raw-sheet'!$A$1:$ZZ$1, 0))</f>
        <v>透過雙重皮脂調理科技，立即吸附多餘油脂、長時間調理皮脂分泌，打造乾爽舒適的霧面肌膚。</v>
      </c>
      <c r="Q332" s="28" t="str">
        <f t="array" ref="Q332">INDEX('raw-sheet'!$A$2:$ZZ$1000, ROW(Q331), MATCH(Q$1, 'raw-sheet'!$A$1:$ZZ$1, 0))</f>
        <v>product</v>
      </c>
      <c r="R332" s="28" t="str">
        <f t="array" ref="R332">INDEX('raw-sheet'!$A$2:$ZZ$1000, ROW(R331), MATCH(R$1, 'raw-sheet'!$A$1:$ZZ$1, 0))</f>
        <v>INNISFREE Taiwan</v>
      </c>
      <c r="S332" s="28" t="str">
        <f t="array" ref="S332">INDEX('raw-sheet'!$A$2:$ZZ$1000, ROW(S331), MATCH(S$1, 'raw-sheet'!$A$1:$ZZ$1, 0))</f>
        <v>http://innisfree-taiwan.myshopify.com/cdn/shop/files/pdp_mig_3b73644d_20230710_1187_ID0101_1_jpg.jpg?v=1768543088</v>
      </c>
      <c r="T332" s="28" t="str">
        <f t="array" ref="T332">INDEX('raw-sheet'!$A$2:$ZZ$1000, ROW(T331), MATCH(T$1, 'raw-sheet'!$A$1:$ZZ$1, 0))</f>
        <v>https://innisfree-taiwan.myshopify.com/cdn/shop/files/pdp_mig_3b73644d_20230710_1187_ID0101_1_jpg.jpg?v=1768543088</v>
      </c>
      <c r="U332" s="28" t="str">
        <f t="array" ref="U332">INDEX('raw-sheet'!$A$2:$ZZ$1000, ROW(U331), MATCH(U$1, 'raw-sheet'!$A$1:$ZZ$1, 0))</f>
        <v>https://innisfree-taiwan.myshopify.com/products/innisfree-no-sebum-mineral-powder</v>
      </c>
      <c r="V332" s="28" t="str">
        <f t="array" ref="V332">INDEX('raw-sheet'!$A$2:$ZZ$1000, ROW(V331), MATCH(V$1, 'raw-sheet'!$A$1:$ZZ$1, 0))</f>
        <v>無油無慮礦物控油蜜粉 5g | INNISFREE Taiwan</v>
      </c>
      <c r="W332" s="28" t="str">
        <f t="array" ref="W332">INDEX('raw-sheet'!$A$2:$ZZ$1000, ROW(W331), MATCH(W$1, 'raw-sheet'!$A$1:$ZZ$1, 0))</f>
        <v>透過雙重皮脂調理科技，立即吸附多餘油脂、長時間調理皮脂分泌，打造乾爽舒適的霧面肌膚。</v>
      </c>
      <c r="X332" s="28" t="str">
        <f t="array" ref="X332">INDEX('raw-sheet'!$A$2:$ZZ$1000, ROW(X331), MATCH(X$1, 'raw-sheet'!$A$1:$ZZ$1, 0))</f>
        <v>summary_large_image</v>
      </c>
      <c r="Y332" s="30" t="s">
        <v>56</v>
      </c>
      <c r="Z332" s="28" t="str">
        <f>VLOOKUP($A332,'raw-schema'!$A:$R,14,0)</f>
        <v>Brand</v>
      </c>
      <c r="AA332" s="28" t="str">
        <f>VLOOKUP($A332,'raw-schema'!$A:$R,15,0)</f>
        <v>Offer</v>
      </c>
      <c r="AB332" s="28" t="str">
        <f>VLOOKUP($A332,'raw-schema'!$A:$R,16,0)</f>
        <v>Organization</v>
      </c>
      <c r="AC332" s="28" t="str">
        <f>VLOOKUP($A332,'raw-schema'!$A:$R,17,0)</f>
        <v>Product</v>
      </c>
      <c r="AD332" s="28">
        <f>VLOOKUP($A332,'raw-schema'!$A:$R,18,0)</f>
        <v>0</v>
      </c>
      <c r="AE332" s="30" t="s">
        <v>69</v>
      </c>
    </row>
    <row r="333" spans="1:31" x14ac:dyDescent="0.3">
      <c r="A333" s="28" t="str">
        <f t="array" ref="A333">INDEX('raw-sheet'!$A$2:$ZZ$1000, ROW(A332), MATCH(A$1, 'raw-sheet'!$A$1:$ZZ$1, 0))</f>
        <v>https://innisfree-taiwan.myshopify.com/products/innisfree-no-sebum-powder-cushion-puff</v>
      </c>
      <c r="B333" s="30" t="s">
        <v>11</v>
      </c>
      <c r="C333" s="28" t="str">
        <f t="array" ref="C333">INDEX('raw-sheet'!$A$2:$ZZ$1000, ROW(C332), MATCH(C$1, 'raw-sheet'!$A$1:$ZZ$1, 0))</f>
        <v>Product Detail</v>
      </c>
      <c r="D333" s="28">
        <f t="array" ref="D333">INDEX('raw-sheet'!$A$2:$ZZ$1000, ROW(D332), MATCH(D$1, 'raw-sheet'!$A$1:$ZZ$1, 0))</f>
        <v>200</v>
      </c>
      <c r="E333" s="30" t="str">
        <f t="shared" si="10"/>
        <v>Pass</v>
      </c>
      <c r="F333" s="28" t="str">
        <f t="array" ref="F333">INDEX('raw-sheet'!$A$2:$ZZ$1000, ROW(F332), MATCH(F$1, 'raw-sheet'!$A$1:$ZZ$1, 0))</f>
        <v>妝自然美妝工具 - 無油無慮零毛孔控油氣墊粉撲_x000D_ | INNISFREE Taiwan</v>
      </c>
      <c r="G333" s="30" t="s">
        <v>11</v>
      </c>
      <c r="H333" s="28" t="str">
        <f t="array" ref="H333">INDEX('raw-sheet'!$A$2:$ZZ$1000, ROW(H332), MATCH(H$1, 'raw-sheet'!$A$1:$ZZ$1, 0))</f>
        <v>使用半氣孔的柔軟粉撲，有助於均勻上妝的氣墊粉撲。</v>
      </c>
      <c r="I333" s="30" t="s">
        <v>11</v>
      </c>
      <c r="J333" s="28" t="str">
        <f t="array" ref="J333">INDEX('raw-sheet'!$A$2:$ZZ$1000, ROW(J332), MATCH(J$1, 'raw-sheet'!$A$1:$ZZ$1, 0))</f>
        <v>妝自然美妝工具 - 無油無慮零毛孔控油氣墊粉撲</v>
      </c>
      <c r="K333" s="28" t="str">
        <f t="array" ref="K333">INDEX('raw-sheet'!$A$2:$ZZ$1000, ROW(K332), MATCH(K$1, 'raw-sheet'!$A$1:$ZZ$1, 0))</f>
        <v>1</v>
      </c>
      <c r="L333" s="30" t="s">
        <v>11</v>
      </c>
      <c r="M333" s="28" t="str">
        <f t="array" ref="M333">INDEX('raw-sheet'!$A$2:$ZZ$1000, ROW(M332), MATCH(M$1, 'raw-sheet'!$A$1:$ZZ$1, 0))</f>
        <v>https://innisfree-taiwan.myshopify.com/products/innisfree-no-sebum-powder-cushion-puff</v>
      </c>
      <c r="N333" s="30" t="str">
        <f t="shared" si="11"/>
        <v>Pass</v>
      </c>
      <c r="O333" s="28" t="str">
        <f t="array" ref="O333">INDEX('raw-sheet'!$A$2:$ZZ$1000, ROW(O332), MATCH(O$1, 'raw-sheet'!$A$1:$ZZ$1, 0))</f>
        <v>妝自然美妝工具 - 無油無慮零毛孔控油氣墊粉撲 | INNISFREE Taiwan</v>
      </c>
      <c r="P333" s="28" t="str">
        <f t="array" ref="P333">INDEX('raw-sheet'!$A$2:$ZZ$1000, ROW(P332), MATCH(P$1, 'raw-sheet'!$A$1:$ZZ$1, 0))</f>
        <v>使用半氣孔的柔軟粉撲，有助於均勻上妝的氣墊粉撲。</v>
      </c>
      <c r="Q333" s="28" t="str">
        <f t="array" ref="Q333">INDEX('raw-sheet'!$A$2:$ZZ$1000, ROW(Q332), MATCH(Q$1, 'raw-sheet'!$A$1:$ZZ$1, 0))</f>
        <v>product</v>
      </c>
      <c r="R333" s="28" t="str">
        <f t="array" ref="R333">INDEX('raw-sheet'!$A$2:$ZZ$1000, ROW(R332), MATCH(R$1, 'raw-sheet'!$A$1:$ZZ$1, 0))</f>
        <v>INNISFREE Taiwan</v>
      </c>
      <c r="S333" s="28" t="str">
        <f t="array" ref="S333">INDEX('raw-sheet'!$A$2:$ZZ$1000, ROW(S332), MATCH(S$1, 'raw-sheet'!$A$1:$ZZ$1, 0))</f>
        <v>http://innisfree-taiwan.myshopify.com/cdn/shop/files/pdp_mig_59e85495_20231129_1008_ID0101_1_jpg.jpg?v=1768543094</v>
      </c>
      <c r="T333" s="28" t="str">
        <f t="array" ref="T333">INDEX('raw-sheet'!$A$2:$ZZ$1000, ROW(T332), MATCH(T$1, 'raw-sheet'!$A$1:$ZZ$1, 0))</f>
        <v>https://innisfree-taiwan.myshopify.com/cdn/shop/files/pdp_mig_59e85495_20231129_1008_ID0101_1_jpg.jpg?v=1768543094</v>
      </c>
      <c r="U333" s="28" t="str">
        <f t="array" ref="U333">INDEX('raw-sheet'!$A$2:$ZZ$1000, ROW(U332), MATCH(U$1, 'raw-sheet'!$A$1:$ZZ$1, 0))</f>
        <v>https://innisfree-taiwan.myshopify.com/products/innisfree-no-sebum-powder-cushion-puff</v>
      </c>
      <c r="V333" s="28" t="str">
        <f t="array" ref="V333">INDEX('raw-sheet'!$A$2:$ZZ$1000, ROW(V332), MATCH(V$1, 'raw-sheet'!$A$1:$ZZ$1, 0))</f>
        <v>妝自然美妝工具 - 無油無慮零毛孔控油氣墊粉撲 | INNISFREE Taiwan</v>
      </c>
      <c r="W333" s="28" t="str">
        <f t="array" ref="W333">INDEX('raw-sheet'!$A$2:$ZZ$1000, ROW(W332), MATCH(W$1, 'raw-sheet'!$A$1:$ZZ$1, 0))</f>
        <v>使用半氣孔的柔軟粉撲，有助於均勻上妝的氣墊粉撲。</v>
      </c>
      <c r="X333" s="28" t="str">
        <f t="array" ref="X333">INDEX('raw-sheet'!$A$2:$ZZ$1000, ROW(X332), MATCH(X$1, 'raw-sheet'!$A$1:$ZZ$1, 0))</f>
        <v>summary_large_image</v>
      </c>
      <c r="Y333" s="30" t="s">
        <v>11</v>
      </c>
      <c r="Z333" s="28" t="str">
        <f>VLOOKUP($A333,'raw-schema'!$A:$R,14,0)</f>
        <v>Brand</v>
      </c>
      <c r="AA333" s="28" t="str">
        <f>VLOOKUP($A333,'raw-schema'!$A:$R,15,0)</f>
        <v>Offer</v>
      </c>
      <c r="AB333" s="28" t="str">
        <f>VLOOKUP($A333,'raw-schema'!$A:$R,16,0)</f>
        <v>Organization</v>
      </c>
      <c r="AC333" s="28" t="str">
        <f>VLOOKUP($A333,'raw-schema'!$A:$R,17,0)</f>
        <v>Product</v>
      </c>
      <c r="AD333" s="28">
        <f>VLOOKUP($A333,'raw-schema'!$A:$R,18,0)</f>
        <v>0</v>
      </c>
      <c r="AE333" s="30" t="s">
        <v>69</v>
      </c>
    </row>
    <row r="334" spans="1:31" x14ac:dyDescent="0.3">
      <c r="A334" s="28" t="str">
        <f t="array" ref="A334">INDEX('raw-sheet'!$A$2:$ZZ$1000, ROW(A333), MATCH(A$1, 'raw-sheet'!$A$1:$ZZ$1, 0))</f>
        <v>https://innisfree-taiwan.myshopify.com/products/innisfree-olive-vitamin-e-real-cleansing-foam</v>
      </c>
      <c r="B334" s="30" t="s">
        <v>11</v>
      </c>
      <c r="C334" s="28" t="str">
        <f t="array" ref="C334">INDEX('raw-sheet'!$A$2:$ZZ$1000, ROW(C333), MATCH(C$1, 'raw-sheet'!$A$1:$ZZ$1, 0))</f>
        <v>Product Detail</v>
      </c>
      <c r="D334" s="28">
        <f t="array" ref="D334">INDEX('raw-sheet'!$A$2:$ZZ$1000, ROW(D333), MATCH(D$1, 'raw-sheet'!$A$1:$ZZ$1, 0))</f>
        <v>200</v>
      </c>
      <c r="E334" s="30" t="str">
        <f t="shared" si="10"/>
        <v>Pass</v>
      </c>
      <c r="F334" s="28" t="str">
        <f t="array" ref="F334">INDEX('raw-sheet'!$A$2:$ZZ$1000, ROW(F333), MATCH(F$1, 'raw-sheet'!$A$1:$ZZ$1, 0))</f>
        <v>橄欖維他命E潔面乳 150g_x000D_ | INNISFREE Taiwan</v>
      </c>
      <c r="G334" s="30" t="s">
        <v>11</v>
      </c>
      <c r="H334" s="28" t="str">
        <f t="array" ref="H334">INDEX('raw-sheet'!$A$2:$ZZ$1000, ROW(H333), MATCH(H$1, 'raw-sheet'!$A$1:$ZZ$1, 0))</f>
        <v>富含高滋潤度與維他命E的天然有機橄欖油，以綿密滋潤的泡沫帶走肌膚的殘妝與汙垢</v>
      </c>
      <c r="I334" s="30" t="s">
        <v>11</v>
      </c>
      <c r="J334" s="28" t="str">
        <f t="array" ref="J334">INDEX('raw-sheet'!$A$2:$ZZ$1000, ROW(J333), MATCH(J$1, 'raw-sheet'!$A$1:$ZZ$1, 0))</f>
        <v>橄欖維他命E潔面乳 150g</v>
      </c>
      <c r="K334" s="28" t="str">
        <f t="array" ref="K334">INDEX('raw-sheet'!$A$2:$ZZ$1000, ROW(K333), MATCH(K$1, 'raw-sheet'!$A$1:$ZZ$1, 0))</f>
        <v>1</v>
      </c>
      <c r="L334" s="30" t="s">
        <v>11</v>
      </c>
      <c r="M334" s="28" t="str">
        <f t="array" ref="M334">INDEX('raw-sheet'!$A$2:$ZZ$1000, ROW(M333), MATCH(M$1, 'raw-sheet'!$A$1:$ZZ$1, 0))</f>
        <v>https://innisfree-taiwan.myshopify.com/products/innisfree-olive-vitamin-e-real-cleansing-foam</v>
      </c>
      <c r="N334" s="30" t="str">
        <f t="shared" si="11"/>
        <v>Pass</v>
      </c>
      <c r="O334" s="28" t="str">
        <f t="array" ref="O334">INDEX('raw-sheet'!$A$2:$ZZ$1000, ROW(O333), MATCH(O$1, 'raw-sheet'!$A$1:$ZZ$1, 0))</f>
        <v>橄欖維他命E潔面乳 150g | INNISFREE Taiwan</v>
      </c>
      <c r="P334" s="28" t="str">
        <f t="array" ref="P334">INDEX('raw-sheet'!$A$2:$ZZ$1000, ROW(P333), MATCH(P$1, 'raw-sheet'!$A$1:$ZZ$1, 0))</f>
        <v>富含高滋潤度與維他命E的天然有機橄欖油，以綿密滋潤的泡沫帶走肌膚的殘妝與汙垢</v>
      </c>
      <c r="Q334" s="28" t="str">
        <f t="array" ref="Q334">INDEX('raw-sheet'!$A$2:$ZZ$1000, ROW(Q333), MATCH(Q$1, 'raw-sheet'!$A$1:$ZZ$1, 0))</f>
        <v>product</v>
      </c>
      <c r="R334" s="28" t="str">
        <f t="array" ref="R334">INDEX('raw-sheet'!$A$2:$ZZ$1000, ROW(R333), MATCH(R$1, 'raw-sheet'!$A$1:$ZZ$1, 0))</f>
        <v>INNISFREE Taiwan</v>
      </c>
      <c r="S334" s="28" t="str">
        <f t="array" ref="S334">INDEX('raw-sheet'!$A$2:$ZZ$1000, ROW(S333), MATCH(S$1, 'raw-sheet'!$A$1:$ZZ$1, 0))</f>
        <v>http://innisfree-taiwan.myshopify.com/cdn/shop/files/pdp_mig_02e5c97d_20240103_1294_ID0101_1_jpg.jpg?v=1768543075</v>
      </c>
      <c r="T334" s="28" t="str">
        <f t="array" ref="T334">INDEX('raw-sheet'!$A$2:$ZZ$1000, ROW(T333), MATCH(T$1, 'raw-sheet'!$A$1:$ZZ$1, 0))</f>
        <v>https://innisfree-taiwan.myshopify.com/cdn/shop/files/pdp_mig_02e5c97d_20240103_1294_ID0101_1_jpg.jpg?v=1768543075</v>
      </c>
      <c r="U334" s="28" t="str">
        <f t="array" ref="U334">INDEX('raw-sheet'!$A$2:$ZZ$1000, ROW(U333), MATCH(U$1, 'raw-sheet'!$A$1:$ZZ$1, 0))</f>
        <v>https://innisfree-taiwan.myshopify.com/products/innisfree-olive-vitamin-e-real-cleansing-foam</v>
      </c>
      <c r="V334" s="28" t="str">
        <f t="array" ref="V334">INDEX('raw-sheet'!$A$2:$ZZ$1000, ROW(V333), MATCH(V$1, 'raw-sheet'!$A$1:$ZZ$1, 0))</f>
        <v>橄欖維他命E潔面乳 150g | INNISFREE Taiwan</v>
      </c>
      <c r="W334" s="28" t="str">
        <f t="array" ref="W334">INDEX('raw-sheet'!$A$2:$ZZ$1000, ROW(W333), MATCH(W$1, 'raw-sheet'!$A$1:$ZZ$1, 0))</f>
        <v>富含高滋潤度與維他命E的天然有機橄欖油，以綿密滋潤的泡沫帶走肌膚的殘妝與汙垢</v>
      </c>
      <c r="X334" s="28" t="str">
        <f t="array" ref="X334">INDEX('raw-sheet'!$A$2:$ZZ$1000, ROW(X333), MATCH(X$1, 'raw-sheet'!$A$1:$ZZ$1, 0))</f>
        <v>summary_large_image</v>
      </c>
      <c r="Y334" s="30" t="s">
        <v>11</v>
      </c>
      <c r="Z334" s="28" t="str">
        <f>VLOOKUP($A334,'raw-schema'!$A:$R,14,0)</f>
        <v>Brand</v>
      </c>
      <c r="AA334" s="28" t="str">
        <f>VLOOKUP($A334,'raw-schema'!$A:$R,15,0)</f>
        <v>Offer</v>
      </c>
      <c r="AB334" s="28" t="str">
        <f>VLOOKUP($A334,'raw-schema'!$A:$R,16,0)</f>
        <v>Organization</v>
      </c>
      <c r="AC334" s="28" t="str">
        <f>VLOOKUP($A334,'raw-schema'!$A:$R,17,0)</f>
        <v>Product</v>
      </c>
      <c r="AD334" s="28">
        <f>VLOOKUP($A334,'raw-schema'!$A:$R,18,0)</f>
        <v>0</v>
      </c>
      <c r="AE334" s="30" t="s">
        <v>69</v>
      </c>
    </row>
    <row r="335" spans="1:31" x14ac:dyDescent="0.3">
      <c r="A335" s="28" t="str">
        <f t="array" ref="A335">INDEX('raw-sheet'!$A$2:$ZZ$1000, ROW(A334), MATCH(A$1, 'raw-sheet'!$A$1:$ZZ$1, 0))</f>
        <v>https://innisfree-taiwan.myshopify.com/products/innisfree-olive-vitamin-e-real-cleansing-tissue</v>
      </c>
      <c r="B335" s="30" t="s">
        <v>11</v>
      </c>
      <c r="C335" s="28" t="str">
        <f t="array" ref="C335">INDEX('raw-sheet'!$A$2:$ZZ$1000, ROW(C334), MATCH(C$1, 'raw-sheet'!$A$1:$ZZ$1, 0))</f>
        <v>Product Detail</v>
      </c>
      <c r="D335" s="28">
        <f t="array" ref="D335">INDEX('raw-sheet'!$A$2:$ZZ$1000, ROW(D334), MATCH(D$1, 'raw-sheet'!$A$1:$ZZ$1, 0))</f>
        <v>200</v>
      </c>
      <c r="E335" s="30" t="str">
        <f t="shared" si="10"/>
        <v>Pass</v>
      </c>
      <c r="F335" s="28" t="str">
        <f t="array" ref="F335">INDEX('raw-sheet'!$A$2:$ZZ$1000, ROW(F334), MATCH(F$1, 'raw-sheet'!$A$1:$ZZ$1, 0))</f>
        <v>橄欖維他命E卸妝棉_x000D_ | INNISFREE Taiwan</v>
      </c>
      <c r="G335" s="30" t="s">
        <v>11</v>
      </c>
      <c r="H335" s="28" t="str">
        <f t="array" ref="H335">INDEX('raw-sheet'!$A$2:$ZZ$1000, ROW(H334), MATCH(H$1, 'raw-sheet'!$A$1:$ZZ$1, 0))</f>
        <v>富含滋潤與維他命的天然有機橄欖，能輕鬆帶走殘妝與毛孔汙垢，並且滋潤肌膚</v>
      </c>
      <c r="I335" s="30" t="s">
        <v>11</v>
      </c>
      <c r="J335" s="28" t="str">
        <f t="array" ref="J335">INDEX('raw-sheet'!$A$2:$ZZ$1000, ROW(J334), MATCH(J$1, 'raw-sheet'!$A$1:$ZZ$1, 0))</f>
        <v>橄欖維他命E卸妝棉</v>
      </c>
      <c r="K335" s="28" t="str">
        <f t="array" ref="K335">INDEX('raw-sheet'!$A$2:$ZZ$1000, ROW(K334), MATCH(K$1, 'raw-sheet'!$A$1:$ZZ$1, 0))</f>
        <v>1</v>
      </c>
      <c r="L335" s="30" t="s">
        <v>11</v>
      </c>
      <c r="M335" s="28" t="str">
        <f t="array" ref="M335">INDEX('raw-sheet'!$A$2:$ZZ$1000, ROW(M334), MATCH(M$1, 'raw-sheet'!$A$1:$ZZ$1, 0))</f>
        <v>https://innisfree-taiwan.myshopify.com/products/innisfree-olive-vitamin-e-real-cleansing-tissue</v>
      </c>
      <c r="N335" s="30" t="str">
        <f t="shared" si="11"/>
        <v>Pass</v>
      </c>
      <c r="O335" s="28" t="str">
        <f t="array" ref="O335">INDEX('raw-sheet'!$A$2:$ZZ$1000, ROW(O334), MATCH(O$1, 'raw-sheet'!$A$1:$ZZ$1, 0))</f>
        <v>橄欖維他命E卸妝棉 | INNISFREE Taiwan</v>
      </c>
      <c r="P335" s="28" t="str">
        <f t="array" ref="P335">INDEX('raw-sheet'!$A$2:$ZZ$1000, ROW(P334), MATCH(P$1, 'raw-sheet'!$A$1:$ZZ$1, 0))</f>
        <v>富含滋潤與維他命的天然有機橄欖，能輕鬆帶走殘妝與毛孔汙垢，並且滋潤肌膚</v>
      </c>
      <c r="Q335" s="28" t="str">
        <f t="array" ref="Q335">INDEX('raw-sheet'!$A$2:$ZZ$1000, ROW(Q334), MATCH(Q$1, 'raw-sheet'!$A$1:$ZZ$1, 0))</f>
        <v>product</v>
      </c>
      <c r="R335" s="28" t="str">
        <f t="array" ref="R335">INDEX('raw-sheet'!$A$2:$ZZ$1000, ROW(R334), MATCH(R$1, 'raw-sheet'!$A$1:$ZZ$1, 0))</f>
        <v>INNISFREE Taiwan</v>
      </c>
      <c r="S335" s="28" t="str">
        <f t="array" ref="S335">INDEX('raw-sheet'!$A$2:$ZZ$1000, ROW(S334), MATCH(S$1, 'raw-sheet'!$A$1:$ZZ$1, 0))</f>
        <v>http://innisfree-taiwan.myshopify.com/cdn/shop/files/pdp_mig_3d3a3580_20240103_1295_ID0101_1_jpg.jpg?v=1768543075</v>
      </c>
      <c r="T335" s="28" t="str">
        <f t="array" ref="T335">INDEX('raw-sheet'!$A$2:$ZZ$1000, ROW(T334), MATCH(T$1, 'raw-sheet'!$A$1:$ZZ$1, 0))</f>
        <v>https://innisfree-taiwan.myshopify.com/cdn/shop/files/pdp_mig_3d3a3580_20240103_1295_ID0101_1_jpg.jpg?v=1768543075</v>
      </c>
      <c r="U335" s="28" t="str">
        <f t="array" ref="U335">INDEX('raw-sheet'!$A$2:$ZZ$1000, ROW(U334), MATCH(U$1, 'raw-sheet'!$A$1:$ZZ$1, 0))</f>
        <v>https://innisfree-taiwan.myshopify.com/products/innisfree-olive-vitamin-e-real-cleansing-tissue</v>
      </c>
      <c r="V335" s="28" t="str">
        <f t="array" ref="V335">INDEX('raw-sheet'!$A$2:$ZZ$1000, ROW(V334), MATCH(V$1, 'raw-sheet'!$A$1:$ZZ$1, 0))</f>
        <v>橄欖維他命E卸妝棉 | INNISFREE Taiwan</v>
      </c>
      <c r="W335" s="28" t="str">
        <f t="array" ref="W335">INDEX('raw-sheet'!$A$2:$ZZ$1000, ROW(W334), MATCH(W$1, 'raw-sheet'!$A$1:$ZZ$1, 0))</f>
        <v>富含滋潤與維他命的天然有機橄欖，能輕鬆帶走殘妝與毛孔汙垢，並且滋潤肌膚</v>
      </c>
      <c r="X335" s="28" t="str">
        <f t="array" ref="X335">INDEX('raw-sheet'!$A$2:$ZZ$1000, ROW(X334), MATCH(X$1, 'raw-sheet'!$A$1:$ZZ$1, 0))</f>
        <v>summary_large_image</v>
      </c>
      <c r="Y335" s="30" t="s">
        <v>11</v>
      </c>
      <c r="Z335" s="28" t="str">
        <f>VLOOKUP($A335,'raw-schema'!$A:$R,14,0)</f>
        <v>Brand</v>
      </c>
      <c r="AA335" s="28" t="str">
        <f>VLOOKUP($A335,'raw-schema'!$A:$R,15,0)</f>
        <v>Offer</v>
      </c>
      <c r="AB335" s="28" t="str">
        <f>VLOOKUP($A335,'raw-schema'!$A:$R,16,0)</f>
        <v>Organization</v>
      </c>
      <c r="AC335" s="28" t="str">
        <f>VLOOKUP($A335,'raw-schema'!$A:$R,17,0)</f>
        <v>Product</v>
      </c>
      <c r="AD335" s="28">
        <f>VLOOKUP($A335,'raw-schema'!$A:$R,18,0)</f>
        <v>0</v>
      </c>
      <c r="AE335" s="30" t="s">
        <v>69</v>
      </c>
    </row>
    <row r="336" spans="1:31" x14ac:dyDescent="0.3">
      <c r="A336" s="28" t="str">
        <f t="array" ref="A336">INDEX('raw-sheet'!$A$2:$ZZ$1000, ROW(A335), MATCH(A$1, 'raw-sheet'!$A$1:$ZZ$1, 0))</f>
        <v>https://innisfree-taiwan.myshopify.com/products/innisfree-pore-blur-pact</v>
      </c>
      <c r="B336" s="30" t="s">
        <v>11</v>
      </c>
      <c r="C336" s="28" t="str">
        <f t="array" ref="C336">INDEX('raw-sheet'!$A$2:$ZZ$1000, ROW(C335), MATCH(C$1, 'raw-sheet'!$A$1:$ZZ$1, 0))</f>
        <v>Product Detail</v>
      </c>
      <c r="D336" s="28">
        <f t="array" ref="D336">INDEX('raw-sheet'!$A$2:$ZZ$1000, ROW(D335), MATCH(D$1, 'raw-sheet'!$A$1:$ZZ$1, 0))</f>
        <v>200</v>
      </c>
      <c r="E336" s="30" t="str">
        <f t="shared" si="10"/>
        <v>Pass</v>
      </c>
      <c r="F336" s="28" t="str">
        <f t="array" ref="F336">INDEX('raw-sheet'!$A$2:$ZZ$1000, ROW(F335), MATCH(F$1, 'raw-sheet'!$A$1:$ZZ$1, 0))</f>
        <v>完美無瑕親膚粉餅 12.5g_x000D_ | INNISFREE Taiwan</v>
      </c>
      <c r="G336" s="30" t="s">
        <v>11</v>
      </c>
      <c r="H336" s="28" t="str">
        <f t="array" ref="H336">INDEX('raw-sheet'!$A$2:$ZZ$1000, ROW(H335), MATCH(H$1, 'raw-sheet'!$A$1:$ZZ$1, 0))</f>
        <v>讓肌膚呈現光滑粉嫩肌膚！痘痘肌也能使用的毛孔遮瑕粉餅</v>
      </c>
      <c r="I336" s="30" t="s">
        <v>11</v>
      </c>
      <c r="J336" s="28" t="str">
        <f t="array" ref="J336">INDEX('raw-sheet'!$A$2:$ZZ$1000, ROW(J335), MATCH(J$1, 'raw-sheet'!$A$1:$ZZ$1, 0))</f>
        <v>完美無瑕親膚粉餅 12.5g</v>
      </c>
      <c r="K336" s="28" t="str">
        <f t="array" ref="K336">INDEX('raw-sheet'!$A$2:$ZZ$1000, ROW(K335), MATCH(K$1, 'raw-sheet'!$A$1:$ZZ$1, 0))</f>
        <v>1</v>
      </c>
      <c r="L336" s="30" t="s">
        <v>11</v>
      </c>
      <c r="M336" s="28" t="str">
        <f t="array" ref="M336">INDEX('raw-sheet'!$A$2:$ZZ$1000, ROW(M335), MATCH(M$1, 'raw-sheet'!$A$1:$ZZ$1, 0))</f>
        <v>https://innisfree-taiwan.myshopify.com/products/innisfree-pore-blur-pact</v>
      </c>
      <c r="N336" s="30" t="str">
        <f t="shared" si="11"/>
        <v>Pass</v>
      </c>
      <c r="O336" s="28" t="str">
        <f t="array" ref="O336">INDEX('raw-sheet'!$A$2:$ZZ$1000, ROW(O335), MATCH(O$1, 'raw-sheet'!$A$1:$ZZ$1, 0))</f>
        <v>完美無瑕親膚粉餅 12.5g | INNISFREE Taiwan</v>
      </c>
      <c r="P336" s="28" t="str">
        <f t="array" ref="P336">INDEX('raw-sheet'!$A$2:$ZZ$1000, ROW(P335), MATCH(P$1, 'raw-sheet'!$A$1:$ZZ$1, 0))</f>
        <v>讓肌膚呈現光滑粉嫩肌膚！痘痘肌也能使用的毛孔遮瑕粉餅</v>
      </c>
      <c r="Q336" s="28" t="str">
        <f t="array" ref="Q336">INDEX('raw-sheet'!$A$2:$ZZ$1000, ROW(Q335), MATCH(Q$1, 'raw-sheet'!$A$1:$ZZ$1, 0))</f>
        <v>product</v>
      </c>
      <c r="R336" s="28" t="str">
        <f t="array" ref="R336">INDEX('raw-sheet'!$A$2:$ZZ$1000, ROW(R335), MATCH(R$1, 'raw-sheet'!$A$1:$ZZ$1, 0))</f>
        <v>INNISFREE Taiwan</v>
      </c>
      <c r="S336" s="28" t="str">
        <f t="array" ref="S336">INDEX('raw-sheet'!$A$2:$ZZ$1000, ROW(S335), MATCH(S$1, 'raw-sheet'!$A$1:$ZZ$1, 0))</f>
        <v>http://innisfree-taiwan.myshopify.com/cdn/shop/files/pdp_mig_7edd8411_20231228_105_ID0101_1_jpg.jpg?v=1768543112</v>
      </c>
      <c r="T336" s="28" t="str">
        <f t="array" ref="T336">INDEX('raw-sheet'!$A$2:$ZZ$1000, ROW(T335), MATCH(T$1, 'raw-sheet'!$A$1:$ZZ$1, 0))</f>
        <v>https://innisfree-taiwan.myshopify.com/cdn/shop/files/pdp_mig_7edd8411_20231228_105_ID0101_1_jpg.jpg?v=1768543112</v>
      </c>
      <c r="U336" s="28" t="str">
        <f t="array" ref="U336">INDEX('raw-sheet'!$A$2:$ZZ$1000, ROW(U335), MATCH(U$1, 'raw-sheet'!$A$1:$ZZ$1, 0))</f>
        <v>https://innisfree-taiwan.myshopify.com/products/innisfree-pore-blur-pact</v>
      </c>
      <c r="V336" s="28" t="str">
        <f t="array" ref="V336">INDEX('raw-sheet'!$A$2:$ZZ$1000, ROW(V335), MATCH(V$1, 'raw-sheet'!$A$1:$ZZ$1, 0))</f>
        <v>完美無瑕親膚粉餅 12.5g | INNISFREE Taiwan</v>
      </c>
      <c r="W336" s="28" t="str">
        <f t="array" ref="W336">INDEX('raw-sheet'!$A$2:$ZZ$1000, ROW(W335), MATCH(W$1, 'raw-sheet'!$A$1:$ZZ$1, 0))</f>
        <v>讓肌膚呈現光滑粉嫩肌膚！痘痘肌也能使用的毛孔遮瑕粉餅</v>
      </c>
      <c r="X336" s="28" t="str">
        <f t="array" ref="X336">INDEX('raw-sheet'!$A$2:$ZZ$1000, ROW(X335), MATCH(X$1, 'raw-sheet'!$A$1:$ZZ$1, 0))</f>
        <v>summary_large_image</v>
      </c>
      <c r="Y336" s="30" t="s">
        <v>11</v>
      </c>
      <c r="Z336" s="28" t="str">
        <f>VLOOKUP($A336,'raw-schema'!$A:$R,14,0)</f>
        <v>Brand</v>
      </c>
      <c r="AA336" s="28" t="str">
        <f>VLOOKUP($A336,'raw-schema'!$A:$R,15,0)</f>
        <v>Offer</v>
      </c>
      <c r="AB336" s="28" t="str">
        <f>VLOOKUP($A336,'raw-schema'!$A:$R,16,0)</f>
        <v>Organization</v>
      </c>
      <c r="AC336" s="28" t="str">
        <f>VLOOKUP($A336,'raw-schema'!$A:$R,17,0)</f>
        <v>Product</v>
      </c>
      <c r="AD336" s="28">
        <f>VLOOKUP($A336,'raw-schema'!$A:$R,18,0)</f>
        <v>0</v>
      </c>
      <c r="AE336" s="30" t="s">
        <v>69</v>
      </c>
    </row>
    <row r="337" spans="1:31" x14ac:dyDescent="0.3">
      <c r="A337" s="28" t="str">
        <f t="array" ref="A337">INDEX('raw-sheet'!$A$2:$ZZ$1000, ROW(A336), MATCH(A$1, 'raw-sheet'!$A$1:$ZZ$1, 0))</f>
        <v>https://innisfree-taiwan.myshopify.com/products/innisfree-pore-blur-powder</v>
      </c>
      <c r="B337" s="30" t="s">
        <v>11</v>
      </c>
      <c r="C337" s="28" t="str">
        <f t="array" ref="C337">INDEX('raw-sheet'!$A$2:$ZZ$1000, ROW(C336), MATCH(C$1, 'raw-sheet'!$A$1:$ZZ$1, 0))</f>
        <v>Product Detail</v>
      </c>
      <c r="D337" s="28">
        <f t="array" ref="D337">INDEX('raw-sheet'!$A$2:$ZZ$1000, ROW(D336), MATCH(D$1, 'raw-sheet'!$A$1:$ZZ$1, 0))</f>
        <v>200</v>
      </c>
      <c r="E337" s="30" t="str">
        <f t="shared" si="10"/>
        <v>Pass</v>
      </c>
      <c r="F337" s="28" t="str">
        <f t="array" ref="F337">INDEX('raw-sheet'!$A$2:$ZZ$1000, ROW(F336), MATCH(F$1, 'raw-sheet'!$A$1:$ZZ$1, 0))</f>
        <v>完美無瑕親膚蜜粉 11g_x000D_ | INNISFREE Taiwan</v>
      </c>
      <c r="G337" s="30" t="s">
        <v>11</v>
      </c>
      <c r="H337" s="28" t="str">
        <f t="array" ref="H337">INDEX('raw-sheet'!$A$2:$ZZ$1000, ROW(H336), MATCH(H$1, 'raw-sheet'!$A$1:$ZZ$1, 0))</f>
        <v>讓肌膚呈現光滑粉嫩肌膚！痘痘肌也能使用的毛孔遮瑕蜜粉</v>
      </c>
      <c r="I337" s="30" t="s">
        <v>11</v>
      </c>
      <c r="J337" s="28" t="str">
        <f t="array" ref="J337">INDEX('raw-sheet'!$A$2:$ZZ$1000, ROW(J336), MATCH(J$1, 'raw-sheet'!$A$1:$ZZ$1, 0))</f>
        <v>完美無瑕親膚蜜粉 11g</v>
      </c>
      <c r="K337" s="28" t="str">
        <f t="array" ref="K337">INDEX('raw-sheet'!$A$2:$ZZ$1000, ROW(K336), MATCH(K$1, 'raw-sheet'!$A$1:$ZZ$1, 0))</f>
        <v>1</v>
      </c>
      <c r="L337" s="30" t="s">
        <v>11</v>
      </c>
      <c r="M337" s="28" t="str">
        <f t="array" ref="M337">INDEX('raw-sheet'!$A$2:$ZZ$1000, ROW(M336), MATCH(M$1, 'raw-sheet'!$A$1:$ZZ$1, 0))</f>
        <v>https://innisfree-taiwan.myshopify.com/products/innisfree-pore-blur-powder</v>
      </c>
      <c r="N337" s="30" t="str">
        <f t="shared" si="11"/>
        <v>Pass</v>
      </c>
      <c r="O337" s="28" t="str">
        <f t="array" ref="O337">INDEX('raw-sheet'!$A$2:$ZZ$1000, ROW(O336), MATCH(O$1, 'raw-sheet'!$A$1:$ZZ$1, 0))</f>
        <v>完美無瑕親膚蜜粉 11g | INNISFREE Taiwan</v>
      </c>
      <c r="P337" s="28" t="str">
        <f t="array" ref="P337">INDEX('raw-sheet'!$A$2:$ZZ$1000, ROW(P336), MATCH(P$1, 'raw-sheet'!$A$1:$ZZ$1, 0))</f>
        <v>讓肌膚呈現光滑粉嫩肌膚！痘痘肌也能使用的毛孔遮瑕蜜粉</v>
      </c>
      <c r="Q337" s="28" t="str">
        <f t="array" ref="Q337">INDEX('raw-sheet'!$A$2:$ZZ$1000, ROW(Q336), MATCH(Q$1, 'raw-sheet'!$A$1:$ZZ$1, 0))</f>
        <v>product</v>
      </c>
      <c r="R337" s="28" t="str">
        <f t="array" ref="R337">INDEX('raw-sheet'!$A$2:$ZZ$1000, ROW(R336), MATCH(R$1, 'raw-sheet'!$A$1:$ZZ$1, 0))</f>
        <v>INNISFREE Taiwan</v>
      </c>
      <c r="S337" s="28" t="str">
        <f t="array" ref="S337">INDEX('raw-sheet'!$A$2:$ZZ$1000, ROW(S336), MATCH(S$1, 'raw-sheet'!$A$1:$ZZ$1, 0))</f>
        <v>http://innisfree-taiwan.myshopify.com/cdn/shop/files/pdp_mig_54a626d0_20231228_106_ID0101_1_jpg.jpg?v=1768543111</v>
      </c>
      <c r="T337" s="28" t="str">
        <f t="array" ref="T337">INDEX('raw-sheet'!$A$2:$ZZ$1000, ROW(T336), MATCH(T$1, 'raw-sheet'!$A$1:$ZZ$1, 0))</f>
        <v>https://innisfree-taiwan.myshopify.com/cdn/shop/files/pdp_mig_54a626d0_20231228_106_ID0101_1_jpg.jpg?v=1768543111</v>
      </c>
      <c r="U337" s="28" t="str">
        <f t="array" ref="U337">INDEX('raw-sheet'!$A$2:$ZZ$1000, ROW(U336), MATCH(U$1, 'raw-sheet'!$A$1:$ZZ$1, 0))</f>
        <v>https://innisfree-taiwan.myshopify.com/products/innisfree-pore-blur-powder</v>
      </c>
      <c r="V337" s="28" t="str">
        <f t="array" ref="V337">INDEX('raw-sheet'!$A$2:$ZZ$1000, ROW(V336), MATCH(V$1, 'raw-sheet'!$A$1:$ZZ$1, 0))</f>
        <v>完美無瑕親膚蜜粉 11g | INNISFREE Taiwan</v>
      </c>
      <c r="W337" s="28" t="str">
        <f t="array" ref="W337">INDEX('raw-sheet'!$A$2:$ZZ$1000, ROW(W336), MATCH(W$1, 'raw-sheet'!$A$1:$ZZ$1, 0))</f>
        <v>讓肌膚呈現光滑粉嫩肌膚！痘痘肌也能使用的毛孔遮瑕蜜粉</v>
      </c>
      <c r="X337" s="28" t="str">
        <f t="array" ref="X337">INDEX('raw-sheet'!$A$2:$ZZ$1000, ROW(X336), MATCH(X$1, 'raw-sheet'!$A$1:$ZZ$1, 0))</f>
        <v>summary_large_image</v>
      </c>
      <c r="Y337" s="30" t="s">
        <v>11</v>
      </c>
      <c r="Z337" s="28" t="str">
        <f>VLOOKUP($A337,'raw-schema'!$A:$R,14,0)</f>
        <v>Brand</v>
      </c>
      <c r="AA337" s="28" t="str">
        <f>VLOOKUP($A337,'raw-schema'!$A:$R,15,0)</f>
        <v>Offer</v>
      </c>
      <c r="AB337" s="28" t="str">
        <f>VLOOKUP($A337,'raw-schema'!$A:$R,16,0)</f>
        <v>Organization</v>
      </c>
      <c r="AC337" s="28" t="str">
        <f>VLOOKUP($A337,'raw-schema'!$A:$R,17,0)</f>
        <v>Product</v>
      </c>
      <c r="AD337" s="28">
        <f>VLOOKUP($A337,'raw-schema'!$A:$R,18,0)</f>
        <v>0</v>
      </c>
      <c r="AE337" s="30" t="s">
        <v>69</v>
      </c>
    </row>
    <row r="338" spans="1:31" x14ac:dyDescent="0.3">
      <c r="A338" s="28" t="str">
        <f t="array" ref="A338">INDEX('raw-sheet'!$A$2:$ZZ$1000, ROW(A337), MATCH(A$1, 'raw-sheet'!$A$1:$ZZ$1, 0))</f>
        <v>https://innisfree-taiwan.myshopify.com/products/innisfree-powder-puff</v>
      </c>
      <c r="B338" s="30" t="s">
        <v>11</v>
      </c>
      <c r="C338" s="28" t="str">
        <f t="array" ref="C338">INDEX('raw-sheet'!$A$2:$ZZ$1000, ROW(C337), MATCH(C$1, 'raw-sheet'!$A$1:$ZZ$1, 0))</f>
        <v>Product Detail</v>
      </c>
      <c r="D338" s="28">
        <f t="array" ref="D338">INDEX('raw-sheet'!$A$2:$ZZ$1000, ROW(D337), MATCH(D$1, 'raw-sheet'!$A$1:$ZZ$1, 0))</f>
        <v>200</v>
      </c>
      <c r="E338" s="30" t="str">
        <f t="shared" si="10"/>
        <v>Pass</v>
      </c>
      <c r="F338" s="28" t="str">
        <f t="array" ref="F338">INDEX('raw-sheet'!$A$2:$ZZ$1000, ROW(F337), MATCH(F$1, 'raw-sheet'!$A$1:$ZZ$1, 0))</f>
        <v>妝自然美妝工具 - 蜜粉粉撲_x000D_ | INNISFREE Taiwan</v>
      </c>
      <c r="G338" s="30" t="s">
        <v>11</v>
      </c>
      <c r="H338" s="28" t="str">
        <f t="array" ref="H338">INDEX('raw-sheet'!$A$2:$ZZ$1000, ROW(H337), MATCH(H$1, 'raw-sheet'!$A$1:$ZZ$1, 0))</f>
        <v>打造細膩霧面妝容的迷你蜜粉粉撲</v>
      </c>
      <c r="I338" s="30" t="s">
        <v>11</v>
      </c>
      <c r="J338" s="28" t="str">
        <f t="array" ref="J338">INDEX('raw-sheet'!$A$2:$ZZ$1000, ROW(J337), MATCH(J$1, 'raw-sheet'!$A$1:$ZZ$1, 0))</f>
        <v>妝自然美妝工具 - 蜜粉粉撲</v>
      </c>
      <c r="K338" s="28" t="str">
        <f t="array" ref="K338">INDEX('raw-sheet'!$A$2:$ZZ$1000, ROW(K337), MATCH(K$1, 'raw-sheet'!$A$1:$ZZ$1, 0))</f>
        <v>1</v>
      </c>
      <c r="L338" s="30" t="s">
        <v>11</v>
      </c>
      <c r="M338" s="28" t="str">
        <f t="array" ref="M338">INDEX('raw-sheet'!$A$2:$ZZ$1000, ROW(M337), MATCH(M$1, 'raw-sheet'!$A$1:$ZZ$1, 0))</f>
        <v>https://innisfree-taiwan.myshopify.com/products/innisfree-powder-puff</v>
      </c>
      <c r="N338" s="30" t="str">
        <f t="shared" si="11"/>
        <v>Pass</v>
      </c>
      <c r="O338" s="28" t="str">
        <f t="array" ref="O338">INDEX('raw-sheet'!$A$2:$ZZ$1000, ROW(O337), MATCH(O$1, 'raw-sheet'!$A$1:$ZZ$1, 0))</f>
        <v>妝自然美妝工具 - 蜜粉粉撲 | INNISFREE Taiwan</v>
      </c>
      <c r="P338" s="28" t="str">
        <f t="array" ref="P338">INDEX('raw-sheet'!$A$2:$ZZ$1000, ROW(P337), MATCH(P$1, 'raw-sheet'!$A$1:$ZZ$1, 0))</f>
        <v>打造細膩霧面妝容的迷你蜜粉粉撲</v>
      </c>
      <c r="Q338" s="28" t="str">
        <f t="array" ref="Q338">INDEX('raw-sheet'!$A$2:$ZZ$1000, ROW(Q337), MATCH(Q$1, 'raw-sheet'!$A$1:$ZZ$1, 0))</f>
        <v>product</v>
      </c>
      <c r="R338" s="28" t="str">
        <f t="array" ref="R338">INDEX('raw-sheet'!$A$2:$ZZ$1000, ROW(R337), MATCH(R$1, 'raw-sheet'!$A$1:$ZZ$1, 0))</f>
        <v>INNISFREE Taiwan</v>
      </c>
      <c r="S338" s="28" t="str">
        <f t="array" ref="S338">INDEX('raw-sheet'!$A$2:$ZZ$1000, ROW(S337), MATCH(S$1, 'raw-sheet'!$A$1:$ZZ$1, 0))</f>
        <v>http://innisfree-taiwan.myshopify.com/cdn/shop/files/pdp_mig_4f9c6e3c_20231228_76_ID0101_1_jpg.jpg?v=1768543113</v>
      </c>
      <c r="T338" s="28" t="str">
        <f t="array" ref="T338">INDEX('raw-sheet'!$A$2:$ZZ$1000, ROW(T337), MATCH(T$1, 'raw-sheet'!$A$1:$ZZ$1, 0))</f>
        <v>https://innisfree-taiwan.myshopify.com/cdn/shop/files/pdp_mig_4f9c6e3c_20231228_76_ID0101_1_jpg.jpg?v=1768543113</v>
      </c>
      <c r="U338" s="28" t="str">
        <f t="array" ref="U338">INDEX('raw-sheet'!$A$2:$ZZ$1000, ROW(U337), MATCH(U$1, 'raw-sheet'!$A$1:$ZZ$1, 0))</f>
        <v>https://innisfree-taiwan.myshopify.com/products/innisfree-powder-puff</v>
      </c>
      <c r="V338" s="28" t="str">
        <f t="array" ref="V338">INDEX('raw-sheet'!$A$2:$ZZ$1000, ROW(V337), MATCH(V$1, 'raw-sheet'!$A$1:$ZZ$1, 0))</f>
        <v>妝自然美妝工具 - 蜜粉粉撲 | INNISFREE Taiwan</v>
      </c>
      <c r="W338" s="28" t="str">
        <f t="array" ref="W338">INDEX('raw-sheet'!$A$2:$ZZ$1000, ROW(W337), MATCH(W$1, 'raw-sheet'!$A$1:$ZZ$1, 0))</f>
        <v>打造細膩霧面妝容的迷你蜜粉粉撲</v>
      </c>
      <c r="X338" s="28" t="str">
        <f t="array" ref="X338">INDEX('raw-sheet'!$A$2:$ZZ$1000, ROW(X337), MATCH(X$1, 'raw-sheet'!$A$1:$ZZ$1, 0))</f>
        <v>summary_large_image</v>
      </c>
      <c r="Y338" s="30" t="s">
        <v>11</v>
      </c>
      <c r="Z338" s="28" t="str">
        <f>VLOOKUP($A338,'raw-schema'!$A:$R,14,0)</f>
        <v>Brand</v>
      </c>
      <c r="AA338" s="28" t="str">
        <f>VLOOKUP($A338,'raw-schema'!$A:$R,15,0)</f>
        <v>Offer</v>
      </c>
      <c r="AB338" s="28" t="str">
        <f>VLOOKUP($A338,'raw-schema'!$A:$R,16,0)</f>
        <v>Organization</v>
      </c>
      <c r="AC338" s="28" t="str">
        <f>VLOOKUP($A338,'raw-schema'!$A:$R,17,0)</f>
        <v>Product</v>
      </c>
      <c r="AD338" s="28">
        <f>VLOOKUP($A338,'raw-schema'!$A:$R,18,0)</f>
        <v>0</v>
      </c>
      <c r="AE338" s="30" t="s">
        <v>69</v>
      </c>
    </row>
    <row r="339" spans="1:31" x14ac:dyDescent="0.3">
      <c r="A339" s="28" t="str">
        <f t="array" ref="A339">INDEX('raw-sheet'!$A$2:$ZZ$1000, ROW(A338), MATCH(A$1, 'raw-sheet'!$A$1:$ZZ$1, 0))</f>
        <v>https://innisfree-taiwan.myshopify.com/products/innisfree-powerproof-brush-liner</v>
      </c>
      <c r="B339" s="30" t="s">
        <v>11</v>
      </c>
      <c r="C339" s="28" t="str">
        <f t="array" ref="C339">INDEX('raw-sheet'!$A$2:$ZZ$1000, ROW(C338), MATCH(C$1, 'raw-sheet'!$A$1:$ZZ$1, 0))</f>
        <v>Product Detail</v>
      </c>
      <c r="D339" s="28">
        <f t="array" ref="D339">INDEX('raw-sheet'!$A$2:$ZZ$1000, ROW(D338), MATCH(D$1, 'raw-sheet'!$A$1:$ZZ$1, 0))</f>
        <v>200</v>
      </c>
      <c r="E339" s="30" t="str">
        <f t="shared" si="10"/>
        <v>Pass</v>
      </c>
      <c r="F339" s="28" t="str">
        <f t="array" ref="F339">INDEX('raw-sheet'!$A$2:$ZZ$1000, ROW(F338), MATCH(F$1, 'raw-sheet'!$A$1:$ZZ$1, 0))</f>
        <v>超強效不暈染眼線液 0.6g_x000D_ | INNISFREE Taiwan</v>
      </c>
      <c r="G339" s="30" t="s">
        <v>11</v>
      </c>
      <c r="H339" s="28" t="str">
        <f t="array" ref="H339">INDEX('raw-sheet'!$A$2:$ZZ$1000, ROW(H338), MATCH(H$1, 'raw-sheet'!$A$1:$ZZ$1, 0))</f>
        <v>強力防水防油的眼線液</v>
      </c>
      <c r="I339" s="30" t="s">
        <v>11</v>
      </c>
      <c r="J339" s="28" t="str">
        <f t="array" ref="J339">INDEX('raw-sheet'!$A$2:$ZZ$1000, ROW(J338), MATCH(J$1, 'raw-sheet'!$A$1:$ZZ$1, 0))</f>
        <v>超強效不暈染眼線液 0.6g</v>
      </c>
      <c r="K339" s="28" t="str">
        <f t="array" ref="K339">INDEX('raw-sheet'!$A$2:$ZZ$1000, ROW(K338), MATCH(K$1, 'raw-sheet'!$A$1:$ZZ$1, 0))</f>
        <v>1</v>
      </c>
      <c r="L339" s="30" t="s">
        <v>11</v>
      </c>
      <c r="M339" s="28" t="str">
        <f t="array" ref="M339">INDEX('raw-sheet'!$A$2:$ZZ$1000, ROW(M338), MATCH(M$1, 'raw-sheet'!$A$1:$ZZ$1, 0))</f>
        <v>https://innisfree-taiwan.myshopify.com/products/innisfree-powerproof-brush-liner</v>
      </c>
      <c r="N339" s="30" t="str">
        <f t="shared" si="11"/>
        <v>Pass</v>
      </c>
      <c r="O339" s="28" t="str">
        <f t="array" ref="O339">INDEX('raw-sheet'!$A$2:$ZZ$1000, ROW(O338), MATCH(O$1, 'raw-sheet'!$A$1:$ZZ$1, 0))</f>
        <v>超強效不暈染眼線液 0.6g | INNISFREE Taiwan</v>
      </c>
      <c r="P339" s="28" t="str">
        <f t="array" ref="P339">INDEX('raw-sheet'!$A$2:$ZZ$1000, ROW(P338), MATCH(P$1, 'raw-sheet'!$A$1:$ZZ$1, 0))</f>
        <v>強力防水防油的眼線液</v>
      </c>
      <c r="Q339" s="28" t="str">
        <f t="array" ref="Q339">INDEX('raw-sheet'!$A$2:$ZZ$1000, ROW(Q338), MATCH(Q$1, 'raw-sheet'!$A$1:$ZZ$1, 0))</f>
        <v>product</v>
      </c>
      <c r="R339" s="28" t="str">
        <f t="array" ref="R339">INDEX('raw-sheet'!$A$2:$ZZ$1000, ROW(R338), MATCH(R$1, 'raw-sheet'!$A$1:$ZZ$1, 0))</f>
        <v>INNISFREE Taiwan</v>
      </c>
      <c r="S339" s="28" t="str">
        <f t="array" ref="S339">INDEX('raw-sheet'!$A$2:$ZZ$1000, ROW(S338), MATCH(S$1, 'raw-sheet'!$A$1:$ZZ$1, 0))</f>
        <v>http://innisfree-taiwan.myshopify.com/cdn/shop/files/pdp_mig_1e22807f_20230928_1254_ID0101_1_jpg.jpg?v=1768543091</v>
      </c>
      <c r="T339" s="28" t="str">
        <f t="array" ref="T339">INDEX('raw-sheet'!$A$2:$ZZ$1000, ROW(T338), MATCH(T$1, 'raw-sheet'!$A$1:$ZZ$1, 0))</f>
        <v>https://innisfree-taiwan.myshopify.com/cdn/shop/files/pdp_mig_1e22807f_20230928_1254_ID0101_1_jpg.jpg?v=1768543091</v>
      </c>
      <c r="U339" s="28" t="str">
        <f t="array" ref="U339">INDEX('raw-sheet'!$A$2:$ZZ$1000, ROW(U338), MATCH(U$1, 'raw-sheet'!$A$1:$ZZ$1, 0))</f>
        <v>https://innisfree-taiwan.myshopify.com/products/innisfree-powerproof-brush-liner</v>
      </c>
      <c r="V339" s="28" t="str">
        <f t="array" ref="V339">INDEX('raw-sheet'!$A$2:$ZZ$1000, ROW(V338), MATCH(V$1, 'raw-sheet'!$A$1:$ZZ$1, 0))</f>
        <v>超強效不暈染眼線液 0.6g | INNISFREE Taiwan</v>
      </c>
      <c r="W339" s="28" t="str">
        <f t="array" ref="W339">INDEX('raw-sheet'!$A$2:$ZZ$1000, ROW(W338), MATCH(W$1, 'raw-sheet'!$A$1:$ZZ$1, 0))</f>
        <v>強力防水防油的眼線液</v>
      </c>
      <c r="X339" s="28" t="str">
        <f t="array" ref="X339">INDEX('raw-sheet'!$A$2:$ZZ$1000, ROW(X338), MATCH(X$1, 'raw-sheet'!$A$1:$ZZ$1, 0))</f>
        <v>summary_large_image</v>
      </c>
      <c r="Y339" s="30" t="s">
        <v>11</v>
      </c>
      <c r="Z339" s="28" t="str">
        <f>VLOOKUP($A339,'raw-schema'!$A:$R,14,0)</f>
        <v>Brand</v>
      </c>
      <c r="AA339" s="28" t="str">
        <f>VLOOKUP($A339,'raw-schema'!$A:$R,15,0)</f>
        <v>Offer</v>
      </c>
      <c r="AB339" s="28" t="str">
        <f>VLOOKUP($A339,'raw-schema'!$A:$R,16,0)</f>
        <v>Organization</v>
      </c>
      <c r="AC339" s="28" t="str">
        <f>VLOOKUP($A339,'raw-schema'!$A:$R,17,0)</f>
        <v>Product</v>
      </c>
      <c r="AD339" s="28" t="str">
        <f>VLOOKUP($A339,'raw-schema'!$A:$R,18,0)</f>
        <v>ProductGroup</v>
      </c>
      <c r="AE339" s="30" t="s">
        <v>69</v>
      </c>
    </row>
    <row r="340" spans="1:31" x14ac:dyDescent="0.3">
      <c r="A340" s="28" t="str">
        <f t="array" ref="A340">INDEX('raw-sheet'!$A$2:$ZZ$1000, ROW(A339), MATCH(A$1, 'raw-sheet'!$A$1:$ZZ$1, 0))</f>
        <v>https://innisfree-taiwan.myshopify.com/products/innisfree-powerproof-pen-liner</v>
      </c>
      <c r="B340" s="30" t="s">
        <v>11</v>
      </c>
      <c r="C340" s="28" t="str">
        <f t="array" ref="C340">INDEX('raw-sheet'!$A$2:$ZZ$1000, ROW(C339), MATCH(C$1, 'raw-sheet'!$A$1:$ZZ$1, 0))</f>
        <v>Product Detail</v>
      </c>
      <c r="D340" s="28">
        <f t="array" ref="D340">INDEX('raw-sheet'!$A$2:$ZZ$1000, ROW(D339), MATCH(D$1, 'raw-sheet'!$A$1:$ZZ$1, 0))</f>
        <v>200</v>
      </c>
      <c r="E340" s="30" t="str">
        <f t="shared" si="10"/>
        <v>Pass</v>
      </c>
      <c r="F340" s="28" t="str">
        <f t="array" ref="F340">INDEX('raw-sheet'!$A$2:$ZZ$1000, ROW(F339), MATCH(F$1, 'raw-sheet'!$A$1:$ZZ$1, 0))</f>
        <v>超強效不暈染眼線筆 0.6g_x000D_ | INNISFREE Taiwan</v>
      </c>
      <c r="G340" s="30" t="s">
        <v>11</v>
      </c>
      <c r="H340" s="28" t="str">
        <f t="array" ref="H340">INDEX('raw-sheet'!$A$2:$ZZ$1000, ROW(H339), MATCH(H$1, 'raw-sheet'!$A$1:$ZZ$1, 0))</f>
        <v>強力防水防油的眼線筆</v>
      </c>
      <c r="I340" s="30" t="s">
        <v>11</v>
      </c>
      <c r="J340" s="28" t="str">
        <f t="array" ref="J340">INDEX('raw-sheet'!$A$2:$ZZ$1000, ROW(J339), MATCH(J$1, 'raw-sheet'!$A$1:$ZZ$1, 0))</f>
        <v>超強效不暈染眼線筆 0.6g</v>
      </c>
      <c r="K340" s="28" t="str">
        <f t="array" ref="K340">INDEX('raw-sheet'!$A$2:$ZZ$1000, ROW(K339), MATCH(K$1, 'raw-sheet'!$A$1:$ZZ$1, 0))</f>
        <v>1</v>
      </c>
      <c r="L340" s="30" t="s">
        <v>11</v>
      </c>
      <c r="M340" s="28" t="str">
        <f t="array" ref="M340">INDEX('raw-sheet'!$A$2:$ZZ$1000, ROW(M339), MATCH(M$1, 'raw-sheet'!$A$1:$ZZ$1, 0))</f>
        <v>https://innisfree-taiwan.myshopify.com/products/innisfree-powerproof-pen-liner</v>
      </c>
      <c r="N340" s="30" t="str">
        <f t="shared" si="11"/>
        <v>Pass</v>
      </c>
      <c r="O340" s="28" t="str">
        <f t="array" ref="O340">INDEX('raw-sheet'!$A$2:$ZZ$1000, ROW(O339), MATCH(O$1, 'raw-sheet'!$A$1:$ZZ$1, 0))</f>
        <v>超強效不暈染眼線筆 0.6g | INNISFREE Taiwan</v>
      </c>
      <c r="P340" s="28" t="str">
        <f t="array" ref="P340">INDEX('raw-sheet'!$A$2:$ZZ$1000, ROW(P339), MATCH(P$1, 'raw-sheet'!$A$1:$ZZ$1, 0))</f>
        <v>強力防水防油的眼線筆</v>
      </c>
      <c r="Q340" s="28" t="str">
        <f t="array" ref="Q340">INDEX('raw-sheet'!$A$2:$ZZ$1000, ROW(Q339), MATCH(Q$1, 'raw-sheet'!$A$1:$ZZ$1, 0))</f>
        <v>product</v>
      </c>
      <c r="R340" s="28" t="str">
        <f t="array" ref="R340">INDEX('raw-sheet'!$A$2:$ZZ$1000, ROW(R339), MATCH(R$1, 'raw-sheet'!$A$1:$ZZ$1, 0))</f>
        <v>INNISFREE Taiwan</v>
      </c>
      <c r="S340" s="28" t="str">
        <f t="array" ref="S340">INDEX('raw-sheet'!$A$2:$ZZ$1000, ROW(S339), MATCH(S$1, 'raw-sheet'!$A$1:$ZZ$1, 0))</f>
        <v>http://innisfree-taiwan.myshopify.com/cdn/shop/files/pdp_mig_25ab91ae_20230928_1253_ID0101_1_jpg.jpg?v=1768543090</v>
      </c>
      <c r="T340" s="28" t="str">
        <f t="array" ref="T340">INDEX('raw-sheet'!$A$2:$ZZ$1000, ROW(T339), MATCH(T$1, 'raw-sheet'!$A$1:$ZZ$1, 0))</f>
        <v>https://innisfree-taiwan.myshopify.com/cdn/shop/files/pdp_mig_25ab91ae_20230928_1253_ID0101_1_jpg.jpg?v=1768543090</v>
      </c>
      <c r="U340" s="28" t="str">
        <f t="array" ref="U340">INDEX('raw-sheet'!$A$2:$ZZ$1000, ROW(U339), MATCH(U$1, 'raw-sheet'!$A$1:$ZZ$1, 0))</f>
        <v>https://innisfree-taiwan.myshopify.com/products/innisfree-powerproof-pen-liner</v>
      </c>
      <c r="V340" s="28" t="str">
        <f t="array" ref="V340">INDEX('raw-sheet'!$A$2:$ZZ$1000, ROW(V339), MATCH(V$1, 'raw-sheet'!$A$1:$ZZ$1, 0))</f>
        <v>超強效不暈染眼線筆 0.6g | INNISFREE Taiwan</v>
      </c>
      <c r="W340" s="28" t="str">
        <f t="array" ref="W340">INDEX('raw-sheet'!$A$2:$ZZ$1000, ROW(W339), MATCH(W$1, 'raw-sheet'!$A$1:$ZZ$1, 0))</f>
        <v>強力防水防油的眼線筆</v>
      </c>
      <c r="X340" s="28" t="str">
        <f t="array" ref="X340">INDEX('raw-sheet'!$A$2:$ZZ$1000, ROW(X339), MATCH(X$1, 'raw-sheet'!$A$1:$ZZ$1, 0))</f>
        <v>summary_large_image</v>
      </c>
      <c r="Y340" s="30" t="s">
        <v>11</v>
      </c>
      <c r="Z340" s="28" t="str">
        <f>VLOOKUP($A340,'raw-schema'!$A:$R,14,0)</f>
        <v>Brand</v>
      </c>
      <c r="AA340" s="28" t="str">
        <f>VLOOKUP($A340,'raw-schema'!$A:$R,15,0)</f>
        <v>Offer</v>
      </c>
      <c r="AB340" s="28" t="str">
        <f>VLOOKUP($A340,'raw-schema'!$A:$R,16,0)</f>
        <v>Organization</v>
      </c>
      <c r="AC340" s="28" t="str">
        <f>VLOOKUP($A340,'raw-schema'!$A:$R,17,0)</f>
        <v>Product</v>
      </c>
      <c r="AD340" s="28" t="str">
        <f>VLOOKUP($A340,'raw-schema'!$A:$R,18,0)</f>
        <v>ProductGroup</v>
      </c>
      <c r="AE340" s="30" t="s">
        <v>69</v>
      </c>
    </row>
    <row r="341" spans="1:31" x14ac:dyDescent="0.3">
      <c r="A341" s="28" t="str">
        <f t="array" ref="A341">INDEX('raw-sheet'!$A$2:$ZZ$1000, ROW(A340), MATCH(A$1, 'raw-sheet'!$A$1:$ZZ$1, 0))</f>
        <v>https://innisfree-taiwan.myshopify.com/products/innisfree-premium-cotton-pads-for-toner</v>
      </c>
      <c r="B341" s="30" t="s">
        <v>11</v>
      </c>
      <c r="C341" s="28" t="str">
        <f t="array" ref="C341">INDEX('raw-sheet'!$A$2:$ZZ$1000, ROW(C340), MATCH(C$1, 'raw-sheet'!$A$1:$ZZ$1, 0))</f>
        <v>Product Detail</v>
      </c>
      <c r="D341" s="28">
        <f t="array" ref="D341">INDEX('raw-sheet'!$A$2:$ZZ$1000, ROW(D340), MATCH(D$1, 'raw-sheet'!$A$1:$ZZ$1, 0))</f>
        <v>200</v>
      </c>
      <c r="E341" s="30" t="str">
        <f t="shared" si="10"/>
        <v>Pass</v>
      </c>
      <c r="F341" s="28" t="str">
        <f t="array" ref="F341">INDEX('raw-sheet'!$A$2:$ZZ$1000, ROW(F340), MATCH(F$1, 'raw-sheet'!$A$1:$ZZ$1, 0))</f>
        <v>妝自然美妝工具-優質化妝棉&amp;#40;化妝水用&amp;#41;_x000D_ | INNISFREE Taiwan</v>
      </c>
      <c r="G341" s="30" t="s">
        <v>11</v>
      </c>
      <c r="H341" s="28" t="str">
        <f t="array" ref="H341">INDEX('raw-sheet'!$A$2:$ZZ$1000, ROW(H340), MATCH(H$1, 'raw-sheet'!$A$1:$ZZ$1, 0))</f>
        <v>柔軟親膚不起毛球的頂級100%純棉化妝棉</v>
      </c>
      <c r="I341" s="30" t="s">
        <v>11</v>
      </c>
      <c r="J341" s="28" t="str">
        <f t="array" ref="J341">INDEX('raw-sheet'!$A$2:$ZZ$1000, ROW(J340), MATCH(J$1, 'raw-sheet'!$A$1:$ZZ$1, 0))</f>
        <v>妝自然美妝工具 - 優質化妝棉(化妝水用)</v>
      </c>
      <c r="K341" s="28" t="str">
        <f t="array" ref="K341">INDEX('raw-sheet'!$A$2:$ZZ$1000, ROW(K340), MATCH(K$1, 'raw-sheet'!$A$1:$ZZ$1, 0))</f>
        <v>1</v>
      </c>
      <c r="L341" s="30" t="s">
        <v>11</v>
      </c>
      <c r="M341" s="28" t="str">
        <f t="array" ref="M341">INDEX('raw-sheet'!$A$2:$ZZ$1000, ROW(M340), MATCH(M$1, 'raw-sheet'!$A$1:$ZZ$1, 0))</f>
        <v>https://innisfree-taiwan.myshopify.com/products/innisfree-premium-cotton-pads-for-toner</v>
      </c>
      <c r="N341" s="30" t="str">
        <f t="shared" si="11"/>
        <v>Pass</v>
      </c>
      <c r="O341" s="28" t="str">
        <f t="array" ref="O341">INDEX('raw-sheet'!$A$2:$ZZ$1000, ROW(O340), MATCH(O$1, 'raw-sheet'!$A$1:$ZZ$1, 0))</f>
        <v>妝自然美妝工具-優質化妝棉&amp;#40;化妝水用&amp;#41; | INNISFREE Taiwan</v>
      </c>
      <c r="P341" s="28" t="str">
        <f t="array" ref="P341">INDEX('raw-sheet'!$A$2:$ZZ$1000, ROW(P340), MATCH(P$1, 'raw-sheet'!$A$1:$ZZ$1, 0))</f>
        <v>柔軟親膚不起毛球的頂級100%純棉化妝棉</v>
      </c>
      <c r="Q341" s="28" t="str">
        <f t="array" ref="Q341">INDEX('raw-sheet'!$A$2:$ZZ$1000, ROW(Q340), MATCH(Q$1, 'raw-sheet'!$A$1:$ZZ$1, 0))</f>
        <v>product</v>
      </c>
      <c r="R341" s="28" t="str">
        <f t="array" ref="R341">INDEX('raw-sheet'!$A$2:$ZZ$1000, ROW(R340), MATCH(R$1, 'raw-sheet'!$A$1:$ZZ$1, 0))</f>
        <v>INNISFREE Taiwan</v>
      </c>
      <c r="S341" s="28" t="str">
        <f t="array" ref="S341">INDEX('raw-sheet'!$A$2:$ZZ$1000, ROW(S340), MATCH(S$1, 'raw-sheet'!$A$1:$ZZ$1, 0))</f>
        <v>http://innisfree-taiwan.myshopify.com/cdn/shop/files/pdp_mig_21c0959b_20231129_108_ID0101_1_jpg.jpg?v=1768543111</v>
      </c>
      <c r="T341" s="28" t="str">
        <f t="array" ref="T341">INDEX('raw-sheet'!$A$2:$ZZ$1000, ROW(T340), MATCH(T$1, 'raw-sheet'!$A$1:$ZZ$1, 0))</f>
        <v>https://innisfree-taiwan.myshopify.com/cdn/shop/files/pdp_mig_21c0959b_20231129_108_ID0101_1_jpg.jpg?v=1768543111</v>
      </c>
      <c r="U341" s="28" t="str">
        <f t="array" ref="U341">INDEX('raw-sheet'!$A$2:$ZZ$1000, ROW(U340), MATCH(U$1, 'raw-sheet'!$A$1:$ZZ$1, 0))</f>
        <v>https://innisfree-taiwan.myshopify.com/products/innisfree-premium-cotton-pads-for-toner</v>
      </c>
      <c r="V341" s="28" t="str">
        <f t="array" ref="V341">INDEX('raw-sheet'!$A$2:$ZZ$1000, ROW(V340), MATCH(V$1, 'raw-sheet'!$A$1:$ZZ$1, 0))</f>
        <v>妝自然美妝工具-優質化妝棉&amp;#40;化妝水用&amp;#41; | INNISFREE Taiwan</v>
      </c>
      <c r="W341" s="28" t="str">
        <f t="array" ref="W341">INDEX('raw-sheet'!$A$2:$ZZ$1000, ROW(W340), MATCH(W$1, 'raw-sheet'!$A$1:$ZZ$1, 0))</f>
        <v>柔軟親膚不起毛球的頂級100%純棉化妝棉</v>
      </c>
      <c r="X341" s="28" t="str">
        <f t="array" ref="X341">INDEX('raw-sheet'!$A$2:$ZZ$1000, ROW(X340), MATCH(X$1, 'raw-sheet'!$A$1:$ZZ$1, 0))</f>
        <v>summary_large_image</v>
      </c>
      <c r="Y341" s="30" t="s">
        <v>11</v>
      </c>
      <c r="Z341" s="28" t="str">
        <f>VLOOKUP($A341,'raw-schema'!$A:$R,14,0)</f>
        <v>Brand</v>
      </c>
      <c r="AA341" s="28" t="str">
        <f>VLOOKUP($A341,'raw-schema'!$A:$R,15,0)</f>
        <v>Offer</v>
      </c>
      <c r="AB341" s="28" t="str">
        <f>VLOOKUP($A341,'raw-schema'!$A:$R,16,0)</f>
        <v>Organization</v>
      </c>
      <c r="AC341" s="28" t="str">
        <f>VLOOKUP($A341,'raw-schema'!$A:$R,17,0)</f>
        <v>Product</v>
      </c>
      <c r="AD341" s="28">
        <f>VLOOKUP($A341,'raw-schema'!$A:$R,18,0)</f>
        <v>0</v>
      </c>
      <c r="AE341" s="30" t="s">
        <v>69</v>
      </c>
    </row>
    <row r="342" spans="1:31" x14ac:dyDescent="0.3">
      <c r="A342" s="28" t="str">
        <f t="array" ref="A342">INDEX('raw-sheet'!$A$2:$ZZ$1000, ROW(A341), MATCH(A$1, 'raw-sheet'!$A$1:$ZZ$1, 0))</f>
        <v>https://innisfree-taiwan.myshopify.com/products/innisfree-premium-eyelash-curler-23</v>
      </c>
      <c r="B342" s="30" t="s">
        <v>70</v>
      </c>
      <c r="C342" s="28" t="str">
        <f t="array" ref="C342">INDEX('raw-sheet'!$A$2:$ZZ$1000, ROW(C341), MATCH(C$1, 'raw-sheet'!$A$1:$ZZ$1, 0))</f>
        <v>Product Detail</v>
      </c>
      <c r="D342" s="28">
        <f t="array" ref="D342">INDEX('raw-sheet'!$A$2:$ZZ$1000, ROW(D341), MATCH(D$1, 'raw-sheet'!$A$1:$ZZ$1, 0))</f>
        <v>200</v>
      </c>
      <c r="E342" s="30" t="str">
        <f t="shared" si="10"/>
        <v>Pass</v>
      </c>
      <c r="F342" s="28" t="str">
        <f t="array" ref="F342">INDEX('raw-sheet'!$A$2:$ZZ$1000, ROW(F341), MATCH(F$1, 'raw-sheet'!$A$1:$ZZ$1, 0))</f>
        <v>妝自然美妝工具 - 捲翹睫毛夾_x000D_ | INNISFREE Taiwan</v>
      </c>
      <c r="G342" s="30" t="s">
        <v>11</v>
      </c>
      <c r="H342" s="28" t="str">
        <f t="array" ref="H342">INDEX('raw-sheet'!$A$2:$ZZ$1000, ROW(H341), MATCH(H$1, 'raw-sheet'!$A$1:$ZZ$1, 0))</f>
        <v>以弧線設計打造美麗捲翹的豐盈睫毛</v>
      </c>
      <c r="I342" s="30" t="s">
        <v>11</v>
      </c>
      <c r="J342" s="28" t="str">
        <f t="array" ref="J342">INDEX('raw-sheet'!$A$2:$ZZ$1000, ROW(J341), MATCH(J$1, 'raw-sheet'!$A$1:$ZZ$1, 0))</f>
        <v>妝自然美妝工具 - 捲翹睫毛夾</v>
      </c>
      <c r="K342" s="28" t="str">
        <f t="array" ref="K342">INDEX('raw-sheet'!$A$2:$ZZ$1000, ROW(K341), MATCH(K$1, 'raw-sheet'!$A$1:$ZZ$1, 0))</f>
        <v>1</v>
      </c>
      <c r="L342" s="30" t="s">
        <v>11</v>
      </c>
      <c r="M342" s="28" t="str">
        <f t="array" ref="M342">INDEX('raw-sheet'!$A$2:$ZZ$1000, ROW(M341), MATCH(M$1, 'raw-sheet'!$A$1:$ZZ$1, 0))</f>
        <v>https://innisfree-taiwan.myshopify.com/products/innisfree-premium-eyelash-curler-23</v>
      </c>
      <c r="N342" s="30" t="str">
        <f t="shared" si="11"/>
        <v>Pass</v>
      </c>
      <c r="O342" s="28" t="str">
        <f t="array" ref="O342">INDEX('raw-sheet'!$A$2:$ZZ$1000, ROW(O341), MATCH(O$1, 'raw-sheet'!$A$1:$ZZ$1, 0))</f>
        <v>妝自然美妝工具 - 捲翹睫毛夾 | INNISFREE Taiwan</v>
      </c>
      <c r="P342" s="28" t="str">
        <f t="array" ref="P342">INDEX('raw-sheet'!$A$2:$ZZ$1000, ROW(P341), MATCH(P$1, 'raw-sheet'!$A$1:$ZZ$1, 0))</f>
        <v>以弧線設計打造美麗捲翹的豐盈睫毛</v>
      </c>
      <c r="Q342" s="28" t="str">
        <f t="array" ref="Q342">INDEX('raw-sheet'!$A$2:$ZZ$1000, ROW(Q341), MATCH(Q$1, 'raw-sheet'!$A$1:$ZZ$1, 0))</f>
        <v>product</v>
      </c>
      <c r="R342" s="28" t="str">
        <f t="array" ref="R342">INDEX('raw-sheet'!$A$2:$ZZ$1000, ROW(R341), MATCH(R$1, 'raw-sheet'!$A$1:$ZZ$1, 0))</f>
        <v>INNISFREE Taiwan</v>
      </c>
      <c r="S342" s="28" t="str">
        <f t="array" ref="S342">INDEX('raw-sheet'!$A$2:$ZZ$1000, ROW(S341), MATCH(S$1, 'raw-sheet'!$A$1:$ZZ$1, 0))</f>
        <v>http://innisfree-taiwan.myshopify.com/cdn/shop/files/pdp_mig_9f5f1ae5_20231129_9_ID0101_1_jpg.jpg?v=1768543115</v>
      </c>
      <c r="T342" s="28" t="str">
        <f t="array" ref="T342">INDEX('raw-sheet'!$A$2:$ZZ$1000, ROW(T341), MATCH(T$1, 'raw-sheet'!$A$1:$ZZ$1, 0))</f>
        <v>https://innisfree-taiwan.myshopify.com/cdn/shop/files/pdp_mig_9f5f1ae5_20231129_9_ID0101_1_jpg.jpg?v=1768543115</v>
      </c>
      <c r="U342" s="28" t="str">
        <f t="array" ref="U342">INDEX('raw-sheet'!$A$2:$ZZ$1000, ROW(U341), MATCH(U$1, 'raw-sheet'!$A$1:$ZZ$1, 0))</f>
        <v>https://innisfree-taiwan.myshopify.com/products/innisfree-premium-eyelash-curler-23</v>
      </c>
      <c r="V342" s="28" t="str">
        <f t="array" ref="V342">INDEX('raw-sheet'!$A$2:$ZZ$1000, ROW(V341), MATCH(V$1, 'raw-sheet'!$A$1:$ZZ$1, 0))</f>
        <v>妝自然美妝工具 - 捲翹睫毛夾 | INNISFREE Taiwan</v>
      </c>
      <c r="W342" s="28" t="str">
        <f t="array" ref="W342">INDEX('raw-sheet'!$A$2:$ZZ$1000, ROW(W341), MATCH(W$1, 'raw-sheet'!$A$1:$ZZ$1, 0))</f>
        <v>以弧線設計打造美麗捲翹的豐盈睫毛</v>
      </c>
      <c r="X342" s="28" t="str">
        <f t="array" ref="X342">INDEX('raw-sheet'!$A$2:$ZZ$1000, ROW(X341), MATCH(X$1, 'raw-sheet'!$A$1:$ZZ$1, 0))</f>
        <v>summary_large_image</v>
      </c>
      <c r="Y342" s="30" t="s">
        <v>11</v>
      </c>
      <c r="Z342" s="28" t="str">
        <f>VLOOKUP($A342,'raw-schema'!$A:$R,14,0)</f>
        <v>Brand</v>
      </c>
      <c r="AA342" s="28" t="str">
        <f>VLOOKUP($A342,'raw-schema'!$A:$R,15,0)</f>
        <v>Offer</v>
      </c>
      <c r="AB342" s="28" t="str">
        <f>VLOOKUP($A342,'raw-schema'!$A:$R,16,0)</f>
        <v>Organization</v>
      </c>
      <c r="AC342" s="28" t="str">
        <f>VLOOKUP($A342,'raw-schema'!$A:$R,17,0)</f>
        <v>Product</v>
      </c>
      <c r="AD342" s="28">
        <f>VLOOKUP($A342,'raw-schema'!$A:$R,18,0)</f>
        <v>0</v>
      </c>
      <c r="AE342" s="30" t="s">
        <v>69</v>
      </c>
    </row>
    <row r="343" spans="1:31" x14ac:dyDescent="0.3">
      <c r="A343" s="28" t="str">
        <f t="array" ref="A343">INDEX('raw-sheet'!$A$2:$ZZ$1000, ROW(A342), MATCH(A$1, 'raw-sheet'!$A$1:$ZZ$1, 0))</f>
        <v>https://innisfree-taiwan.myshopify.com/products/innisfree-retinol-cica-ampoule-focusing-patch</v>
      </c>
      <c r="B343" s="30" t="s">
        <v>11</v>
      </c>
      <c r="C343" s="28" t="str">
        <f t="array" ref="C343">INDEX('raw-sheet'!$A$2:$ZZ$1000, ROW(C342), MATCH(C$1, 'raw-sheet'!$A$1:$ZZ$1, 0))</f>
        <v>Product Detail</v>
      </c>
      <c r="D343" s="28">
        <f t="array" ref="D343">INDEX('raw-sheet'!$A$2:$ZZ$1000, ROW(D342), MATCH(D$1, 'raw-sheet'!$A$1:$ZZ$1, 0))</f>
        <v>200</v>
      </c>
      <c r="E343" s="30" t="str">
        <f t="shared" si="10"/>
        <v>Pass</v>
      </c>
      <c r="F343" s="28" t="str">
        <f t="array" ref="F343">INDEX('raw-sheet'!$A$2:$ZZ$1000, ROW(F342), MATCH(F$1, 'raw-sheet'!$A$1:$ZZ$1, 0))</f>
        <v>A醇淨膚超修護集中貼_x000D_ | INNISFREE Taiwan</v>
      </c>
      <c r="G343" s="30" t="s">
        <v>11</v>
      </c>
      <c r="H343" s="28" t="str">
        <f t="array" ref="H343">INDEX('raw-sheet'!$A$2:$ZZ$1000, ROW(H342), MATCH(H$1, 'raw-sheet'!$A$1:$ZZ$1, 0))</f>
        <v>幸運草形狀的微針貼片設計，富含A醇及積雪草萃取，能及早改善粉刺、穩定膚況，有效舒緩局部問題肌膚。</v>
      </c>
      <c r="I343" s="30" t="s">
        <v>11</v>
      </c>
      <c r="J343" s="28" t="str">
        <f t="array" ref="J343">INDEX('raw-sheet'!$A$2:$ZZ$1000, ROW(J342), MATCH(J$1, 'raw-sheet'!$A$1:$ZZ$1, 0))</f>
        <v>A醇淨膚超修護集中貼</v>
      </c>
      <c r="K343" s="28" t="str">
        <f t="array" ref="K343">INDEX('raw-sheet'!$A$2:$ZZ$1000, ROW(K342), MATCH(K$1, 'raw-sheet'!$A$1:$ZZ$1, 0))</f>
        <v>1</v>
      </c>
      <c r="L343" s="30" t="s">
        <v>11</v>
      </c>
      <c r="M343" s="28" t="str">
        <f t="array" ref="M343">INDEX('raw-sheet'!$A$2:$ZZ$1000, ROW(M342), MATCH(M$1, 'raw-sheet'!$A$1:$ZZ$1, 0))</f>
        <v>https://innisfree-taiwan.myshopify.com/products/innisfree-retinol-cica-ampoule-focusing-patch</v>
      </c>
      <c r="N343" s="30" t="str">
        <f t="shared" si="11"/>
        <v>Pass</v>
      </c>
      <c r="O343" s="28" t="str">
        <f t="array" ref="O343">INDEX('raw-sheet'!$A$2:$ZZ$1000, ROW(O342), MATCH(O$1, 'raw-sheet'!$A$1:$ZZ$1, 0))</f>
        <v>A醇淨膚超修護集中貼 | INNISFREE Taiwan</v>
      </c>
      <c r="P343" s="28" t="str">
        <f t="array" ref="P343">INDEX('raw-sheet'!$A$2:$ZZ$1000, ROW(P342), MATCH(P$1, 'raw-sheet'!$A$1:$ZZ$1, 0))</f>
        <v>幸運草形狀的微針貼片設計，富含A醇及積雪草萃取，能及早改善粉刺、穩定膚況，有效舒緩局部問題肌膚。</v>
      </c>
      <c r="Q343" s="28" t="str">
        <f t="array" ref="Q343">INDEX('raw-sheet'!$A$2:$ZZ$1000, ROW(Q342), MATCH(Q$1, 'raw-sheet'!$A$1:$ZZ$1, 0))</f>
        <v>product</v>
      </c>
      <c r="R343" s="28" t="str">
        <f t="array" ref="R343">INDEX('raw-sheet'!$A$2:$ZZ$1000, ROW(R342), MATCH(R$1, 'raw-sheet'!$A$1:$ZZ$1, 0))</f>
        <v>INNISFREE Taiwan</v>
      </c>
      <c r="S343" s="28" t="str">
        <f t="array" ref="S343">INDEX('raw-sheet'!$A$2:$ZZ$1000, ROW(S342), MATCH(S$1, 'raw-sheet'!$A$1:$ZZ$1, 0))</f>
        <v>http://innisfree-taiwan.myshopify.com/cdn/shop/files/pdp_mig_2b0e46d8_20230928_730_ID0101_1_jpg.jpg?v=1768543108</v>
      </c>
      <c r="T343" s="28" t="str">
        <f t="array" ref="T343">INDEX('raw-sheet'!$A$2:$ZZ$1000, ROW(T342), MATCH(T$1, 'raw-sheet'!$A$1:$ZZ$1, 0))</f>
        <v>https://innisfree-taiwan.myshopify.com/cdn/shop/files/pdp_mig_2b0e46d8_20230928_730_ID0101_1_jpg.jpg?v=1768543108</v>
      </c>
      <c r="U343" s="28" t="str">
        <f t="array" ref="U343">INDEX('raw-sheet'!$A$2:$ZZ$1000, ROW(U342), MATCH(U$1, 'raw-sheet'!$A$1:$ZZ$1, 0))</f>
        <v>https://innisfree-taiwan.myshopify.com/products/innisfree-retinol-cica-ampoule-focusing-patch</v>
      </c>
      <c r="V343" s="28" t="str">
        <f t="array" ref="V343">INDEX('raw-sheet'!$A$2:$ZZ$1000, ROW(V342), MATCH(V$1, 'raw-sheet'!$A$1:$ZZ$1, 0))</f>
        <v>A醇淨膚超修護集中貼 | INNISFREE Taiwan</v>
      </c>
      <c r="W343" s="28" t="str">
        <f t="array" ref="W343">INDEX('raw-sheet'!$A$2:$ZZ$1000, ROW(W342), MATCH(W$1, 'raw-sheet'!$A$1:$ZZ$1, 0))</f>
        <v>幸運草形狀的微針貼片設計，富含A醇及積雪草萃取，能及早改善粉刺、穩定膚況，有效舒緩局部問題肌膚。</v>
      </c>
      <c r="X343" s="28" t="str">
        <f t="array" ref="X343">INDEX('raw-sheet'!$A$2:$ZZ$1000, ROW(X342), MATCH(X$1, 'raw-sheet'!$A$1:$ZZ$1, 0))</f>
        <v>summary_large_image</v>
      </c>
      <c r="Y343" s="30" t="s">
        <v>11</v>
      </c>
      <c r="Z343" s="28" t="str">
        <f>VLOOKUP($A343,'raw-schema'!$A:$R,14,0)</f>
        <v>Brand</v>
      </c>
      <c r="AA343" s="28" t="str">
        <f>VLOOKUP($A343,'raw-schema'!$A:$R,15,0)</f>
        <v>Offer</v>
      </c>
      <c r="AB343" s="28" t="str">
        <f>VLOOKUP($A343,'raw-schema'!$A:$R,16,0)</f>
        <v>Organization</v>
      </c>
      <c r="AC343" s="28" t="str">
        <f>VLOOKUP($A343,'raw-schema'!$A:$R,17,0)</f>
        <v>Product</v>
      </c>
      <c r="AD343" s="28">
        <f>VLOOKUP($A343,'raw-schema'!$A:$R,18,0)</f>
        <v>0</v>
      </c>
      <c r="AE343" s="30" t="s">
        <v>69</v>
      </c>
    </row>
    <row r="344" spans="1:31" x14ac:dyDescent="0.3">
      <c r="A344" s="28" t="str">
        <f t="array" ref="A344">INDEX('raw-sheet'!$A$2:$ZZ$1000, ROW(A343), MATCH(A$1, 'raw-sheet'!$A$1:$ZZ$1, 0))</f>
        <v>https://innisfree-taiwan.myshopify.com/products/innisfree-retinol-cica-barrier-defense-cream</v>
      </c>
      <c r="B344" s="30" t="s">
        <v>11</v>
      </c>
      <c r="C344" s="28" t="str">
        <f t="array" ref="C344">INDEX('raw-sheet'!$A$2:$ZZ$1000, ROW(C343), MATCH(C$1, 'raw-sheet'!$A$1:$ZZ$1, 0))</f>
        <v>Product Detail</v>
      </c>
      <c r="D344" s="28">
        <f t="array" ref="D344">INDEX('raw-sheet'!$A$2:$ZZ$1000, ROW(D343), MATCH(D$1, 'raw-sheet'!$A$1:$ZZ$1, 0))</f>
        <v>200</v>
      </c>
      <c r="E344" s="30" t="str">
        <f t="shared" si="10"/>
        <v>Pass</v>
      </c>
      <c r="F344" s="28" t="str">
        <f t="array" ref="F344">INDEX('raw-sheet'!$A$2:$ZZ$1000, ROW(F343), MATCH(F$1, 'raw-sheet'!$A$1:$ZZ$1, 0))</f>
        <v>A醇淨膚超修護霜 50ml_x000D_ | INNISFREE Taiwan</v>
      </c>
      <c r="G344" s="30" t="s">
        <v>11</v>
      </c>
      <c r="H344" s="28" t="str">
        <f t="array" ref="H344">INDEX('raw-sheet'!$A$2:$ZZ$1000, ROW(H343), MATCH(H$1, 'raw-sheet'!$A$1:$ZZ$1, 0))</f>
        <v>蘊含A醇、積雪草萃取及多種保濕成分，強健肌膚屏障的高效修護面霜。適合所有肌膚類型，想改善粉刺痘痘問題、毛孔粗大、肌膚暗沉粗糙困擾的顧客。</v>
      </c>
      <c r="I344" s="30" t="s">
        <v>11</v>
      </c>
      <c r="J344" s="28" t="str">
        <f t="array" ref="J344">INDEX('raw-sheet'!$A$2:$ZZ$1000, ROW(J343), MATCH(J$1, 'raw-sheet'!$A$1:$ZZ$1, 0))</f>
        <v>A醇淨膚超修護霜 50ml</v>
      </c>
      <c r="K344" s="28" t="str">
        <f t="array" ref="K344">INDEX('raw-sheet'!$A$2:$ZZ$1000, ROW(K343), MATCH(K$1, 'raw-sheet'!$A$1:$ZZ$1, 0))</f>
        <v>1</v>
      </c>
      <c r="L344" s="30" t="s">
        <v>11</v>
      </c>
      <c r="M344" s="28" t="str">
        <f t="array" ref="M344">INDEX('raw-sheet'!$A$2:$ZZ$1000, ROW(M343), MATCH(M$1, 'raw-sheet'!$A$1:$ZZ$1, 0))</f>
        <v>https://innisfree-taiwan.myshopify.com/products/innisfree-retinol-cica-barrier-defense-cream</v>
      </c>
      <c r="N344" s="30" t="str">
        <f t="shared" si="11"/>
        <v>Pass</v>
      </c>
      <c r="O344" s="28" t="str">
        <f t="array" ref="O344">INDEX('raw-sheet'!$A$2:$ZZ$1000, ROW(O343), MATCH(O$1, 'raw-sheet'!$A$1:$ZZ$1, 0))</f>
        <v>A醇淨膚超修護霜 50ml | INNISFREE Taiwan</v>
      </c>
      <c r="P344" s="28" t="str">
        <f t="array" ref="P344">INDEX('raw-sheet'!$A$2:$ZZ$1000, ROW(P343), MATCH(P$1, 'raw-sheet'!$A$1:$ZZ$1, 0))</f>
        <v>蘊含A醇、積雪草萃取及多種保濕成分，強健肌膚屏障的高效修護面霜。適合所有肌膚類型，想改善粉刺痘痘問題、毛孔粗大、肌膚暗沉粗糙困擾的顧客。</v>
      </c>
      <c r="Q344" s="28" t="str">
        <f t="array" ref="Q344">INDEX('raw-sheet'!$A$2:$ZZ$1000, ROW(Q343), MATCH(Q$1, 'raw-sheet'!$A$1:$ZZ$1, 0))</f>
        <v>product</v>
      </c>
      <c r="R344" s="28" t="str">
        <f t="array" ref="R344">INDEX('raw-sheet'!$A$2:$ZZ$1000, ROW(R343), MATCH(R$1, 'raw-sheet'!$A$1:$ZZ$1, 0))</f>
        <v>INNISFREE Taiwan</v>
      </c>
      <c r="S344" s="28" t="str">
        <f t="array" ref="S344">INDEX('raw-sheet'!$A$2:$ZZ$1000, ROW(S343), MATCH(S$1, 'raw-sheet'!$A$1:$ZZ$1, 0))</f>
        <v>http://innisfree-taiwan.myshopify.com/cdn/shop/files/pdp_mig_4e282e7b_20260109_1292_ID0101_1_jpg.jpg?v=1768543089</v>
      </c>
      <c r="T344" s="28" t="str">
        <f t="array" ref="T344">INDEX('raw-sheet'!$A$2:$ZZ$1000, ROW(T343), MATCH(T$1, 'raw-sheet'!$A$1:$ZZ$1, 0))</f>
        <v>https://innisfree-taiwan.myshopify.com/cdn/shop/files/pdp_mig_4e282e7b_20260109_1292_ID0101_1_jpg.jpg?v=1768543089</v>
      </c>
      <c r="U344" s="28" t="str">
        <f t="array" ref="U344">INDEX('raw-sheet'!$A$2:$ZZ$1000, ROW(U343), MATCH(U$1, 'raw-sheet'!$A$1:$ZZ$1, 0))</f>
        <v>https://innisfree-taiwan.myshopify.com/products/innisfree-retinol-cica-barrier-defense-cream</v>
      </c>
      <c r="V344" s="28" t="str">
        <f t="array" ref="V344">INDEX('raw-sheet'!$A$2:$ZZ$1000, ROW(V343), MATCH(V$1, 'raw-sheet'!$A$1:$ZZ$1, 0))</f>
        <v>A醇淨膚超修護霜 50ml | INNISFREE Taiwan</v>
      </c>
      <c r="W344" s="28" t="str">
        <f t="array" ref="W344">INDEX('raw-sheet'!$A$2:$ZZ$1000, ROW(W343), MATCH(W$1, 'raw-sheet'!$A$1:$ZZ$1, 0))</f>
        <v>蘊含A醇、積雪草萃取及多種保濕成分，強健肌膚屏障的高效修護面霜。適合所有肌膚類型，想改善粉刺痘痘問題、毛孔粗大、肌膚暗沉粗糙困擾的顧客。</v>
      </c>
      <c r="X344" s="28" t="str">
        <f t="array" ref="X344">INDEX('raw-sheet'!$A$2:$ZZ$1000, ROW(X343), MATCH(X$1, 'raw-sheet'!$A$1:$ZZ$1, 0))</f>
        <v>summary_large_image</v>
      </c>
      <c r="Y344" s="30" t="s">
        <v>11</v>
      </c>
      <c r="Z344" s="28" t="str">
        <f>VLOOKUP($A344,'raw-schema'!$A:$R,14,0)</f>
        <v>Brand</v>
      </c>
      <c r="AA344" s="28" t="str">
        <f>VLOOKUP($A344,'raw-schema'!$A:$R,15,0)</f>
        <v>Offer</v>
      </c>
      <c r="AB344" s="28" t="str">
        <f>VLOOKUP($A344,'raw-schema'!$A:$R,16,0)</f>
        <v>Organization</v>
      </c>
      <c r="AC344" s="28" t="str">
        <f>VLOOKUP($A344,'raw-schema'!$A:$R,17,0)</f>
        <v>Product</v>
      </c>
      <c r="AD344" s="28">
        <f>VLOOKUP($A344,'raw-schema'!$A:$R,18,0)</f>
        <v>0</v>
      </c>
      <c r="AE344" s="30" t="s">
        <v>69</v>
      </c>
    </row>
    <row r="345" spans="1:31" x14ac:dyDescent="0.3">
      <c r="A345" s="28" t="str">
        <f t="array" ref="A345">INDEX('raw-sheet'!$A$2:$ZZ$1000, ROW(A344), MATCH(A$1, 'raw-sheet'!$A$1:$ZZ$1, 0))</f>
        <v>https://innisfree-taiwan.myshopify.com/products/innisfree-retinol-cica-repair-ampoule-50ml</v>
      </c>
      <c r="B345" s="30" t="s">
        <v>11</v>
      </c>
      <c r="C345" s="28" t="str">
        <f t="array" ref="C345">INDEX('raw-sheet'!$A$2:$ZZ$1000, ROW(C344), MATCH(C$1, 'raw-sheet'!$A$1:$ZZ$1, 0))</f>
        <v>Product Detail</v>
      </c>
      <c r="D345" s="28">
        <f t="array" ref="D345">INDEX('raw-sheet'!$A$2:$ZZ$1000, ROW(D344), MATCH(D$1, 'raw-sheet'!$A$1:$ZZ$1, 0))</f>
        <v>200</v>
      </c>
      <c r="E345" s="30" t="str">
        <f t="shared" si="10"/>
        <v>Pass</v>
      </c>
      <c r="F345" s="28" t="str">
        <f t="array" ref="F345">INDEX('raw-sheet'!$A$2:$ZZ$1000, ROW(F344), MATCH(F$1, 'raw-sheet'!$A$1:$ZZ$1, 0))</f>
        <v>安瓶推薦｜A醇淨膚超修護安瓶 - innisfree_x000D_ | INNISFREE Taiwan</v>
      </c>
      <c r="G345" s="30" t="s">
        <v>11</v>
      </c>
      <c r="H345" s="28" t="str">
        <f t="array" ref="H345">INDEX('raw-sheet'!$A$2:$ZZ$1000, ROW(H344), MATCH(H$1, 'raw-sheet'!$A$1:$ZZ$1, 0))</f>
        <v>innisfree A醇淨膚超修護安瓶，蘊含A醇、積雪草萃取及多種保濕成分，幫助肌膚代謝老廢角質，改善粉刺、緊緻毛孔，同時穩定膚況的高效修護安瓶。</v>
      </c>
      <c r="I345" s="30" t="s">
        <v>11</v>
      </c>
      <c r="J345" s="28" t="str">
        <f t="array" ref="J345">INDEX('raw-sheet'!$A$2:$ZZ$1000, ROW(J344), MATCH(J$1, 'raw-sheet'!$A$1:$ZZ$1, 0))</f>
        <v>A醇淨膚超修護安瓶 50ml</v>
      </c>
      <c r="K345" s="28" t="str">
        <f t="array" ref="K345">INDEX('raw-sheet'!$A$2:$ZZ$1000, ROW(K344), MATCH(K$1, 'raw-sheet'!$A$1:$ZZ$1, 0))</f>
        <v>1</v>
      </c>
      <c r="L345" s="30" t="s">
        <v>11</v>
      </c>
      <c r="M345" s="28" t="str">
        <f t="array" ref="M345">INDEX('raw-sheet'!$A$2:$ZZ$1000, ROW(M344), MATCH(M$1, 'raw-sheet'!$A$1:$ZZ$1, 0))</f>
        <v>https://innisfree-taiwan.myshopify.com/products/innisfree-retinol-cica-repair-ampoule-50ml</v>
      </c>
      <c r="N345" s="30" t="str">
        <f t="shared" si="11"/>
        <v>Pass</v>
      </c>
      <c r="O345" s="28" t="str">
        <f t="array" ref="O345">INDEX('raw-sheet'!$A$2:$ZZ$1000, ROW(O344), MATCH(O$1, 'raw-sheet'!$A$1:$ZZ$1, 0))</f>
        <v>安瓶推薦｜A醇淨膚超修護安瓶 - innisfree | INNISFREE Taiwan</v>
      </c>
      <c r="P345" s="28" t="str">
        <f t="array" ref="P345">INDEX('raw-sheet'!$A$2:$ZZ$1000, ROW(P344), MATCH(P$1, 'raw-sheet'!$A$1:$ZZ$1, 0))</f>
        <v>innisfree A醇淨膚超修護安瓶，蘊含A醇、積雪草萃取及多種保濕成分，幫助肌膚代謝老廢角質，改善粉刺、緊緻毛孔，同時穩定膚況的高效修護安瓶。</v>
      </c>
      <c r="Q345" s="28" t="str">
        <f t="array" ref="Q345">INDEX('raw-sheet'!$A$2:$ZZ$1000, ROW(Q344), MATCH(Q$1, 'raw-sheet'!$A$1:$ZZ$1, 0))</f>
        <v>product</v>
      </c>
      <c r="R345" s="28" t="str">
        <f t="array" ref="R345">INDEX('raw-sheet'!$A$2:$ZZ$1000, ROW(R344), MATCH(R$1, 'raw-sheet'!$A$1:$ZZ$1, 0))</f>
        <v>INNISFREE Taiwan</v>
      </c>
      <c r="S345" s="28" t="str">
        <f t="array" ref="S345">INDEX('raw-sheet'!$A$2:$ZZ$1000, ROW(S344), MATCH(S$1, 'raw-sheet'!$A$1:$ZZ$1, 0))</f>
        <v>http://innisfree-taiwan.myshopify.com/cdn/shop/files/pdp_mig_102861bc_20260109_933_ID0101_1_jpg.jpg?v=1768543097</v>
      </c>
      <c r="T345" s="28" t="str">
        <f t="array" ref="T345">INDEX('raw-sheet'!$A$2:$ZZ$1000, ROW(T344), MATCH(T$1, 'raw-sheet'!$A$1:$ZZ$1, 0))</f>
        <v>https://innisfree-taiwan.myshopify.com/cdn/shop/files/pdp_mig_102861bc_20260109_933_ID0101_1_jpg.jpg?v=1768543097</v>
      </c>
      <c r="U345" s="28" t="str">
        <f t="array" ref="U345">INDEX('raw-sheet'!$A$2:$ZZ$1000, ROW(U344), MATCH(U$1, 'raw-sheet'!$A$1:$ZZ$1, 0))</f>
        <v>https://innisfree-taiwan.myshopify.com/products/innisfree-retinol-cica-repair-ampoule-50ml</v>
      </c>
      <c r="V345" s="28" t="str">
        <f t="array" ref="V345">INDEX('raw-sheet'!$A$2:$ZZ$1000, ROW(V344), MATCH(V$1, 'raw-sheet'!$A$1:$ZZ$1, 0))</f>
        <v>安瓶推薦｜A醇淨膚超修護安瓶 - innisfree | INNISFREE Taiwan</v>
      </c>
      <c r="W345" s="28" t="str">
        <f t="array" ref="W345">INDEX('raw-sheet'!$A$2:$ZZ$1000, ROW(W344), MATCH(W$1, 'raw-sheet'!$A$1:$ZZ$1, 0))</f>
        <v>innisfree A醇淨膚超修護安瓶，蘊含A醇、積雪草萃取及多種保濕成分，幫助肌膚代謝老廢角質，改善粉刺、緊緻毛孔，同時穩定膚況的高效修護安瓶。</v>
      </c>
      <c r="X345" s="28" t="str">
        <f t="array" ref="X345">INDEX('raw-sheet'!$A$2:$ZZ$1000, ROW(X344), MATCH(X$1, 'raw-sheet'!$A$1:$ZZ$1, 0))</f>
        <v>summary_large_image</v>
      </c>
      <c r="Y345" s="30" t="s">
        <v>11</v>
      </c>
      <c r="Z345" s="28" t="str">
        <f>VLOOKUP($A345,'raw-schema'!$A:$R,14,0)</f>
        <v>Brand</v>
      </c>
      <c r="AA345" s="28" t="str">
        <f>VLOOKUP($A345,'raw-schema'!$A:$R,15,0)</f>
        <v>Offer</v>
      </c>
      <c r="AB345" s="28" t="str">
        <f>VLOOKUP($A345,'raw-schema'!$A:$R,16,0)</f>
        <v>Organization</v>
      </c>
      <c r="AC345" s="28" t="str">
        <f>VLOOKUP($A345,'raw-schema'!$A:$R,17,0)</f>
        <v>Product</v>
      </c>
      <c r="AD345" s="28">
        <f>VLOOKUP($A345,'raw-schema'!$A:$R,18,0)</f>
        <v>0</v>
      </c>
      <c r="AE345" s="30" t="s">
        <v>69</v>
      </c>
    </row>
    <row r="346" spans="1:31" x14ac:dyDescent="0.3">
      <c r="A346" s="28" t="str">
        <f t="array" ref="A346">INDEX('raw-sheet'!$A$2:$ZZ$1000, ROW(A345), MATCH(A$1, 'raw-sheet'!$A$1:$ZZ$1, 0))</f>
        <v>https://innisfree-taiwan.myshopify.com/products/innisfree-skinny-microcara</v>
      </c>
      <c r="B346" s="30" t="s">
        <v>11</v>
      </c>
      <c r="C346" s="28" t="str">
        <f t="array" ref="C346">INDEX('raw-sheet'!$A$2:$ZZ$1000, ROW(C345), MATCH(C$1, 'raw-sheet'!$A$1:$ZZ$1, 0))</f>
        <v>Product Detail</v>
      </c>
      <c r="D346" s="28">
        <f t="array" ref="D346">INDEX('raw-sheet'!$A$2:$ZZ$1000, ROW(D345), MATCH(D$1, 'raw-sheet'!$A$1:$ZZ$1, 0))</f>
        <v>200</v>
      </c>
      <c r="E346" s="30" t="str">
        <f t="shared" si="10"/>
        <v>Pass</v>
      </c>
      <c r="F346" s="28" t="str">
        <f t="array" ref="F346">INDEX('raw-sheet'!$A$2:$ZZ$1000, ROW(F345), MATCH(F$1, 'raw-sheet'!$A$1:$ZZ$1, 0))</f>
        <v>根根分明極細睫毛膏 3.5g_x000D_ | INNISFREE Taiwan</v>
      </c>
      <c r="G346" s="30" t="s">
        <v>11</v>
      </c>
      <c r="H346" s="28" t="str">
        <f t="array" ref="H346">INDEX('raw-sheet'!$A$2:$ZZ$1000, ROW(H345), MATCH(H$1, 'raw-sheet'!$A$1:$ZZ$1, 0))</f>
        <v>從睫毛根處，打造極細纖長的睫毛</v>
      </c>
      <c r="I346" s="30" t="s">
        <v>11</v>
      </c>
      <c r="J346" s="28" t="str">
        <f t="array" ref="J346">INDEX('raw-sheet'!$A$2:$ZZ$1000, ROW(J345), MATCH(J$1, 'raw-sheet'!$A$1:$ZZ$1, 0))</f>
        <v>根根分明極細睫毛膏 3.5g</v>
      </c>
      <c r="K346" s="28" t="str">
        <f t="array" ref="K346">INDEX('raw-sheet'!$A$2:$ZZ$1000, ROW(K345), MATCH(K$1, 'raw-sheet'!$A$1:$ZZ$1, 0))</f>
        <v>1</v>
      </c>
      <c r="L346" s="30" t="s">
        <v>11</v>
      </c>
      <c r="M346" s="28" t="str">
        <f t="array" ref="M346">INDEX('raw-sheet'!$A$2:$ZZ$1000, ROW(M345), MATCH(M$1, 'raw-sheet'!$A$1:$ZZ$1, 0))</f>
        <v>https://innisfree-taiwan.myshopify.com/products/innisfree-skinny-microcara</v>
      </c>
      <c r="N346" s="30" t="str">
        <f t="shared" si="11"/>
        <v>Pass</v>
      </c>
      <c r="O346" s="28" t="str">
        <f t="array" ref="O346">INDEX('raw-sheet'!$A$2:$ZZ$1000, ROW(O345), MATCH(O$1, 'raw-sheet'!$A$1:$ZZ$1, 0))</f>
        <v>根根分明極細睫毛膏 3.5g | INNISFREE Taiwan</v>
      </c>
      <c r="P346" s="28" t="str">
        <f t="array" ref="P346">INDEX('raw-sheet'!$A$2:$ZZ$1000, ROW(P345), MATCH(P$1, 'raw-sheet'!$A$1:$ZZ$1, 0))</f>
        <v>從睫毛根處，打造極細纖長的睫毛</v>
      </c>
      <c r="Q346" s="28" t="str">
        <f t="array" ref="Q346">INDEX('raw-sheet'!$A$2:$ZZ$1000, ROW(Q345), MATCH(Q$1, 'raw-sheet'!$A$1:$ZZ$1, 0))</f>
        <v>product</v>
      </c>
      <c r="R346" s="28" t="str">
        <f t="array" ref="R346">INDEX('raw-sheet'!$A$2:$ZZ$1000, ROW(R345), MATCH(R$1, 'raw-sheet'!$A$1:$ZZ$1, 0))</f>
        <v>INNISFREE Taiwan</v>
      </c>
      <c r="S346" s="28" t="str">
        <f t="array" ref="S346">INDEX('raw-sheet'!$A$2:$ZZ$1000, ROW(S345), MATCH(S$1, 'raw-sheet'!$A$1:$ZZ$1, 0))</f>
        <v>http://innisfree-taiwan.myshopify.com/cdn/shop/files/pdp_mig_1fdd0986_20230928_1252_ID0101_1_jpg.jpg?v=1768543091</v>
      </c>
      <c r="T346" s="28" t="str">
        <f t="array" ref="T346">INDEX('raw-sheet'!$A$2:$ZZ$1000, ROW(T345), MATCH(T$1, 'raw-sheet'!$A$1:$ZZ$1, 0))</f>
        <v>https://innisfree-taiwan.myshopify.com/cdn/shop/files/pdp_mig_1fdd0986_20230928_1252_ID0101_1_jpg.jpg?v=1768543091</v>
      </c>
      <c r="U346" s="28" t="str">
        <f t="array" ref="U346">INDEX('raw-sheet'!$A$2:$ZZ$1000, ROW(U345), MATCH(U$1, 'raw-sheet'!$A$1:$ZZ$1, 0))</f>
        <v>https://innisfree-taiwan.myshopify.com/products/innisfree-skinny-microcara</v>
      </c>
      <c r="V346" s="28" t="str">
        <f t="array" ref="V346">INDEX('raw-sheet'!$A$2:$ZZ$1000, ROW(V345), MATCH(V$1, 'raw-sheet'!$A$1:$ZZ$1, 0))</f>
        <v>根根分明極細睫毛膏 3.5g | INNISFREE Taiwan</v>
      </c>
      <c r="W346" s="28" t="str">
        <f t="array" ref="W346">INDEX('raw-sheet'!$A$2:$ZZ$1000, ROW(W345), MATCH(W$1, 'raw-sheet'!$A$1:$ZZ$1, 0))</f>
        <v>從睫毛根處，打造極細纖長的睫毛</v>
      </c>
      <c r="X346" s="28" t="str">
        <f t="array" ref="X346">INDEX('raw-sheet'!$A$2:$ZZ$1000, ROW(X345), MATCH(X$1, 'raw-sheet'!$A$1:$ZZ$1, 0))</f>
        <v>summary_large_image</v>
      </c>
      <c r="Y346" s="30" t="s">
        <v>11</v>
      </c>
      <c r="Z346" s="28" t="str">
        <f>VLOOKUP($A346,'raw-schema'!$A:$R,14,0)</f>
        <v>Brand</v>
      </c>
      <c r="AA346" s="28" t="str">
        <f>VLOOKUP($A346,'raw-schema'!$A:$R,15,0)</f>
        <v>Offer</v>
      </c>
      <c r="AB346" s="28" t="str">
        <f>VLOOKUP($A346,'raw-schema'!$A:$R,16,0)</f>
        <v>Organization</v>
      </c>
      <c r="AC346" s="28" t="str">
        <f>VLOOKUP($A346,'raw-schema'!$A:$R,17,0)</f>
        <v>Product</v>
      </c>
      <c r="AD346" s="28" t="str">
        <f>VLOOKUP($A346,'raw-schema'!$A:$R,18,0)</f>
        <v>ProductGroup</v>
      </c>
      <c r="AE346" s="30" t="s">
        <v>69</v>
      </c>
    </row>
    <row r="347" spans="1:31" x14ac:dyDescent="0.3">
      <c r="A347" s="28" t="str">
        <f t="array" ref="A347">INDEX('raw-sheet'!$A$2:$ZZ$1000, ROW(A346), MATCH(A$1, 'raw-sheet'!$A$1:$ZZ$1, 0))</f>
        <v>https://innisfree-taiwan.myshopify.com/products/innisfree-skinny-microcara-zero23</v>
      </c>
      <c r="B347" s="30" t="s">
        <v>11</v>
      </c>
      <c r="C347" s="28" t="str">
        <f t="array" ref="C347">INDEX('raw-sheet'!$A$2:$ZZ$1000, ROW(C346), MATCH(C$1, 'raw-sheet'!$A$1:$ZZ$1, 0))</f>
        <v>Product Detail</v>
      </c>
      <c r="D347" s="28">
        <f t="array" ref="D347">INDEX('raw-sheet'!$A$2:$ZZ$1000, ROW(D346), MATCH(D$1, 'raw-sheet'!$A$1:$ZZ$1, 0))</f>
        <v>200</v>
      </c>
      <c r="E347" s="30" t="str">
        <f t="shared" si="10"/>
        <v>Pass</v>
      </c>
      <c r="F347" s="28" t="str">
        <f t="array" ref="F347">INDEX('raw-sheet'!$A$2:$ZZ$1000, ROW(F346), MATCH(F$1, 'raw-sheet'!$A$1:$ZZ$1, 0))</f>
        <v>根根分明零暈染極細睫毛膏 3.5g_x000D_ | INNISFREE Taiwan</v>
      </c>
      <c r="G347" s="30" t="s">
        <v>11</v>
      </c>
      <c r="H347" s="28" t="str">
        <f t="array" ref="H347">INDEX('raw-sheet'!$A$2:$ZZ$1000, ROW(H346), MATCH(H$1, 'raw-sheet'!$A$1:$ZZ$1, 0))</f>
        <v>極細的刷毛，帶給睫毛根根分明效果的防暈染睫毛膏</v>
      </c>
      <c r="I347" s="30" t="s">
        <v>11</v>
      </c>
      <c r="J347" s="28" t="str">
        <f t="array" ref="J347">INDEX('raw-sheet'!$A$2:$ZZ$1000, ROW(J346), MATCH(J$1, 'raw-sheet'!$A$1:$ZZ$1, 0))</f>
        <v>根根分明零暈染極細睫毛膏 3.5g</v>
      </c>
      <c r="K347" s="28" t="str">
        <f t="array" ref="K347">INDEX('raw-sheet'!$A$2:$ZZ$1000, ROW(K346), MATCH(K$1, 'raw-sheet'!$A$1:$ZZ$1, 0))</f>
        <v>1</v>
      </c>
      <c r="L347" s="30" t="s">
        <v>11</v>
      </c>
      <c r="M347" s="28" t="str">
        <f t="array" ref="M347">INDEX('raw-sheet'!$A$2:$ZZ$1000, ROW(M346), MATCH(M$1, 'raw-sheet'!$A$1:$ZZ$1, 0))</f>
        <v>https://innisfree-taiwan.myshopify.com/products/innisfree-skinny-microcara-zero23</v>
      </c>
      <c r="N347" s="30" t="str">
        <f t="shared" si="11"/>
        <v>Pass</v>
      </c>
      <c r="O347" s="28" t="str">
        <f t="array" ref="O347">INDEX('raw-sheet'!$A$2:$ZZ$1000, ROW(O346), MATCH(O$1, 'raw-sheet'!$A$1:$ZZ$1, 0))</f>
        <v>根根分明零暈染極細睫毛膏 3.5g | INNISFREE Taiwan</v>
      </c>
      <c r="P347" s="28" t="str">
        <f t="array" ref="P347">INDEX('raw-sheet'!$A$2:$ZZ$1000, ROW(P346), MATCH(P$1, 'raw-sheet'!$A$1:$ZZ$1, 0))</f>
        <v>極細的刷毛，帶給睫毛根根分明效果的防暈染睫毛膏</v>
      </c>
      <c r="Q347" s="28" t="str">
        <f t="array" ref="Q347">INDEX('raw-sheet'!$A$2:$ZZ$1000, ROW(Q346), MATCH(Q$1, 'raw-sheet'!$A$1:$ZZ$1, 0))</f>
        <v>product</v>
      </c>
      <c r="R347" s="28" t="str">
        <f t="array" ref="R347">INDEX('raw-sheet'!$A$2:$ZZ$1000, ROW(R346), MATCH(R$1, 'raw-sheet'!$A$1:$ZZ$1, 0))</f>
        <v>INNISFREE Taiwan</v>
      </c>
      <c r="S347" s="28" t="str">
        <f t="array" ref="S347">INDEX('raw-sheet'!$A$2:$ZZ$1000, ROW(S346), MATCH(S$1, 'raw-sheet'!$A$1:$ZZ$1, 0))</f>
        <v>http://innisfree-taiwan.myshopify.com/cdn/shop/files/pdp_mig_1ed6bb3f_20230928_1251_ID0101_1_jpg.jpg?v=1768543092</v>
      </c>
      <c r="T347" s="28" t="str">
        <f t="array" ref="T347">INDEX('raw-sheet'!$A$2:$ZZ$1000, ROW(T346), MATCH(T$1, 'raw-sheet'!$A$1:$ZZ$1, 0))</f>
        <v>https://innisfree-taiwan.myshopify.com/cdn/shop/files/pdp_mig_1ed6bb3f_20230928_1251_ID0101_1_jpg.jpg?v=1768543092</v>
      </c>
      <c r="U347" s="28" t="str">
        <f t="array" ref="U347">INDEX('raw-sheet'!$A$2:$ZZ$1000, ROW(U346), MATCH(U$1, 'raw-sheet'!$A$1:$ZZ$1, 0))</f>
        <v>https://innisfree-taiwan.myshopify.com/products/innisfree-skinny-microcara-zero23</v>
      </c>
      <c r="V347" s="28" t="str">
        <f t="array" ref="V347">INDEX('raw-sheet'!$A$2:$ZZ$1000, ROW(V346), MATCH(V$1, 'raw-sheet'!$A$1:$ZZ$1, 0))</f>
        <v>根根分明零暈染極細睫毛膏 3.5g | INNISFREE Taiwan</v>
      </c>
      <c r="W347" s="28" t="str">
        <f t="array" ref="W347">INDEX('raw-sheet'!$A$2:$ZZ$1000, ROW(W346), MATCH(W$1, 'raw-sheet'!$A$1:$ZZ$1, 0))</f>
        <v>極細的刷毛，帶給睫毛根根分明效果的防暈染睫毛膏</v>
      </c>
      <c r="X347" s="28" t="str">
        <f t="array" ref="X347">INDEX('raw-sheet'!$A$2:$ZZ$1000, ROW(X346), MATCH(X$1, 'raw-sheet'!$A$1:$ZZ$1, 0))</f>
        <v>summary_large_image</v>
      </c>
      <c r="Y347" s="30" t="s">
        <v>11</v>
      </c>
      <c r="Z347" s="28" t="str">
        <f>VLOOKUP($A347,'raw-schema'!$A:$R,14,0)</f>
        <v>Brand</v>
      </c>
      <c r="AA347" s="28" t="str">
        <f>VLOOKUP($A347,'raw-schema'!$A:$R,15,0)</f>
        <v>Offer</v>
      </c>
      <c r="AB347" s="28" t="str">
        <f>VLOOKUP($A347,'raw-schema'!$A:$R,16,0)</f>
        <v>Organization</v>
      </c>
      <c r="AC347" s="28" t="str">
        <f>VLOOKUP($A347,'raw-schema'!$A:$R,17,0)</f>
        <v>Product</v>
      </c>
      <c r="AD347" s="28" t="str">
        <f>VLOOKUP($A347,'raw-schema'!$A:$R,18,0)</f>
        <v>ProductGroup</v>
      </c>
      <c r="AE347" s="30" t="s">
        <v>69</v>
      </c>
    </row>
    <row r="348" spans="1:31" x14ac:dyDescent="0.3">
      <c r="A348" s="28" t="str">
        <f t="array" ref="A348">INDEX('raw-sheet'!$A$2:$ZZ$1000, ROW(A347), MATCH(A$1, 'raw-sheet'!$A$1:$ZZ$1, 0))</f>
        <v>https://innisfree-taiwan.myshopify.com/products/innisfree-special-care-mask-foot</v>
      </c>
      <c r="B348" s="30" t="s">
        <v>11</v>
      </c>
      <c r="C348" s="28" t="str">
        <f t="array" ref="C348">INDEX('raw-sheet'!$A$2:$ZZ$1000, ROW(C347), MATCH(C$1, 'raw-sheet'!$A$1:$ZZ$1, 0))</f>
        <v>Product Detail</v>
      </c>
      <c r="D348" s="28">
        <f t="array" ref="D348">INDEX('raw-sheet'!$A$2:$ZZ$1000, ROW(D347), MATCH(D$1, 'raw-sheet'!$A$1:$ZZ$1, 0))</f>
        <v>200</v>
      </c>
      <c r="E348" s="30" t="str">
        <f t="shared" si="10"/>
        <v>Pass</v>
      </c>
      <c r="F348" s="28" t="str">
        <f t="array" ref="F348">INDEX('raw-sheet'!$A$2:$ZZ$1000, ROW(F347), MATCH(F$1, 'raw-sheet'!$A$1:$ZZ$1, 0))</f>
        <v>特殊護理足部修護膜 20ml_x000D_ | INNISFREE Taiwan</v>
      </c>
      <c r="G348" s="30" t="s">
        <v>11</v>
      </c>
      <c r="H348" s="28" t="str">
        <f t="array" ref="H348">INDEX('raw-sheet'!$A$2:$ZZ$1000, ROW(H347), MATCH(H$1, 'raw-sheet'!$A$1:$ZZ$1, 0))</f>
        <v>重點呵護平常容易遺忘保養的足部，讓雙腳恢復年輕細緻肌膚的修護膜</v>
      </c>
      <c r="I348" s="30" t="s">
        <v>11</v>
      </c>
      <c r="J348" s="28" t="str">
        <f t="array" ref="J348">INDEX('raw-sheet'!$A$2:$ZZ$1000, ROW(J347), MATCH(J$1, 'raw-sheet'!$A$1:$ZZ$1, 0))</f>
        <v>特殊護理足部修護膜 20ml</v>
      </c>
      <c r="K348" s="28" t="str">
        <f t="array" ref="K348">INDEX('raw-sheet'!$A$2:$ZZ$1000, ROW(K347), MATCH(K$1, 'raw-sheet'!$A$1:$ZZ$1, 0))</f>
        <v>1</v>
      </c>
      <c r="L348" s="30" t="s">
        <v>11</v>
      </c>
      <c r="M348" s="28" t="str">
        <f t="array" ref="M348">INDEX('raw-sheet'!$A$2:$ZZ$1000, ROW(M347), MATCH(M$1, 'raw-sheet'!$A$1:$ZZ$1, 0))</f>
        <v>https://innisfree-taiwan.myshopify.com/products/innisfree-special-care-mask-foot</v>
      </c>
      <c r="N348" s="30" t="str">
        <f t="shared" si="11"/>
        <v>Pass</v>
      </c>
      <c r="O348" s="28" t="str">
        <f t="array" ref="O348">INDEX('raw-sheet'!$A$2:$ZZ$1000, ROW(O347), MATCH(O$1, 'raw-sheet'!$A$1:$ZZ$1, 0))</f>
        <v>特殊護理足部修護膜 20ml | INNISFREE Taiwan</v>
      </c>
      <c r="P348" s="28" t="str">
        <f t="array" ref="P348">INDEX('raw-sheet'!$A$2:$ZZ$1000, ROW(P347), MATCH(P$1, 'raw-sheet'!$A$1:$ZZ$1, 0))</f>
        <v>重點呵護平常容易遺忘保養的足部，讓雙腳恢復年輕細緻肌膚的修護膜</v>
      </c>
      <c r="Q348" s="28" t="str">
        <f t="array" ref="Q348">INDEX('raw-sheet'!$A$2:$ZZ$1000, ROW(Q347), MATCH(Q$1, 'raw-sheet'!$A$1:$ZZ$1, 0))</f>
        <v>product</v>
      </c>
      <c r="R348" s="28" t="str">
        <f t="array" ref="R348">INDEX('raw-sheet'!$A$2:$ZZ$1000, ROW(R347), MATCH(R$1, 'raw-sheet'!$A$1:$ZZ$1, 0))</f>
        <v>INNISFREE Taiwan</v>
      </c>
      <c r="S348" s="28" t="str">
        <f t="array" ref="S348">INDEX('raw-sheet'!$A$2:$ZZ$1000, ROW(S347), MATCH(S$1, 'raw-sheet'!$A$1:$ZZ$1, 0))</f>
        <v>http://innisfree-taiwan.myshopify.com/cdn/shop/files/pdp_mig_3f9820c1_20230928_1217_ID0101_1_jpg.jpg?v=1768543087</v>
      </c>
      <c r="T348" s="28" t="str">
        <f t="array" ref="T348">INDEX('raw-sheet'!$A$2:$ZZ$1000, ROW(T347), MATCH(T$1, 'raw-sheet'!$A$1:$ZZ$1, 0))</f>
        <v>https://innisfree-taiwan.myshopify.com/cdn/shop/files/pdp_mig_3f9820c1_20230928_1217_ID0101_1_jpg.jpg?v=1768543087</v>
      </c>
      <c r="U348" s="28" t="str">
        <f t="array" ref="U348">INDEX('raw-sheet'!$A$2:$ZZ$1000, ROW(U347), MATCH(U$1, 'raw-sheet'!$A$1:$ZZ$1, 0))</f>
        <v>https://innisfree-taiwan.myshopify.com/products/innisfree-special-care-mask-foot</v>
      </c>
      <c r="V348" s="28" t="str">
        <f t="array" ref="V348">INDEX('raw-sheet'!$A$2:$ZZ$1000, ROW(V347), MATCH(V$1, 'raw-sheet'!$A$1:$ZZ$1, 0))</f>
        <v>特殊護理足部修護膜 20ml | INNISFREE Taiwan</v>
      </c>
      <c r="W348" s="28" t="str">
        <f t="array" ref="W348">INDEX('raw-sheet'!$A$2:$ZZ$1000, ROW(W347), MATCH(W$1, 'raw-sheet'!$A$1:$ZZ$1, 0))</f>
        <v>重點呵護平常容易遺忘保養的足部，讓雙腳恢復年輕細緻肌膚的修護膜</v>
      </c>
      <c r="X348" s="28" t="str">
        <f t="array" ref="X348">INDEX('raw-sheet'!$A$2:$ZZ$1000, ROW(X347), MATCH(X$1, 'raw-sheet'!$A$1:$ZZ$1, 0))</f>
        <v>summary_large_image</v>
      </c>
      <c r="Y348" s="30" t="s">
        <v>11</v>
      </c>
      <c r="Z348" s="28" t="str">
        <f>VLOOKUP($A348,'raw-schema'!$A:$R,14,0)</f>
        <v>Brand</v>
      </c>
      <c r="AA348" s="28" t="str">
        <f>VLOOKUP($A348,'raw-schema'!$A:$R,15,0)</f>
        <v>Offer</v>
      </c>
      <c r="AB348" s="28" t="str">
        <f>VLOOKUP($A348,'raw-schema'!$A:$R,16,0)</f>
        <v>Organization</v>
      </c>
      <c r="AC348" s="28" t="str">
        <f>VLOOKUP($A348,'raw-schema'!$A:$R,17,0)</f>
        <v>Product</v>
      </c>
      <c r="AD348" s="28">
        <f>VLOOKUP($A348,'raw-schema'!$A:$R,18,0)</f>
        <v>0</v>
      </c>
      <c r="AE348" s="30" t="s">
        <v>69</v>
      </c>
    </row>
    <row r="349" spans="1:31" x14ac:dyDescent="0.3">
      <c r="A349" s="28" t="str">
        <f t="array" ref="A349">INDEX('raw-sheet'!$A$2:$ZZ$1000, ROW(A348), MATCH(A$1, 'raw-sheet'!$A$1:$ZZ$1, 0))</f>
        <v>https://innisfree-taiwan.myshopify.com/products/innisfree-special-care-mask-hand</v>
      </c>
      <c r="B349" s="30" t="s">
        <v>11</v>
      </c>
      <c r="C349" s="28" t="str">
        <f t="array" ref="C349">INDEX('raw-sheet'!$A$2:$ZZ$1000, ROW(C348), MATCH(C$1, 'raw-sheet'!$A$1:$ZZ$1, 0))</f>
        <v>Product Detail</v>
      </c>
      <c r="D349" s="28">
        <f t="array" ref="D349">INDEX('raw-sheet'!$A$2:$ZZ$1000, ROW(D348), MATCH(D$1, 'raw-sheet'!$A$1:$ZZ$1, 0))</f>
        <v>200</v>
      </c>
      <c r="E349" s="30" t="str">
        <f t="shared" si="10"/>
        <v>Pass</v>
      </c>
      <c r="F349" s="28" t="str">
        <f t="array" ref="F349">INDEX('raw-sheet'!$A$2:$ZZ$1000, ROW(F348), MATCH(F$1, 'raw-sheet'!$A$1:$ZZ$1, 0))</f>
        <v>特殊護理手部修護膜 20ml_x000D_ | INNISFREE Taiwan</v>
      </c>
      <c r="G349" s="30" t="s">
        <v>11</v>
      </c>
      <c r="H349" s="28" t="str">
        <f t="array" ref="H349">INDEX('raw-sheet'!$A$2:$ZZ$1000, ROW(H348), MATCH(H$1, 'raw-sheet'!$A$1:$ZZ$1, 0))</f>
        <v>重點呵護平常容易遺忘保養的手部，讓雙手恢復年輕細緻肌膚的修護膜</v>
      </c>
      <c r="I349" s="30" t="s">
        <v>11</v>
      </c>
      <c r="J349" s="28" t="str">
        <f t="array" ref="J349">INDEX('raw-sheet'!$A$2:$ZZ$1000, ROW(J348), MATCH(J$1, 'raw-sheet'!$A$1:$ZZ$1, 0))</f>
        <v>特殊護理手部修護膜 20ml</v>
      </c>
      <c r="K349" s="28" t="str">
        <f t="array" ref="K349">INDEX('raw-sheet'!$A$2:$ZZ$1000, ROW(K348), MATCH(K$1, 'raw-sheet'!$A$1:$ZZ$1, 0))</f>
        <v>1</v>
      </c>
      <c r="L349" s="30" t="s">
        <v>11</v>
      </c>
      <c r="M349" s="28" t="str">
        <f t="array" ref="M349">INDEX('raw-sheet'!$A$2:$ZZ$1000, ROW(M348), MATCH(M$1, 'raw-sheet'!$A$1:$ZZ$1, 0))</f>
        <v>https://innisfree-taiwan.myshopify.com/products/innisfree-special-care-mask-hand</v>
      </c>
      <c r="N349" s="30" t="str">
        <f t="shared" si="11"/>
        <v>Pass</v>
      </c>
      <c r="O349" s="28" t="str">
        <f t="array" ref="O349">INDEX('raw-sheet'!$A$2:$ZZ$1000, ROW(O348), MATCH(O$1, 'raw-sheet'!$A$1:$ZZ$1, 0))</f>
        <v>特殊護理手部修護膜 20ml | INNISFREE Taiwan</v>
      </c>
      <c r="P349" s="28" t="str">
        <f t="array" ref="P349">INDEX('raw-sheet'!$A$2:$ZZ$1000, ROW(P348), MATCH(P$1, 'raw-sheet'!$A$1:$ZZ$1, 0))</f>
        <v>重點呵護平常容易遺忘保養的手部，讓雙手恢復年輕細緻肌膚的修護膜</v>
      </c>
      <c r="Q349" s="28" t="str">
        <f t="array" ref="Q349">INDEX('raw-sheet'!$A$2:$ZZ$1000, ROW(Q348), MATCH(Q$1, 'raw-sheet'!$A$1:$ZZ$1, 0))</f>
        <v>product</v>
      </c>
      <c r="R349" s="28" t="str">
        <f t="array" ref="R349">INDEX('raw-sheet'!$A$2:$ZZ$1000, ROW(R348), MATCH(R$1, 'raw-sheet'!$A$1:$ZZ$1, 0))</f>
        <v>INNISFREE Taiwan</v>
      </c>
      <c r="S349" s="28" t="str">
        <f t="array" ref="S349">INDEX('raw-sheet'!$A$2:$ZZ$1000, ROW(S348), MATCH(S$1, 'raw-sheet'!$A$1:$ZZ$1, 0))</f>
        <v>http://innisfree-taiwan.myshopify.com/cdn/shop/files/pdp_mig_5bf31904_20230911_1216_ID0101_1_jpg.jpg?v=1768543087</v>
      </c>
      <c r="T349" s="28" t="str">
        <f t="array" ref="T349">INDEX('raw-sheet'!$A$2:$ZZ$1000, ROW(T348), MATCH(T$1, 'raw-sheet'!$A$1:$ZZ$1, 0))</f>
        <v>https://innisfree-taiwan.myshopify.com/cdn/shop/files/pdp_mig_5bf31904_20230911_1216_ID0101_1_jpg.jpg?v=1768543087</v>
      </c>
      <c r="U349" s="28" t="str">
        <f t="array" ref="U349">INDEX('raw-sheet'!$A$2:$ZZ$1000, ROW(U348), MATCH(U$1, 'raw-sheet'!$A$1:$ZZ$1, 0))</f>
        <v>https://innisfree-taiwan.myshopify.com/products/innisfree-special-care-mask-hand</v>
      </c>
      <c r="V349" s="28" t="str">
        <f t="array" ref="V349">INDEX('raw-sheet'!$A$2:$ZZ$1000, ROW(V348), MATCH(V$1, 'raw-sheet'!$A$1:$ZZ$1, 0))</f>
        <v>特殊護理手部修護膜 20ml | INNISFREE Taiwan</v>
      </c>
      <c r="W349" s="28" t="str">
        <f t="array" ref="W349">INDEX('raw-sheet'!$A$2:$ZZ$1000, ROW(W348), MATCH(W$1, 'raw-sheet'!$A$1:$ZZ$1, 0))</f>
        <v>重點呵護平常容易遺忘保養的手部，讓雙手恢復年輕細緻肌膚的修護膜</v>
      </c>
      <c r="X349" s="28" t="str">
        <f t="array" ref="X349">INDEX('raw-sheet'!$A$2:$ZZ$1000, ROW(X348), MATCH(X$1, 'raw-sheet'!$A$1:$ZZ$1, 0))</f>
        <v>summary_large_image</v>
      </c>
      <c r="Y349" s="30" t="s">
        <v>11</v>
      </c>
      <c r="Z349" s="28" t="str">
        <f>VLOOKUP($A349,'raw-schema'!$A:$R,14,0)</f>
        <v>Brand</v>
      </c>
      <c r="AA349" s="28" t="str">
        <f>VLOOKUP($A349,'raw-schema'!$A:$R,15,0)</f>
        <v>Offer</v>
      </c>
      <c r="AB349" s="28" t="str">
        <f>VLOOKUP($A349,'raw-schema'!$A:$R,16,0)</f>
        <v>Organization</v>
      </c>
      <c r="AC349" s="28" t="str">
        <f>VLOOKUP($A349,'raw-schema'!$A:$R,17,0)</f>
        <v>Product</v>
      </c>
      <c r="AD349" s="28">
        <f>VLOOKUP($A349,'raw-schema'!$A:$R,18,0)</f>
        <v>0</v>
      </c>
      <c r="AE349" s="30" t="s">
        <v>69</v>
      </c>
    </row>
    <row r="350" spans="1:31" x14ac:dyDescent="0.3">
      <c r="A350" s="28" t="str">
        <f t="array" ref="A350">INDEX('raw-sheet'!$A$2:$ZZ$1000, ROW(A349), MATCH(A$1, 'raw-sheet'!$A$1:$ZZ$1, 0))</f>
        <v>https://innisfree-taiwan.myshopify.com/products/innisfree-super-volcanic-pore-clay-mask</v>
      </c>
      <c r="B350" s="30" t="s">
        <v>11</v>
      </c>
      <c r="C350" s="28" t="str">
        <f t="array" ref="C350">INDEX('raw-sheet'!$A$2:$ZZ$1000, ROW(C349), MATCH(C$1, 'raw-sheet'!$A$1:$ZZ$1, 0))</f>
        <v>Product Detail</v>
      </c>
      <c r="D350" s="28">
        <f t="array" ref="D350">INDEX('raw-sheet'!$A$2:$ZZ$1000, ROW(D349), MATCH(D$1, 'raw-sheet'!$A$1:$ZZ$1, 0))</f>
        <v>200</v>
      </c>
      <c r="E350" s="30" t="str">
        <f t="shared" si="10"/>
        <v>Pass</v>
      </c>
      <c r="F350" s="28" t="str">
        <f t="array" ref="F350">INDEX('raw-sheet'!$A$2:$ZZ$1000, ROW(F349), MATCH(F$1, 'raw-sheet'!$A$1:$ZZ$1, 0))</f>
        <v>超級火山泥毛孔潔淨面膜 100ml_x000D_ | INNISFREE Taiwan</v>
      </c>
      <c r="G350" s="30" t="s">
        <v>11</v>
      </c>
      <c r="H350" s="28" t="str">
        <f t="array" ref="H350">INDEX('raw-sheet'!$A$2:$ZZ$1000, ROW(H349), MATCH(H$1, 'raw-sheet'!$A$1:$ZZ$1, 0))</f>
        <v>含有火山皮脂淨化粉末成分，擁有強力吸附油脂的效果，集中解決毛孔問題的潔淨面膜。適合在意毛孔粉刺困擾、為油光問題感到煩惱的顧客。</v>
      </c>
      <c r="I350" s="30" t="s">
        <v>11</v>
      </c>
      <c r="J350" s="28" t="str">
        <f t="array" ref="J350">INDEX('raw-sheet'!$A$2:$ZZ$1000, ROW(J349), MATCH(J$1, 'raw-sheet'!$A$1:$ZZ$1, 0))</f>
        <v>超級火山泥毛孔潔淨面膜 100ml</v>
      </c>
      <c r="K350" s="28" t="str">
        <f t="array" ref="K350">INDEX('raw-sheet'!$A$2:$ZZ$1000, ROW(K349), MATCH(K$1, 'raw-sheet'!$A$1:$ZZ$1, 0))</f>
        <v>1</v>
      </c>
      <c r="L350" s="30" t="s">
        <v>11</v>
      </c>
      <c r="M350" s="28" t="str">
        <f t="array" ref="M350">INDEX('raw-sheet'!$A$2:$ZZ$1000, ROW(M349), MATCH(M$1, 'raw-sheet'!$A$1:$ZZ$1, 0))</f>
        <v>https://innisfree-taiwan.myshopify.com/products/innisfree-super-volcanic-pore-clay-mask</v>
      </c>
      <c r="N350" s="30" t="str">
        <f t="shared" si="11"/>
        <v>Pass</v>
      </c>
      <c r="O350" s="28" t="str">
        <f t="array" ref="O350">INDEX('raw-sheet'!$A$2:$ZZ$1000, ROW(O349), MATCH(O$1, 'raw-sheet'!$A$1:$ZZ$1, 0))</f>
        <v>超級火山泥毛孔潔淨面膜 100ml | INNISFREE Taiwan</v>
      </c>
      <c r="P350" s="28" t="str">
        <f t="array" ref="P350">INDEX('raw-sheet'!$A$2:$ZZ$1000, ROW(P349), MATCH(P$1, 'raw-sheet'!$A$1:$ZZ$1, 0))</f>
        <v>含有火山皮脂淨化粉末成分，擁有強力吸附油脂的效果，集中解決毛孔問題的潔淨面膜。適合在意毛孔粉刺困擾、為油光問題感到煩惱的顧客。</v>
      </c>
      <c r="Q350" s="28" t="str">
        <f t="array" ref="Q350">INDEX('raw-sheet'!$A$2:$ZZ$1000, ROW(Q349), MATCH(Q$1, 'raw-sheet'!$A$1:$ZZ$1, 0))</f>
        <v>product</v>
      </c>
      <c r="R350" s="28" t="str">
        <f t="array" ref="R350">INDEX('raw-sheet'!$A$2:$ZZ$1000, ROW(R349), MATCH(R$1, 'raw-sheet'!$A$1:$ZZ$1, 0))</f>
        <v>INNISFREE Taiwan</v>
      </c>
      <c r="S350" s="28" t="str">
        <f t="array" ref="S350">INDEX('raw-sheet'!$A$2:$ZZ$1000, ROW(S349), MATCH(S$1, 'raw-sheet'!$A$1:$ZZ$1, 0))</f>
        <v>http://innisfree-taiwan.myshopify.com/cdn/shop/files/pdp_mig_29e516df_20250801_125_ID0101_1_jpg.jpg?v=1768543112</v>
      </c>
      <c r="T350" s="28" t="str">
        <f t="array" ref="T350">INDEX('raw-sheet'!$A$2:$ZZ$1000, ROW(T349), MATCH(T$1, 'raw-sheet'!$A$1:$ZZ$1, 0))</f>
        <v>https://innisfree-taiwan.myshopify.com/cdn/shop/files/pdp_mig_29e516df_20250801_125_ID0101_1_jpg.jpg?v=1768543112</v>
      </c>
      <c r="U350" s="28" t="str">
        <f t="array" ref="U350">INDEX('raw-sheet'!$A$2:$ZZ$1000, ROW(U349), MATCH(U$1, 'raw-sheet'!$A$1:$ZZ$1, 0))</f>
        <v>https://innisfree-taiwan.myshopify.com/products/innisfree-super-volcanic-pore-clay-mask</v>
      </c>
      <c r="V350" s="28" t="str">
        <f t="array" ref="V350">INDEX('raw-sheet'!$A$2:$ZZ$1000, ROW(V349), MATCH(V$1, 'raw-sheet'!$A$1:$ZZ$1, 0))</f>
        <v>超級火山泥毛孔潔淨面膜 100ml | INNISFREE Taiwan</v>
      </c>
      <c r="W350" s="28" t="str">
        <f t="array" ref="W350">INDEX('raw-sheet'!$A$2:$ZZ$1000, ROW(W349), MATCH(W$1, 'raw-sheet'!$A$1:$ZZ$1, 0))</f>
        <v>含有火山皮脂淨化粉末成分，擁有強力吸附油脂的效果，集中解決毛孔問題的潔淨面膜。適合在意毛孔粉刺困擾、為油光問題感到煩惱的顧客。</v>
      </c>
      <c r="X350" s="28" t="str">
        <f t="array" ref="X350">INDEX('raw-sheet'!$A$2:$ZZ$1000, ROW(X349), MATCH(X$1, 'raw-sheet'!$A$1:$ZZ$1, 0))</f>
        <v>summary_large_image</v>
      </c>
      <c r="Y350" s="30" t="s">
        <v>11</v>
      </c>
      <c r="Z350" s="28" t="str">
        <f>VLOOKUP($A350,'raw-schema'!$A:$R,14,0)</f>
        <v>Brand</v>
      </c>
      <c r="AA350" s="28" t="str">
        <f>VLOOKUP($A350,'raw-schema'!$A:$R,15,0)</f>
        <v>Offer</v>
      </c>
      <c r="AB350" s="28" t="str">
        <f>VLOOKUP($A350,'raw-schema'!$A:$R,16,0)</f>
        <v>Organization</v>
      </c>
      <c r="AC350" s="28" t="str">
        <f>VLOOKUP($A350,'raw-schema'!$A:$R,17,0)</f>
        <v>Product</v>
      </c>
      <c r="AD350" s="28">
        <f>VLOOKUP($A350,'raw-schema'!$A:$R,18,0)</f>
        <v>0</v>
      </c>
      <c r="AE350" s="30" t="s">
        <v>69</v>
      </c>
    </row>
    <row r="351" spans="1:31" x14ac:dyDescent="0.3">
      <c r="A351" s="28" t="str">
        <f t="array" ref="A351">INDEX('raw-sheet'!$A$2:$ZZ$1000, ROW(A350), MATCH(A$1, 'raw-sheet'!$A$1:$ZZ$1, 0))</f>
        <v>https://innisfree-taiwan.myshopify.com/products/innisfree-tone-up-no-sebum-sunscreen-ex-spf50-pa</v>
      </c>
      <c r="B351" s="30" t="s">
        <v>11</v>
      </c>
      <c r="C351" s="28" t="str">
        <f t="array" ref="C351">INDEX('raw-sheet'!$A$2:$ZZ$1000, ROW(C350), MATCH(C$1, 'raw-sheet'!$A$1:$ZZ$1, 0))</f>
        <v>Product Detail</v>
      </c>
      <c r="D351" s="28">
        <f t="array" ref="D351">INDEX('raw-sheet'!$A$2:$ZZ$1000, ROW(D350), MATCH(D$1, 'raw-sheet'!$A$1:$ZZ$1, 0))</f>
        <v>200</v>
      </c>
      <c r="E351" s="30" t="str">
        <f t="shared" si="10"/>
        <v>Pass</v>
      </c>
      <c r="F351" s="28" t="str">
        <f t="array" ref="F351">INDEX('raw-sheet'!$A$2:$ZZ$1000, ROW(F350), MATCH(F$1, 'raw-sheet'!$A$1:$ZZ$1, 0))</f>
        <v>向日葵亮顏控油防曬霜 SPF50+ PA++++ &amp;#40;小熊維尼限定版&amp;#41;_x000D_ | INNISFREE Taiwan</v>
      </c>
      <c r="G351" s="30" t="s">
        <v>11</v>
      </c>
      <c r="H351" s="28" t="str">
        <f t="array" ref="H351">INDEX('raw-sheet'!$A$2:$ZZ$1000, ROW(H350), MATCH(H$1, 'raw-sheet'!$A$1:$ZZ$1, 0))</f>
        <v>物理性防曬+專利控油技術，能避免油脂分泌旺盛問題，同時達到長效持妝之功效。</v>
      </c>
      <c r="I351" s="30" t="s">
        <v>60</v>
      </c>
      <c r="J351" s="28" t="str">
        <f t="array" ref="J351">INDEX('raw-sheet'!$A$2:$ZZ$1000, ROW(J350), MATCH(J$1, 'raw-sheet'!$A$1:$ZZ$1, 0))</f>
        <v>向日葵亮顏控油防曬霜 SPF50+ PA++++ (小熊維尼限定版)</v>
      </c>
      <c r="K351" s="28" t="str">
        <f t="array" ref="K351">INDEX('raw-sheet'!$A$2:$ZZ$1000, ROW(K350), MATCH(K$1, 'raw-sheet'!$A$1:$ZZ$1, 0))</f>
        <v>1</v>
      </c>
      <c r="L351" s="30" t="s">
        <v>11</v>
      </c>
      <c r="M351" s="28" t="str">
        <f t="array" ref="M351">INDEX('raw-sheet'!$A$2:$ZZ$1000, ROW(M350), MATCH(M$1, 'raw-sheet'!$A$1:$ZZ$1, 0))</f>
        <v>https://innisfree-taiwan.myshopify.com/products/innisfree-tone-up-no-sebum-sunscreen-ex-spf50-pa</v>
      </c>
      <c r="N351" s="30" t="str">
        <f t="shared" si="11"/>
        <v>Pass</v>
      </c>
      <c r="O351" s="28" t="str">
        <f t="array" ref="O351">INDEX('raw-sheet'!$A$2:$ZZ$1000, ROW(O350), MATCH(O$1, 'raw-sheet'!$A$1:$ZZ$1, 0))</f>
        <v>向日葵亮顏控油防曬霜 SPF50+ PA++++ &amp;#40;小熊維尼限定版&amp;#41; | INNISFREE Taiwan</v>
      </c>
      <c r="P351" s="28" t="str">
        <f t="array" ref="P351">INDEX('raw-sheet'!$A$2:$ZZ$1000, ROW(P350), MATCH(P$1, 'raw-sheet'!$A$1:$ZZ$1, 0))</f>
        <v>物理性防曬+專利控油技術，能避免油脂分泌旺盛問題，同時達到長效持妝之功效。</v>
      </c>
      <c r="Q351" s="28" t="str">
        <f t="array" ref="Q351">INDEX('raw-sheet'!$A$2:$ZZ$1000, ROW(Q350), MATCH(Q$1, 'raw-sheet'!$A$1:$ZZ$1, 0))</f>
        <v>product</v>
      </c>
      <c r="R351" s="28" t="str">
        <f t="array" ref="R351">INDEX('raw-sheet'!$A$2:$ZZ$1000, ROW(R350), MATCH(R$1, 'raw-sheet'!$A$1:$ZZ$1, 0))</f>
        <v>INNISFREE Taiwan</v>
      </c>
      <c r="S351" s="28" t="str">
        <f t="array" ref="S351">INDEX('raw-sheet'!$A$2:$ZZ$1000, ROW(S350), MATCH(S$1, 'raw-sheet'!$A$1:$ZZ$1, 0))</f>
        <v>http://innisfree-taiwan.myshopify.com/cdn/shop/files/pdp_mig_70912e15_20250826_1619_ID0101_1_jpg.jpg?v=1768543070</v>
      </c>
      <c r="T351" s="28" t="str">
        <f t="array" ref="T351">INDEX('raw-sheet'!$A$2:$ZZ$1000, ROW(T350), MATCH(T$1, 'raw-sheet'!$A$1:$ZZ$1, 0))</f>
        <v>https://innisfree-taiwan.myshopify.com/cdn/shop/files/pdp_mig_70912e15_20250826_1619_ID0101_1_jpg.jpg?v=1768543070</v>
      </c>
      <c r="U351" s="28" t="str">
        <f t="array" ref="U351">INDEX('raw-sheet'!$A$2:$ZZ$1000, ROW(U350), MATCH(U$1, 'raw-sheet'!$A$1:$ZZ$1, 0))</f>
        <v>https://innisfree-taiwan.myshopify.com/products/innisfree-tone-up-no-sebum-sunscreen-ex-spf50-pa</v>
      </c>
      <c r="V351" s="28" t="str">
        <f t="array" ref="V351">INDEX('raw-sheet'!$A$2:$ZZ$1000, ROW(V350), MATCH(V$1, 'raw-sheet'!$A$1:$ZZ$1, 0))</f>
        <v>向日葵亮顏控油防曬霜 SPF50+ PA++++ &amp;#40;小熊維尼限定版&amp;#41; | INNISFREE Taiwan</v>
      </c>
      <c r="W351" s="28" t="str">
        <f t="array" ref="W351">INDEX('raw-sheet'!$A$2:$ZZ$1000, ROW(W350), MATCH(W$1, 'raw-sheet'!$A$1:$ZZ$1, 0))</f>
        <v>物理性防曬+專利控油技術，能避免油脂分泌旺盛問題，同時達到長效持妝之功效。</v>
      </c>
      <c r="X351" s="28" t="str">
        <f t="array" ref="X351">INDEX('raw-sheet'!$A$2:$ZZ$1000, ROW(X350), MATCH(X$1, 'raw-sheet'!$A$1:$ZZ$1, 0))</f>
        <v>summary_large_image</v>
      </c>
      <c r="Y351" s="30" t="s">
        <v>56</v>
      </c>
      <c r="Z351" s="28" t="str">
        <f>VLOOKUP($A351,'raw-schema'!$A:$R,14,0)</f>
        <v>Brand</v>
      </c>
      <c r="AA351" s="28" t="str">
        <f>VLOOKUP($A351,'raw-schema'!$A:$R,15,0)</f>
        <v>Offer</v>
      </c>
      <c r="AB351" s="28" t="str">
        <f>VLOOKUP($A351,'raw-schema'!$A:$R,16,0)</f>
        <v>Organization</v>
      </c>
      <c r="AC351" s="28" t="str">
        <f>VLOOKUP($A351,'raw-schema'!$A:$R,17,0)</f>
        <v>Product</v>
      </c>
      <c r="AD351" s="28">
        <f>VLOOKUP($A351,'raw-schema'!$A:$R,18,0)</f>
        <v>0</v>
      </c>
      <c r="AE351" s="30" t="s">
        <v>69</v>
      </c>
    </row>
    <row r="352" spans="1:31" x14ac:dyDescent="0.3">
      <c r="A352" s="28" t="str">
        <f t="array" ref="A352">INDEX('raw-sheet'!$A$2:$ZZ$1000, ROW(A351), MATCH(A$1, 'raw-sheet'!$A$1:$ZZ$1, 0))</f>
        <v>https://innisfree-taiwan.myshopify.com/products/innisfree-tone-up-watering-sunscreen-spf50-pa</v>
      </c>
      <c r="B352" s="30" t="s">
        <v>11</v>
      </c>
      <c r="C352" s="28" t="str">
        <f t="array" ref="C352">INDEX('raw-sheet'!$A$2:$ZZ$1000, ROW(C351), MATCH(C$1, 'raw-sheet'!$A$1:$ZZ$1, 0))</f>
        <v>Product Detail</v>
      </c>
      <c r="D352" s="28">
        <f t="array" ref="D352">INDEX('raw-sheet'!$A$2:$ZZ$1000, ROW(D351), MATCH(D$1, 'raw-sheet'!$A$1:$ZZ$1, 0))</f>
        <v>200</v>
      </c>
      <c r="E352" s="30" t="str">
        <f t="shared" si="10"/>
        <v>Pass</v>
      </c>
      <c r="F352" s="28" t="str">
        <f t="array" ref="F352">INDEX('raw-sheet'!$A$2:$ZZ$1000, ROW(F351), MATCH(F$1, 'raw-sheet'!$A$1:$ZZ$1, 0))</f>
        <v>向日葵亮顏水感防曬霜 SPF50+ PA++++ 60ml_x000D_ | INNISFREE Taiwan</v>
      </c>
      <c r="G352" s="30" t="s">
        <v>11</v>
      </c>
      <c r="H352" s="28" t="str">
        <f t="array" ref="H352">INDEX('raw-sheet'!$A$2:$ZZ$1000, ROW(H351), MATCH(H$1, 'raw-sheet'!$A$1:$ZZ$1, 0))</f>
        <v>物理+化學防曬霜，可作為飾底乳使用．打造水潤輕盈的妝容。</v>
      </c>
      <c r="I352" s="30" t="s">
        <v>11</v>
      </c>
      <c r="J352" s="28" t="str">
        <f t="array" ref="J352">INDEX('raw-sheet'!$A$2:$ZZ$1000, ROW(J351), MATCH(J$1, 'raw-sheet'!$A$1:$ZZ$1, 0))</f>
        <v>向日葵亮顏水感防曬霜 SPF50+ PA++++ 60ml</v>
      </c>
      <c r="K352" s="28" t="str">
        <f t="array" ref="K352">INDEX('raw-sheet'!$A$2:$ZZ$1000, ROW(K351), MATCH(K$1, 'raw-sheet'!$A$1:$ZZ$1, 0))</f>
        <v>1</v>
      </c>
      <c r="L352" s="30" t="s">
        <v>11</v>
      </c>
      <c r="M352" s="28" t="str">
        <f t="array" ref="M352">INDEX('raw-sheet'!$A$2:$ZZ$1000, ROW(M351), MATCH(M$1, 'raw-sheet'!$A$1:$ZZ$1, 0))</f>
        <v>https://innisfree-taiwan.myshopify.com/products/innisfree-tone-up-watering-sunscreen-spf50-pa</v>
      </c>
      <c r="N352" s="30" t="str">
        <f t="shared" si="11"/>
        <v>Pass</v>
      </c>
      <c r="O352" s="28" t="str">
        <f t="array" ref="O352">INDEX('raw-sheet'!$A$2:$ZZ$1000, ROW(O351), MATCH(O$1, 'raw-sheet'!$A$1:$ZZ$1, 0))</f>
        <v>向日葵亮顏水感防曬霜 SPF50+ PA++++ 60ml | INNISFREE Taiwan</v>
      </c>
      <c r="P352" s="28" t="str">
        <f t="array" ref="P352">INDEX('raw-sheet'!$A$2:$ZZ$1000, ROW(P351), MATCH(P$1, 'raw-sheet'!$A$1:$ZZ$1, 0))</f>
        <v>物理+化學防曬霜，可作為飾底乳使用．打造水潤輕盈的妝容。</v>
      </c>
      <c r="Q352" s="28" t="str">
        <f t="array" ref="Q352">INDEX('raw-sheet'!$A$2:$ZZ$1000, ROW(Q351), MATCH(Q$1, 'raw-sheet'!$A$1:$ZZ$1, 0))</f>
        <v>product</v>
      </c>
      <c r="R352" s="28" t="str">
        <f t="array" ref="R352">INDEX('raw-sheet'!$A$2:$ZZ$1000, ROW(R351), MATCH(R$1, 'raw-sheet'!$A$1:$ZZ$1, 0))</f>
        <v>INNISFREE Taiwan</v>
      </c>
      <c r="S352" s="28" t="str">
        <f t="array" ref="S352">INDEX('raw-sheet'!$A$2:$ZZ$1000, ROW(S351), MATCH(S$1, 'raw-sheet'!$A$1:$ZZ$1, 0))</f>
        <v>http://innisfree-taiwan.myshopify.com/cdn/shop/files/pdp_mig_15a75083_20240924_1426_ID0101_1_jpg.jpg?v=1768543073</v>
      </c>
      <c r="T352" s="28" t="str">
        <f t="array" ref="T352">INDEX('raw-sheet'!$A$2:$ZZ$1000, ROW(T351), MATCH(T$1, 'raw-sheet'!$A$1:$ZZ$1, 0))</f>
        <v>https://innisfree-taiwan.myshopify.com/cdn/shop/files/pdp_mig_15a75083_20240924_1426_ID0101_1_jpg.jpg?v=1768543073</v>
      </c>
      <c r="U352" s="28" t="str">
        <f t="array" ref="U352">INDEX('raw-sheet'!$A$2:$ZZ$1000, ROW(U351), MATCH(U$1, 'raw-sheet'!$A$1:$ZZ$1, 0))</f>
        <v>https://innisfree-taiwan.myshopify.com/products/innisfree-tone-up-watering-sunscreen-spf50-pa</v>
      </c>
      <c r="V352" s="28" t="str">
        <f t="array" ref="V352">INDEX('raw-sheet'!$A$2:$ZZ$1000, ROW(V351), MATCH(V$1, 'raw-sheet'!$A$1:$ZZ$1, 0))</f>
        <v>向日葵亮顏水感防曬霜 SPF50+ PA++++ 60ml | INNISFREE Taiwan</v>
      </c>
      <c r="W352" s="28" t="str">
        <f t="array" ref="W352">INDEX('raw-sheet'!$A$2:$ZZ$1000, ROW(W351), MATCH(W$1, 'raw-sheet'!$A$1:$ZZ$1, 0))</f>
        <v>物理+化學防曬霜，可作為飾底乳使用．打造水潤輕盈的妝容。</v>
      </c>
      <c r="X352" s="28" t="str">
        <f t="array" ref="X352">INDEX('raw-sheet'!$A$2:$ZZ$1000, ROW(X351), MATCH(X$1, 'raw-sheet'!$A$1:$ZZ$1, 0))</f>
        <v>summary_large_image</v>
      </c>
      <c r="Y352" s="30" t="s">
        <v>11</v>
      </c>
      <c r="Z352" s="28" t="str">
        <f>VLOOKUP($A352,'raw-schema'!$A:$R,14,0)</f>
        <v>Brand</v>
      </c>
      <c r="AA352" s="28" t="str">
        <f>VLOOKUP($A352,'raw-schema'!$A:$R,15,0)</f>
        <v>Offer</v>
      </c>
      <c r="AB352" s="28" t="str">
        <f>VLOOKUP($A352,'raw-schema'!$A:$R,16,0)</f>
        <v>Organization</v>
      </c>
      <c r="AC352" s="28" t="str">
        <f>VLOOKUP($A352,'raw-schema'!$A:$R,17,0)</f>
        <v>Product</v>
      </c>
      <c r="AD352" s="28">
        <f>VLOOKUP($A352,'raw-schema'!$A:$R,18,0)</f>
        <v>0</v>
      </c>
      <c r="AE352" s="30" t="s">
        <v>69</v>
      </c>
    </row>
    <row r="353" spans="1:31" x14ac:dyDescent="0.3">
      <c r="A353" s="28" t="str">
        <f t="array" ref="A353">INDEX('raw-sheet'!$A$2:$ZZ$1000, ROW(A352), MATCH(A$1, 'raw-sheet'!$A$1:$ZZ$1, 0))</f>
        <v>https://innisfree-taiwan.myshopify.com/products/innisfree-uv-active-poreless-sunscreen-spf50-pa</v>
      </c>
      <c r="B353" s="30" t="s">
        <v>11</v>
      </c>
      <c r="C353" s="28" t="str">
        <f t="array" ref="C353">INDEX('raw-sheet'!$A$2:$ZZ$1000, ROW(C352), MATCH(C$1, 'raw-sheet'!$A$1:$ZZ$1, 0))</f>
        <v>Product Detail</v>
      </c>
      <c r="D353" s="28">
        <f t="array" ref="D353">INDEX('raw-sheet'!$A$2:$ZZ$1000, ROW(D352), MATCH(D$1, 'raw-sheet'!$A$1:$ZZ$1, 0))</f>
        <v>200</v>
      </c>
      <c r="E353" s="30" t="str">
        <f t="shared" si="10"/>
        <v>Pass</v>
      </c>
      <c r="F353" s="28" t="str">
        <f t="array" ref="F353">INDEX('raw-sheet'!$A$2:$ZZ$1000, ROW(F352), MATCH(F$1, 'raw-sheet'!$A$1:$ZZ$1, 0))</f>
        <v>高效UV毛孔隱形防曬霜 SPF50+ PA++++ 50ml_x000D_ | INNISFREE Taiwan</v>
      </c>
      <c r="G353" s="30" t="s">
        <v>11</v>
      </c>
      <c r="H353" s="28" t="str">
        <f t="array" ref="H353">INDEX('raw-sheet'!$A$2:$ZZ$1000, ROW(H352), MATCH(H$1, 'raw-sheet'!$A$1:$ZZ$1, 0))</f>
        <v>具有毛孔隱形效果的礦物防曬霜，打造光滑均勻的肌膚。</v>
      </c>
      <c r="I353" s="30" t="s">
        <v>11</v>
      </c>
      <c r="J353" s="28" t="str">
        <f t="array" ref="J353">INDEX('raw-sheet'!$A$2:$ZZ$1000, ROW(J352), MATCH(J$1, 'raw-sheet'!$A$1:$ZZ$1, 0))</f>
        <v>高效UV毛孔隱形防曬霜 SPF50+ PA++++ 50ml</v>
      </c>
      <c r="K353" s="28" t="str">
        <f t="array" ref="K353">INDEX('raw-sheet'!$A$2:$ZZ$1000, ROW(K352), MATCH(K$1, 'raw-sheet'!$A$1:$ZZ$1, 0))</f>
        <v>1</v>
      </c>
      <c r="L353" s="30" t="s">
        <v>11</v>
      </c>
      <c r="M353" s="28" t="str">
        <f t="array" ref="M353">INDEX('raw-sheet'!$A$2:$ZZ$1000, ROW(M352), MATCH(M$1, 'raw-sheet'!$A$1:$ZZ$1, 0))</f>
        <v>https://innisfree-taiwan.myshopify.com/products/innisfree-uv-active-poreless-sunscreen-spf50-pa</v>
      </c>
      <c r="N353" s="30" t="str">
        <f t="shared" si="11"/>
        <v>Pass</v>
      </c>
      <c r="O353" s="28" t="str">
        <f t="array" ref="O353">INDEX('raw-sheet'!$A$2:$ZZ$1000, ROW(O352), MATCH(O$1, 'raw-sheet'!$A$1:$ZZ$1, 0))</f>
        <v>高效UV毛孔隱形防曬霜 SPF50+ PA++++ 50ml | INNISFREE Taiwan</v>
      </c>
      <c r="P353" s="28" t="str">
        <f t="array" ref="P353">INDEX('raw-sheet'!$A$2:$ZZ$1000, ROW(P352), MATCH(P$1, 'raw-sheet'!$A$1:$ZZ$1, 0))</f>
        <v>具有毛孔隱形效果的礦物防曬霜，打造光滑均勻的肌膚。</v>
      </c>
      <c r="Q353" s="28" t="str">
        <f t="array" ref="Q353">INDEX('raw-sheet'!$A$2:$ZZ$1000, ROW(Q352), MATCH(Q$1, 'raw-sheet'!$A$1:$ZZ$1, 0))</f>
        <v>product</v>
      </c>
      <c r="R353" s="28" t="str">
        <f t="array" ref="R353">INDEX('raw-sheet'!$A$2:$ZZ$1000, ROW(R352), MATCH(R$1, 'raw-sheet'!$A$1:$ZZ$1, 0))</f>
        <v>INNISFREE Taiwan</v>
      </c>
      <c r="S353" s="28" t="str">
        <f t="array" ref="S353">INDEX('raw-sheet'!$A$2:$ZZ$1000, ROW(S352), MATCH(S$1, 'raw-sheet'!$A$1:$ZZ$1, 0))</f>
        <v>http://innisfree-taiwan.myshopify.com/cdn/shop/files/pdp_mig_d8a3b5b7_20231228_1291_ID0101_1_jpg.jpg?v=1768543076</v>
      </c>
      <c r="T353" s="28" t="str">
        <f t="array" ref="T353">INDEX('raw-sheet'!$A$2:$ZZ$1000, ROW(T352), MATCH(T$1, 'raw-sheet'!$A$1:$ZZ$1, 0))</f>
        <v>https://innisfree-taiwan.myshopify.com/cdn/shop/files/pdp_mig_d8a3b5b7_20231228_1291_ID0101_1_jpg.jpg?v=1768543076</v>
      </c>
      <c r="U353" s="28" t="str">
        <f t="array" ref="U353">INDEX('raw-sheet'!$A$2:$ZZ$1000, ROW(U352), MATCH(U$1, 'raw-sheet'!$A$1:$ZZ$1, 0))</f>
        <v>https://innisfree-taiwan.myshopify.com/products/innisfree-uv-active-poreless-sunscreen-spf50-pa</v>
      </c>
      <c r="V353" s="28" t="str">
        <f t="array" ref="V353">INDEX('raw-sheet'!$A$2:$ZZ$1000, ROW(V352), MATCH(V$1, 'raw-sheet'!$A$1:$ZZ$1, 0))</f>
        <v>高效UV毛孔隱形防曬霜 SPF50+ PA++++ 50ml | INNISFREE Taiwan</v>
      </c>
      <c r="W353" s="28" t="str">
        <f t="array" ref="W353">INDEX('raw-sheet'!$A$2:$ZZ$1000, ROW(W352), MATCH(W$1, 'raw-sheet'!$A$1:$ZZ$1, 0))</f>
        <v>具有毛孔隱形效果的礦物防曬霜，打造光滑均勻的肌膚。</v>
      </c>
      <c r="X353" s="28" t="str">
        <f t="array" ref="X353">INDEX('raw-sheet'!$A$2:$ZZ$1000, ROW(X352), MATCH(X$1, 'raw-sheet'!$A$1:$ZZ$1, 0))</f>
        <v>summary_large_image</v>
      </c>
      <c r="Y353" s="30" t="s">
        <v>11</v>
      </c>
      <c r="Z353" s="28" t="str">
        <f>VLOOKUP($A353,'raw-schema'!$A:$R,14,0)</f>
        <v>Brand</v>
      </c>
      <c r="AA353" s="28" t="str">
        <f>VLOOKUP($A353,'raw-schema'!$A:$R,15,0)</f>
        <v>Offer</v>
      </c>
      <c r="AB353" s="28" t="str">
        <f>VLOOKUP($A353,'raw-schema'!$A:$R,16,0)</f>
        <v>Organization</v>
      </c>
      <c r="AC353" s="28" t="str">
        <f>VLOOKUP($A353,'raw-schema'!$A:$R,17,0)</f>
        <v>Product</v>
      </c>
      <c r="AD353" s="28">
        <f>VLOOKUP($A353,'raw-schema'!$A:$R,18,0)</f>
        <v>0</v>
      </c>
      <c r="AE353" s="30" t="s">
        <v>69</v>
      </c>
    </row>
    <row r="354" spans="1:31" x14ac:dyDescent="0.3">
      <c r="A354" s="28" t="str">
        <f t="array" ref="A354">INDEX('raw-sheet'!$A$2:$ZZ$1000, ROW(A353), MATCH(A$1, 'raw-sheet'!$A$1:$ZZ$1, 0))</f>
        <v>https://innisfree-taiwan.myshopify.com/products/innisfree-vitamin-c-mbs-set</v>
      </c>
      <c r="B354" s="30" t="s">
        <v>11</v>
      </c>
      <c r="C354" s="28" t="str">
        <f t="array" ref="C354">INDEX('raw-sheet'!$A$2:$ZZ$1000, ROW(C353), MATCH(C$1, 'raw-sheet'!$A$1:$ZZ$1, 0))</f>
        <v>Product Detail</v>
      </c>
      <c r="D354" s="28">
        <f t="array" ref="D354">INDEX('raw-sheet'!$A$2:$ZZ$1000, ROW(D353), MATCH(D$1, 'raw-sheet'!$A$1:$ZZ$1, 0))</f>
        <v>200</v>
      </c>
      <c r="E354" s="30" t="str">
        <f t="shared" si="10"/>
        <v>Pass</v>
      </c>
      <c r="F354" s="28" t="str">
        <f t="array" ref="F354">INDEX('raw-sheet'!$A$2:$ZZ$1000, ROW(F353), MATCH(F$1, 'raw-sheet'!$A$1:$ZZ$1, 0))</f>
        <v>維他命C淡斑全套組_x000D_ | INNISFREE Taiwan</v>
      </c>
      <c r="G354" s="30" t="s">
        <v>11</v>
      </c>
      <c r="H354" s="28" t="str">
        <f t="array" ref="H354">INDEX('raw-sheet'!$A$2:$ZZ$1000, ROW(H353), MATCH(H$1, 'raw-sheet'!$A$1:$ZZ$1, 0))</f>
        <v>富含維生素C和濟州綠茶中的酵素酶，有助於淡化斑點、改善暗沉、均勻膚色，讓肌膚更光滑透亮。富含維生素C和濟州綠茶中的酵素酶，有助於淡化斑點、改善暗沉、均勻膚色，讓肌膚更光滑透亮。全膚質適用，適合在意膚色不均、斑點問題，想要尋找溫和低敏亮白成分產品的顧客。</v>
      </c>
      <c r="I354" s="30" t="s">
        <v>11</v>
      </c>
      <c r="J354" s="28" t="str">
        <f t="array" ref="J354">INDEX('raw-sheet'!$A$2:$ZZ$1000, ROW(J353), MATCH(J$1, 'raw-sheet'!$A$1:$ZZ$1, 0))</f>
        <v>維他命C淡斑全套組</v>
      </c>
      <c r="K354" s="28" t="str">
        <f t="array" ref="K354">INDEX('raw-sheet'!$A$2:$ZZ$1000, ROW(K353), MATCH(K$1, 'raw-sheet'!$A$1:$ZZ$1, 0))</f>
        <v>1</v>
      </c>
      <c r="L354" s="30" t="s">
        <v>11</v>
      </c>
      <c r="M354" s="28" t="str">
        <f t="array" ref="M354">INDEX('raw-sheet'!$A$2:$ZZ$1000, ROW(M353), MATCH(M$1, 'raw-sheet'!$A$1:$ZZ$1, 0))</f>
        <v>https://innisfree-taiwan.myshopify.com/products/innisfree-vitamin-c-mbs-set</v>
      </c>
      <c r="N354" s="30" t="str">
        <f t="shared" si="11"/>
        <v>Pass</v>
      </c>
      <c r="O354" s="28" t="str">
        <f t="array" ref="O354">INDEX('raw-sheet'!$A$2:$ZZ$1000, ROW(O353), MATCH(O$1, 'raw-sheet'!$A$1:$ZZ$1, 0))</f>
        <v>維他命C淡斑全套組 | INNISFREE Taiwan</v>
      </c>
      <c r="P354" s="28" t="str">
        <f t="array" ref="P354">INDEX('raw-sheet'!$A$2:$ZZ$1000, ROW(P353), MATCH(P$1, 'raw-sheet'!$A$1:$ZZ$1, 0))</f>
        <v>富含維生素C和濟州綠茶中的酵素酶，有助於淡化斑點、改善暗沉、均勻膚色，讓肌膚更光滑透亮。富含維生素C和濟州綠茶中的酵素酶，有助於淡化斑點、改善暗沉、均勻膚色，讓肌膚更光滑透亮。全膚質適用，適合在意膚色不均、斑點問題，想要尋找溫和低敏亮白成分產品的顧客。</v>
      </c>
      <c r="Q354" s="28" t="str">
        <f t="array" ref="Q354">INDEX('raw-sheet'!$A$2:$ZZ$1000, ROW(Q353), MATCH(Q$1, 'raw-sheet'!$A$1:$ZZ$1, 0))</f>
        <v>product</v>
      </c>
      <c r="R354" s="28" t="str">
        <f t="array" ref="R354">INDEX('raw-sheet'!$A$2:$ZZ$1000, ROW(R353), MATCH(R$1, 'raw-sheet'!$A$1:$ZZ$1, 0))</f>
        <v>INNISFREE Taiwan</v>
      </c>
      <c r="S354" s="28" t="str">
        <f t="array" ref="S354">INDEX('raw-sheet'!$A$2:$ZZ$1000, ROW(S353), MATCH(S$1, 'raw-sheet'!$A$1:$ZZ$1, 0))</f>
        <v>http://innisfree-taiwan.myshopify.com/cdn/shop/files/pdp_mig_705d91e7_20251001_1647_ID0101_1_jpg.jpg?v=1768543071</v>
      </c>
      <c r="T354" s="28" t="str">
        <f t="array" ref="T354">INDEX('raw-sheet'!$A$2:$ZZ$1000, ROW(T353), MATCH(T$1, 'raw-sheet'!$A$1:$ZZ$1, 0))</f>
        <v>https://innisfree-taiwan.myshopify.com/cdn/shop/files/pdp_mig_705d91e7_20251001_1647_ID0101_1_jpg.jpg?v=1768543071</v>
      </c>
      <c r="U354" s="28" t="str">
        <f t="array" ref="U354">INDEX('raw-sheet'!$A$2:$ZZ$1000, ROW(U353), MATCH(U$1, 'raw-sheet'!$A$1:$ZZ$1, 0))</f>
        <v>https://innisfree-taiwan.myshopify.com/products/innisfree-vitamin-c-mbs-set</v>
      </c>
      <c r="V354" s="28" t="str">
        <f t="array" ref="V354">INDEX('raw-sheet'!$A$2:$ZZ$1000, ROW(V353), MATCH(V$1, 'raw-sheet'!$A$1:$ZZ$1, 0))</f>
        <v>維他命C淡斑全套組 | INNISFREE Taiwan</v>
      </c>
      <c r="W354" s="28" t="str">
        <f t="array" ref="W354">INDEX('raw-sheet'!$A$2:$ZZ$1000, ROW(W353), MATCH(W$1, 'raw-sheet'!$A$1:$ZZ$1, 0))</f>
        <v>富含維生素C和濟州綠茶中的酵素酶，有助於淡化斑點、改善暗沉、均勻膚色，讓肌膚更光滑透亮。富含維生素C和濟州綠茶中的酵素酶，有助於淡化斑點、改善暗沉、均勻膚色，讓肌膚更光滑透亮。全膚質適用，適合在意膚色不均、斑點問題，想要尋找溫和低敏亮白成分產品的顧客。</v>
      </c>
      <c r="X354" s="28" t="str">
        <f t="array" ref="X354">INDEX('raw-sheet'!$A$2:$ZZ$1000, ROW(X353), MATCH(X$1, 'raw-sheet'!$A$1:$ZZ$1, 0))</f>
        <v>summary_large_image</v>
      </c>
      <c r="Y354" s="30" t="s">
        <v>11</v>
      </c>
      <c r="Z354" s="28" t="str">
        <f>VLOOKUP($A354,'raw-schema'!$A:$R,14,0)</f>
        <v>Brand</v>
      </c>
      <c r="AA354" s="28" t="str">
        <f>VLOOKUP($A354,'raw-schema'!$A:$R,15,0)</f>
        <v>Offer</v>
      </c>
      <c r="AB354" s="28" t="str">
        <f>VLOOKUP($A354,'raw-schema'!$A:$R,16,0)</f>
        <v>Organization</v>
      </c>
      <c r="AC354" s="28" t="str">
        <f>VLOOKUP($A354,'raw-schema'!$A:$R,17,0)</f>
        <v>Product</v>
      </c>
      <c r="AD354" s="28">
        <f>VLOOKUP($A354,'raw-schema'!$A:$R,18,0)</f>
        <v>0</v>
      </c>
      <c r="AE354" s="30" t="s">
        <v>69</v>
      </c>
    </row>
    <row r="355" spans="1:31" x14ac:dyDescent="0.3">
      <c r="A355" s="28" t="str">
        <f t="array" ref="A355">INDEX('raw-sheet'!$A$2:$ZZ$1000, ROW(A354), MATCH(A$1, 'raw-sheet'!$A$1:$ZZ$1, 0))</f>
        <v>https://innisfree-taiwan.myshopify.com/products/innisfree-vitamin-c-tone-up-sunscreen-spf50-pa</v>
      </c>
      <c r="B355" s="30" t="s">
        <v>11</v>
      </c>
      <c r="C355" s="28" t="str">
        <f t="array" ref="C355">INDEX('raw-sheet'!$A$2:$ZZ$1000, ROW(C354), MATCH(C$1, 'raw-sheet'!$A$1:$ZZ$1, 0))</f>
        <v>Product Detail</v>
      </c>
      <c r="D355" s="28">
        <f t="array" ref="D355">INDEX('raw-sheet'!$A$2:$ZZ$1000, ROW(D354), MATCH(D$1, 'raw-sheet'!$A$1:$ZZ$1, 0))</f>
        <v>200</v>
      </c>
      <c r="E355" s="30" t="str">
        <f t="shared" si="10"/>
        <v>Pass</v>
      </c>
      <c r="F355" s="28" t="str">
        <f t="array" ref="F355">INDEX('raw-sheet'!$A$2:$ZZ$1000, ROW(F354), MATCH(F$1, 'raw-sheet'!$A$1:$ZZ$1, 0))</f>
        <v>維他命C亮白潤色防曬霜 SPF50+ PA++++_x000D_ | INNISFREE Taiwan</v>
      </c>
      <c r="G355" s="30" t="s">
        <v>11</v>
      </c>
      <c r="H355" s="28" t="str">
        <f t="array" ref="H355">INDEX('raw-sheet'!$A$2:$ZZ$1000, ROW(H354), MATCH(H$1, 'raw-sheet'!$A$1:$ZZ$1, 0))</f>
        <v>富含維生素C、E和菸鹼醯胺的潤色防曬霜，有助於抵禦紫外線，並修飾膚色使肌膚看起來清透光亮。</v>
      </c>
      <c r="I355" s="30" t="s">
        <v>11</v>
      </c>
      <c r="J355" s="28" t="str">
        <f t="array" ref="J355">INDEX('raw-sheet'!$A$2:$ZZ$1000, ROW(J354), MATCH(J$1, 'raw-sheet'!$A$1:$ZZ$1, 0))</f>
        <v>維他命C亮白潤色防曬霜 SPF50+ PA++++</v>
      </c>
      <c r="K355" s="28" t="str">
        <f t="array" ref="K355">INDEX('raw-sheet'!$A$2:$ZZ$1000, ROW(K354), MATCH(K$1, 'raw-sheet'!$A$1:$ZZ$1, 0))</f>
        <v>1</v>
      </c>
      <c r="L355" s="30" t="s">
        <v>11</v>
      </c>
      <c r="M355" s="28" t="str">
        <f t="array" ref="M355">INDEX('raw-sheet'!$A$2:$ZZ$1000, ROW(M354), MATCH(M$1, 'raw-sheet'!$A$1:$ZZ$1, 0))</f>
        <v>https://innisfree-taiwan.myshopify.com/products/innisfree-vitamin-c-tone-up-sunscreen-spf50-pa</v>
      </c>
      <c r="N355" s="30" t="str">
        <f t="shared" si="11"/>
        <v>Pass</v>
      </c>
      <c r="O355" s="28" t="str">
        <f t="array" ref="O355">INDEX('raw-sheet'!$A$2:$ZZ$1000, ROW(O354), MATCH(O$1, 'raw-sheet'!$A$1:$ZZ$1, 0))</f>
        <v>維他命C亮白潤色防曬霜 SPF50+ PA++++ | INNISFREE Taiwan</v>
      </c>
      <c r="P355" s="28" t="str">
        <f t="array" ref="P355">INDEX('raw-sheet'!$A$2:$ZZ$1000, ROW(P354), MATCH(P$1, 'raw-sheet'!$A$1:$ZZ$1, 0))</f>
        <v>富含維生素C、E和菸鹼醯胺的潤色防曬霜，有助於抵禦紫外線，並修飾膚色使肌膚看起來清透光亮。</v>
      </c>
      <c r="Q355" s="28" t="str">
        <f t="array" ref="Q355">INDEX('raw-sheet'!$A$2:$ZZ$1000, ROW(Q354), MATCH(Q$1, 'raw-sheet'!$A$1:$ZZ$1, 0))</f>
        <v>product</v>
      </c>
      <c r="R355" s="28" t="str">
        <f t="array" ref="R355">INDEX('raw-sheet'!$A$2:$ZZ$1000, ROW(R354), MATCH(R$1, 'raw-sheet'!$A$1:$ZZ$1, 0))</f>
        <v>INNISFREE Taiwan</v>
      </c>
      <c r="S355" s="28" t="str">
        <f t="array" ref="S355">INDEX('raw-sheet'!$A$2:$ZZ$1000, ROW(S354), MATCH(S$1, 'raw-sheet'!$A$1:$ZZ$1, 0))</f>
        <v>http://innisfree-taiwan.myshopify.com/cdn/shop/files/pdp_mig_e2fa5d33_20250718_1602_ID0101_1_jpg.jpg?v=1768543071</v>
      </c>
      <c r="T355" s="28" t="str">
        <f t="array" ref="T355">INDEX('raw-sheet'!$A$2:$ZZ$1000, ROW(T354), MATCH(T$1, 'raw-sheet'!$A$1:$ZZ$1, 0))</f>
        <v>https://innisfree-taiwan.myshopify.com/cdn/shop/files/pdp_mig_e2fa5d33_20250718_1602_ID0101_1_jpg.jpg?v=1768543071</v>
      </c>
      <c r="U355" s="28" t="str">
        <f t="array" ref="U355">INDEX('raw-sheet'!$A$2:$ZZ$1000, ROW(U354), MATCH(U$1, 'raw-sheet'!$A$1:$ZZ$1, 0))</f>
        <v>https://innisfree-taiwan.myshopify.com/products/innisfree-vitamin-c-tone-up-sunscreen-spf50-pa</v>
      </c>
      <c r="V355" s="28" t="str">
        <f t="array" ref="V355">INDEX('raw-sheet'!$A$2:$ZZ$1000, ROW(V354), MATCH(V$1, 'raw-sheet'!$A$1:$ZZ$1, 0))</f>
        <v>維他命C亮白潤色防曬霜 SPF50+ PA++++ | INNISFREE Taiwan</v>
      </c>
      <c r="W355" s="28" t="str">
        <f t="array" ref="W355">INDEX('raw-sheet'!$A$2:$ZZ$1000, ROW(W354), MATCH(W$1, 'raw-sheet'!$A$1:$ZZ$1, 0))</f>
        <v>富含維生素C、E和菸鹼醯胺的潤色防曬霜，有助於抵禦紫外線，並修飾膚色使肌膚看起來清透光亮。</v>
      </c>
      <c r="X355" s="28" t="str">
        <f t="array" ref="X355">INDEX('raw-sheet'!$A$2:$ZZ$1000, ROW(X354), MATCH(X$1, 'raw-sheet'!$A$1:$ZZ$1, 0))</f>
        <v>summary_large_image</v>
      </c>
      <c r="Y355" s="30" t="s">
        <v>11</v>
      </c>
      <c r="Z355" s="28" t="str">
        <f>VLOOKUP($A355,'raw-schema'!$A:$R,14,0)</f>
        <v>Brand</v>
      </c>
      <c r="AA355" s="28" t="str">
        <f>VLOOKUP($A355,'raw-schema'!$A:$R,15,0)</f>
        <v>Offer</v>
      </c>
      <c r="AB355" s="28" t="str">
        <f>VLOOKUP($A355,'raw-schema'!$A:$R,16,0)</f>
        <v>Organization</v>
      </c>
      <c r="AC355" s="28" t="str">
        <f>VLOOKUP($A355,'raw-schema'!$A:$R,17,0)</f>
        <v>Product</v>
      </c>
      <c r="AD355" s="28">
        <f>VLOOKUP($A355,'raw-schema'!$A:$R,18,0)</f>
        <v>0</v>
      </c>
      <c r="AE355" s="30" t="s">
        <v>69</v>
      </c>
    </row>
    <row r="356" spans="1:31" x14ac:dyDescent="0.3">
      <c r="A356" s="28" t="str">
        <f t="array" ref="A356">INDEX('raw-sheet'!$A$2:$ZZ$1000, ROW(A355), MATCH(A$1, 'raw-sheet'!$A$1:$ZZ$1, 0))</f>
        <v>https://innisfree-taiwan.myshopify.com/products/innisfree-volcanic-bha-pore-cleansing-foam-150g</v>
      </c>
      <c r="B356" s="30" t="s">
        <v>11</v>
      </c>
      <c r="C356" s="28" t="str">
        <f t="array" ref="C356">INDEX('raw-sheet'!$A$2:$ZZ$1000, ROW(C355), MATCH(C$1, 'raw-sheet'!$A$1:$ZZ$1, 0))</f>
        <v>Product Detail</v>
      </c>
      <c r="D356" s="28">
        <f t="array" ref="D356">INDEX('raw-sheet'!$A$2:$ZZ$1000, ROW(D355), MATCH(D$1, 'raw-sheet'!$A$1:$ZZ$1, 0))</f>
        <v>200</v>
      </c>
      <c r="E356" s="30" t="str">
        <f t="shared" si="10"/>
        <v>Pass</v>
      </c>
      <c r="F356" s="28" t="str">
        <f t="array" ref="F356">INDEX('raw-sheet'!$A$2:$ZZ$1000, ROW(F355), MATCH(F$1, 'raw-sheet'!$A$1:$ZZ$1, 0))</f>
        <v>火山泥毛孔調理潔面乳&amp;#40;BHA&amp;#41; 150g_x000D_ | INNISFREE Taiwan</v>
      </c>
      <c r="G356" s="30" t="s">
        <v>11</v>
      </c>
      <c r="H356" s="28" t="str">
        <f t="array" ref="H356">INDEX('raw-sheet'!$A$2:$ZZ$1000, ROW(H355), MATCH(H$1, 'raw-sheet'!$A$1:$ZZ$1, 0))</f>
        <v>蘊含強力火山皮脂淨化粉末與BHA水楊酸，帶走多餘皮脂、加強毛孔清潔護理的洗面乳。 適合在意毛孔粉刺困擾、為油光問題感到煩惱的顧客。</v>
      </c>
      <c r="I356" s="30" t="s">
        <v>60</v>
      </c>
      <c r="J356" s="28" t="str">
        <f t="array" ref="J356">INDEX('raw-sheet'!$A$2:$ZZ$1000, ROW(J355), MATCH(J$1, 'raw-sheet'!$A$1:$ZZ$1, 0))</f>
        <v>火山泥毛孔調理潔面乳(BHA) 150g</v>
      </c>
      <c r="K356" s="28" t="str">
        <f t="array" ref="K356">INDEX('raw-sheet'!$A$2:$ZZ$1000, ROW(K355), MATCH(K$1, 'raw-sheet'!$A$1:$ZZ$1, 0))</f>
        <v>1</v>
      </c>
      <c r="L356" s="30" t="s">
        <v>11</v>
      </c>
      <c r="M356" s="28" t="str">
        <f t="array" ref="M356">INDEX('raw-sheet'!$A$2:$ZZ$1000, ROW(M355), MATCH(M$1, 'raw-sheet'!$A$1:$ZZ$1, 0))</f>
        <v>https://innisfree-taiwan.myshopify.com/products/innisfree-volcanic-bha-pore-cleansing-foam-150g</v>
      </c>
      <c r="N356" s="30" t="str">
        <f t="shared" si="11"/>
        <v>Pass</v>
      </c>
      <c r="O356" s="28" t="str">
        <f t="array" ref="O356">INDEX('raw-sheet'!$A$2:$ZZ$1000, ROW(O355), MATCH(O$1, 'raw-sheet'!$A$1:$ZZ$1, 0))</f>
        <v>火山泥毛孔調理潔面乳&amp;#40;BHA&amp;#41; 150g | INNISFREE Taiwan</v>
      </c>
      <c r="P356" s="28" t="str">
        <f t="array" ref="P356">INDEX('raw-sheet'!$A$2:$ZZ$1000, ROW(P355), MATCH(P$1, 'raw-sheet'!$A$1:$ZZ$1, 0))</f>
        <v>蘊含強力火山皮脂淨化粉末與BHA水楊酸，帶走多餘皮脂、加強毛孔清潔護理的洗面乳。 適合在意毛孔粉刺困擾、為油光問題感到煩惱的顧客。</v>
      </c>
      <c r="Q356" s="28" t="str">
        <f t="array" ref="Q356">INDEX('raw-sheet'!$A$2:$ZZ$1000, ROW(Q355), MATCH(Q$1, 'raw-sheet'!$A$1:$ZZ$1, 0))</f>
        <v>product</v>
      </c>
      <c r="R356" s="28" t="str">
        <f t="array" ref="R356">INDEX('raw-sheet'!$A$2:$ZZ$1000, ROW(R355), MATCH(R$1, 'raw-sheet'!$A$1:$ZZ$1, 0))</f>
        <v>INNISFREE Taiwan</v>
      </c>
      <c r="S356" s="28" t="str">
        <f t="array" ref="S356">INDEX('raw-sheet'!$A$2:$ZZ$1000, ROW(S355), MATCH(S$1, 'raw-sheet'!$A$1:$ZZ$1, 0))</f>
        <v>http://innisfree-taiwan.myshopify.com/cdn/shop/files/pdp_mig_1b1333f9_20230731_1180_ID0101_1_jpg.jpg?v=1768543095</v>
      </c>
      <c r="T356" s="28" t="str">
        <f t="array" ref="T356">INDEX('raw-sheet'!$A$2:$ZZ$1000, ROW(T355), MATCH(T$1, 'raw-sheet'!$A$1:$ZZ$1, 0))</f>
        <v>https://innisfree-taiwan.myshopify.com/cdn/shop/files/pdp_mig_1b1333f9_20230731_1180_ID0101_1_jpg.jpg?v=1768543095</v>
      </c>
      <c r="U356" s="28" t="str">
        <f t="array" ref="U356">INDEX('raw-sheet'!$A$2:$ZZ$1000, ROW(U355), MATCH(U$1, 'raw-sheet'!$A$1:$ZZ$1, 0))</f>
        <v>https://innisfree-taiwan.myshopify.com/products/innisfree-volcanic-bha-pore-cleansing-foam-150g</v>
      </c>
      <c r="V356" s="28" t="str">
        <f t="array" ref="V356">INDEX('raw-sheet'!$A$2:$ZZ$1000, ROW(V355), MATCH(V$1, 'raw-sheet'!$A$1:$ZZ$1, 0))</f>
        <v>火山泥毛孔調理潔面乳&amp;#40;BHA&amp;#41; 150g | INNISFREE Taiwan</v>
      </c>
      <c r="W356" s="28" t="str">
        <f t="array" ref="W356">INDEX('raw-sheet'!$A$2:$ZZ$1000, ROW(W355), MATCH(W$1, 'raw-sheet'!$A$1:$ZZ$1, 0))</f>
        <v>蘊含強力火山皮脂淨化粉末與BHA水楊酸，帶走多餘皮脂、加強毛孔清潔護理的洗面乳。 適合在意毛孔粉刺困擾、為油光問題感到煩惱的顧客。</v>
      </c>
      <c r="X356" s="28" t="str">
        <f t="array" ref="X356">INDEX('raw-sheet'!$A$2:$ZZ$1000, ROW(X355), MATCH(X$1, 'raw-sheet'!$A$1:$ZZ$1, 0))</f>
        <v>summary_large_image</v>
      </c>
      <c r="Y356" s="30" t="s">
        <v>56</v>
      </c>
      <c r="Z356" s="28" t="str">
        <f>VLOOKUP($A356,'raw-schema'!$A:$R,14,0)</f>
        <v>Brand</v>
      </c>
      <c r="AA356" s="28" t="str">
        <f>VLOOKUP($A356,'raw-schema'!$A:$R,15,0)</f>
        <v>Offer</v>
      </c>
      <c r="AB356" s="28" t="str">
        <f>VLOOKUP($A356,'raw-schema'!$A:$R,16,0)</f>
        <v>Organization</v>
      </c>
      <c r="AC356" s="28" t="str">
        <f>VLOOKUP($A356,'raw-schema'!$A:$R,17,0)</f>
        <v>Product</v>
      </c>
      <c r="AD356" s="28">
        <f>VLOOKUP($A356,'raw-schema'!$A:$R,18,0)</f>
        <v>0</v>
      </c>
      <c r="AE356" s="30" t="s">
        <v>69</v>
      </c>
    </row>
    <row r="357" spans="1:31" x14ac:dyDescent="0.3">
      <c r="A357" s="28" t="str">
        <f t="array" ref="A357">INDEX('raw-sheet'!$A$2:$ZZ$1000, ROW(A356), MATCH(A$1, 'raw-sheet'!$A$1:$ZZ$1, 0))</f>
        <v>https://innisfree-taiwan.myshopify.com/products/innisfree-volcanic-bha-pore-cleansing-foam-250g</v>
      </c>
      <c r="B357" s="30" t="s">
        <v>11</v>
      </c>
      <c r="C357" s="28" t="str">
        <f t="array" ref="C357">INDEX('raw-sheet'!$A$2:$ZZ$1000, ROW(C356), MATCH(C$1, 'raw-sheet'!$A$1:$ZZ$1, 0))</f>
        <v>Product Detail</v>
      </c>
      <c r="D357" s="28">
        <f t="array" ref="D357">INDEX('raw-sheet'!$A$2:$ZZ$1000, ROW(D356), MATCH(D$1, 'raw-sheet'!$A$1:$ZZ$1, 0))</f>
        <v>200</v>
      </c>
      <c r="E357" s="30" t="str">
        <f t="shared" si="10"/>
        <v>Pass</v>
      </c>
      <c r="F357" s="28" t="str">
        <f t="array" ref="F357">INDEX('raw-sheet'!$A$2:$ZZ$1000, ROW(F356), MATCH(F$1, 'raw-sheet'!$A$1:$ZZ$1, 0))</f>
        <v>火山泥毛孔調理潔面乳&amp;#40;BHA&amp;#41; 250g_x000D_ | INNISFREE Taiwan</v>
      </c>
      <c r="G357" s="30" t="s">
        <v>11</v>
      </c>
      <c r="H357" s="28" t="str">
        <f t="array" ref="H357">INDEX('raw-sheet'!$A$2:$ZZ$1000, ROW(H356), MATCH(H$1, 'raw-sheet'!$A$1:$ZZ$1, 0))</f>
        <v>蘊含強力火山皮脂淨化粉末與BHA水楊酸，帶走多餘皮脂、加強毛孔清潔護理的洗面乳。 適合在意毛孔粉刺困擾、為油光問題感到煩惱的顧客。</v>
      </c>
      <c r="I357" s="30" t="s">
        <v>60</v>
      </c>
      <c r="J357" s="28" t="str">
        <f t="array" ref="J357">INDEX('raw-sheet'!$A$2:$ZZ$1000, ROW(J356), MATCH(J$1, 'raw-sheet'!$A$1:$ZZ$1, 0))</f>
        <v>火山泥毛孔調理潔面乳(BHA) 250g</v>
      </c>
      <c r="K357" s="28" t="str">
        <f t="array" ref="K357">INDEX('raw-sheet'!$A$2:$ZZ$1000, ROW(K356), MATCH(K$1, 'raw-sheet'!$A$1:$ZZ$1, 0))</f>
        <v>1</v>
      </c>
      <c r="L357" s="30" t="s">
        <v>11</v>
      </c>
      <c r="M357" s="28" t="str">
        <f t="array" ref="M357">INDEX('raw-sheet'!$A$2:$ZZ$1000, ROW(M356), MATCH(M$1, 'raw-sheet'!$A$1:$ZZ$1, 0))</f>
        <v>https://innisfree-taiwan.myshopify.com/products/innisfree-volcanic-bha-pore-cleansing-foam-250g</v>
      </c>
      <c r="N357" s="30" t="str">
        <f t="shared" si="11"/>
        <v>Pass</v>
      </c>
      <c r="O357" s="28" t="str">
        <f t="array" ref="O357">INDEX('raw-sheet'!$A$2:$ZZ$1000, ROW(O356), MATCH(O$1, 'raw-sheet'!$A$1:$ZZ$1, 0))</f>
        <v>火山泥毛孔調理潔面乳&amp;#40;BHA&amp;#41; 250g | INNISFREE Taiwan</v>
      </c>
      <c r="P357" s="28" t="str">
        <f t="array" ref="P357">INDEX('raw-sheet'!$A$2:$ZZ$1000, ROW(P356), MATCH(P$1, 'raw-sheet'!$A$1:$ZZ$1, 0))</f>
        <v>蘊含強力火山皮脂淨化粉末與BHA水楊酸，帶走多餘皮脂、加強毛孔清潔護理的洗面乳。 適合在意毛孔粉刺困擾、為油光問題感到煩惱的顧客。</v>
      </c>
      <c r="Q357" s="28" t="str">
        <f t="array" ref="Q357">INDEX('raw-sheet'!$A$2:$ZZ$1000, ROW(Q356), MATCH(Q$1, 'raw-sheet'!$A$1:$ZZ$1, 0))</f>
        <v>product</v>
      </c>
      <c r="R357" s="28" t="str">
        <f t="array" ref="R357">INDEX('raw-sheet'!$A$2:$ZZ$1000, ROW(R356), MATCH(R$1, 'raw-sheet'!$A$1:$ZZ$1, 0))</f>
        <v>INNISFREE Taiwan</v>
      </c>
      <c r="S357" s="28" t="str">
        <f t="array" ref="S357">INDEX('raw-sheet'!$A$2:$ZZ$1000, ROW(S356), MATCH(S$1, 'raw-sheet'!$A$1:$ZZ$1, 0))</f>
        <v>http://innisfree-taiwan.myshopify.com/cdn/shop/files/pdp_mig_80678627_20230731_1181_ID0101_1_jpg.jpg?v=1768543095</v>
      </c>
      <c r="T357" s="28" t="str">
        <f t="array" ref="T357">INDEX('raw-sheet'!$A$2:$ZZ$1000, ROW(T356), MATCH(T$1, 'raw-sheet'!$A$1:$ZZ$1, 0))</f>
        <v>https://innisfree-taiwan.myshopify.com/cdn/shop/files/pdp_mig_80678627_20230731_1181_ID0101_1_jpg.jpg?v=1768543095</v>
      </c>
      <c r="U357" s="28" t="str">
        <f t="array" ref="U357">INDEX('raw-sheet'!$A$2:$ZZ$1000, ROW(U356), MATCH(U$1, 'raw-sheet'!$A$1:$ZZ$1, 0))</f>
        <v>https://innisfree-taiwan.myshopify.com/products/innisfree-volcanic-bha-pore-cleansing-foam-250g</v>
      </c>
      <c r="V357" s="28" t="str">
        <f t="array" ref="V357">INDEX('raw-sheet'!$A$2:$ZZ$1000, ROW(V356), MATCH(V$1, 'raw-sheet'!$A$1:$ZZ$1, 0))</f>
        <v>火山泥毛孔調理潔面乳&amp;#40;BHA&amp;#41; 250g | INNISFREE Taiwan</v>
      </c>
      <c r="W357" s="28" t="str">
        <f t="array" ref="W357">INDEX('raw-sheet'!$A$2:$ZZ$1000, ROW(W356), MATCH(W$1, 'raw-sheet'!$A$1:$ZZ$1, 0))</f>
        <v>蘊含強力火山皮脂淨化粉末與BHA水楊酸，帶走多餘皮脂、加強毛孔清潔護理的洗面乳。 適合在意毛孔粉刺困擾、為油光問題感到煩惱的顧客。</v>
      </c>
      <c r="X357" s="28" t="str">
        <f t="array" ref="X357">INDEX('raw-sheet'!$A$2:$ZZ$1000, ROW(X356), MATCH(X$1, 'raw-sheet'!$A$1:$ZZ$1, 0))</f>
        <v>summary_large_image</v>
      </c>
      <c r="Y357" s="30" t="s">
        <v>56</v>
      </c>
      <c r="Z357" s="28" t="str">
        <f>VLOOKUP($A357,'raw-schema'!$A:$R,14,0)</f>
        <v>Brand</v>
      </c>
      <c r="AA357" s="28" t="str">
        <f>VLOOKUP($A357,'raw-schema'!$A:$R,15,0)</f>
        <v>Offer</v>
      </c>
      <c r="AB357" s="28" t="str">
        <f>VLOOKUP($A357,'raw-schema'!$A:$R,16,0)</f>
        <v>Organization</v>
      </c>
      <c r="AC357" s="28" t="str">
        <f>VLOOKUP($A357,'raw-schema'!$A:$R,17,0)</f>
        <v>Product</v>
      </c>
      <c r="AD357" s="28">
        <f>VLOOKUP($A357,'raw-schema'!$A:$R,18,0)</f>
        <v>0</v>
      </c>
      <c r="AE357" s="30" t="s">
        <v>69</v>
      </c>
    </row>
    <row r="358" spans="1:31" x14ac:dyDescent="0.3">
      <c r="A358" s="28" t="str">
        <f t="array" ref="A358">INDEX('raw-sheet'!$A$2:$ZZ$1000, ROW(A357), MATCH(A$1, 'raw-sheet'!$A$1:$ZZ$1, 0))</f>
        <v>https://innisfree-taiwan.myshopify.com/products/innisfree-volcanic-bha-pore-cleansing-oil</v>
      </c>
      <c r="B358" s="30" t="s">
        <v>11</v>
      </c>
      <c r="C358" s="28" t="str">
        <f t="array" ref="C358">INDEX('raw-sheet'!$A$2:$ZZ$1000, ROW(C357), MATCH(C$1, 'raw-sheet'!$A$1:$ZZ$1, 0))</f>
        <v>Product Detail</v>
      </c>
      <c r="D358" s="28">
        <f t="array" ref="D358">INDEX('raw-sheet'!$A$2:$ZZ$1000, ROW(D357), MATCH(D$1, 'raw-sheet'!$A$1:$ZZ$1, 0))</f>
        <v>200</v>
      </c>
      <c r="E358" s="30" t="str">
        <f t="shared" si="10"/>
        <v>Pass</v>
      </c>
      <c r="F358" s="28" t="str">
        <f t="array" ref="F358">INDEX('raw-sheet'!$A$2:$ZZ$1000, ROW(F357), MATCH(F$1, 'raw-sheet'!$A$1:$ZZ$1, 0))</f>
        <v>火山泥毛孔潔淨卸妝油&amp;#40;BHA&amp;#41; 150ml_x000D_ | INNISFREE Taiwan</v>
      </c>
      <c r="G358" s="30" t="s">
        <v>11</v>
      </c>
      <c r="H358" s="28" t="str">
        <f t="array" ref="H358">INDEX('raw-sheet'!$A$2:$ZZ$1000, ROW(H357), MATCH(H$1, 'raw-sheet'!$A$1:$ZZ$1, 0))</f>
        <v>蘊含濟州火山皮脂淨化粉末Plus™與BHA水楊酸，能夠溫和卸除彩妝、同時溶解皮脂髒污與老廢角質的深層卸妝油！ 適合在意毛孔粉刺困擾、為油光問題感到煩惱的顧客。</v>
      </c>
      <c r="I358" s="30" t="s">
        <v>11</v>
      </c>
      <c r="J358" s="28" t="str">
        <f t="array" ref="J358">INDEX('raw-sheet'!$A$2:$ZZ$1000, ROW(J357), MATCH(J$1, 'raw-sheet'!$A$1:$ZZ$1, 0))</f>
        <v>火山泥毛孔潔淨卸妝油(BHA) 150ml</v>
      </c>
      <c r="K358" s="28" t="str">
        <f t="array" ref="K358">INDEX('raw-sheet'!$A$2:$ZZ$1000, ROW(K357), MATCH(K$1, 'raw-sheet'!$A$1:$ZZ$1, 0))</f>
        <v>1</v>
      </c>
      <c r="L358" s="30" t="s">
        <v>11</v>
      </c>
      <c r="M358" s="28" t="str">
        <f t="array" ref="M358">INDEX('raw-sheet'!$A$2:$ZZ$1000, ROW(M357), MATCH(M$1, 'raw-sheet'!$A$1:$ZZ$1, 0))</f>
        <v>https://innisfree-taiwan.myshopify.com/products/innisfree-volcanic-bha-pore-cleansing-oil</v>
      </c>
      <c r="N358" s="30" t="str">
        <f t="shared" si="11"/>
        <v>Pass</v>
      </c>
      <c r="O358" s="28" t="str">
        <f t="array" ref="O358">INDEX('raw-sheet'!$A$2:$ZZ$1000, ROW(O357), MATCH(O$1, 'raw-sheet'!$A$1:$ZZ$1, 0))</f>
        <v>火山泥毛孔潔淨卸妝油&amp;#40;BHA&amp;#41; 150ml | INNISFREE Taiwan</v>
      </c>
      <c r="P358" s="28" t="str">
        <f t="array" ref="P358">INDEX('raw-sheet'!$A$2:$ZZ$1000, ROW(P357), MATCH(P$1, 'raw-sheet'!$A$1:$ZZ$1, 0))</f>
        <v>蘊含濟州火山皮脂淨化粉末Plus™與BHA水楊酸，能夠溫和卸除彩妝、同時溶解皮脂髒污與老廢角質的深層卸妝油！ 適合在意毛孔粉刺困擾、為油光問題感到煩惱的顧客。</v>
      </c>
      <c r="Q358" s="28" t="str">
        <f t="array" ref="Q358">INDEX('raw-sheet'!$A$2:$ZZ$1000, ROW(Q357), MATCH(Q$1, 'raw-sheet'!$A$1:$ZZ$1, 0))</f>
        <v>product</v>
      </c>
      <c r="R358" s="28" t="str">
        <f t="array" ref="R358">INDEX('raw-sheet'!$A$2:$ZZ$1000, ROW(R357), MATCH(R$1, 'raw-sheet'!$A$1:$ZZ$1, 0))</f>
        <v>INNISFREE Taiwan</v>
      </c>
      <c r="S358" s="28" t="str">
        <f t="array" ref="S358">INDEX('raw-sheet'!$A$2:$ZZ$1000, ROW(S357), MATCH(S$1, 'raw-sheet'!$A$1:$ZZ$1, 0))</f>
        <v>http://innisfree-taiwan.myshopify.com/cdn/shop/files/pdp_mig_c4982952_20240422_1350_ID0101_1_jpg.jpg?v=1768543135</v>
      </c>
      <c r="T358" s="28" t="str">
        <f t="array" ref="T358">INDEX('raw-sheet'!$A$2:$ZZ$1000, ROW(T357), MATCH(T$1, 'raw-sheet'!$A$1:$ZZ$1, 0))</f>
        <v>https://innisfree-taiwan.myshopify.com/cdn/shop/files/pdp_mig_c4982952_20240422_1350_ID0101_1_jpg.jpg?v=1768543135</v>
      </c>
      <c r="U358" s="28" t="str">
        <f t="array" ref="U358">INDEX('raw-sheet'!$A$2:$ZZ$1000, ROW(U357), MATCH(U$1, 'raw-sheet'!$A$1:$ZZ$1, 0))</f>
        <v>https://innisfree-taiwan.myshopify.com/products/innisfree-volcanic-bha-pore-cleansing-oil</v>
      </c>
      <c r="V358" s="28" t="str">
        <f t="array" ref="V358">INDEX('raw-sheet'!$A$2:$ZZ$1000, ROW(V357), MATCH(V$1, 'raw-sheet'!$A$1:$ZZ$1, 0))</f>
        <v>火山泥毛孔潔淨卸妝油&amp;#40;BHA&amp;#41; 150ml | INNISFREE Taiwan</v>
      </c>
      <c r="W358" s="28" t="str">
        <f t="array" ref="W358">INDEX('raw-sheet'!$A$2:$ZZ$1000, ROW(W357), MATCH(W$1, 'raw-sheet'!$A$1:$ZZ$1, 0))</f>
        <v>蘊含濟州火山皮脂淨化粉末Plus™與BHA水楊酸，能夠溫和卸除彩妝、同時溶解皮脂髒污與老廢角質的深層卸妝油！ 適合在意毛孔粉刺困擾、為油光問題感到煩惱的顧客。</v>
      </c>
      <c r="X358" s="28" t="str">
        <f t="array" ref="X358">INDEX('raw-sheet'!$A$2:$ZZ$1000, ROW(X357), MATCH(X$1, 'raw-sheet'!$A$1:$ZZ$1, 0))</f>
        <v>summary_large_image</v>
      </c>
      <c r="Y358" s="30" t="s">
        <v>11</v>
      </c>
      <c r="Z358" s="28" t="str">
        <f>VLOOKUP($A358,'raw-schema'!$A:$R,14,0)</f>
        <v>Brand</v>
      </c>
      <c r="AA358" s="28" t="str">
        <f>VLOOKUP($A358,'raw-schema'!$A:$R,15,0)</f>
        <v>Offer</v>
      </c>
      <c r="AB358" s="28" t="str">
        <f>VLOOKUP($A358,'raw-schema'!$A:$R,16,0)</f>
        <v>Organization</v>
      </c>
      <c r="AC358" s="28" t="str">
        <f>VLOOKUP($A358,'raw-schema'!$A:$R,17,0)</f>
        <v>Product</v>
      </c>
      <c r="AD358" s="28">
        <f>VLOOKUP($A358,'raw-schema'!$A:$R,18,0)</f>
        <v>0</v>
      </c>
      <c r="AE358" s="30" t="s">
        <v>69</v>
      </c>
    </row>
    <row r="359" spans="1:31" x14ac:dyDescent="0.3">
      <c r="A359" s="28" t="str">
        <f t="array" ref="A359">INDEX('raw-sheet'!$A$2:$ZZ$1000, ROW(A358), MATCH(A$1, 'raw-sheet'!$A$1:$ZZ$1, 0))</f>
        <v>https://innisfree-taiwan.myshopify.com/products/innisfree-volcanic-swirl-pore-mask</v>
      </c>
      <c r="B359" s="30" t="s">
        <v>11</v>
      </c>
      <c r="C359" s="28" t="str">
        <f t="array" ref="C359">INDEX('raw-sheet'!$A$2:$ZZ$1000, ROW(C358), MATCH(C$1, 'raw-sheet'!$A$1:$ZZ$1, 0))</f>
        <v>Product Detail</v>
      </c>
      <c r="D359" s="28">
        <f t="array" ref="D359">INDEX('raw-sheet'!$A$2:$ZZ$1000, ROW(D358), MATCH(D$1, 'raw-sheet'!$A$1:$ZZ$1, 0))</f>
        <v>200</v>
      </c>
      <c r="E359" s="30" t="str">
        <f t="shared" si="10"/>
        <v>Pass</v>
      </c>
      <c r="F359" s="28" t="str">
        <f t="array" ref="F359">INDEX('raw-sheet'!$A$2:$ZZ$1000, ROW(F358), MATCH(F$1, 'raw-sheet'!$A$1:$ZZ$1, 0))</f>
        <v>火山泥雙效毛孔潔淨面膜 110g_x000D_ | INNISFREE Taiwan</v>
      </c>
      <c r="G359" s="30" t="s">
        <v>11</v>
      </c>
      <c r="H359" s="28" t="str">
        <f t="array" ref="H359">INDEX('raw-sheet'!$A$2:$ZZ$1000, ROW(H358), MATCH(H$1, 'raw-sheet'!$A$1:$ZZ$1, 0))</f>
        <v>雙重功效的火山泥面膜，火山泥和玻尿酸乳霜雙配方，有助於清潔毛孔，同時為肌膚補水。</v>
      </c>
      <c r="I359" s="30" t="s">
        <v>11</v>
      </c>
      <c r="J359" s="28" t="str">
        <f t="array" ref="J359">INDEX('raw-sheet'!$A$2:$ZZ$1000, ROW(J358), MATCH(J$1, 'raw-sheet'!$A$1:$ZZ$1, 0))</f>
        <v>火山泥雙效毛孔潔淨面膜 110g</v>
      </c>
      <c r="K359" s="28" t="str">
        <f t="array" ref="K359">INDEX('raw-sheet'!$A$2:$ZZ$1000, ROW(K358), MATCH(K$1, 'raw-sheet'!$A$1:$ZZ$1, 0))</f>
        <v>1</v>
      </c>
      <c r="L359" s="30" t="s">
        <v>11</v>
      </c>
      <c r="M359" s="28" t="str">
        <f t="array" ref="M359">INDEX('raw-sheet'!$A$2:$ZZ$1000, ROW(M358), MATCH(M$1, 'raw-sheet'!$A$1:$ZZ$1, 0))</f>
        <v>https://innisfree-taiwan.myshopify.com/products/innisfree-volcanic-swirl-pore-mask</v>
      </c>
      <c r="N359" s="30" t="str">
        <f t="shared" si="11"/>
        <v>Pass</v>
      </c>
      <c r="O359" s="28" t="str">
        <f t="array" ref="O359">INDEX('raw-sheet'!$A$2:$ZZ$1000, ROW(O358), MATCH(O$1, 'raw-sheet'!$A$1:$ZZ$1, 0))</f>
        <v>火山泥雙效毛孔潔淨面膜 110g | INNISFREE Taiwan</v>
      </c>
      <c r="P359" s="28" t="str">
        <f t="array" ref="P359">INDEX('raw-sheet'!$A$2:$ZZ$1000, ROW(P358), MATCH(P$1, 'raw-sheet'!$A$1:$ZZ$1, 0))</f>
        <v>雙重功效的火山泥面膜，火山泥和玻尿酸乳霜雙配方，有助於清潔毛孔，同時為肌膚補水。</v>
      </c>
      <c r="Q359" s="28" t="str">
        <f t="array" ref="Q359">INDEX('raw-sheet'!$A$2:$ZZ$1000, ROW(Q358), MATCH(Q$1, 'raw-sheet'!$A$1:$ZZ$1, 0))</f>
        <v>product</v>
      </c>
      <c r="R359" s="28" t="str">
        <f t="array" ref="R359">INDEX('raw-sheet'!$A$2:$ZZ$1000, ROW(R358), MATCH(R$1, 'raw-sheet'!$A$1:$ZZ$1, 0))</f>
        <v>INNISFREE Taiwan</v>
      </c>
      <c r="S359" s="28" t="str">
        <f t="array" ref="S359">INDEX('raw-sheet'!$A$2:$ZZ$1000, ROW(S358), MATCH(S$1, 'raw-sheet'!$A$1:$ZZ$1, 0))</f>
        <v>http://innisfree-taiwan.myshopify.com/cdn/shop/files/pdp_mig_df5f9dc4_20250801_1520_ID0101_1_jpg.jpg?v=1768543073</v>
      </c>
      <c r="T359" s="28" t="str">
        <f t="array" ref="T359">INDEX('raw-sheet'!$A$2:$ZZ$1000, ROW(T358), MATCH(T$1, 'raw-sheet'!$A$1:$ZZ$1, 0))</f>
        <v>https://innisfree-taiwan.myshopify.com/cdn/shop/files/pdp_mig_df5f9dc4_20250801_1520_ID0101_1_jpg.jpg?v=1768543073</v>
      </c>
      <c r="U359" s="28" t="str">
        <f t="array" ref="U359">INDEX('raw-sheet'!$A$2:$ZZ$1000, ROW(U358), MATCH(U$1, 'raw-sheet'!$A$1:$ZZ$1, 0))</f>
        <v>https://innisfree-taiwan.myshopify.com/products/innisfree-volcanic-swirl-pore-mask</v>
      </c>
      <c r="V359" s="28" t="str">
        <f t="array" ref="V359">INDEX('raw-sheet'!$A$2:$ZZ$1000, ROW(V358), MATCH(V$1, 'raw-sheet'!$A$1:$ZZ$1, 0))</f>
        <v>火山泥雙效毛孔潔淨面膜 110g | INNISFREE Taiwan</v>
      </c>
      <c r="W359" s="28" t="str">
        <f t="array" ref="W359">INDEX('raw-sheet'!$A$2:$ZZ$1000, ROW(W358), MATCH(W$1, 'raw-sheet'!$A$1:$ZZ$1, 0))</f>
        <v>雙重功效的火山泥面膜，火山泥和玻尿酸乳霜雙配方，有助於清潔毛孔，同時為肌膚補水。</v>
      </c>
      <c r="X359" s="28" t="str">
        <f t="array" ref="X359">INDEX('raw-sheet'!$A$2:$ZZ$1000, ROW(X358), MATCH(X$1, 'raw-sheet'!$A$1:$ZZ$1, 0))</f>
        <v>summary_large_image</v>
      </c>
      <c r="Y359" s="30" t="s">
        <v>11</v>
      </c>
      <c r="Z359" s="28" t="str">
        <f>VLOOKUP($A359,'raw-schema'!$A:$R,14,0)</f>
        <v>Brand</v>
      </c>
      <c r="AA359" s="28" t="str">
        <f>VLOOKUP($A359,'raw-schema'!$A:$R,15,0)</f>
        <v>Offer</v>
      </c>
      <c r="AB359" s="28" t="str">
        <f>VLOOKUP($A359,'raw-schema'!$A:$R,16,0)</f>
        <v>Organization</v>
      </c>
      <c r="AC359" s="28" t="str">
        <f>VLOOKUP($A359,'raw-schema'!$A:$R,17,0)</f>
        <v>Product</v>
      </c>
      <c r="AD359" s="28">
        <f>VLOOKUP($A359,'raw-schema'!$A:$R,18,0)</f>
        <v>0</v>
      </c>
      <c r="AE359" s="30" t="s">
        <v>69</v>
      </c>
    </row>
    <row r="360" spans="1:31" x14ac:dyDescent="0.3">
      <c r="A360" s="28" t="str">
        <f t="array" ref="A360">INDEX('raw-sheet'!$A$2:$ZZ$1000, ROW(A359), MATCH(A$1, 'raw-sheet'!$A$1:$ZZ$1, 0))</f>
        <v>https://innisfree-taiwan.myshopify.com/products/joyful-gtc-set</v>
      </c>
      <c r="B360" s="30" t="s">
        <v>11</v>
      </c>
      <c r="C360" s="28" t="str">
        <f t="array" ref="C360">INDEX('raw-sheet'!$A$2:$ZZ$1000, ROW(C359), MATCH(C$1, 'raw-sheet'!$A$1:$ZZ$1, 0))</f>
        <v>Product Detail</v>
      </c>
      <c r="D360" s="28">
        <f t="array" ref="D360">INDEX('raw-sheet'!$A$2:$ZZ$1000, ROW(D359), MATCH(D$1, 'raw-sheet'!$A$1:$ZZ$1, 0))</f>
        <v>200</v>
      </c>
      <c r="E360" s="30" t="str">
        <f t="shared" si="10"/>
        <v>Pass</v>
      </c>
      <c r="F360" s="28" t="str">
        <f t="array" ref="F360">INDEX('raw-sheet'!$A$2:$ZZ$1000, ROW(F359), MATCH(F$1, 'raw-sheet'!$A$1:$ZZ$1, 0))</f>
        <v>綠茶籽玻尿酸保濕霜組&amp;#40;閃耀版&amp;#41;_x000D_ | INNISFREE Taiwan</v>
      </c>
      <c r="G360" s="30" t="s">
        <v>11</v>
      </c>
      <c r="H360" s="28" t="str">
        <f t="array" ref="H360">INDEX('raw-sheet'!$A$2:$ZZ$1000, ROW(H359), MATCH(H$1, 'raw-sheet'!$A$1:$ZZ$1, 0))</f>
        <v>採用綠茶萃取及玻尿酸成分，給予肌膚補水保濕，打造肌膚健康透亮的保濕面霜</v>
      </c>
      <c r="I360" s="30" t="s">
        <v>11</v>
      </c>
      <c r="J360" s="28" t="str">
        <f t="array" ref="J360">INDEX('raw-sheet'!$A$2:$ZZ$1000, ROW(J359), MATCH(J$1, 'raw-sheet'!$A$1:$ZZ$1, 0))</f>
        <v>[聖誕限定]綠茶籽玻尿酸保濕霜組 閃耀版</v>
      </c>
      <c r="K360" s="28" t="str">
        <f t="array" ref="K360">INDEX('raw-sheet'!$A$2:$ZZ$1000, ROW(K359), MATCH(K$1, 'raw-sheet'!$A$1:$ZZ$1, 0))</f>
        <v>1</v>
      </c>
      <c r="L360" s="30" t="s">
        <v>11</v>
      </c>
      <c r="M360" s="28" t="str">
        <f t="array" ref="M360">INDEX('raw-sheet'!$A$2:$ZZ$1000, ROW(M359), MATCH(M$1, 'raw-sheet'!$A$1:$ZZ$1, 0))</f>
        <v>https://innisfree-taiwan.myshopify.com/products/joyful-gtc-set</v>
      </c>
      <c r="N360" s="30" t="str">
        <f t="shared" si="11"/>
        <v>Pass</v>
      </c>
      <c r="O360" s="28" t="str">
        <f t="array" ref="O360">INDEX('raw-sheet'!$A$2:$ZZ$1000, ROW(O359), MATCH(O$1, 'raw-sheet'!$A$1:$ZZ$1, 0))</f>
        <v>綠茶籽玻尿酸保濕霜組&amp;#40;閃耀版&amp;#41; | INNISFREE Taiwan</v>
      </c>
      <c r="P360" s="28" t="str">
        <f t="array" ref="P360">INDEX('raw-sheet'!$A$2:$ZZ$1000, ROW(P359), MATCH(P$1, 'raw-sheet'!$A$1:$ZZ$1, 0))</f>
        <v>採用綠茶萃取及玻尿酸成分，給予肌膚補水保濕，打造肌膚健康透亮的保濕面霜</v>
      </c>
      <c r="Q360" s="28" t="str">
        <f t="array" ref="Q360">INDEX('raw-sheet'!$A$2:$ZZ$1000, ROW(Q359), MATCH(Q$1, 'raw-sheet'!$A$1:$ZZ$1, 0))</f>
        <v>product</v>
      </c>
      <c r="R360" s="28" t="str">
        <f t="array" ref="R360">INDEX('raw-sheet'!$A$2:$ZZ$1000, ROW(R359), MATCH(R$1, 'raw-sheet'!$A$1:$ZZ$1, 0))</f>
        <v>INNISFREE Taiwan</v>
      </c>
      <c r="S360" s="28" t="str">
        <f t="array" ref="S360">INDEX('raw-sheet'!$A$2:$ZZ$1000, ROW(S359), MATCH(S$1, 'raw-sheet'!$A$1:$ZZ$1, 0))</f>
        <v>http://innisfree-taiwan.myshopify.com/cdn/shop/files/pdp_mig_3b242849_20251015_1649_ID0101_1_jpg.jpg?v=1768543071</v>
      </c>
      <c r="T360" s="28" t="str">
        <f t="array" ref="T360">INDEX('raw-sheet'!$A$2:$ZZ$1000, ROW(T359), MATCH(T$1, 'raw-sheet'!$A$1:$ZZ$1, 0))</f>
        <v>https://innisfree-taiwan.myshopify.com/cdn/shop/files/pdp_mig_3b242849_20251015_1649_ID0101_1_jpg.jpg?v=1768543071</v>
      </c>
      <c r="U360" s="28" t="str">
        <f t="array" ref="U360">INDEX('raw-sheet'!$A$2:$ZZ$1000, ROW(U359), MATCH(U$1, 'raw-sheet'!$A$1:$ZZ$1, 0))</f>
        <v>https://innisfree-taiwan.myshopify.com/products/joyful-gtc-set</v>
      </c>
      <c r="V360" s="28" t="str">
        <f t="array" ref="V360">INDEX('raw-sheet'!$A$2:$ZZ$1000, ROW(V359), MATCH(V$1, 'raw-sheet'!$A$1:$ZZ$1, 0))</f>
        <v>綠茶籽玻尿酸保濕霜組&amp;#40;閃耀版&amp;#41; | INNISFREE Taiwan</v>
      </c>
      <c r="W360" s="28" t="str">
        <f t="array" ref="W360">INDEX('raw-sheet'!$A$2:$ZZ$1000, ROW(W359), MATCH(W$1, 'raw-sheet'!$A$1:$ZZ$1, 0))</f>
        <v>採用綠茶萃取及玻尿酸成分，給予肌膚補水保濕，打造肌膚健康透亮的保濕面霜</v>
      </c>
      <c r="X360" s="28" t="str">
        <f t="array" ref="X360">INDEX('raw-sheet'!$A$2:$ZZ$1000, ROW(X359), MATCH(X$1, 'raw-sheet'!$A$1:$ZZ$1, 0))</f>
        <v>summary_large_image</v>
      </c>
      <c r="Y360" s="30" t="s">
        <v>11</v>
      </c>
      <c r="Z360" s="28" t="str">
        <f>VLOOKUP($A360,'raw-schema'!$A:$R,14,0)</f>
        <v>Brand</v>
      </c>
      <c r="AA360" s="28" t="str">
        <f>VLOOKUP($A360,'raw-schema'!$A:$R,15,0)</f>
        <v>Offer</v>
      </c>
      <c r="AB360" s="28" t="str">
        <f>VLOOKUP($A360,'raw-schema'!$A:$R,16,0)</f>
        <v>Organization</v>
      </c>
      <c r="AC360" s="28" t="str">
        <f>VLOOKUP($A360,'raw-schema'!$A:$R,17,0)</f>
        <v>Product</v>
      </c>
      <c r="AD360" s="28">
        <f>VLOOKUP($A360,'raw-schema'!$A:$R,18,0)</f>
        <v>0</v>
      </c>
      <c r="AE360" s="30" t="s">
        <v>69</v>
      </c>
    </row>
    <row r="361" spans="1:31" x14ac:dyDescent="0.3">
      <c r="A361" s="28" t="str">
        <f t="array" ref="A361">INDEX('raw-sheet'!$A$2:$ZZ$1000, ROW(A360), MATCH(A$1, 'raw-sheet'!$A$1:$ZZ$1, 0))</f>
        <v>https://innisfree-taiwan.myshopify.com/products/joyful-gths-set</v>
      </c>
      <c r="B361" s="30" t="s">
        <v>11</v>
      </c>
      <c r="C361" s="28" t="str">
        <f t="array" ref="C361">INDEX('raw-sheet'!$A$2:$ZZ$1000, ROW(C360), MATCH(C$1, 'raw-sheet'!$A$1:$ZZ$1, 0))</f>
        <v>Product Detail</v>
      </c>
      <c r="D361" s="28">
        <f t="array" ref="D361">INDEX('raw-sheet'!$A$2:$ZZ$1000, ROW(D360), MATCH(D$1, 'raw-sheet'!$A$1:$ZZ$1, 0))</f>
        <v>200</v>
      </c>
      <c r="E361" s="30" t="str">
        <f t="shared" si="10"/>
        <v>Pass</v>
      </c>
      <c r="F361" s="28" t="str">
        <f t="array" ref="F361">INDEX('raw-sheet'!$A$2:$ZZ$1000, ROW(F360), MATCH(F$1, 'raw-sheet'!$A$1:$ZZ$1, 0))</f>
        <v>綠茶籽玻尿酸保濕精華組&amp;#40;閃耀版&amp;#41;_x000D_ | INNISFREE Taiwan</v>
      </c>
      <c r="G361" s="30" t="s">
        <v>11</v>
      </c>
      <c r="H361" s="28" t="str">
        <f t="array" ref="H361">INDEX('raw-sheet'!$A$2:$ZZ$1000, ROW(H360), MATCH(H$1, 'raw-sheet'!$A$1:$ZZ$1, 0))</f>
        <v>綠茶萃取+玻尿酸的協同作用能夠快速解決肌膚缺水問題，加強保濕屏障幫助肌膚365天長效保濕，打造健康透亮的保濕精華</v>
      </c>
      <c r="I361" s="30" t="s">
        <v>11</v>
      </c>
      <c r="J361" s="28" t="str">
        <f t="array" ref="J361">INDEX('raw-sheet'!$A$2:$ZZ$1000, ROW(J360), MATCH(J$1, 'raw-sheet'!$A$1:$ZZ$1, 0))</f>
        <v>[聖誕限定]綠茶籽玻尿酸保濕精華組 閃耀版</v>
      </c>
      <c r="K361" s="28" t="str">
        <f t="array" ref="K361">INDEX('raw-sheet'!$A$2:$ZZ$1000, ROW(K360), MATCH(K$1, 'raw-sheet'!$A$1:$ZZ$1, 0))</f>
        <v>1</v>
      </c>
      <c r="L361" s="30" t="s">
        <v>11</v>
      </c>
      <c r="M361" s="28" t="str">
        <f t="array" ref="M361">INDEX('raw-sheet'!$A$2:$ZZ$1000, ROW(M360), MATCH(M$1, 'raw-sheet'!$A$1:$ZZ$1, 0))</f>
        <v>https://innisfree-taiwan.myshopify.com/products/joyful-gths-set</v>
      </c>
      <c r="N361" s="30" t="str">
        <f t="shared" si="11"/>
        <v>Pass</v>
      </c>
      <c r="O361" s="28" t="str">
        <f t="array" ref="O361">INDEX('raw-sheet'!$A$2:$ZZ$1000, ROW(O360), MATCH(O$1, 'raw-sheet'!$A$1:$ZZ$1, 0))</f>
        <v>綠茶籽玻尿酸保濕精華組&amp;#40;閃耀版&amp;#41; | INNISFREE Taiwan</v>
      </c>
      <c r="P361" s="28" t="str">
        <f t="array" ref="P361">INDEX('raw-sheet'!$A$2:$ZZ$1000, ROW(P360), MATCH(P$1, 'raw-sheet'!$A$1:$ZZ$1, 0))</f>
        <v>綠茶萃取+玻尿酸的協同作用能夠快速解決肌膚缺水問題，加強保濕屏障幫助肌膚365天長效保濕，打造健康透亮的保濕精華</v>
      </c>
      <c r="Q361" s="28" t="str">
        <f t="array" ref="Q361">INDEX('raw-sheet'!$A$2:$ZZ$1000, ROW(Q360), MATCH(Q$1, 'raw-sheet'!$A$1:$ZZ$1, 0))</f>
        <v>product</v>
      </c>
      <c r="R361" s="28" t="str">
        <f t="array" ref="R361">INDEX('raw-sheet'!$A$2:$ZZ$1000, ROW(R360), MATCH(R$1, 'raw-sheet'!$A$1:$ZZ$1, 0))</f>
        <v>INNISFREE Taiwan</v>
      </c>
      <c r="S361" s="28" t="str">
        <f t="array" ref="S361">INDEX('raw-sheet'!$A$2:$ZZ$1000, ROW(S360), MATCH(S$1, 'raw-sheet'!$A$1:$ZZ$1, 0))</f>
        <v>http://innisfree-taiwan.myshopify.com/cdn/shop/files/pdp_mig_f6108a80_20251015_1648_ID0101_1_jpg.jpg?v=1768543070</v>
      </c>
      <c r="T361" s="28" t="str">
        <f t="array" ref="T361">INDEX('raw-sheet'!$A$2:$ZZ$1000, ROW(T360), MATCH(T$1, 'raw-sheet'!$A$1:$ZZ$1, 0))</f>
        <v>https://innisfree-taiwan.myshopify.com/cdn/shop/files/pdp_mig_f6108a80_20251015_1648_ID0101_1_jpg.jpg?v=1768543070</v>
      </c>
      <c r="U361" s="28" t="str">
        <f t="array" ref="U361">INDEX('raw-sheet'!$A$2:$ZZ$1000, ROW(U360), MATCH(U$1, 'raw-sheet'!$A$1:$ZZ$1, 0))</f>
        <v>https://innisfree-taiwan.myshopify.com/products/joyful-gths-set</v>
      </c>
      <c r="V361" s="28" t="str">
        <f t="array" ref="V361">INDEX('raw-sheet'!$A$2:$ZZ$1000, ROW(V360), MATCH(V$1, 'raw-sheet'!$A$1:$ZZ$1, 0))</f>
        <v>綠茶籽玻尿酸保濕精華組&amp;#40;閃耀版&amp;#41; | INNISFREE Taiwan</v>
      </c>
      <c r="W361" s="28" t="str">
        <f t="array" ref="W361">INDEX('raw-sheet'!$A$2:$ZZ$1000, ROW(W360), MATCH(W$1, 'raw-sheet'!$A$1:$ZZ$1, 0))</f>
        <v>綠茶萃取+玻尿酸的協同作用能夠快速解決肌膚缺水問題，加強保濕屏障幫助肌膚365天長效保濕，打造健康透亮的保濕精華</v>
      </c>
      <c r="X361" s="28" t="str">
        <f t="array" ref="X361">INDEX('raw-sheet'!$A$2:$ZZ$1000, ROW(X360), MATCH(X$1, 'raw-sheet'!$A$1:$ZZ$1, 0))</f>
        <v>summary_large_image</v>
      </c>
      <c r="Y361" s="30" t="s">
        <v>11</v>
      </c>
      <c r="Z361" s="28" t="str">
        <f>VLOOKUP($A361,'raw-schema'!$A:$R,14,0)</f>
        <v>Brand</v>
      </c>
      <c r="AA361" s="28" t="str">
        <f>VLOOKUP($A361,'raw-schema'!$A:$R,15,0)</f>
        <v>Offer</v>
      </c>
      <c r="AB361" s="28" t="str">
        <f>VLOOKUP($A361,'raw-schema'!$A:$R,16,0)</f>
        <v>Organization</v>
      </c>
      <c r="AC361" s="28" t="str">
        <f>VLOOKUP($A361,'raw-schema'!$A:$R,17,0)</f>
        <v>Product</v>
      </c>
      <c r="AD361" s="28">
        <f>VLOOKUP($A361,'raw-schema'!$A:$R,18,0)</f>
        <v>0</v>
      </c>
      <c r="AE361" s="30" t="s">
        <v>69</v>
      </c>
    </row>
    <row r="362" spans="1:31" x14ac:dyDescent="0.3">
      <c r="A362" s="28" t="str">
        <f t="array" ref="A362">INDEX('raw-sheet'!$A$2:$ZZ$1000, ROW(A361), MATCH(A$1, 'raw-sheet'!$A$1:$ZZ$1, 0))</f>
        <v>https://innisfree-taiwan.myshopify.com/products/joyful-handcream-set</v>
      </c>
      <c r="B362" s="30" t="s">
        <v>11</v>
      </c>
      <c r="C362" s="28" t="str">
        <f t="array" ref="C362">INDEX('raw-sheet'!$A$2:$ZZ$1000, ROW(C361), MATCH(C$1, 'raw-sheet'!$A$1:$ZZ$1, 0))</f>
        <v>Product Detail</v>
      </c>
      <c r="D362" s="28">
        <f t="array" ref="D362">INDEX('raw-sheet'!$A$2:$ZZ$1000, ROW(D361), MATCH(D$1, 'raw-sheet'!$A$1:$ZZ$1, 0))</f>
        <v>200</v>
      </c>
      <c r="E362" s="30" t="str">
        <f t="shared" si="10"/>
        <v>Pass</v>
      </c>
      <c r="F362" s="28" t="str">
        <f t="array" ref="F362">INDEX('raw-sheet'!$A$2:$ZZ$1000, ROW(F361), MATCH(F$1, 'raw-sheet'!$A$1:$ZZ$1, 0))</f>
        <v>我的香氛護手霜組&amp;#40;閃耀版&amp;#41;_x000D_ | INNISFREE Taiwan</v>
      </c>
      <c r="G362" s="30" t="s">
        <v>11</v>
      </c>
      <c r="H362" s="28" t="str">
        <f t="array" ref="H362">INDEX('raw-sheet'!$A$2:$ZZ$1000, ROW(H361), MATCH(H$1, 'raw-sheet'!$A$1:$ZZ$1, 0))</f>
        <v>有多種香味可供選擇，能搭配每天的心情做使用</v>
      </c>
      <c r="I362" s="30" t="s">
        <v>11</v>
      </c>
      <c r="J362" s="28" t="str">
        <f t="array" ref="J362">INDEX('raw-sheet'!$A$2:$ZZ$1000, ROW(J361), MATCH(J$1, 'raw-sheet'!$A$1:$ZZ$1, 0))</f>
        <v>[聖誕限定]我的香氛護手霜組 閃耀版</v>
      </c>
      <c r="K362" s="28" t="str">
        <f t="array" ref="K362">INDEX('raw-sheet'!$A$2:$ZZ$1000, ROW(K361), MATCH(K$1, 'raw-sheet'!$A$1:$ZZ$1, 0))</f>
        <v>1</v>
      </c>
      <c r="L362" s="30" t="s">
        <v>11</v>
      </c>
      <c r="M362" s="28" t="str">
        <f t="array" ref="M362">INDEX('raw-sheet'!$A$2:$ZZ$1000, ROW(M361), MATCH(M$1, 'raw-sheet'!$A$1:$ZZ$1, 0))</f>
        <v>https://innisfree-taiwan.myshopify.com/products/joyful-handcream-set</v>
      </c>
      <c r="N362" s="30" t="str">
        <f t="shared" si="11"/>
        <v>Pass</v>
      </c>
      <c r="O362" s="28" t="str">
        <f t="array" ref="O362">INDEX('raw-sheet'!$A$2:$ZZ$1000, ROW(O361), MATCH(O$1, 'raw-sheet'!$A$1:$ZZ$1, 0))</f>
        <v>我的香氛護手霜組&amp;#40;閃耀版&amp;#41; | INNISFREE Taiwan</v>
      </c>
      <c r="P362" s="28" t="str">
        <f t="array" ref="P362">INDEX('raw-sheet'!$A$2:$ZZ$1000, ROW(P361), MATCH(P$1, 'raw-sheet'!$A$1:$ZZ$1, 0))</f>
        <v>有多種香味可供選擇，能搭配每天的心情做使用</v>
      </c>
      <c r="Q362" s="28" t="str">
        <f t="array" ref="Q362">INDEX('raw-sheet'!$A$2:$ZZ$1000, ROW(Q361), MATCH(Q$1, 'raw-sheet'!$A$1:$ZZ$1, 0))</f>
        <v>product</v>
      </c>
      <c r="R362" s="28" t="str">
        <f t="array" ref="R362">INDEX('raw-sheet'!$A$2:$ZZ$1000, ROW(R361), MATCH(R$1, 'raw-sheet'!$A$1:$ZZ$1, 0))</f>
        <v>INNISFREE Taiwan</v>
      </c>
      <c r="S362" s="28" t="str">
        <f t="array" ref="S362">INDEX('raw-sheet'!$A$2:$ZZ$1000, ROW(S361), MATCH(S$1, 'raw-sheet'!$A$1:$ZZ$1, 0))</f>
        <v>http://innisfree-taiwan.myshopify.com/cdn/shop/files/pdp_mig_a03b8d4a_20251015_1652_ID0101_1_jpg.jpg?v=1768543070</v>
      </c>
      <c r="T362" s="28" t="str">
        <f t="array" ref="T362">INDEX('raw-sheet'!$A$2:$ZZ$1000, ROW(T361), MATCH(T$1, 'raw-sheet'!$A$1:$ZZ$1, 0))</f>
        <v>https://innisfree-taiwan.myshopify.com/cdn/shop/files/pdp_mig_a03b8d4a_20251015_1652_ID0101_1_jpg.jpg?v=1768543070</v>
      </c>
      <c r="U362" s="28" t="str">
        <f t="array" ref="U362">INDEX('raw-sheet'!$A$2:$ZZ$1000, ROW(U361), MATCH(U$1, 'raw-sheet'!$A$1:$ZZ$1, 0))</f>
        <v>https://innisfree-taiwan.myshopify.com/products/joyful-handcream-set</v>
      </c>
      <c r="V362" s="28" t="str">
        <f t="array" ref="V362">INDEX('raw-sheet'!$A$2:$ZZ$1000, ROW(V361), MATCH(V$1, 'raw-sheet'!$A$1:$ZZ$1, 0))</f>
        <v>我的香氛護手霜組&amp;#40;閃耀版&amp;#41; | INNISFREE Taiwan</v>
      </c>
      <c r="W362" s="28" t="str">
        <f t="array" ref="W362">INDEX('raw-sheet'!$A$2:$ZZ$1000, ROW(W361), MATCH(W$1, 'raw-sheet'!$A$1:$ZZ$1, 0))</f>
        <v>有多種香味可供選擇，能搭配每天的心情做使用</v>
      </c>
      <c r="X362" s="28" t="str">
        <f t="array" ref="X362">INDEX('raw-sheet'!$A$2:$ZZ$1000, ROW(X361), MATCH(X$1, 'raw-sheet'!$A$1:$ZZ$1, 0))</f>
        <v>summary_large_image</v>
      </c>
      <c r="Y362" s="30" t="s">
        <v>11</v>
      </c>
      <c r="Z362" s="28" t="str">
        <f>VLOOKUP($A362,'raw-schema'!$A:$R,14,0)</f>
        <v>Brand</v>
      </c>
      <c r="AA362" s="28" t="str">
        <f>VLOOKUP($A362,'raw-schema'!$A:$R,15,0)</f>
        <v>Offer</v>
      </c>
      <c r="AB362" s="28" t="str">
        <f>VLOOKUP($A362,'raw-schema'!$A:$R,16,0)</f>
        <v>Organization</v>
      </c>
      <c r="AC362" s="28" t="str">
        <f>VLOOKUP($A362,'raw-schema'!$A:$R,17,0)</f>
        <v>Product</v>
      </c>
      <c r="AD362" s="28">
        <f>VLOOKUP($A362,'raw-schema'!$A:$R,18,0)</f>
        <v>0</v>
      </c>
      <c r="AE362" s="30" t="s">
        <v>69</v>
      </c>
    </row>
    <row r="363" spans="1:31" x14ac:dyDescent="0.3">
      <c r="A363" s="28" t="str">
        <f t="array" ref="A363">INDEX('raw-sheet'!$A$2:$ZZ$1000, ROW(A362), MATCH(A$1, 'raw-sheet'!$A$1:$ZZ$1, 0))</f>
        <v>https://innisfree-taiwan.myshopify.com/products/joyful-pdrn-set</v>
      </c>
      <c r="B363" s="30" t="s">
        <v>11</v>
      </c>
      <c r="C363" s="28" t="str">
        <f t="array" ref="C363">INDEX('raw-sheet'!$A$2:$ZZ$1000, ROW(C362), MATCH(C$1, 'raw-sheet'!$A$1:$ZZ$1, 0))</f>
        <v>Product Detail</v>
      </c>
      <c r="D363" s="28">
        <f t="array" ref="D363">INDEX('raw-sheet'!$A$2:$ZZ$1000, ROW(D362), MATCH(D$1, 'raw-sheet'!$A$1:$ZZ$1, 0))</f>
        <v>200</v>
      </c>
      <c r="E363" s="30" t="str">
        <f t="shared" si="10"/>
        <v>Pass</v>
      </c>
      <c r="F363" s="28" t="str">
        <f t="array" ref="F363">INDEX('raw-sheet'!$A$2:$ZZ$1000, ROW(F362), MATCH(F$1, 'raw-sheet'!$A$1:$ZZ$1, 0))</f>
        <v>1%A醇PDRN水光安瓶組&amp;#40;閃耀版&amp;#41;_x000D_ | INNISFREE Taiwan</v>
      </c>
      <c r="G363" s="30" t="s">
        <v>11</v>
      </c>
      <c r="H363" s="28" t="str">
        <f t="array" ref="H363">INDEX('raw-sheet'!$A$2:$ZZ$1000, ROW(H362), MATCH(H$1, 'raw-sheet'!$A$1:$ZZ$1, 0))</f>
        <v>添加A醇及綠茶PDRN™的煥膚安瓶，有效調理代謝角質、緊緻毛孔、改善肌膚彈性，擁有光滑緊緻的肌膚。適合追求水潤透亮肌膚，重視肌膚緊緻與彈力的顧客。</v>
      </c>
      <c r="I363" s="30" t="s">
        <v>60</v>
      </c>
      <c r="J363" s="28" t="str">
        <f t="array" ref="J363">INDEX('raw-sheet'!$A$2:$ZZ$1000, ROW(J362), MATCH(J$1, 'raw-sheet'!$A$1:$ZZ$1, 0))</f>
        <v>[聖誕限定]1%A醇PDRN水光安瓶組 閃耀版</v>
      </c>
      <c r="K363" s="28" t="str">
        <f t="array" ref="K363">INDEX('raw-sheet'!$A$2:$ZZ$1000, ROW(K362), MATCH(K$1, 'raw-sheet'!$A$1:$ZZ$1, 0))</f>
        <v>1</v>
      </c>
      <c r="L363" s="30" t="s">
        <v>11</v>
      </c>
      <c r="M363" s="28" t="str">
        <f t="array" ref="M363">INDEX('raw-sheet'!$A$2:$ZZ$1000, ROW(M362), MATCH(M$1, 'raw-sheet'!$A$1:$ZZ$1, 0))</f>
        <v>https://innisfree-taiwan.myshopify.com/products/joyful-pdrn-set</v>
      </c>
      <c r="N363" s="30" t="str">
        <f t="shared" si="11"/>
        <v>Pass</v>
      </c>
      <c r="O363" s="28" t="str">
        <f t="array" ref="O363">INDEX('raw-sheet'!$A$2:$ZZ$1000, ROW(O362), MATCH(O$1, 'raw-sheet'!$A$1:$ZZ$1, 0))</f>
        <v>1%A醇PDRN水光安瓶組&amp;#40;閃耀版&amp;#41; | INNISFREE Taiwan</v>
      </c>
      <c r="P363" s="28" t="str">
        <f t="array" ref="P363">INDEX('raw-sheet'!$A$2:$ZZ$1000, ROW(P362), MATCH(P$1, 'raw-sheet'!$A$1:$ZZ$1, 0))</f>
        <v>添加A醇及綠茶PDRN™的煥膚安瓶，有效調理代謝角質、緊緻毛孔、改善肌膚彈性，擁有光滑緊緻的肌膚。適合追求水潤透亮肌膚，重視肌膚緊緻與彈力的顧客。</v>
      </c>
      <c r="Q363" s="28" t="str">
        <f t="array" ref="Q363">INDEX('raw-sheet'!$A$2:$ZZ$1000, ROW(Q362), MATCH(Q$1, 'raw-sheet'!$A$1:$ZZ$1, 0))</f>
        <v>product</v>
      </c>
      <c r="R363" s="28" t="str">
        <f t="array" ref="R363">INDEX('raw-sheet'!$A$2:$ZZ$1000, ROW(R362), MATCH(R$1, 'raw-sheet'!$A$1:$ZZ$1, 0))</f>
        <v>INNISFREE Taiwan</v>
      </c>
      <c r="S363" s="28" t="str">
        <f t="array" ref="S363">INDEX('raw-sheet'!$A$2:$ZZ$1000, ROW(S362), MATCH(S$1, 'raw-sheet'!$A$1:$ZZ$1, 0))</f>
        <v>http://innisfree-taiwan.myshopify.com/cdn/shop/files/pdp_mig_634bf254_20251015_1651_ID0101_1_jpg.jpg?v=1768543070</v>
      </c>
      <c r="T363" s="28" t="str">
        <f t="array" ref="T363">INDEX('raw-sheet'!$A$2:$ZZ$1000, ROW(T362), MATCH(T$1, 'raw-sheet'!$A$1:$ZZ$1, 0))</f>
        <v>https://innisfree-taiwan.myshopify.com/cdn/shop/files/pdp_mig_634bf254_20251015_1651_ID0101_1_jpg.jpg?v=1768543070</v>
      </c>
      <c r="U363" s="28" t="str">
        <f t="array" ref="U363">INDEX('raw-sheet'!$A$2:$ZZ$1000, ROW(U362), MATCH(U$1, 'raw-sheet'!$A$1:$ZZ$1, 0))</f>
        <v>https://innisfree-taiwan.myshopify.com/products/joyful-pdrn-set</v>
      </c>
      <c r="V363" s="28" t="str">
        <f t="array" ref="V363">INDEX('raw-sheet'!$A$2:$ZZ$1000, ROW(V362), MATCH(V$1, 'raw-sheet'!$A$1:$ZZ$1, 0))</f>
        <v>1%A醇PDRN水光安瓶組&amp;#40;閃耀版&amp;#41; | INNISFREE Taiwan</v>
      </c>
      <c r="W363" s="28" t="str">
        <f t="array" ref="W363">INDEX('raw-sheet'!$A$2:$ZZ$1000, ROW(W362), MATCH(W$1, 'raw-sheet'!$A$1:$ZZ$1, 0))</f>
        <v>添加A醇及綠茶PDRN™的煥膚安瓶，有效調理代謝角質、緊緻毛孔、改善肌膚彈性，擁有光滑緊緻的肌膚。適合追求水潤透亮肌膚，重視肌膚緊緻與彈力的顧客。</v>
      </c>
      <c r="X363" s="28" t="str">
        <f t="array" ref="X363">INDEX('raw-sheet'!$A$2:$ZZ$1000, ROW(X362), MATCH(X$1, 'raw-sheet'!$A$1:$ZZ$1, 0))</f>
        <v>summary_large_image</v>
      </c>
      <c r="Y363" s="30" t="s">
        <v>56</v>
      </c>
      <c r="Z363" s="28" t="str">
        <f>VLOOKUP($A363,'raw-schema'!$A:$R,14,0)</f>
        <v>Brand</v>
      </c>
      <c r="AA363" s="28" t="str">
        <f>VLOOKUP($A363,'raw-schema'!$A:$R,15,0)</f>
        <v>Offer</v>
      </c>
      <c r="AB363" s="28" t="str">
        <f>VLOOKUP($A363,'raw-schema'!$A:$R,16,0)</f>
        <v>Organization</v>
      </c>
      <c r="AC363" s="28" t="str">
        <f>VLOOKUP($A363,'raw-schema'!$A:$R,17,0)</f>
        <v>Product</v>
      </c>
      <c r="AD363" s="28">
        <f>VLOOKUP($A363,'raw-schema'!$A:$R,18,0)</f>
        <v>0</v>
      </c>
      <c r="AE363" s="30" t="s">
        <v>69</v>
      </c>
    </row>
    <row r="364" spans="1:31" x14ac:dyDescent="0.3">
      <c r="A364" s="28" t="str">
        <f t="array" ref="A364">INDEX('raw-sheet'!$A$2:$ZZ$1000, ROW(A363), MATCH(A$1, 'raw-sheet'!$A$1:$ZZ$1, 0))</f>
        <v>https://innisfree-taiwan.myshopify.com/products/joyful-vc-set</v>
      </c>
      <c r="B364" s="30" t="s">
        <v>11</v>
      </c>
      <c r="C364" s="28" t="str">
        <f t="array" ref="C364">INDEX('raw-sheet'!$A$2:$ZZ$1000, ROW(C363), MATCH(C$1, 'raw-sheet'!$A$1:$ZZ$1, 0))</f>
        <v>Product Detail</v>
      </c>
      <c r="D364" s="28">
        <f t="array" ref="D364">INDEX('raw-sheet'!$A$2:$ZZ$1000, ROW(D363), MATCH(D$1, 'raw-sheet'!$A$1:$ZZ$1, 0))</f>
        <v>200</v>
      </c>
      <c r="E364" s="30" t="str">
        <f t="shared" si="10"/>
        <v>Pass</v>
      </c>
      <c r="F364" s="28" t="str">
        <f t="array" ref="F364">INDEX('raw-sheet'!$A$2:$ZZ$1000, ROW(F363), MATCH(F$1, 'raw-sheet'!$A$1:$ZZ$1, 0))</f>
        <v>維他命C淨亮精華組&amp;#40;閃耀版&amp;#41;_x000D_ | INNISFREE Taiwan</v>
      </c>
      <c r="G364" s="30" t="s">
        <v>11</v>
      </c>
      <c r="H364" s="28" t="str">
        <f t="array" ref="H364">INDEX('raw-sheet'!$A$2:$ZZ$1000, ROW(H363), MATCH(H$1, 'raw-sheet'!$A$1:$ZZ$1, 0))</f>
        <v>富含維生素C和濟州綠茶中的酵素酶，有助於淡化斑點、改善暗沉、均勻膚色，讓肌膚更光滑透亮</v>
      </c>
      <c r="I364" s="30" t="s">
        <v>11</v>
      </c>
      <c r="J364" s="28" t="str">
        <f t="array" ref="J364">INDEX('raw-sheet'!$A$2:$ZZ$1000, ROW(J363), MATCH(J$1, 'raw-sheet'!$A$1:$ZZ$1, 0))</f>
        <v>[聖誕限定]維他命C淨亮精華組 閃耀版</v>
      </c>
      <c r="K364" s="28" t="str">
        <f t="array" ref="K364">INDEX('raw-sheet'!$A$2:$ZZ$1000, ROW(K363), MATCH(K$1, 'raw-sheet'!$A$1:$ZZ$1, 0))</f>
        <v>1</v>
      </c>
      <c r="L364" s="30" t="s">
        <v>11</v>
      </c>
      <c r="M364" s="28" t="str">
        <f t="array" ref="M364">INDEX('raw-sheet'!$A$2:$ZZ$1000, ROW(M363), MATCH(M$1, 'raw-sheet'!$A$1:$ZZ$1, 0))</f>
        <v>https://innisfree-taiwan.myshopify.com/products/joyful-vc-set</v>
      </c>
      <c r="N364" s="30" t="str">
        <f t="shared" si="11"/>
        <v>Pass</v>
      </c>
      <c r="O364" s="28" t="str">
        <f t="array" ref="O364">INDEX('raw-sheet'!$A$2:$ZZ$1000, ROW(O363), MATCH(O$1, 'raw-sheet'!$A$1:$ZZ$1, 0))</f>
        <v>維他命C淨亮精華組&amp;#40;閃耀版&amp;#41; | INNISFREE Taiwan</v>
      </c>
      <c r="P364" s="28" t="str">
        <f t="array" ref="P364">INDEX('raw-sheet'!$A$2:$ZZ$1000, ROW(P363), MATCH(P$1, 'raw-sheet'!$A$1:$ZZ$1, 0))</f>
        <v>富含維生素C和濟州綠茶中的酵素酶，有助於淡化斑點、改善暗沉、均勻膚色，讓肌膚更光滑透亮</v>
      </c>
      <c r="Q364" s="28" t="str">
        <f t="array" ref="Q364">INDEX('raw-sheet'!$A$2:$ZZ$1000, ROW(Q363), MATCH(Q$1, 'raw-sheet'!$A$1:$ZZ$1, 0))</f>
        <v>product</v>
      </c>
      <c r="R364" s="28" t="str">
        <f t="array" ref="R364">INDEX('raw-sheet'!$A$2:$ZZ$1000, ROW(R363), MATCH(R$1, 'raw-sheet'!$A$1:$ZZ$1, 0))</f>
        <v>INNISFREE Taiwan</v>
      </c>
      <c r="S364" s="28" t="str">
        <f t="array" ref="S364">INDEX('raw-sheet'!$A$2:$ZZ$1000, ROW(S363), MATCH(S$1, 'raw-sheet'!$A$1:$ZZ$1, 0))</f>
        <v>http://innisfree-taiwan.myshopify.com/cdn/shop/files/pdp_mig_173d849c_20251015_1650_ID0101_1_jpg.jpg?v=1768543072</v>
      </c>
      <c r="T364" s="28" t="str">
        <f t="array" ref="T364">INDEX('raw-sheet'!$A$2:$ZZ$1000, ROW(T363), MATCH(T$1, 'raw-sheet'!$A$1:$ZZ$1, 0))</f>
        <v>https://innisfree-taiwan.myshopify.com/cdn/shop/files/pdp_mig_173d849c_20251015_1650_ID0101_1_jpg.jpg?v=1768543072</v>
      </c>
      <c r="U364" s="28" t="str">
        <f t="array" ref="U364">INDEX('raw-sheet'!$A$2:$ZZ$1000, ROW(U363), MATCH(U$1, 'raw-sheet'!$A$1:$ZZ$1, 0))</f>
        <v>https://innisfree-taiwan.myshopify.com/products/joyful-vc-set</v>
      </c>
      <c r="V364" s="28" t="str">
        <f t="array" ref="V364">INDEX('raw-sheet'!$A$2:$ZZ$1000, ROW(V363), MATCH(V$1, 'raw-sheet'!$A$1:$ZZ$1, 0))</f>
        <v>維他命C淨亮精華組&amp;#40;閃耀版&amp;#41; | INNISFREE Taiwan</v>
      </c>
      <c r="W364" s="28" t="str">
        <f t="array" ref="W364">INDEX('raw-sheet'!$A$2:$ZZ$1000, ROW(W363), MATCH(W$1, 'raw-sheet'!$A$1:$ZZ$1, 0))</f>
        <v>富含維生素C和濟州綠茶中的酵素酶，有助於淡化斑點、改善暗沉、均勻膚色，讓肌膚更光滑透亮</v>
      </c>
      <c r="X364" s="28" t="str">
        <f t="array" ref="X364">INDEX('raw-sheet'!$A$2:$ZZ$1000, ROW(X363), MATCH(X$1, 'raw-sheet'!$A$1:$ZZ$1, 0))</f>
        <v>summary_large_image</v>
      </c>
      <c r="Y364" s="30" t="s">
        <v>11</v>
      </c>
      <c r="Z364" s="28" t="str">
        <f>VLOOKUP($A364,'raw-schema'!$A:$R,14,0)</f>
        <v>Brand</v>
      </c>
      <c r="AA364" s="28" t="str">
        <f>VLOOKUP($A364,'raw-schema'!$A:$R,15,0)</f>
        <v>Offer</v>
      </c>
      <c r="AB364" s="28" t="str">
        <f>VLOOKUP($A364,'raw-schema'!$A:$R,16,0)</f>
        <v>Organization</v>
      </c>
      <c r="AC364" s="28" t="str">
        <f>VLOOKUP($A364,'raw-schema'!$A:$R,17,0)</f>
        <v>Product</v>
      </c>
      <c r="AD364" s="28">
        <f>VLOOKUP($A364,'raw-schema'!$A:$R,18,0)</f>
        <v>0</v>
      </c>
      <c r="AE364" s="30" t="s">
        <v>69</v>
      </c>
    </row>
    <row r="365" spans="1:31" x14ac:dyDescent="0.3">
      <c r="A365" s="28" t="str">
        <f t="array" ref="A365">INDEX('raw-sheet'!$A$2:$ZZ$1000, ROW(A364), MATCH(A$1, 'raw-sheet'!$A$1:$ZZ$1, 0))</f>
        <v>https://innisfree-taiwan.myshopify.com/products/milkpdrn</v>
      </c>
      <c r="B365" s="30" t="s">
        <v>11</v>
      </c>
      <c r="C365" s="28" t="str">
        <f t="array" ref="C365">INDEX('raw-sheet'!$A$2:$ZZ$1000, ROW(C364), MATCH(C$1, 'raw-sheet'!$A$1:$ZZ$1, 0))</f>
        <v>Product Detail</v>
      </c>
      <c r="D365" s="28">
        <f t="array" ref="D365">INDEX('raw-sheet'!$A$2:$ZZ$1000, ROW(D364), MATCH(D$1, 'raw-sheet'!$A$1:$ZZ$1, 0))</f>
        <v>200</v>
      </c>
      <c r="E365" s="30" t="str">
        <f t="shared" si="10"/>
        <v>Pass</v>
      </c>
      <c r="F365" s="28" t="str">
        <f t="array" ref="F365">INDEX('raw-sheet'!$A$2:$ZZ$1000, ROW(F364), MATCH(F$1, 'raw-sheet'!$A$1:$ZZ$1, 0))</f>
        <v>[2月限定]綠茶PDRN牛奶肌組_x000D_ | INNISFREE Taiwan</v>
      </c>
      <c r="G365" s="30" t="s">
        <v>11</v>
      </c>
      <c r="H365" s="28" t="str">
        <f t="array" ref="H365">INDEX('raw-sheet'!$A$2:$ZZ$1000, ROW(H364), MATCH(H$1, 'raw-sheet'!$A$1:$ZZ$1, 0))</f>
        <v>綠茶神經醯胺牛奶水精華160ml+1%A醇PDRN水光安瓶25ml [先牛奶水後PDRN 進階保養] 推薦給肌膚暗沉粗糙、想緊緻毛孔及預防細紋的人，先用綠茶牛奶水精華深入保濕&amp;修復肌膚屏障、再用PDRN水光安瓶緊緻肌膚、減少細紋。</v>
      </c>
      <c r="I365" s="30" t="s">
        <v>60</v>
      </c>
      <c r="J365" s="28" t="str">
        <f t="array" ref="J365">INDEX('raw-sheet'!$A$2:$ZZ$1000, ROW(J364), MATCH(J$1, 'raw-sheet'!$A$1:$ZZ$1, 0))</f>
        <v>[2月限定]綠茶PDRN牛奶肌組</v>
      </c>
      <c r="K365" s="28" t="str">
        <f t="array" ref="K365">INDEX('raw-sheet'!$A$2:$ZZ$1000, ROW(K364), MATCH(K$1, 'raw-sheet'!$A$1:$ZZ$1, 0))</f>
        <v>1</v>
      </c>
      <c r="L365" s="30" t="s">
        <v>11</v>
      </c>
      <c r="M365" s="28" t="str">
        <f t="array" ref="M365">INDEX('raw-sheet'!$A$2:$ZZ$1000, ROW(M364), MATCH(M$1, 'raw-sheet'!$A$1:$ZZ$1, 0))</f>
        <v>https://innisfree-taiwan.myshopify.com/products/milkpdrn</v>
      </c>
      <c r="N365" s="30" t="str">
        <f t="shared" si="11"/>
        <v>Pass</v>
      </c>
      <c r="O365" s="28" t="str">
        <f t="array" ref="O365">INDEX('raw-sheet'!$A$2:$ZZ$1000, ROW(O364), MATCH(O$1, 'raw-sheet'!$A$1:$ZZ$1, 0))</f>
        <v>[2月限定]綠茶PDRN牛奶肌組 | INNISFREE Taiwan</v>
      </c>
      <c r="P365" s="28" t="str">
        <f t="array" ref="P365">INDEX('raw-sheet'!$A$2:$ZZ$1000, ROW(P364), MATCH(P$1, 'raw-sheet'!$A$1:$ZZ$1, 0))</f>
        <v>綠茶神經醯胺牛奶水精華160ml+1%A醇PDRN水光安瓶25ml [先牛奶水後PDRN 進階保養] 推薦給肌膚暗沉粗糙、想緊緻毛孔及預防細紋的人，先用綠茶牛奶水精華深入保濕&amp;修復肌膚屏障、再用PDRN水光安瓶緊緻肌膚、減少細紋。</v>
      </c>
      <c r="Q365" s="28" t="str">
        <f t="array" ref="Q365">INDEX('raw-sheet'!$A$2:$ZZ$1000, ROW(Q364), MATCH(Q$1, 'raw-sheet'!$A$1:$ZZ$1, 0))</f>
        <v>product</v>
      </c>
      <c r="R365" s="28" t="str">
        <f t="array" ref="R365">INDEX('raw-sheet'!$A$2:$ZZ$1000, ROW(R364), MATCH(R$1, 'raw-sheet'!$A$1:$ZZ$1, 0))</f>
        <v>INNISFREE Taiwan</v>
      </c>
      <c r="S365" s="28" t="str">
        <f t="array" ref="S365">INDEX('raw-sheet'!$A$2:$ZZ$1000, ROW(S364), MATCH(S$1, 'raw-sheet'!$A$1:$ZZ$1, 0))</f>
        <v>http://innisfree-taiwan.myshopify.com/cdn/shop/files/20260108_1722_ID0101_1.jpg?v=1770623248</v>
      </c>
      <c r="T365" s="28" t="str">
        <f t="array" ref="T365">INDEX('raw-sheet'!$A$2:$ZZ$1000, ROW(T364), MATCH(T$1, 'raw-sheet'!$A$1:$ZZ$1, 0))</f>
        <v>https://innisfree-taiwan.myshopify.com/cdn/shop/files/20260108_1722_ID0101_1.jpg?v=1770623248</v>
      </c>
      <c r="U365" s="28" t="str">
        <f t="array" ref="U365">INDEX('raw-sheet'!$A$2:$ZZ$1000, ROW(U364), MATCH(U$1, 'raw-sheet'!$A$1:$ZZ$1, 0))</f>
        <v>https://innisfree-taiwan.myshopify.com/products/milkpdrn</v>
      </c>
      <c r="V365" s="28" t="str">
        <f t="array" ref="V365">INDEX('raw-sheet'!$A$2:$ZZ$1000, ROW(V364), MATCH(V$1, 'raw-sheet'!$A$1:$ZZ$1, 0))</f>
        <v>[2月限定]綠茶PDRN牛奶肌組 | INNISFREE Taiwan</v>
      </c>
      <c r="W365" s="28" t="str">
        <f t="array" ref="W365">INDEX('raw-sheet'!$A$2:$ZZ$1000, ROW(W364), MATCH(W$1, 'raw-sheet'!$A$1:$ZZ$1, 0))</f>
        <v>綠茶神經醯胺牛奶水精華160ml+1%A醇PDRN水光安瓶25ml [先牛奶水後PDRN 進階保養] 推薦給肌膚暗沉粗糙、想緊緻毛孔及預防細紋的人，先用綠茶牛奶水精華深入保濕&amp;修復肌膚屏障、再用PDRN水光安瓶緊緻肌膚、減少細紋。</v>
      </c>
      <c r="X365" s="28" t="str">
        <f t="array" ref="X365">INDEX('raw-sheet'!$A$2:$ZZ$1000, ROW(X364), MATCH(X$1, 'raw-sheet'!$A$1:$ZZ$1, 0))</f>
        <v>summary_large_image</v>
      </c>
      <c r="Y365" s="30" t="s">
        <v>56</v>
      </c>
      <c r="Z365" s="28" t="str">
        <f>VLOOKUP($A365,'raw-schema'!$A:$R,14,0)</f>
        <v>Brand</v>
      </c>
      <c r="AA365" s="28" t="str">
        <f>VLOOKUP($A365,'raw-schema'!$A:$R,15,0)</f>
        <v>Offer</v>
      </c>
      <c r="AB365" s="28" t="str">
        <f>VLOOKUP($A365,'raw-schema'!$A:$R,16,0)</f>
        <v>Organization</v>
      </c>
      <c r="AC365" s="28" t="str">
        <f>VLOOKUP($A365,'raw-schema'!$A:$R,17,0)</f>
        <v>Product</v>
      </c>
      <c r="AD365" s="28">
        <f>VLOOKUP($A365,'raw-schema'!$A:$R,18,0)</f>
        <v>0</v>
      </c>
      <c r="AE365" s="30" t="s">
        <v>69</v>
      </c>
    </row>
    <row r="366" spans="1:31" x14ac:dyDescent="0.3">
      <c r="A366" s="28" t="str">
        <f t="array" ref="A366">INDEX('raw-sheet'!$A$2:$ZZ$1000, ROW(A365), MATCH(A$1, 'raw-sheet'!$A$1:$ZZ$1, 0))</f>
        <v>https://innisfree-taiwan.myshopify.com/products/my-real-squeeze-mask-ex</v>
      </c>
      <c r="B366" s="30" t="s">
        <v>11</v>
      </c>
      <c r="C366" s="28" t="str">
        <f t="array" ref="C366">INDEX('raw-sheet'!$A$2:$ZZ$1000, ROW(C365), MATCH(C$1, 'raw-sheet'!$A$1:$ZZ$1, 0))</f>
        <v>Product Detail</v>
      </c>
      <c r="D366" s="28">
        <f t="array" ref="D366">INDEX('raw-sheet'!$A$2:$ZZ$1000, ROW(D365), MATCH(D$1, 'raw-sheet'!$A$1:$ZZ$1, 0))</f>
        <v>200</v>
      </c>
      <c r="E366" s="30" t="str">
        <f t="shared" si="10"/>
        <v>Pass</v>
      </c>
      <c r="F366" s="28" t="str">
        <f t="array" ref="F366">INDEX('raw-sheet'!$A$2:$ZZ$1000, ROW(F365), MATCH(F$1, 'raw-sheet'!$A$1:$ZZ$1, 0))</f>
        <v>我的真萃能量面膜 22ml_x000D_ | INNISFREE Taiwan</v>
      </c>
      <c r="G366" s="30" t="s">
        <v>11</v>
      </c>
      <c r="H366" s="28" t="str">
        <f t="array" ref="H366">INDEX('raw-sheet'!$A$2:$ZZ$1000, ROW(H365), MATCH(H$1, 'raw-sheet'!$A$1:$ZZ$1, 0))</f>
        <v>有水感、精華、乳霜質地三種類型，可根據肌膚狀態推薦適合的面膜系列。</v>
      </c>
      <c r="I366" s="30" t="s">
        <v>11</v>
      </c>
      <c r="J366" s="28" t="str">
        <f t="array" ref="J366">INDEX('raw-sheet'!$A$2:$ZZ$1000, ROW(J365), MATCH(J$1, 'raw-sheet'!$A$1:$ZZ$1, 0))</f>
        <v>我的真萃能量面膜 22ml</v>
      </c>
      <c r="K366" s="28" t="str">
        <f t="array" ref="K366">INDEX('raw-sheet'!$A$2:$ZZ$1000, ROW(K365), MATCH(K$1, 'raw-sheet'!$A$1:$ZZ$1, 0))</f>
        <v>1</v>
      </c>
      <c r="L366" s="30" t="s">
        <v>11</v>
      </c>
      <c r="M366" s="28" t="str">
        <f t="array" ref="M366">INDEX('raw-sheet'!$A$2:$ZZ$1000, ROW(M365), MATCH(M$1, 'raw-sheet'!$A$1:$ZZ$1, 0))</f>
        <v>https://innisfree-taiwan.myshopify.com/products/my-real-squeeze-mask-ex</v>
      </c>
      <c r="N366" s="30" t="str">
        <f t="shared" si="11"/>
        <v>Pass</v>
      </c>
      <c r="O366" s="28" t="str">
        <f t="array" ref="O366">INDEX('raw-sheet'!$A$2:$ZZ$1000, ROW(O365), MATCH(O$1, 'raw-sheet'!$A$1:$ZZ$1, 0))</f>
        <v>我的真萃能量面膜 22ml | INNISFREE Taiwan</v>
      </c>
      <c r="P366" s="28" t="str">
        <f t="array" ref="P366">INDEX('raw-sheet'!$A$2:$ZZ$1000, ROW(P365), MATCH(P$1, 'raw-sheet'!$A$1:$ZZ$1, 0))</f>
        <v>有水感、精華、乳霜質地三種類型，可根據肌膚狀態推薦適合的面膜系列。</v>
      </c>
      <c r="Q366" s="28" t="str">
        <f t="array" ref="Q366">INDEX('raw-sheet'!$A$2:$ZZ$1000, ROW(Q365), MATCH(Q$1, 'raw-sheet'!$A$1:$ZZ$1, 0))</f>
        <v>product</v>
      </c>
      <c r="R366" s="28" t="str">
        <f t="array" ref="R366">INDEX('raw-sheet'!$A$2:$ZZ$1000, ROW(R365), MATCH(R$1, 'raw-sheet'!$A$1:$ZZ$1, 0))</f>
        <v>INNISFREE Taiwan</v>
      </c>
      <c r="S366" s="28" t="str">
        <f t="array" ref="S366">INDEX('raw-sheet'!$A$2:$ZZ$1000, ROW(S365), MATCH(S$1, 'raw-sheet'!$A$1:$ZZ$1, 0))</f>
        <v>http://innisfree-taiwan.myshopify.com/cdn/shop/files/pdp_mig_e4c8403d_20251117_92_ID0101_1_jpg.jpg?v=1768543113</v>
      </c>
      <c r="T366" s="28" t="str">
        <f t="array" ref="T366">INDEX('raw-sheet'!$A$2:$ZZ$1000, ROW(T365), MATCH(T$1, 'raw-sheet'!$A$1:$ZZ$1, 0))</f>
        <v>https://innisfree-taiwan.myshopify.com/cdn/shop/files/pdp_mig_e4c8403d_20251117_92_ID0101_1_jpg.jpg?v=1768543113</v>
      </c>
      <c r="U366" s="28" t="str">
        <f t="array" ref="U366">INDEX('raw-sheet'!$A$2:$ZZ$1000, ROW(U365), MATCH(U$1, 'raw-sheet'!$A$1:$ZZ$1, 0))</f>
        <v>https://innisfree-taiwan.myshopify.com/products/my-real-squeeze-mask-ex</v>
      </c>
      <c r="V366" s="28" t="str">
        <f t="array" ref="V366">INDEX('raw-sheet'!$A$2:$ZZ$1000, ROW(V365), MATCH(V$1, 'raw-sheet'!$A$1:$ZZ$1, 0))</f>
        <v>我的真萃能量面膜 22ml | INNISFREE Taiwan</v>
      </c>
      <c r="W366" s="28" t="str">
        <f t="array" ref="W366">INDEX('raw-sheet'!$A$2:$ZZ$1000, ROW(W365), MATCH(W$1, 'raw-sheet'!$A$1:$ZZ$1, 0))</f>
        <v>有水感、精華、乳霜質地三種類型，可根據肌膚狀態推薦適合的面膜系列。</v>
      </c>
      <c r="X366" s="28" t="str">
        <f t="array" ref="X366">INDEX('raw-sheet'!$A$2:$ZZ$1000, ROW(X365), MATCH(X$1, 'raw-sheet'!$A$1:$ZZ$1, 0))</f>
        <v>summary_large_image</v>
      </c>
      <c r="Y366" s="30" t="s">
        <v>11</v>
      </c>
      <c r="Z366" s="28" t="str">
        <f>VLOOKUP($A366,'raw-schema'!$A:$R,14,0)</f>
        <v>Brand</v>
      </c>
      <c r="AA366" s="28" t="str">
        <f>VLOOKUP($A366,'raw-schema'!$A:$R,15,0)</f>
        <v>Offer</v>
      </c>
      <c r="AB366" s="28" t="str">
        <f>VLOOKUP($A366,'raw-schema'!$A:$R,16,0)</f>
        <v>Organization</v>
      </c>
      <c r="AC366" s="28" t="str">
        <f>VLOOKUP($A366,'raw-schema'!$A:$R,17,0)</f>
        <v>Product</v>
      </c>
      <c r="AD366" s="28" t="str">
        <f>VLOOKUP($A366,'raw-schema'!$A:$R,18,0)</f>
        <v>ProductGroup</v>
      </c>
      <c r="AE366" s="30" t="s">
        <v>69</v>
      </c>
    </row>
    <row r="367" spans="1:31" x14ac:dyDescent="0.3">
      <c r="A367" s="28" t="str">
        <f t="array" ref="A367">INDEX('raw-sheet'!$A$2:$ZZ$1000, ROW(A366), MATCH(A$1, 'raw-sheet'!$A$1:$ZZ$1, 0))</f>
        <v>https://innisfree-taiwan.myshopify.com/products/no-sebum-mineral-pact</v>
      </c>
      <c r="B367" s="30" t="s">
        <v>11</v>
      </c>
      <c r="C367" s="28" t="str">
        <f t="array" ref="C367">INDEX('raw-sheet'!$A$2:$ZZ$1000, ROW(C366), MATCH(C$1, 'raw-sheet'!$A$1:$ZZ$1, 0))</f>
        <v>Product Detail</v>
      </c>
      <c r="D367" s="28">
        <f t="array" ref="D367">INDEX('raw-sheet'!$A$2:$ZZ$1000, ROW(D366), MATCH(D$1, 'raw-sheet'!$A$1:$ZZ$1, 0))</f>
        <v>200</v>
      </c>
      <c r="E367" s="30" t="str">
        <f t="shared" si="10"/>
        <v>Pass</v>
      </c>
      <c r="F367" s="28" t="str">
        <f t="array" ref="F367">INDEX('raw-sheet'!$A$2:$ZZ$1000, ROW(F366), MATCH(F$1, 'raw-sheet'!$A$1:$ZZ$1, 0))</f>
        <v>無油無慮礦物控油蜜粉餅 8.5g_x000D_ | INNISFREE Taiwan</v>
      </c>
      <c r="G367" s="30" t="s">
        <v>11</v>
      </c>
      <c r="H367" s="28" t="str">
        <f t="array" ref="H367">INDEX('raw-sheet'!$A$2:$ZZ$1000, ROW(H366), MATCH(H$1, 'raw-sheet'!$A$1:$ZZ$1, 0))</f>
        <v>透過雙重皮脂調理科技，立即吸附多餘油脂、長時間調理皮脂分泌，打造乾爽舒適的霧面肌膚。</v>
      </c>
      <c r="I367" s="30" t="s">
        <v>60</v>
      </c>
      <c r="J367" s="28" t="str">
        <f t="array" ref="J367">INDEX('raw-sheet'!$A$2:$ZZ$1000, ROW(J366), MATCH(J$1, 'raw-sheet'!$A$1:$ZZ$1, 0))</f>
        <v>無油無慮礦物控油蜜粉餅 8.5g</v>
      </c>
      <c r="K367" s="28" t="str">
        <f t="array" ref="K367">INDEX('raw-sheet'!$A$2:$ZZ$1000, ROW(K366), MATCH(K$1, 'raw-sheet'!$A$1:$ZZ$1, 0))</f>
        <v>1</v>
      </c>
      <c r="L367" s="30" t="s">
        <v>11</v>
      </c>
      <c r="M367" s="28" t="str">
        <f t="array" ref="M367">INDEX('raw-sheet'!$A$2:$ZZ$1000, ROW(M366), MATCH(M$1, 'raw-sheet'!$A$1:$ZZ$1, 0))</f>
        <v>https://innisfree-taiwan.myshopify.com/products/no-sebum-mineral-pact</v>
      </c>
      <c r="N367" s="30" t="str">
        <f t="shared" si="11"/>
        <v>Pass</v>
      </c>
      <c r="O367" s="28" t="str">
        <f t="array" ref="O367">INDEX('raw-sheet'!$A$2:$ZZ$1000, ROW(O366), MATCH(O$1, 'raw-sheet'!$A$1:$ZZ$1, 0))</f>
        <v>無油無慮礦物控油蜜粉餅 8.5g | INNISFREE Taiwan</v>
      </c>
      <c r="P367" s="28" t="str">
        <f t="array" ref="P367">INDEX('raw-sheet'!$A$2:$ZZ$1000, ROW(P366), MATCH(P$1, 'raw-sheet'!$A$1:$ZZ$1, 0))</f>
        <v>透過雙重皮脂調理科技，立即吸附多餘油脂、長時間調理皮脂分泌，打造乾爽舒適的霧面肌膚。</v>
      </c>
      <c r="Q367" s="28" t="str">
        <f t="array" ref="Q367">INDEX('raw-sheet'!$A$2:$ZZ$1000, ROW(Q366), MATCH(Q$1, 'raw-sheet'!$A$1:$ZZ$1, 0))</f>
        <v>product</v>
      </c>
      <c r="R367" s="28" t="str">
        <f t="array" ref="R367">INDEX('raw-sheet'!$A$2:$ZZ$1000, ROW(R366), MATCH(R$1, 'raw-sheet'!$A$1:$ZZ$1, 0))</f>
        <v>INNISFREE Taiwan</v>
      </c>
      <c r="S367" s="28" t="str">
        <f t="array" ref="S367">INDEX('raw-sheet'!$A$2:$ZZ$1000, ROW(S366), MATCH(S$1, 'raw-sheet'!$A$1:$ZZ$1, 0))</f>
        <v>http://innisfree-taiwan.myshopify.com/cdn/shop/files/pdp_mig_c718cb5a_20230726_226_ID0101_1_jpg.jpg?v=1768543116</v>
      </c>
      <c r="T367" s="28" t="str">
        <f t="array" ref="T367">INDEX('raw-sheet'!$A$2:$ZZ$1000, ROW(T366), MATCH(T$1, 'raw-sheet'!$A$1:$ZZ$1, 0))</f>
        <v>https://innisfree-taiwan.myshopify.com/cdn/shop/files/pdp_mig_c718cb5a_20230726_226_ID0101_1_jpg.jpg?v=1768543116</v>
      </c>
      <c r="U367" s="28" t="str">
        <f t="array" ref="U367">INDEX('raw-sheet'!$A$2:$ZZ$1000, ROW(U366), MATCH(U$1, 'raw-sheet'!$A$1:$ZZ$1, 0))</f>
        <v>https://innisfree-taiwan.myshopify.com/products/no-sebum-mineral-pact</v>
      </c>
      <c r="V367" s="28" t="str">
        <f t="array" ref="V367">INDEX('raw-sheet'!$A$2:$ZZ$1000, ROW(V366), MATCH(V$1, 'raw-sheet'!$A$1:$ZZ$1, 0))</f>
        <v>無油無慮礦物控油蜜粉餅 8.5g | INNISFREE Taiwan</v>
      </c>
      <c r="W367" s="28" t="str">
        <f t="array" ref="W367">INDEX('raw-sheet'!$A$2:$ZZ$1000, ROW(W366), MATCH(W$1, 'raw-sheet'!$A$1:$ZZ$1, 0))</f>
        <v>透過雙重皮脂調理科技，立即吸附多餘油脂、長時間調理皮脂分泌，打造乾爽舒適的霧面肌膚。</v>
      </c>
      <c r="X367" s="28" t="str">
        <f t="array" ref="X367">INDEX('raw-sheet'!$A$2:$ZZ$1000, ROW(X366), MATCH(X$1, 'raw-sheet'!$A$1:$ZZ$1, 0))</f>
        <v>summary_large_image</v>
      </c>
      <c r="Y367" s="30" t="s">
        <v>56</v>
      </c>
      <c r="Z367" s="28" t="str">
        <f>VLOOKUP($A367,'raw-schema'!$A:$R,14,0)</f>
        <v>Brand</v>
      </c>
      <c r="AA367" s="28" t="str">
        <f>VLOOKUP($A367,'raw-schema'!$A:$R,15,0)</f>
        <v>Offer</v>
      </c>
      <c r="AB367" s="28" t="str">
        <f>VLOOKUP($A367,'raw-schema'!$A:$R,16,0)</f>
        <v>Organization</v>
      </c>
      <c r="AC367" s="28" t="str">
        <f>VLOOKUP($A367,'raw-schema'!$A:$R,17,0)</f>
        <v>Product</v>
      </c>
      <c r="AD367" s="28">
        <f>VLOOKUP($A367,'raw-schema'!$A:$R,18,0)</f>
        <v>0</v>
      </c>
      <c r="AE367" s="30" t="s">
        <v>69</v>
      </c>
    </row>
    <row r="368" spans="1:31" x14ac:dyDescent="0.3">
      <c r="A368" s="28" t="str">
        <f t="array" ref="A368">INDEX('raw-sheet'!$A$2:$ZZ$1000, ROW(A367), MATCH(A$1, 'raw-sheet'!$A$1:$ZZ$1, 0))</f>
        <v>https://innisfree-taiwan.myshopify.com/products/no-sebum-mineral-powder</v>
      </c>
      <c r="B368" s="30" t="s">
        <v>11</v>
      </c>
      <c r="C368" s="28" t="str">
        <f t="array" ref="C368">INDEX('raw-sheet'!$A$2:$ZZ$1000, ROW(C367), MATCH(C$1, 'raw-sheet'!$A$1:$ZZ$1, 0))</f>
        <v>Product Detail</v>
      </c>
      <c r="D368" s="28">
        <f t="array" ref="D368">INDEX('raw-sheet'!$A$2:$ZZ$1000, ROW(D367), MATCH(D$1, 'raw-sheet'!$A$1:$ZZ$1, 0))</f>
        <v>200</v>
      </c>
      <c r="E368" s="30" t="str">
        <f t="shared" si="10"/>
        <v>Pass</v>
      </c>
      <c r="F368" s="28" t="str">
        <f t="array" ref="F368">INDEX('raw-sheet'!$A$2:$ZZ$1000, ROW(F367), MATCH(F$1, 'raw-sheet'!$A$1:$ZZ$1, 0))</f>
        <v>無油無慮礦物控油蜜粉 &amp;#40;小熊維尼限定版&amp;#41;_x000D_ | INNISFREE Taiwan</v>
      </c>
      <c r="G368" s="30" t="s">
        <v>11</v>
      </c>
      <c r="H368" s="28" t="str">
        <f t="array" ref="H368">INDEX('raw-sheet'!$A$2:$ZZ$1000, ROW(H367), MATCH(H$1, 'raw-sheet'!$A$1:$ZZ$1, 0))</f>
        <v>透過雙重皮脂調理科技，立即吸附多餘油脂、長時間調理皮脂分泌，打造乾爽舒適的霧面肌膚。</v>
      </c>
      <c r="I368" s="30" t="s">
        <v>60</v>
      </c>
      <c r="J368" s="28" t="str">
        <f t="array" ref="J368">INDEX('raw-sheet'!$A$2:$ZZ$1000, ROW(J367), MATCH(J$1, 'raw-sheet'!$A$1:$ZZ$1, 0))</f>
        <v>無油無慮礦物控油蜜粉 (小熊維尼限定版)</v>
      </c>
      <c r="K368" s="28" t="str">
        <f t="array" ref="K368">INDEX('raw-sheet'!$A$2:$ZZ$1000, ROW(K367), MATCH(K$1, 'raw-sheet'!$A$1:$ZZ$1, 0))</f>
        <v>1</v>
      </c>
      <c r="L368" s="30" t="s">
        <v>11</v>
      </c>
      <c r="M368" s="28" t="str">
        <f t="array" ref="M368">INDEX('raw-sheet'!$A$2:$ZZ$1000, ROW(M367), MATCH(M$1, 'raw-sheet'!$A$1:$ZZ$1, 0))</f>
        <v>https://innisfree-taiwan.myshopify.com/products/no-sebum-mineral-powder</v>
      </c>
      <c r="N368" s="30" t="str">
        <f t="shared" si="11"/>
        <v>Pass</v>
      </c>
      <c r="O368" s="28" t="str">
        <f t="array" ref="O368">INDEX('raw-sheet'!$A$2:$ZZ$1000, ROW(O367), MATCH(O$1, 'raw-sheet'!$A$1:$ZZ$1, 0))</f>
        <v>無油無慮礦物控油蜜粉 &amp;#40;小熊維尼限定版&amp;#41; | INNISFREE Taiwan</v>
      </c>
      <c r="P368" s="28" t="str">
        <f t="array" ref="P368">INDEX('raw-sheet'!$A$2:$ZZ$1000, ROW(P367), MATCH(P$1, 'raw-sheet'!$A$1:$ZZ$1, 0))</f>
        <v>透過雙重皮脂調理科技，立即吸附多餘油脂、長時間調理皮脂分泌，打造乾爽舒適的霧面肌膚。</v>
      </c>
      <c r="Q368" s="28" t="str">
        <f t="array" ref="Q368">INDEX('raw-sheet'!$A$2:$ZZ$1000, ROW(Q367), MATCH(Q$1, 'raw-sheet'!$A$1:$ZZ$1, 0))</f>
        <v>product</v>
      </c>
      <c r="R368" s="28" t="str">
        <f t="array" ref="R368">INDEX('raw-sheet'!$A$2:$ZZ$1000, ROW(R367), MATCH(R$1, 'raw-sheet'!$A$1:$ZZ$1, 0))</f>
        <v>INNISFREE Taiwan</v>
      </c>
      <c r="S368" s="28" t="str">
        <f t="array" ref="S368">INDEX('raw-sheet'!$A$2:$ZZ$1000, ROW(S367), MATCH(S$1, 'raw-sheet'!$A$1:$ZZ$1, 0))</f>
        <v>http://innisfree-taiwan.myshopify.com/cdn/shop/files/pdp_mig_d8a50579_20250826_1617_ID0101_1_jpg.jpg?v=1768543085</v>
      </c>
      <c r="T368" s="28" t="str">
        <f t="array" ref="T368">INDEX('raw-sheet'!$A$2:$ZZ$1000, ROW(T367), MATCH(T$1, 'raw-sheet'!$A$1:$ZZ$1, 0))</f>
        <v>https://innisfree-taiwan.myshopify.com/cdn/shop/files/pdp_mig_d8a50579_20250826_1617_ID0101_1_jpg.jpg?v=1768543085</v>
      </c>
      <c r="U368" s="28" t="str">
        <f t="array" ref="U368">INDEX('raw-sheet'!$A$2:$ZZ$1000, ROW(U367), MATCH(U$1, 'raw-sheet'!$A$1:$ZZ$1, 0))</f>
        <v>https://innisfree-taiwan.myshopify.com/products/no-sebum-mineral-powder</v>
      </c>
      <c r="V368" s="28" t="str">
        <f t="array" ref="V368">INDEX('raw-sheet'!$A$2:$ZZ$1000, ROW(V367), MATCH(V$1, 'raw-sheet'!$A$1:$ZZ$1, 0))</f>
        <v>無油無慮礦物控油蜜粉 &amp;#40;小熊維尼限定版&amp;#41; | INNISFREE Taiwan</v>
      </c>
      <c r="W368" s="28" t="str">
        <f t="array" ref="W368">INDEX('raw-sheet'!$A$2:$ZZ$1000, ROW(W367), MATCH(W$1, 'raw-sheet'!$A$1:$ZZ$1, 0))</f>
        <v>透過雙重皮脂調理科技，立即吸附多餘油脂、長時間調理皮脂分泌，打造乾爽舒適的霧面肌膚。</v>
      </c>
      <c r="X368" s="28" t="str">
        <f t="array" ref="X368">INDEX('raw-sheet'!$A$2:$ZZ$1000, ROW(X367), MATCH(X$1, 'raw-sheet'!$A$1:$ZZ$1, 0))</f>
        <v>summary_large_image</v>
      </c>
      <c r="Y368" s="30" t="s">
        <v>56</v>
      </c>
      <c r="Z368" s="28" t="str">
        <f>VLOOKUP($A368,'raw-schema'!$A:$R,14,0)</f>
        <v>Brand</v>
      </c>
      <c r="AA368" s="28" t="str">
        <f>VLOOKUP($A368,'raw-schema'!$A:$R,15,0)</f>
        <v>Offer</v>
      </c>
      <c r="AB368" s="28" t="str">
        <f>VLOOKUP($A368,'raw-schema'!$A:$R,16,0)</f>
        <v>Organization</v>
      </c>
      <c r="AC368" s="28" t="str">
        <f>VLOOKUP($A368,'raw-schema'!$A:$R,17,0)</f>
        <v>Product</v>
      </c>
      <c r="AD368" s="28" t="str">
        <f>VLOOKUP($A368,'raw-schema'!$A:$R,18,0)</f>
        <v>ProductGroup</v>
      </c>
      <c r="AE368" s="30" t="s">
        <v>69</v>
      </c>
    </row>
    <row r="369" spans="1:31" x14ac:dyDescent="0.3">
      <c r="A369" s="28" t="str">
        <f t="array" ref="A369">INDEX('raw-sheet'!$A$2:$ZZ$1000, ROW(A368), MATCH(A$1, 'raw-sheet'!$A$1:$ZZ$1, 0))</f>
        <v>https://innisfree-taiwan.myshopify.com/products/no-sebum-powder-cushion-refill</v>
      </c>
      <c r="B369" s="30" t="s">
        <v>11</v>
      </c>
      <c r="C369" s="28" t="str">
        <f t="array" ref="C369">INDEX('raw-sheet'!$A$2:$ZZ$1000, ROW(C368), MATCH(C$1, 'raw-sheet'!$A$1:$ZZ$1, 0))</f>
        <v>Product Detail</v>
      </c>
      <c r="D369" s="28">
        <f t="array" ref="D369">INDEX('raw-sheet'!$A$2:$ZZ$1000, ROW(D368), MATCH(D$1, 'raw-sheet'!$A$1:$ZZ$1, 0))</f>
        <v>200</v>
      </c>
      <c r="E369" s="30" t="str">
        <f t="shared" si="10"/>
        <v>Pass</v>
      </c>
      <c r="F369" s="28" t="str">
        <f t="array" ref="F369">INDEX('raw-sheet'!$A$2:$ZZ$1000, ROW(F368), MATCH(F$1, 'raw-sheet'!$A$1:$ZZ$1, 0))</f>
        <v>無油無慮零毛孔控油氣墊 &amp;#40;粉蕊-4色&amp;#41; 14g_x000D_ | INNISFREE Taiwan</v>
      </c>
      <c r="G369" s="30" t="s">
        <v>11</v>
      </c>
      <c r="H369" s="28" t="str">
        <f t="array" ref="H369">INDEX('raw-sheet'!$A$2:$ZZ$1000, ROW(H368), MATCH(H$1, 'raw-sheet'!$A$1:$ZZ$1, 0))</f>
        <v>控油效果持續48小時，完美遮瑕修飾毛孔的氣墊補充粉蕊</v>
      </c>
      <c r="I369" s="30" t="s">
        <v>11</v>
      </c>
      <c r="J369" s="28" t="str">
        <f t="array" ref="J369">INDEX('raw-sheet'!$A$2:$ZZ$1000, ROW(J368), MATCH(J$1, 'raw-sheet'!$A$1:$ZZ$1, 0))</f>
        <v>無油無慮零毛孔控油氣墊 (粉蕊-4色) 14g</v>
      </c>
      <c r="K369" s="28" t="str">
        <f t="array" ref="K369">INDEX('raw-sheet'!$A$2:$ZZ$1000, ROW(K368), MATCH(K$1, 'raw-sheet'!$A$1:$ZZ$1, 0))</f>
        <v>1</v>
      </c>
      <c r="L369" s="30" t="s">
        <v>11</v>
      </c>
      <c r="M369" s="28" t="str">
        <f t="array" ref="M369">INDEX('raw-sheet'!$A$2:$ZZ$1000, ROW(M368), MATCH(M$1, 'raw-sheet'!$A$1:$ZZ$1, 0))</f>
        <v>https://innisfree-taiwan.myshopify.com/products/no-sebum-powder-cushion-refill</v>
      </c>
      <c r="N369" s="30" t="str">
        <f t="shared" si="11"/>
        <v>Pass</v>
      </c>
      <c r="O369" s="28" t="str">
        <f t="array" ref="O369">INDEX('raw-sheet'!$A$2:$ZZ$1000, ROW(O368), MATCH(O$1, 'raw-sheet'!$A$1:$ZZ$1, 0))</f>
        <v>無油無慮零毛孔控油氣墊 &amp;#40;粉蕊-4色&amp;#41; 14g | INNISFREE Taiwan</v>
      </c>
      <c r="P369" s="28" t="str">
        <f t="array" ref="P369">INDEX('raw-sheet'!$A$2:$ZZ$1000, ROW(P368), MATCH(P$1, 'raw-sheet'!$A$1:$ZZ$1, 0))</f>
        <v>控油效果持續48小時，完美遮瑕修飾毛孔的氣墊補充粉蕊</v>
      </c>
      <c r="Q369" s="28" t="str">
        <f t="array" ref="Q369">INDEX('raw-sheet'!$A$2:$ZZ$1000, ROW(Q368), MATCH(Q$1, 'raw-sheet'!$A$1:$ZZ$1, 0))</f>
        <v>product</v>
      </c>
      <c r="R369" s="28" t="str">
        <f t="array" ref="R369">INDEX('raw-sheet'!$A$2:$ZZ$1000, ROW(R368), MATCH(R$1, 'raw-sheet'!$A$1:$ZZ$1, 0))</f>
        <v>INNISFREE Taiwan</v>
      </c>
      <c r="S369" s="28" t="str">
        <f t="array" ref="S369">INDEX('raw-sheet'!$A$2:$ZZ$1000, ROW(S368), MATCH(S$1, 'raw-sheet'!$A$1:$ZZ$1, 0))</f>
        <v>http://innisfree-taiwan.myshopify.com/cdn/shop/files/pdp_mig_3bf53470_20230726_734_ID0101_1_jpg.jpg?v=1768543105</v>
      </c>
      <c r="T369" s="28" t="str">
        <f t="array" ref="T369">INDEX('raw-sheet'!$A$2:$ZZ$1000, ROW(T368), MATCH(T$1, 'raw-sheet'!$A$1:$ZZ$1, 0))</f>
        <v>https://innisfree-taiwan.myshopify.com/cdn/shop/files/pdp_mig_3bf53470_20230726_734_ID0101_1_jpg.jpg?v=1768543105</v>
      </c>
      <c r="U369" s="28" t="str">
        <f t="array" ref="U369">INDEX('raw-sheet'!$A$2:$ZZ$1000, ROW(U368), MATCH(U$1, 'raw-sheet'!$A$1:$ZZ$1, 0))</f>
        <v>https://innisfree-taiwan.myshopify.com/products/no-sebum-powder-cushion-refill</v>
      </c>
      <c r="V369" s="28" t="str">
        <f t="array" ref="V369">INDEX('raw-sheet'!$A$2:$ZZ$1000, ROW(V368), MATCH(V$1, 'raw-sheet'!$A$1:$ZZ$1, 0))</f>
        <v>無油無慮零毛孔控油氣墊 &amp;#40;粉蕊-4色&amp;#41; 14g | INNISFREE Taiwan</v>
      </c>
      <c r="W369" s="28" t="str">
        <f t="array" ref="W369">INDEX('raw-sheet'!$A$2:$ZZ$1000, ROW(W368), MATCH(W$1, 'raw-sheet'!$A$1:$ZZ$1, 0))</f>
        <v>控油效果持續48小時，完美遮瑕修飾毛孔的氣墊補充粉蕊</v>
      </c>
      <c r="X369" s="28" t="str">
        <f t="array" ref="X369">INDEX('raw-sheet'!$A$2:$ZZ$1000, ROW(X368), MATCH(X$1, 'raw-sheet'!$A$1:$ZZ$1, 0))</f>
        <v>summary_large_image</v>
      </c>
      <c r="Y369" s="30" t="s">
        <v>11</v>
      </c>
      <c r="Z369" s="28" t="str">
        <f>VLOOKUP($A369,'raw-schema'!$A:$R,14,0)</f>
        <v>Brand</v>
      </c>
      <c r="AA369" s="28" t="str">
        <f>VLOOKUP($A369,'raw-schema'!$A:$R,15,0)</f>
        <v>Offer</v>
      </c>
      <c r="AB369" s="28" t="str">
        <f>VLOOKUP($A369,'raw-schema'!$A:$R,16,0)</f>
        <v>Organization</v>
      </c>
      <c r="AC369" s="28" t="str">
        <f>VLOOKUP($A369,'raw-schema'!$A:$R,17,0)</f>
        <v>Product</v>
      </c>
      <c r="AD369" s="28" t="str">
        <f>VLOOKUP($A369,'raw-schema'!$A:$R,18,0)</f>
        <v>ProductGroup</v>
      </c>
      <c r="AE369" s="30" t="s">
        <v>69</v>
      </c>
    </row>
    <row r="370" spans="1:31" x14ac:dyDescent="0.3">
      <c r="A370" s="28" t="str">
        <f t="array" ref="A370">INDEX('raw-sheet'!$A$2:$ZZ$1000, ROW(A369), MATCH(A$1, 'raw-sheet'!$A$1:$ZZ$1, 0))</f>
        <v>https://innisfree-taiwan.myshopify.com/products/no-sebum-powder-cushion-spf-29-pa</v>
      </c>
      <c r="B370" s="30" t="s">
        <v>11</v>
      </c>
      <c r="C370" s="28" t="str">
        <f t="array" ref="C370">INDEX('raw-sheet'!$A$2:$ZZ$1000, ROW(C369), MATCH(C$1, 'raw-sheet'!$A$1:$ZZ$1, 0))</f>
        <v>Product Detail</v>
      </c>
      <c r="D370" s="28">
        <f t="array" ref="D370">INDEX('raw-sheet'!$A$2:$ZZ$1000, ROW(D369), MATCH(D$1, 'raw-sheet'!$A$1:$ZZ$1, 0))</f>
        <v>200</v>
      </c>
      <c r="E370" s="30" t="str">
        <f t="shared" si="10"/>
        <v>Pass</v>
      </c>
      <c r="F370" s="28" t="str">
        <f t="array" ref="F370">INDEX('raw-sheet'!$A$2:$ZZ$1000, ROW(F369), MATCH(F$1, 'raw-sheet'!$A$1:$ZZ$1, 0))</f>
        <v>無油無慮零毛孔控油氣墊&amp;#40;4色&amp;#41;_x000D_ | INNISFREE Taiwan</v>
      </c>
      <c r="G370" s="30" t="s">
        <v>11</v>
      </c>
      <c r="H370" s="28" t="str">
        <f t="array" ref="H370">INDEX('raw-sheet'!$A$2:$ZZ$1000, ROW(H369), MATCH(H$1, 'raw-sheet'!$A$1:$ZZ$1, 0))</f>
        <v>控油效果持續48小時，完美遮瑕修飾毛孔的氣墊粉餅</v>
      </c>
      <c r="I370" s="30" t="s">
        <v>11</v>
      </c>
      <c r="J370" s="28" t="str">
        <f t="array" ref="J370">INDEX('raw-sheet'!$A$2:$ZZ$1000, ROW(J369), MATCH(J$1, 'raw-sheet'!$A$1:$ZZ$1, 0))</f>
        <v>無油無慮零毛孔控油氣墊(4色) 14g</v>
      </c>
      <c r="K370" s="28" t="str">
        <f t="array" ref="K370">INDEX('raw-sheet'!$A$2:$ZZ$1000, ROW(K369), MATCH(K$1, 'raw-sheet'!$A$1:$ZZ$1, 0))</f>
        <v>1</v>
      </c>
      <c r="L370" s="30" t="s">
        <v>11</v>
      </c>
      <c r="M370" s="28" t="str">
        <f t="array" ref="M370">INDEX('raw-sheet'!$A$2:$ZZ$1000, ROW(M369), MATCH(M$1, 'raw-sheet'!$A$1:$ZZ$1, 0))</f>
        <v>https://innisfree-taiwan.myshopify.com/products/no-sebum-powder-cushion-spf-29-pa</v>
      </c>
      <c r="N370" s="30" t="str">
        <f t="shared" si="11"/>
        <v>Pass</v>
      </c>
      <c r="O370" s="28" t="str">
        <f t="array" ref="O370">INDEX('raw-sheet'!$A$2:$ZZ$1000, ROW(O369), MATCH(O$1, 'raw-sheet'!$A$1:$ZZ$1, 0))</f>
        <v>無油無慮零毛孔控油氣墊&amp;#40;4色&amp;#41; | INNISFREE Taiwan</v>
      </c>
      <c r="P370" s="28" t="str">
        <f t="array" ref="P370">INDEX('raw-sheet'!$A$2:$ZZ$1000, ROW(P369), MATCH(P$1, 'raw-sheet'!$A$1:$ZZ$1, 0))</f>
        <v>控油效果持續48小時，完美遮瑕修飾毛孔的氣墊粉餅</v>
      </c>
      <c r="Q370" s="28" t="str">
        <f t="array" ref="Q370">INDEX('raw-sheet'!$A$2:$ZZ$1000, ROW(Q369), MATCH(Q$1, 'raw-sheet'!$A$1:$ZZ$1, 0))</f>
        <v>product</v>
      </c>
      <c r="R370" s="28" t="str">
        <f t="array" ref="R370">INDEX('raw-sheet'!$A$2:$ZZ$1000, ROW(R369), MATCH(R$1, 'raw-sheet'!$A$1:$ZZ$1, 0))</f>
        <v>INNISFREE Taiwan</v>
      </c>
      <c r="S370" s="28" t="str">
        <f t="array" ref="S370">INDEX('raw-sheet'!$A$2:$ZZ$1000, ROW(S369), MATCH(S$1, 'raw-sheet'!$A$1:$ZZ$1, 0))</f>
        <v>http://innisfree-taiwan.myshopify.com/cdn/shop/files/pdp_mig_aa01ca9b_20230726_733_ID0101_1_jpg.jpg?v=1768543104</v>
      </c>
      <c r="T370" s="28" t="str">
        <f t="array" ref="T370">INDEX('raw-sheet'!$A$2:$ZZ$1000, ROW(T369), MATCH(T$1, 'raw-sheet'!$A$1:$ZZ$1, 0))</f>
        <v>https://innisfree-taiwan.myshopify.com/cdn/shop/files/pdp_mig_aa01ca9b_20230726_733_ID0101_1_jpg.jpg?v=1768543104</v>
      </c>
      <c r="U370" s="28" t="str">
        <f t="array" ref="U370">INDEX('raw-sheet'!$A$2:$ZZ$1000, ROW(U369), MATCH(U$1, 'raw-sheet'!$A$1:$ZZ$1, 0))</f>
        <v>https://innisfree-taiwan.myshopify.com/products/no-sebum-powder-cushion-spf-29-pa</v>
      </c>
      <c r="V370" s="28" t="str">
        <f t="array" ref="V370">INDEX('raw-sheet'!$A$2:$ZZ$1000, ROW(V369), MATCH(V$1, 'raw-sheet'!$A$1:$ZZ$1, 0))</f>
        <v>無油無慮零毛孔控油氣墊&amp;#40;4色&amp;#41; | INNISFREE Taiwan</v>
      </c>
      <c r="W370" s="28" t="str">
        <f t="array" ref="W370">INDEX('raw-sheet'!$A$2:$ZZ$1000, ROW(W369), MATCH(W$1, 'raw-sheet'!$A$1:$ZZ$1, 0))</f>
        <v>控油效果持續48小時，完美遮瑕修飾毛孔的氣墊粉餅</v>
      </c>
      <c r="X370" s="28" t="str">
        <f t="array" ref="X370">INDEX('raw-sheet'!$A$2:$ZZ$1000, ROW(X369), MATCH(X$1, 'raw-sheet'!$A$1:$ZZ$1, 0))</f>
        <v>summary_large_image</v>
      </c>
      <c r="Y370" s="30" t="s">
        <v>11</v>
      </c>
      <c r="Z370" s="28" t="str">
        <f>VLOOKUP($A370,'raw-schema'!$A:$R,14,0)</f>
        <v>Brand</v>
      </c>
      <c r="AA370" s="28" t="str">
        <f>VLOOKUP($A370,'raw-schema'!$A:$R,15,0)</f>
        <v>Offer</v>
      </c>
      <c r="AB370" s="28" t="str">
        <f>VLOOKUP($A370,'raw-schema'!$A:$R,16,0)</f>
        <v>Organization</v>
      </c>
      <c r="AC370" s="28" t="str">
        <f>VLOOKUP($A370,'raw-schema'!$A:$R,17,0)</f>
        <v>Product</v>
      </c>
      <c r="AD370" s="28" t="str">
        <f>VLOOKUP($A370,'raw-schema'!$A:$R,18,0)</f>
        <v>ProductGroup</v>
      </c>
      <c r="AE370" s="30" t="s">
        <v>69</v>
      </c>
    </row>
    <row r="371" spans="1:31" x14ac:dyDescent="0.3">
      <c r="A371" s="28" t="str">
        <f t="array" ref="A371">INDEX('raw-sheet'!$A$2:$ZZ$1000, ROW(A370), MATCH(A$1, 'raw-sheet'!$A$1:$ZZ$1, 0))</f>
        <v>https://innisfree-taiwan.myshopify.com/products/pdrn-set</v>
      </c>
      <c r="B371" s="30" t="s">
        <v>11</v>
      </c>
      <c r="C371" s="28" t="str">
        <f t="array" ref="C371">INDEX('raw-sheet'!$A$2:$ZZ$1000, ROW(C370), MATCH(C$1, 'raw-sheet'!$A$1:$ZZ$1, 0))</f>
        <v>Product Detail</v>
      </c>
      <c r="D371" s="28">
        <f t="array" ref="D371">INDEX('raw-sheet'!$A$2:$ZZ$1000, ROW(D370), MATCH(D$1, 'raw-sheet'!$A$1:$ZZ$1, 0))</f>
        <v>200</v>
      </c>
      <c r="E371" s="30" t="str">
        <f t="shared" si="10"/>
        <v>Pass</v>
      </c>
      <c r="F371" s="28" t="str">
        <f t="array" ref="F371">INDEX('raw-sheet'!$A$2:$ZZ$1000, ROW(F370), MATCH(F$1, 'raw-sheet'!$A$1:$ZZ$1, 0))</f>
        <v>PDRN煥膚組 - JOGUMAN特別版_x000D_ | INNISFREE Taiwan</v>
      </c>
      <c r="G371" s="30" t="s">
        <v>11</v>
      </c>
      <c r="H371" s="28" t="str">
        <f t="array" ref="H371">INDEX('raw-sheet'!$A$2:$ZZ$1000, ROW(H370), MATCH(H$1, 'raw-sheet'!$A$1:$ZZ$1, 0))</f>
        <v>1%A醇PDRN水光安瓶25ml+早C晚A體驗組(維他命C淨亮精華7ml+A醇淨膚超修護安瓶5ml)</v>
      </c>
      <c r="I371" s="30" t="s">
        <v>11</v>
      </c>
      <c r="J371" s="28" t="str">
        <f t="array" ref="J371">INDEX('raw-sheet'!$A$2:$ZZ$1000, ROW(J370), MATCH(J$1, 'raw-sheet'!$A$1:$ZZ$1, 0))</f>
        <v>PDRN煥膚組 - JOGUMAN特別版</v>
      </c>
      <c r="K371" s="28" t="str">
        <f t="array" ref="K371">INDEX('raw-sheet'!$A$2:$ZZ$1000, ROW(K370), MATCH(K$1, 'raw-sheet'!$A$1:$ZZ$1, 0))</f>
        <v>1</v>
      </c>
      <c r="L371" s="30" t="s">
        <v>11</v>
      </c>
      <c r="M371" s="28" t="str">
        <f t="array" ref="M371">INDEX('raw-sheet'!$A$2:$ZZ$1000, ROW(M370), MATCH(M$1, 'raw-sheet'!$A$1:$ZZ$1, 0))</f>
        <v>https://innisfree-taiwan.myshopify.com/products/pdrn-set</v>
      </c>
      <c r="N371" s="30" t="str">
        <f t="shared" si="11"/>
        <v>Pass</v>
      </c>
      <c r="O371" s="28" t="str">
        <f t="array" ref="O371">INDEX('raw-sheet'!$A$2:$ZZ$1000, ROW(O370), MATCH(O$1, 'raw-sheet'!$A$1:$ZZ$1, 0))</f>
        <v>PDRN煥膚組 - JOGUMAN特別版 | INNISFREE Taiwan</v>
      </c>
      <c r="P371" s="28" t="str">
        <f t="array" ref="P371">INDEX('raw-sheet'!$A$2:$ZZ$1000, ROW(P370), MATCH(P$1, 'raw-sheet'!$A$1:$ZZ$1, 0))</f>
        <v>1%A醇PDRN水光安瓶25ml+早C晚A體驗組(維他命C淨亮精華7ml+A醇淨膚超修護安瓶5ml)</v>
      </c>
      <c r="Q371" s="28" t="str">
        <f t="array" ref="Q371">INDEX('raw-sheet'!$A$2:$ZZ$1000, ROW(Q370), MATCH(Q$1, 'raw-sheet'!$A$1:$ZZ$1, 0))</f>
        <v>product</v>
      </c>
      <c r="R371" s="28" t="str">
        <f t="array" ref="R371">INDEX('raw-sheet'!$A$2:$ZZ$1000, ROW(R370), MATCH(R$1, 'raw-sheet'!$A$1:$ZZ$1, 0))</f>
        <v>INNISFREE Taiwan</v>
      </c>
      <c r="S371" s="28" t="str">
        <f t="array" ref="S371">INDEX('raw-sheet'!$A$2:$ZZ$1000, ROW(S370), MATCH(S$1, 'raw-sheet'!$A$1:$ZZ$1, 0))</f>
        <v>http://innisfree-taiwan.myshopify.com/cdn/shop/files/20260108_1719_ID0101_1.jpg?v=1770623250</v>
      </c>
      <c r="T371" s="28" t="str">
        <f t="array" ref="T371">INDEX('raw-sheet'!$A$2:$ZZ$1000, ROW(T370), MATCH(T$1, 'raw-sheet'!$A$1:$ZZ$1, 0))</f>
        <v>https://innisfree-taiwan.myshopify.com/cdn/shop/files/20260108_1719_ID0101_1.jpg?v=1770623250</v>
      </c>
      <c r="U371" s="28" t="str">
        <f t="array" ref="U371">INDEX('raw-sheet'!$A$2:$ZZ$1000, ROW(U370), MATCH(U$1, 'raw-sheet'!$A$1:$ZZ$1, 0))</f>
        <v>https://innisfree-taiwan.myshopify.com/products/pdrn-set</v>
      </c>
      <c r="V371" s="28" t="str">
        <f t="array" ref="V371">INDEX('raw-sheet'!$A$2:$ZZ$1000, ROW(V370), MATCH(V$1, 'raw-sheet'!$A$1:$ZZ$1, 0))</f>
        <v>PDRN煥膚組 - JOGUMAN特別版 | INNISFREE Taiwan</v>
      </c>
      <c r="W371" s="28" t="str">
        <f t="array" ref="W371">INDEX('raw-sheet'!$A$2:$ZZ$1000, ROW(W370), MATCH(W$1, 'raw-sheet'!$A$1:$ZZ$1, 0))</f>
        <v>1%A醇PDRN水光安瓶25ml+早C晚A體驗組(維他命C淨亮精華7ml+A醇淨膚超修護安瓶5ml)</v>
      </c>
      <c r="X371" s="28" t="str">
        <f t="array" ref="X371">INDEX('raw-sheet'!$A$2:$ZZ$1000, ROW(X370), MATCH(X$1, 'raw-sheet'!$A$1:$ZZ$1, 0))</f>
        <v>summary_large_image</v>
      </c>
      <c r="Y371" s="30" t="s">
        <v>11</v>
      </c>
      <c r="Z371" s="28" t="str">
        <f>VLOOKUP($A371,'raw-schema'!$A:$R,14,0)</f>
        <v>Brand</v>
      </c>
      <c r="AA371" s="28" t="str">
        <f>VLOOKUP($A371,'raw-schema'!$A:$R,15,0)</f>
        <v>Offer</v>
      </c>
      <c r="AB371" s="28" t="str">
        <f>VLOOKUP($A371,'raw-schema'!$A:$R,16,0)</f>
        <v>Organization</v>
      </c>
      <c r="AC371" s="28" t="str">
        <f>VLOOKUP($A371,'raw-schema'!$A:$R,17,0)</f>
        <v>Product</v>
      </c>
      <c r="AD371" s="28">
        <f>VLOOKUP($A371,'raw-schema'!$A:$R,18,0)</f>
        <v>0</v>
      </c>
      <c r="AE371" s="30" t="s">
        <v>69</v>
      </c>
    </row>
    <row r="372" spans="1:31" x14ac:dyDescent="0.3">
      <c r="A372" s="28" t="str">
        <f t="array" ref="A372">INDEX('raw-sheet'!$A$2:$ZZ$1000, ROW(A371), MATCH(A$1, 'raw-sheet'!$A$1:$ZZ$1, 0))</f>
        <v>https://innisfree-taiwan.myshopify.com/products/pdrn-skinbooster-ampoule-gel-mask</v>
      </c>
      <c r="B372" s="30" t="s">
        <v>11</v>
      </c>
      <c r="C372" s="28" t="str">
        <f t="array" ref="C372">INDEX('raw-sheet'!$A$2:$ZZ$1000, ROW(C371), MATCH(C$1, 'raw-sheet'!$A$1:$ZZ$1, 0))</f>
        <v>Product Detail</v>
      </c>
      <c r="D372" s="28">
        <f t="array" ref="D372">INDEX('raw-sheet'!$A$2:$ZZ$1000, ROW(D371), MATCH(D$1, 'raw-sheet'!$A$1:$ZZ$1, 0))</f>
        <v>200</v>
      </c>
      <c r="E372" s="30" t="str">
        <f t="shared" si="10"/>
        <v>Pass</v>
      </c>
      <c r="F372" s="28" t="str">
        <f t="array" ref="F372">INDEX('raw-sheet'!$A$2:$ZZ$1000, ROW(F371), MATCH(F$1, 'raw-sheet'!$A$1:$ZZ$1, 0))</f>
        <v>[新客優惠]新客入手面膜組_x000D_ | INNISFREE Taiwan</v>
      </c>
      <c r="G372" s="30" t="s">
        <v>11</v>
      </c>
      <c r="H372" s="28" t="str">
        <f t="array" ref="H372">INDEX('raw-sheet'!$A$2:$ZZ$1000, ROW(H371), MATCH(H$1, 'raw-sheet'!$A$1:$ZZ$1, 0))</f>
        <v>1%A醇PDRN水光安瓶果凍面膜*2片 含有1%A醇PDRN水光安瓶主要成分的果凍面膜，能改善粗糙並平滑肌膚，深層補水保濕，打造彈嫩水光肌。</v>
      </c>
      <c r="I372" s="30" t="s">
        <v>11</v>
      </c>
      <c r="J372" s="28" t="str">
        <f t="array" ref="J372">INDEX('raw-sheet'!$A$2:$ZZ$1000, ROW(J371), MATCH(J$1, 'raw-sheet'!$A$1:$ZZ$1, 0))</f>
        <v>[新客優惠]新客入手面膜組</v>
      </c>
      <c r="K372" s="28" t="str">
        <f t="array" ref="K372">INDEX('raw-sheet'!$A$2:$ZZ$1000, ROW(K371), MATCH(K$1, 'raw-sheet'!$A$1:$ZZ$1, 0))</f>
        <v>1</v>
      </c>
      <c r="L372" s="30" t="s">
        <v>11</v>
      </c>
      <c r="M372" s="28" t="str">
        <f t="array" ref="M372">INDEX('raw-sheet'!$A$2:$ZZ$1000, ROW(M371), MATCH(M$1, 'raw-sheet'!$A$1:$ZZ$1, 0))</f>
        <v>https://innisfree-taiwan.myshopify.com/products/pdrn-skinbooster-ampoule-gel-mask</v>
      </c>
      <c r="N372" s="30" t="str">
        <f t="shared" si="11"/>
        <v>Pass</v>
      </c>
      <c r="O372" s="28" t="str">
        <f t="array" ref="O372">INDEX('raw-sheet'!$A$2:$ZZ$1000, ROW(O371), MATCH(O$1, 'raw-sheet'!$A$1:$ZZ$1, 0))</f>
        <v>[新客優惠]新客入手面膜組 | INNISFREE Taiwan</v>
      </c>
      <c r="P372" s="28" t="str">
        <f t="array" ref="P372">INDEX('raw-sheet'!$A$2:$ZZ$1000, ROW(P371), MATCH(P$1, 'raw-sheet'!$A$1:$ZZ$1, 0))</f>
        <v>1%A醇PDRN水光安瓶果凍面膜*2片 含有1%A醇PDRN水光安瓶主要成分的果凍面膜，能改善粗糙並平滑肌膚，深層補水保濕，打造彈嫩水光肌。</v>
      </c>
      <c r="Q372" s="28" t="str">
        <f t="array" ref="Q372">INDEX('raw-sheet'!$A$2:$ZZ$1000, ROW(Q371), MATCH(Q$1, 'raw-sheet'!$A$1:$ZZ$1, 0))</f>
        <v>product</v>
      </c>
      <c r="R372" s="28" t="str">
        <f t="array" ref="R372">INDEX('raw-sheet'!$A$2:$ZZ$1000, ROW(R371), MATCH(R$1, 'raw-sheet'!$A$1:$ZZ$1, 0))</f>
        <v>INNISFREE Taiwan</v>
      </c>
      <c r="S372" s="28" t="str">
        <f t="array" ref="S372">INDEX('raw-sheet'!$A$2:$ZZ$1000, ROW(S371), MATCH(S$1, 'raw-sheet'!$A$1:$ZZ$1, 0))</f>
        <v>http://innisfree-taiwan.myshopify.com/cdn/shop/files/20251218_1712_ID0101_1.jpg?v=1770623250</v>
      </c>
      <c r="T372" s="28" t="str">
        <f t="array" ref="T372">INDEX('raw-sheet'!$A$2:$ZZ$1000, ROW(T371), MATCH(T$1, 'raw-sheet'!$A$1:$ZZ$1, 0))</f>
        <v>https://innisfree-taiwan.myshopify.com/cdn/shop/files/20251218_1712_ID0101_1.jpg?v=1770623250</v>
      </c>
      <c r="U372" s="28" t="str">
        <f t="array" ref="U372">INDEX('raw-sheet'!$A$2:$ZZ$1000, ROW(U371), MATCH(U$1, 'raw-sheet'!$A$1:$ZZ$1, 0))</f>
        <v>https://innisfree-taiwan.myshopify.com/products/pdrn-skinbooster-ampoule-gel-mask</v>
      </c>
      <c r="V372" s="28" t="str">
        <f t="array" ref="V372">INDEX('raw-sheet'!$A$2:$ZZ$1000, ROW(V371), MATCH(V$1, 'raw-sheet'!$A$1:$ZZ$1, 0))</f>
        <v>[新客優惠]新客入手面膜組 | INNISFREE Taiwan</v>
      </c>
      <c r="W372" s="28" t="str">
        <f t="array" ref="W372">INDEX('raw-sheet'!$A$2:$ZZ$1000, ROW(W371), MATCH(W$1, 'raw-sheet'!$A$1:$ZZ$1, 0))</f>
        <v>1%A醇PDRN水光安瓶果凍面膜*2片 含有1%A醇PDRN水光安瓶主要成分的果凍面膜，能改善粗糙並平滑肌膚，深層補水保濕，打造彈嫩水光肌。</v>
      </c>
      <c r="X372" s="28" t="str">
        <f t="array" ref="X372">INDEX('raw-sheet'!$A$2:$ZZ$1000, ROW(X371), MATCH(X$1, 'raw-sheet'!$A$1:$ZZ$1, 0))</f>
        <v>summary_large_image</v>
      </c>
      <c r="Y372" s="30" t="s">
        <v>11</v>
      </c>
      <c r="Z372" s="28" t="str">
        <f>VLOOKUP($A372,'raw-schema'!$A:$R,14,0)</f>
        <v>Brand</v>
      </c>
      <c r="AA372" s="28" t="str">
        <f>VLOOKUP($A372,'raw-schema'!$A:$R,15,0)</f>
        <v>Offer</v>
      </c>
      <c r="AB372" s="28" t="str">
        <f>VLOOKUP($A372,'raw-schema'!$A:$R,16,0)</f>
        <v>Organization</v>
      </c>
      <c r="AC372" s="28" t="str">
        <f>VLOOKUP($A372,'raw-schema'!$A:$R,17,0)</f>
        <v>Product</v>
      </c>
      <c r="AD372" s="28">
        <f>VLOOKUP($A372,'raw-schema'!$A:$R,18,0)</f>
        <v>0</v>
      </c>
      <c r="AE372" s="30" t="s">
        <v>69</v>
      </c>
    </row>
    <row r="373" spans="1:31" x14ac:dyDescent="0.3">
      <c r="A373" s="28" t="str">
        <f t="array" ref="A373">INDEX('raw-sheet'!$A$2:$ZZ$1000, ROW(A372), MATCH(A$1, 'raw-sheet'!$A$1:$ZZ$1, 0))</f>
        <v>https://innisfree-taiwan.myshopify.com/products/pdrntonereye</v>
      </c>
      <c r="B373" s="30" t="s">
        <v>11</v>
      </c>
      <c r="C373" s="28" t="str">
        <f t="array" ref="C373">INDEX('raw-sheet'!$A$2:$ZZ$1000, ROW(C372), MATCH(C$1, 'raw-sheet'!$A$1:$ZZ$1, 0))</f>
        <v>Product Detail</v>
      </c>
      <c r="D373" s="28">
        <f t="array" ref="D373">INDEX('raw-sheet'!$A$2:$ZZ$1000, ROW(D372), MATCH(D$1, 'raw-sheet'!$A$1:$ZZ$1, 0))</f>
        <v>200</v>
      </c>
      <c r="E373" s="30" t="str">
        <f t="shared" si="10"/>
        <v>Pass</v>
      </c>
      <c r="F373" s="28" t="str">
        <f t="array" ref="F373">INDEX('raw-sheet'!$A$2:$ZZ$1000, ROW(F372), MATCH(F$1, 'raw-sheet'!$A$1:$ZZ$1, 0))</f>
        <v>[2月限定]PDRN家族水光奇蹟撫紋組_x000D_ | INNISFREE Taiwan</v>
      </c>
      <c r="G373" s="30" t="s">
        <v>11</v>
      </c>
      <c r="H373" s="28" t="str">
        <f t="array" ref="H373">INDEX('raw-sheet'!$A$2:$ZZ$1000, ROW(H372), MATCH(H$1, 'raw-sheet'!$A$1:$ZZ$1, 0))</f>
        <v>推薦給想緊緻毛孔及預防細紋的人，添加A醇及綠茶PDRN™的保養成分，有效代謝角質、緊緻毛孔、改善肌膚彈性，奇蹟水與水光安瓶搭配使用，輕鬆擁有光滑緊緻的發光肌。</v>
      </c>
      <c r="I373" s="30" t="s">
        <v>11</v>
      </c>
      <c r="J373" s="28" t="str">
        <f t="array" ref="J373">INDEX('raw-sheet'!$A$2:$ZZ$1000, ROW(J372), MATCH(J$1, 'raw-sheet'!$A$1:$ZZ$1, 0))</f>
        <v>[2月限定]PDRN家族水光奇蹟撫紋組</v>
      </c>
      <c r="K373" s="28" t="str">
        <f t="array" ref="K373">INDEX('raw-sheet'!$A$2:$ZZ$1000, ROW(K372), MATCH(K$1, 'raw-sheet'!$A$1:$ZZ$1, 0))</f>
        <v>1</v>
      </c>
      <c r="L373" s="30" t="s">
        <v>11</v>
      </c>
      <c r="M373" s="28" t="str">
        <f t="array" ref="M373">INDEX('raw-sheet'!$A$2:$ZZ$1000, ROW(M372), MATCH(M$1, 'raw-sheet'!$A$1:$ZZ$1, 0))</f>
        <v>https://innisfree-taiwan.myshopify.com/products/pdrntonereye</v>
      </c>
      <c r="N373" s="30" t="str">
        <f t="shared" si="11"/>
        <v>Pass</v>
      </c>
      <c r="O373" s="28" t="str">
        <f t="array" ref="O373">INDEX('raw-sheet'!$A$2:$ZZ$1000, ROW(O372), MATCH(O$1, 'raw-sheet'!$A$1:$ZZ$1, 0))</f>
        <v>[2月限定]PDRN家族水光奇蹟撫紋組 | INNISFREE Taiwan</v>
      </c>
      <c r="P373" s="28" t="str">
        <f t="array" ref="P373">INDEX('raw-sheet'!$A$2:$ZZ$1000, ROW(P372), MATCH(P$1, 'raw-sheet'!$A$1:$ZZ$1, 0))</f>
        <v>推薦給想緊緻毛孔及預防細紋的人，添加A醇及綠茶PDRN™的保養成分，有效代謝角質、緊緻毛孔、改善肌膚彈性，奇蹟水與水光安瓶搭配使用，輕鬆擁有光滑緊緻的發光肌。</v>
      </c>
      <c r="Q373" s="28" t="str">
        <f t="array" ref="Q373">INDEX('raw-sheet'!$A$2:$ZZ$1000, ROW(Q372), MATCH(Q$1, 'raw-sheet'!$A$1:$ZZ$1, 0))</f>
        <v>product</v>
      </c>
      <c r="R373" s="28" t="str">
        <f t="array" ref="R373">INDEX('raw-sheet'!$A$2:$ZZ$1000, ROW(R372), MATCH(R$1, 'raw-sheet'!$A$1:$ZZ$1, 0))</f>
        <v>INNISFREE Taiwan</v>
      </c>
      <c r="S373" s="28" t="str">
        <f t="array" ref="S373">INDEX('raw-sheet'!$A$2:$ZZ$1000, ROW(S372), MATCH(S$1, 'raw-sheet'!$A$1:$ZZ$1, 0))</f>
        <v>http://innisfree-taiwan.myshopify.com/cdn/shop/files/20260108_1721_ID0101_1.jpg?v=1770623248</v>
      </c>
      <c r="T373" s="28" t="str">
        <f t="array" ref="T373">INDEX('raw-sheet'!$A$2:$ZZ$1000, ROW(T372), MATCH(T$1, 'raw-sheet'!$A$1:$ZZ$1, 0))</f>
        <v>https://innisfree-taiwan.myshopify.com/cdn/shop/files/20260108_1721_ID0101_1.jpg?v=1770623248</v>
      </c>
      <c r="U373" s="28" t="str">
        <f t="array" ref="U373">INDEX('raw-sheet'!$A$2:$ZZ$1000, ROW(U372), MATCH(U$1, 'raw-sheet'!$A$1:$ZZ$1, 0))</f>
        <v>https://innisfree-taiwan.myshopify.com/products/pdrntonereye</v>
      </c>
      <c r="V373" s="28" t="str">
        <f t="array" ref="V373">INDEX('raw-sheet'!$A$2:$ZZ$1000, ROW(V372), MATCH(V$1, 'raw-sheet'!$A$1:$ZZ$1, 0))</f>
        <v>[2月限定]PDRN家族水光奇蹟撫紋組 | INNISFREE Taiwan</v>
      </c>
      <c r="W373" s="28" t="str">
        <f t="array" ref="W373">INDEX('raw-sheet'!$A$2:$ZZ$1000, ROW(W372), MATCH(W$1, 'raw-sheet'!$A$1:$ZZ$1, 0))</f>
        <v>推薦給想緊緻毛孔及預防細紋的人，添加A醇及綠茶PDRN™的保養成分，有效代謝角質、緊緻毛孔、改善肌膚彈性，奇蹟水與水光安瓶搭配使用，輕鬆擁有光滑緊緻的發光肌。</v>
      </c>
      <c r="X373" s="28" t="str">
        <f t="array" ref="X373">INDEX('raw-sheet'!$A$2:$ZZ$1000, ROW(X372), MATCH(X$1, 'raw-sheet'!$A$1:$ZZ$1, 0))</f>
        <v>summary_large_image</v>
      </c>
      <c r="Y373" s="30" t="s">
        <v>11</v>
      </c>
      <c r="Z373" s="28" t="str">
        <f>VLOOKUP($A373,'raw-schema'!$A:$R,14,0)</f>
        <v>Brand</v>
      </c>
      <c r="AA373" s="28" t="str">
        <f>VLOOKUP($A373,'raw-schema'!$A:$R,15,0)</f>
        <v>Offer</v>
      </c>
      <c r="AB373" s="28" t="str">
        <f>VLOOKUP($A373,'raw-schema'!$A:$R,16,0)</f>
        <v>Organization</v>
      </c>
      <c r="AC373" s="28" t="str">
        <f>VLOOKUP($A373,'raw-schema'!$A:$R,17,0)</f>
        <v>Product</v>
      </c>
      <c r="AD373" s="28">
        <f>VLOOKUP($A373,'raw-schema'!$A:$R,18,0)</f>
        <v>0</v>
      </c>
      <c r="AE373" s="30" t="s">
        <v>69</v>
      </c>
    </row>
    <row r="374" spans="1:31" x14ac:dyDescent="0.3">
      <c r="A374" s="28" t="str">
        <f t="array" ref="A374">INDEX('raw-sheet'!$A$2:$ZZ$1000, ROW(A373), MATCH(A$1, 'raw-sheet'!$A$1:$ZZ$1, 0))</f>
        <v>https://innisfree-taiwan.myshopify.com/products/perfect-9-intensive-cream</v>
      </c>
      <c r="B374" s="30" t="s">
        <v>11</v>
      </c>
      <c r="C374" s="28" t="str">
        <f t="array" ref="C374">INDEX('raw-sheet'!$A$2:$ZZ$1000, ROW(C373), MATCH(C$1, 'raw-sheet'!$A$1:$ZZ$1, 0))</f>
        <v>Product Detail</v>
      </c>
      <c r="D374" s="28">
        <f t="array" ref="D374">INDEX('raw-sheet'!$A$2:$ZZ$1000, ROW(D373), MATCH(D$1, 'raw-sheet'!$A$1:$ZZ$1, 0))</f>
        <v>200</v>
      </c>
      <c r="E374" s="30" t="str">
        <f t="shared" si="10"/>
        <v>Pass</v>
      </c>
      <c r="F374" s="28" t="str">
        <f t="array" ref="F374">INDEX('raw-sheet'!$A$2:$ZZ$1000, ROW(F373), MATCH(F$1, 'raw-sheet'!$A$1:$ZZ$1, 0))</f>
        <v>九重完美青春再生活膚霜 60ml_x000D_ | INNISFREE Taiwan</v>
      </c>
      <c r="G374" s="30" t="s">
        <v>11</v>
      </c>
      <c r="H374" s="28" t="str">
        <f t="array" ref="H374">INDEX('raw-sheet'!$A$2:$ZZ$1000, ROW(H373), MATCH(H$1, 'raw-sheet'!$A$1:$ZZ$1, 0))</f>
        <v>採用濟州島靈芝等9種珍貴抗老靈草成分，針對缺乏彈力、肌膚乾燥、皺紋、緊繃、加強肌膚代謝、肌膚暗沉瑕疵、毛孔問題進行護理，富含營養與保溼力的夜間型抗老化修護面霜。適合乾性肌膚、熟齡肌膚，喜歡豐富營養感與滋潤質地，高機能多重功效產品的顧客。</v>
      </c>
      <c r="I374" s="30" t="s">
        <v>11</v>
      </c>
      <c r="J374" s="28" t="str">
        <f t="array" ref="J374">INDEX('raw-sheet'!$A$2:$ZZ$1000, ROW(J373), MATCH(J$1, 'raw-sheet'!$A$1:$ZZ$1, 0))</f>
        <v>九重完美青春再生活膚霜 60ml</v>
      </c>
      <c r="K374" s="28" t="str">
        <f t="array" ref="K374">INDEX('raw-sheet'!$A$2:$ZZ$1000, ROW(K373), MATCH(K$1, 'raw-sheet'!$A$1:$ZZ$1, 0))</f>
        <v>1</v>
      </c>
      <c r="L374" s="30" t="s">
        <v>11</v>
      </c>
      <c r="M374" s="28" t="str">
        <f t="array" ref="M374">INDEX('raw-sheet'!$A$2:$ZZ$1000, ROW(M373), MATCH(M$1, 'raw-sheet'!$A$1:$ZZ$1, 0))</f>
        <v>https://innisfree-taiwan.myshopify.com/products/perfect-9-intensive-cream</v>
      </c>
      <c r="N374" s="30" t="str">
        <f t="shared" si="11"/>
        <v>Pass</v>
      </c>
      <c r="O374" s="28" t="str">
        <f t="array" ref="O374">INDEX('raw-sheet'!$A$2:$ZZ$1000, ROW(O373), MATCH(O$1, 'raw-sheet'!$A$1:$ZZ$1, 0))</f>
        <v>九重完美青春再生活膚霜 60ml | INNISFREE Taiwan</v>
      </c>
      <c r="P374" s="28" t="str">
        <f t="array" ref="P374">INDEX('raw-sheet'!$A$2:$ZZ$1000, ROW(P373), MATCH(P$1, 'raw-sheet'!$A$1:$ZZ$1, 0))</f>
        <v>採用濟州島靈芝等9種珍貴抗老靈草成分，針對缺乏彈力、肌膚乾燥、皺紋、緊繃、加強肌膚代謝、肌膚暗沉瑕疵、毛孔問題進行護理，富含營養與保溼力的夜間型抗老化修護面霜。適合乾性肌膚、熟齡肌膚，喜歡豐富營養感與滋潤質地，高機能多重功效產品的顧客。</v>
      </c>
      <c r="Q374" s="28" t="str">
        <f t="array" ref="Q374">INDEX('raw-sheet'!$A$2:$ZZ$1000, ROW(Q373), MATCH(Q$1, 'raw-sheet'!$A$1:$ZZ$1, 0))</f>
        <v>product</v>
      </c>
      <c r="R374" s="28" t="str">
        <f t="array" ref="R374">INDEX('raw-sheet'!$A$2:$ZZ$1000, ROW(R373), MATCH(R$1, 'raw-sheet'!$A$1:$ZZ$1, 0))</f>
        <v>INNISFREE Taiwan</v>
      </c>
      <c r="S374" s="28" t="str">
        <f t="array" ref="S374">INDEX('raw-sheet'!$A$2:$ZZ$1000, ROW(S373), MATCH(S$1, 'raw-sheet'!$A$1:$ZZ$1, 0))</f>
        <v>http://innisfree-taiwan.myshopify.com/cdn/shop/files/pdp_mig_0ddbad5c_20260109_164_ID0101_1_jpg.jpg?v=1768543120</v>
      </c>
      <c r="T374" s="28" t="str">
        <f t="array" ref="T374">INDEX('raw-sheet'!$A$2:$ZZ$1000, ROW(T373), MATCH(T$1, 'raw-sheet'!$A$1:$ZZ$1, 0))</f>
        <v>https://innisfree-taiwan.myshopify.com/cdn/shop/files/pdp_mig_0ddbad5c_20260109_164_ID0101_1_jpg.jpg?v=1768543120</v>
      </c>
      <c r="U374" s="28" t="str">
        <f t="array" ref="U374">INDEX('raw-sheet'!$A$2:$ZZ$1000, ROW(U373), MATCH(U$1, 'raw-sheet'!$A$1:$ZZ$1, 0))</f>
        <v>https://innisfree-taiwan.myshopify.com/products/perfect-9-intensive-cream</v>
      </c>
      <c r="V374" s="28" t="str">
        <f t="array" ref="V374">INDEX('raw-sheet'!$A$2:$ZZ$1000, ROW(V373), MATCH(V$1, 'raw-sheet'!$A$1:$ZZ$1, 0))</f>
        <v>九重完美青春再生活膚霜 60ml | INNISFREE Taiwan</v>
      </c>
      <c r="W374" s="28" t="str">
        <f t="array" ref="W374">INDEX('raw-sheet'!$A$2:$ZZ$1000, ROW(W373), MATCH(W$1, 'raw-sheet'!$A$1:$ZZ$1, 0))</f>
        <v>採用濟州島靈芝等9種珍貴抗老靈草成分，針對缺乏彈力、肌膚乾燥、皺紋、緊繃、加強肌膚代謝、肌膚暗沉瑕疵、毛孔問題進行護理，富含營養與保溼力的夜間型抗老化修護面霜。適合乾性肌膚、熟齡肌膚，喜歡豐富營養感與滋潤質地，高機能多重功效產品的顧客。</v>
      </c>
      <c r="X374" s="28" t="str">
        <f t="array" ref="X374">INDEX('raw-sheet'!$A$2:$ZZ$1000, ROW(X373), MATCH(X$1, 'raw-sheet'!$A$1:$ZZ$1, 0))</f>
        <v>summary_large_image</v>
      </c>
      <c r="Y374" s="30" t="s">
        <v>11</v>
      </c>
      <c r="Z374" s="28" t="str">
        <f>VLOOKUP($A374,'raw-schema'!$A:$R,14,0)</f>
        <v>Brand</v>
      </c>
      <c r="AA374" s="28" t="str">
        <f>VLOOKUP($A374,'raw-schema'!$A:$R,15,0)</f>
        <v>Offer</v>
      </c>
      <c r="AB374" s="28" t="str">
        <f>VLOOKUP($A374,'raw-schema'!$A:$R,16,0)</f>
        <v>Organization</v>
      </c>
      <c r="AC374" s="28" t="str">
        <f>VLOOKUP($A374,'raw-schema'!$A:$R,17,0)</f>
        <v>Product</v>
      </c>
      <c r="AD374" s="28">
        <f>VLOOKUP($A374,'raw-schema'!$A:$R,18,0)</f>
        <v>0</v>
      </c>
      <c r="AE374" s="30" t="s">
        <v>69</v>
      </c>
    </row>
    <row r="375" spans="1:31" x14ac:dyDescent="0.3">
      <c r="A375" s="28" t="str">
        <f t="array" ref="A375">INDEX('raw-sheet'!$A$2:$ZZ$1000, ROW(A374), MATCH(A$1, 'raw-sheet'!$A$1:$ZZ$1, 0))</f>
        <v>https://innisfree-taiwan.myshopify.com/products/perfect-9-intensive-eye-cream</v>
      </c>
      <c r="B375" s="30" t="s">
        <v>11</v>
      </c>
      <c r="C375" s="28" t="str">
        <f t="array" ref="C375">INDEX('raw-sheet'!$A$2:$ZZ$1000, ROW(C374), MATCH(C$1, 'raw-sheet'!$A$1:$ZZ$1, 0))</f>
        <v>Product Detail</v>
      </c>
      <c r="D375" s="28">
        <f t="array" ref="D375">INDEX('raw-sheet'!$A$2:$ZZ$1000, ROW(D374), MATCH(D$1, 'raw-sheet'!$A$1:$ZZ$1, 0))</f>
        <v>200</v>
      </c>
      <c r="E375" s="30" t="str">
        <f t="shared" si="10"/>
        <v>Pass</v>
      </c>
      <c r="F375" s="28" t="str">
        <f t="array" ref="F375">INDEX('raw-sheet'!$A$2:$ZZ$1000, ROW(F374), MATCH(F$1, 'raw-sheet'!$A$1:$ZZ$1, 0))</f>
        <v>九重完美青春再生眼霜 30ml_x000D_ | INNISFREE Taiwan</v>
      </c>
      <c r="G375" s="30" t="s">
        <v>11</v>
      </c>
      <c r="H375" s="28" t="str">
        <f t="array" ref="H375">INDEX('raw-sheet'!$A$2:$ZZ$1000, ROW(H374), MATCH(H$1, 'raw-sheet'!$A$1:$ZZ$1, 0))</f>
        <v>採用濟州島靈芝等9種珍貴抗老靈草成分，針對缺乏彈力、肌膚乾燥、皺紋、緊繃、加強肌膚代謝、肌膚暗沉瑕疵、毛孔問題進行護理，有效改善眼角肌膚的夜間抗老化眼霜。適合乾性肌膚、熟齡肌膚，喜歡豐富營養感與滋潤質地，高機能多重功效產品的顧客。</v>
      </c>
      <c r="I375" s="30" t="s">
        <v>11</v>
      </c>
      <c r="J375" s="28" t="str">
        <f t="array" ref="J375">INDEX('raw-sheet'!$A$2:$ZZ$1000, ROW(J374), MATCH(J$1, 'raw-sheet'!$A$1:$ZZ$1, 0))</f>
        <v>九重完美青春再生眼霜 30ml</v>
      </c>
      <c r="K375" s="28" t="str">
        <f t="array" ref="K375">INDEX('raw-sheet'!$A$2:$ZZ$1000, ROW(K374), MATCH(K$1, 'raw-sheet'!$A$1:$ZZ$1, 0))</f>
        <v>1</v>
      </c>
      <c r="L375" s="30" t="s">
        <v>11</v>
      </c>
      <c r="M375" s="28" t="str">
        <f t="array" ref="M375">INDEX('raw-sheet'!$A$2:$ZZ$1000, ROW(M374), MATCH(M$1, 'raw-sheet'!$A$1:$ZZ$1, 0))</f>
        <v>https://innisfree-taiwan.myshopify.com/products/perfect-9-intensive-eye-cream</v>
      </c>
      <c r="N375" s="30" t="str">
        <f t="shared" si="11"/>
        <v>Pass</v>
      </c>
      <c r="O375" s="28" t="str">
        <f t="array" ref="O375">INDEX('raw-sheet'!$A$2:$ZZ$1000, ROW(O374), MATCH(O$1, 'raw-sheet'!$A$1:$ZZ$1, 0))</f>
        <v>九重完美青春再生眼霜 30ml | INNISFREE Taiwan</v>
      </c>
      <c r="P375" s="28" t="str">
        <f t="array" ref="P375">INDEX('raw-sheet'!$A$2:$ZZ$1000, ROW(P374), MATCH(P$1, 'raw-sheet'!$A$1:$ZZ$1, 0))</f>
        <v>採用濟州島靈芝等9種珍貴抗老靈草成分，針對缺乏彈力、肌膚乾燥、皺紋、緊繃、加強肌膚代謝、肌膚暗沉瑕疵、毛孔問題進行護理，有效改善眼角肌膚的夜間抗老化眼霜。適合乾性肌膚、熟齡肌膚，喜歡豐富營養感與滋潤質地，高機能多重功效產品的顧客。</v>
      </c>
      <c r="Q375" s="28" t="str">
        <f t="array" ref="Q375">INDEX('raw-sheet'!$A$2:$ZZ$1000, ROW(Q374), MATCH(Q$1, 'raw-sheet'!$A$1:$ZZ$1, 0))</f>
        <v>product</v>
      </c>
      <c r="R375" s="28" t="str">
        <f t="array" ref="R375">INDEX('raw-sheet'!$A$2:$ZZ$1000, ROW(R374), MATCH(R$1, 'raw-sheet'!$A$1:$ZZ$1, 0))</f>
        <v>INNISFREE Taiwan</v>
      </c>
      <c r="S375" s="28" t="str">
        <f t="array" ref="S375">INDEX('raw-sheet'!$A$2:$ZZ$1000, ROW(S374), MATCH(S$1, 'raw-sheet'!$A$1:$ZZ$1, 0))</f>
        <v>http://innisfree-taiwan.myshopify.com/cdn/shop/files/pdp_mig_27f7f690_20260109_165_ID0101_1_jpg.jpg?v=1768543119</v>
      </c>
      <c r="T375" s="28" t="str">
        <f t="array" ref="T375">INDEX('raw-sheet'!$A$2:$ZZ$1000, ROW(T374), MATCH(T$1, 'raw-sheet'!$A$1:$ZZ$1, 0))</f>
        <v>https://innisfree-taiwan.myshopify.com/cdn/shop/files/pdp_mig_27f7f690_20260109_165_ID0101_1_jpg.jpg?v=1768543119</v>
      </c>
      <c r="U375" s="28" t="str">
        <f t="array" ref="U375">INDEX('raw-sheet'!$A$2:$ZZ$1000, ROW(U374), MATCH(U$1, 'raw-sheet'!$A$1:$ZZ$1, 0))</f>
        <v>https://innisfree-taiwan.myshopify.com/products/perfect-9-intensive-eye-cream</v>
      </c>
      <c r="V375" s="28" t="str">
        <f t="array" ref="V375">INDEX('raw-sheet'!$A$2:$ZZ$1000, ROW(V374), MATCH(V$1, 'raw-sheet'!$A$1:$ZZ$1, 0))</f>
        <v>九重完美青春再生眼霜 30ml | INNISFREE Taiwan</v>
      </c>
      <c r="W375" s="28" t="str">
        <f t="array" ref="W375">INDEX('raw-sheet'!$A$2:$ZZ$1000, ROW(W374), MATCH(W$1, 'raw-sheet'!$A$1:$ZZ$1, 0))</f>
        <v>採用濟州島靈芝等9種珍貴抗老靈草成分，針對缺乏彈力、肌膚乾燥、皺紋、緊繃、加強肌膚代謝、肌膚暗沉瑕疵、毛孔問題進行護理，有效改善眼角肌膚的夜間抗老化眼霜。適合乾性肌膚、熟齡肌膚，喜歡豐富營養感與滋潤質地，高機能多重功效產品的顧客。</v>
      </c>
      <c r="X375" s="28" t="str">
        <f t="array" ref="X375">INDEX('raw-sheet'!$A$2:$ZZ$1000, ROW(X374), MATCH(X$1, 'raw-sheet'!$A$1:$ZZ$1, 0))</f>
        <v>summary_large_image</v>
      </c>
      <c r="Y375" s="30" t="s">
        <v>11</v>
      </c>
      <c r="Z375" s="28" t="str">
        <f>VLOOKUP($A375,'raw-schema'!$A:$R,14,0)</f>
        <v>Brand</v>
      </c>
      <c r="AA375" s="28" t="str">
        <f>VLOOKUP($A375,'raw-schema'!$A:$R,15,0)</f>
        <v>Offer</v>
      </c>
      <c r="AB375" s="28" t="str">
        <f>VLOOKUP($A375,'raw-schema'!$A:$R,16,0)</f>
        <v>Organization</v>
      </c>
      <c r="AC375" s="28" t="str">
        <f>VLOOKUP($A375,'raw-schema'!$A:$R,17,0)</f>
        <v>Product</v>
      </c>
      <c r="AD375" s="28">
        <f>VLOOKUP($A375,'raw-schema'!$A:$R,18,0)</f>
        <v>0</v>
      </c>
      <c r="AE375" s="30" t="s">
        <v>69</v>
      </c>
    </row>
    <row r="376" spans="1:31" x14ac:dyDescent="0.3">
      <c r="A376" s="28" t="str">
        <f t="array" ref="A376">INDEX('raw-sheet'!$A$2:$ZZ$1000, ROW(A375), MATCH(A$1, 'raw-sheet'!$A$1:$ZZ$1, 0))</f>
        <v>https://innisfree-taiwan.myshopify.com/products/perfect-9-intensive-lotion</v>
      </c>
      <c r="B376" s="30" t="s">
        <v>11</v>
      </c>
      <c r="C376" s="28" t="str">
        <f t="array" ref="C376">INDEX('raw-sheet'!$A$2:$ZZ$1000, ROW(C375), MATCH(C$1, 'raw-sheet'!$A$1:$ZZ$1, 0))</f>
        <v>Product Detail</v>
      </c>
      <c r="D376" s="28">
        <f t="array" ref="D376">INDEX('raw-sheet'!$A$2:$ZZ$1000, ROW(D375), MATCH(D$1, 'raw-sheet'!$A$1:$ZZ$1, 0))</f>
        <v>200</v>
      </c>
      <c r="E376" s="30" t="str">
        <f t="shared" si="10"/>
        <v>Pass</v>
      </c>
      <c r="F376" s="28" t="str">
        <f t="array" ref="F376">INDEX('raw-sheet'!$A$2:$ZZ$1000, ROW(F375), MATCH(F$1, 'raw-sheet'!$A$1:$ZZ$1, 0))</f>
        <v>九重完美青春再生活膚乳 160ml_x000D_ | INNISFREE Taiwan</v>
      </c>
      <c r="G376" s="30" t="s">
        <v>11</v>
      </c>
      <c r="H376" s="28" t="str">
        <f t="array" ref="H376">INDEX('raw-sheet'!$A$2:$ZZ$1000, ROW(H375), MATCH(H$1, 'raw-sheet'!$A$1:$ZZ$1, 0))</f>
        <v>採用濟州島靈芝等9種珍貴抗老靈草成分，針對缺乏彈力、肌膚乾燥、皺紋、緊繃、加強肌膚代謝、肌膚暗沉瑕疵、毛孔問題進行護理，持續性給予肌膚滋潤的春春再生修護乳液。適合乾性肌膚、熟齡肌膚，喜歡豐富營養感與滋潤質地，高機能多重功效產品的顧客。</v>
      </c>
      <c r="I376" s="30" t="s">
        <v>11</v>
      </c>
      <c r="J376" s="28" t="str">
        <f t="array" ref="J376">INDEX('raw-sheet'!$A$2:$ZZ$1000, ROW(J375), MATCH(J$1, 'raw-sheet'!$A$1:$ZZ$1, 0))</f>
        <v>九重完美青春再生活膚乳 160ml</v>
      </c>
      <c r="K376" s="28" t="str">
        <f t="array" ref="K376">INDEX('raw-sheet'!$A$2:$ZZ$1000, ROW(K375), MATCH(K$1, 'raw-sheet'!$A$1:$ZZ$1, 0))</f>
        <v>1</v>
      </c>
      <c r="L376" s="30" t="s">
        <v>11</v>
      </c>
      <c r="M376" s="28" t="str">
        <f t="array" ref="M376">INDEX('raw-sheet'!$A$2:$ZZ$1000, ROW(M375), MATCH(M$1, 'raw-sheet'!$A$1:$ZZ$1, 0))</f>
        <v>https://innisfree-taiwan.myshopify.com/products/perfect-9-intensive-lotion</v>
      </c>
      <c r="N376" s="30" t="str">
        <f t="shared" si="11"/>
        <v>Pass</v>
      </c>
      <c r="O376" s="28" t="str">
        <f t="array" ref="O376">INDEX('raw-sheet'!$A$2:$ZZ$1000, ROW(O375), MATCH(O$1, 'raw-sheet'!$A$1:$ZZ$1, 0))</f>
        <v>九重完美青春再生活膚乳 160ml | INNISFREE Taiwan</v>
      </c>
      <c r="P376" s="28" t="str">
        <f t="array" ref="P376">INDEX('raw-sheet'!$A$2:$ZZ$1000, ROW(P375), MATCH(P$1, 'raw-sheet'!$A$1:$ZZ$1, 0))</f>
        <v>採用濟州島靈芝等9種珍貴抗老靈草成分，針對缺乏彈力、肌膚乾燥、皺紋、緊繃、加強肌膚代謝、肌膚暗沉瑕疵、毛孔問題進行護理，持續性給予肌膚滋潤的春春再生修護乳液。適合乾性肌膚、熟齡肌膚，喜歡豐富營養感與滋潤質地，高機能多重功效產品的顧客。</v>
      </c>
      <c r="Q376" s="28" t="str">
        <f t="array" ref="Q376">INDEX('raw-sheet'!$A$2:$ZZ$1000, ROW(Q375), MATCH(Q$1, 'raw-sheet'!$A$1:$ZZ$1, 0))</f>
        <v>product</v>
      </c>
      <c r="R376" s="28" t="str">
        <f t="array" ref="R376">INDEX('raw-sheet'!$A$2:$ZZ$1000, ROW(R375), MATCH(R$1, 'raw-sheet'!$A$1:$ZZ$1, 0))</f>
        <v>INNISFREE Taiwan</v>
      </c>
      <c r="S376" s="28" t="str">
        <f t="array" ref="S376">INDEX('raw-sheet'!$A$2:$ZZ$1000, ROW(S375), MATCH(S$1, 'raw-sheet'!$A$1:$ZZ$1, 0))</f>
        <v>http://innisfree-taiwan.myshopify.com/cdn/shop/files/pdp_mig_1dc3fd27_20230828_162_ID0101_1_jpg.jpg?v=1768543120</v>
      </c>
      <c r="T376" s="28" t="str">
        <f t="array" ref="T376">INDEX('raw-sheet'!$A$2:$ZZ$1000, ROW(T375), MATCH(T$1, 'raw-sheet'!$A$1:$ZZ$1, 0))</f>
        <v>https://innisfree-taiwan.myshopify.com/cdn/shop/files/pdp_mig_1dc3fd27_20230828_162_ID0101_1_jpg.jpg?v=1768543120</v>
      </c>
      <c r="U376" s="28" t="str">
        <f t="array" ref="U376">INDEX('raw-sheet'!$A$2:$ZZ$1000, ROW(U375), MATCH(U$1, 'raw-sheet'!$A$1:$ZZ$1, 0))</f>
        <v>https://innisfree-taiwan.myshopify.com/products/perfect-9-intensive-lotion</v>
      </c>
      <c r="V376" s="28" t="str">
        <f t="array" ref="V376">INDEX('raw-sheet'!$A$2:$ZZ$1000, ROW(V375), MATCH(V$1, 'raw-sheet'!$A$1:$ZZ$1, 0))</f>
        <v>九重完美青春再生活膚乳 160ml | INNISFREE Taiwan</v>
      </c>
      <c r="W376" s="28" t="str">
        <f t="array" ref="W376">INDEX('raw-sheet'!$A$2:$ZZ$1000, ROW(W375), MATCH(W$1, 'raw-sheet'!$A$1:$ZZ$1, 0))</f>
        <v>採用濟州島靈芝等9種珍貴抗老靈草成分，針對缺乏彈力、肌膚乾燥、皺紋、緊繃、加強肌膚代謝、肌膚暗沉瑕疵、毛孔問題進行護理，持續性給予肌膚滋潤的春春再生修護乳液。適合乾性肌膚、熟齡肌膚，喜歡豐富營養感與滋潤質地，高機能多重功效產品的顧客。</v>
      </c>
      <c r="X376" s="28" t="str">
        <f t="array" ref="X376">INDEX('raw-sheet'!$A$2:$ZZ$1000, ROW(X375), MATCH(X$1, 'raw-sheet'!$A$1:$ZZ$1, 0))</f>
        <v>summary_large_image</v>
      </c>
      <c r="Y376" s="30" t="s">
        <v>11</v>
      </c>
      <c r="Z376" s="28" t="str">
        <f>VLOOKUP($A376,'raw-schema'!$A:$R,14,0)</f>
        <v>Brand</v>
      </c>
      <c r="AA376" s="28" t="str">
        <f>VLOOKUP($A376,'raw-schema'!$A:$R,15,0)</f>
        <v>Offer</v>
      </c>
      <c r="AB376" s="28" t="str">
        <f>VLOOKUP($A376,'raw-schema'!$A:$R,16,0)</f>
        <v>Organization</v>
      </c>
      <c r="AC376" s="28" t="str">
        <f>VLOOKUP($A376,'raw-schema'!$A:$R,17,0)</f>
        <v>Product</v>
      </c>
      <c r="AD376" s="28">
        <f>VLOOKUP($A376,'raw-schema'!$A:$R,18,0)</f>
        <v>0</v>
      </c>
      <c r="AE376" s="30" t="s">
        <v>69</v>
      </c>
    </row>
    <row r="377" spans="1:31" x14ac:dyDescent="0.3">
      <c r="A377" s="28" t="str">
        <f t="array" ref="A377">INDEX('raw-sheet'!$A$2:$ZZ$1000, ROW(A376), MATCH(A$1, 'raw-sheet'!$A$1:$ZZ$1, 0))</f>
        <v>https://innisfree-taiwan.myshopify.com/products/perfect-9-intensive-serum</v>
      </c>
      <c r="B377" s="30" t="s">
        <v>11</v>
      </c>
      <c r="C377" s="28" t="str">
        <f t="array" ref="C377">INDEX('raw-sheet'!$A$2:$ZZ$1000, ROW(C376), MATCH(C$1, 'raw-sheet'!$A$1:$ZZ$1, 0))</f>
        <v>Product Detail</v>
      </c>
      <c r="D377" s="28">
        <f t="array" ref="D377">INDEX('raw-sheet'!$A$2:$ZZ$1000, ROW(D376), MATCH(D$1, 'raw-sheet'!$A$1:$ZZ$1, 0))</f>
        <v>200</v>
      </c>
      <c r="E377" s="30" t="str">
        <f t="shared" si="10"/>
        <v>Pass</v>
      </c>
      <c r="F377" s="28" t="str">
        <f t="array" ref="F377">INDEX('raw-sheet'!$A$2:$ZZ$1000, ROW(F376), MATCH(F$1, 'raw-sheet'!$A$1:$ZZ$1, 0))</f>
        <v>九重完美青春再生活膚精華 50ml_x000D_ | INNISFREE Taiwan</v>
      </c>
      <c r="G377" s="30" t="s">
        <v>11</v>
      </c>
      <c r="H377" s="28" t="str">
        <f t="array" ref="H377">INDEX('raw-sheet'!$A$2:$ZZ$1000, ROW(H376), MATCH(H$1, 'raw-sheet'!$A$1:$ZZ$1, 0))</f>
        <v>採用濟州島靈芝等9種珍貴抗老靈草成分，針對缺乏彈力、肌膚乾燥、皺紋、緊繃、加強肌膚代謝、肌膚暗沉瑕疵、毛孔問題進行護理，打造絲綢般滑順肌膚的青春再生精華。適合乾性肌膚、熟齡肌膚，喜歡豐富營養感與滋潤質地，高機能多重功效產品的顧客。</v>
      </c>
      <c r="I377" s="30" t="s">
        <v>11</v>
      </c>
      <c r="J377" s="28" t="str">
        <f t="array" ref="J377">INDEX('raw-sheet'!$A$2:$ZZ$1000, ROW(J376), MATCH(J$1, 'raw-sheet'!$A$1:$ZZ$1, 0))</f>
        <v>九重完美青春再生活膚精華 50ml</v>
      </c>
      <c r="K377" s="28" t="str">
        <f t="array" ref="K377">INDEX('raw-sheet'!$A$2:$ZZ$1000, ROW(K376), MATCH(K$1, 'raw-sheet'!$A$1:$ZZ$1, 0))</f>
        <v>1</v>
      </c>
      <c r="L377" s="30" t="s">
        <v>11</v>
      </c>
      <c r="M377" s="28" t="str">
        <f t="array" ref="M377">INDEX('raw-sheet'!$A$2:$ZZ$1000, ROW(M376), MATCH(M$1, 'raw-sheet'!$A$1:$ZZ$1, 0))</f>
        <v>https://innisfree-taiwan.myshopify.com/products/perfect-9-intensive-serum</v>
      </c>
      <c r="N377" s="30" t="str">
        <f t="shared" si="11"/>
        <v>Pass</v>
      </c>
      <c r="O377" s="28" t="str">
        <f t="array" ref="O377">INDEX('raw-sheet'!$A$2:$ZZ$1000, ROW(O376), MATCH(O$1, 'raw-sheet'!$A$1:$ZZ$1, 0))</f>
        <v>九重完美青春再生活膚精華 50ml | INNISFREE Taiwan</v>
      </c>
      <c r="P377" s="28" t="str">
        <f t="array" ref="P377">INDEX('raw-sheet'!$A$2:$ZZ$1000, ROW(P376), MATCH(P$1, 'raw-sheet'!$A$1:$ZZ$1, 0))</f>
        <v>採用濟州島靈芝等9種珍貴抗老靈草成分，針對缺乏彈力、肌膚乾燥、皺紋、緊繃、加強肌膚代謝、肌膚暗沉瑕疵、毛孔問題進行護理，打造絲綢般滑順肌膚的青春再生精華。適合乾性肌膚、熟齡肌膚，喜歡豐富營養感與滋潤質地，高機能多重功效產品的顧客。</v>
      </c>
      <c r="Q377" s="28" t="str">
        <f t="array" ref="Q377">INDEX('raw-sheet'!$A$2:$ZZ$1000, ROW(Q376), MATCH(Q$1, 'raw-sheet'!$A$1:$ZZ$1, 0))</f>
        <v>product</v>
      </c>
      <c r="R377" s="28" t="str">
        <f t="array" ref="R377">INDEX('raw-sheet'!$A$2:$ZZ$1000, ROW(R376), MATCH(R$1, 'raw-sheet'!$A$1:$ZZ$1, 0))</f>
        <v>INNISFREE Taiwan</v>
      </c>
      <c r="S377" s="28" t="str">
        <f t="array" ref="S377">INDEX('raw-sheet'!$A$2:$ZZ$1000, ROW(S376), MATCH(S$1, 'raw-sheet'!$A$1:$ZZ$1, 0))</f>
        <v>http://innisfree-taiwan.myshopify.com/cdn/shop/files/pdp_mig_a0e033b5_20230828_163_ID0101_1_jpg.jpg?v=1768543120</v>
      </c>
      <c r="T377" s="28" t="str">
        <f t="array" ref="T377">INDEX('raw-sheet'!$A$2:$ZZ$1000, ROW(T376), MATCH(T$1, 'raw-sheet'!$A$1:$ZZ$1, 0))</f>
        <v>https://innisfree-taiwan.myshopify.com/cdn/shop/files/pdp_mig_a0e033b5_20230828_163_ID0101_1_jpg.jpg?v=1768543120</v>
      </c>
      <c r="U377" s="28" t="str">
        <f t="array" ref="U377">INDEX('raw-sheet'!$A$2:$ZZ$1000, ROW(U376), MATCH(U$1, 'raw-sheet'!$A$1:$ZZ$1, 0))</f>
        <v>https://innisfree-taiwan.myshopify.com/products/perfect-9-intensive-serum</v>
      </c>
      <c r="V377" s="28" t="str">
        <f t="array" ref="V377">INDEX('raw-sheet'!$A$2:$ZZ$1000, ROW(V376), MATCH(V$1, 'raw-sheet'!$A$1:$ZZ$1, 0))</f>
        <v>九重完美青春再生活膚精華 50ml | INNISFREE Taiwan</v>
      </c>
      <c r="W377" s="28" t="str">
        <f t="array" ref="W377">INDEX('raw-sheet'!$A$2:$ZZ$1000, ROW(W376), MATCH(W$1, 'raw-sheet'!$A$1:$ZZ$1, 0))</f>
        <v>採用濟州島靈芝等9種珍貴抗老靈草成分，針對缺乏彈力、肌膚乾燥、皺紋、緊繃、加強肌膚代謝、肌膚暗沉瑕疵、毛孔問題進行護理，打造絲綢般滑順肌膚的青春再生精華。適合乾性肌膚、熟齡肌膚，喜歡豐富營養感與滋潤質地，高機能多重功效產品的顧客。</v>
      </c>
      <c r="X377" s="28" t="str">
        <f t="array" ref="X377">INDEX('raw-sheet'!$A$2:$ZZ$1000, ROW(X376), MATCH(X$1, 'raw-sheet'!$A$1:$ZZ$1, 0))</f>
        <v>summary_large_image</v>
      </c>
      <c r="Y377" s="30" t="s">
        <v>11</v>
      </c>
      <c r="Z377" s="28" t="str">
        <f>VLOOKUP($A377,'raw-schema'!$A:$R,14,0)</f>
        <v>Brand</v>
      </c>
      <c r="AA377" s="28" t="str">
        <f>VLOOKUP($A377,'raw-schema'!$A:$R,15,0)</f>
        <v>Offer</v>
      </c>
      <c r="AB377" s="28" t="str">
        <f>VLOOKUP($A377,'raw-schema'!$A:$R,16,0)</f>
        <v>Organization</v>
      </c>
      <c r="AC377" s="28" t="str">
        <f>VLOOKUP($A377,'raw-schema'!$A:$R,17,0)</f>
        <v>Product</v>
      </c>
      <c r="AD377" s="28">
        <f>VLOOKUP($A377,'raw-schema'!$A:$R,18,0)</f>
        <v>0</v>
      </c>
      <c r="AE377" s="30" t="s">
        <v>69</v>
      </c>
    </row>
    <row r="378" spans="1:31" x14ac:dyDescent="0.3">
      <c r="A378" s="28" t="str">
        <f t="array" ref="A378">INDEX('raw-sheet'!$A$2:$ZZ$1000, ROW(A377), MATCH(A$1, 'raw-sheet'!$A$1:$ZZ$1, 0))</f>
        <v>https://innisfree-taiwan.myshopify.com/products/perfect-9-intensive-toner</v>
      </c>
      <c r="B378" s="30" t="s">
        <v>11</v>
      </c>
      <c r="C378" s="28" t="str">
        <f t="array" ref="C378">INDEX('raw-sheet'!$A$2:$ZZ$1000, ROW(C377), MATCH(C$1, 'raw-sheet'!$A$1:$ZZ$1, 0))</f>
        <v>Product Detail</v>
      </c>
      <c r="D378" s="28">
        <f t="array" ref="D378">INDEX('raw-sheet'!$A$2:$ZZ$1000, ROW(D377), MATCH(D$1, 'raw-sheet'!$A$1:$ZZ$1, 0))</f>
        <v>200</v>
      </c>
      <c r="E378" s="30" t="str">
        <f t="shared" si="10"/>
        <v>Pass</v>
      </c>
      <c r="F378" s="28" t="str">
        <f t="array" ref="F378">INDEX('raw-sheet'!$A$2:$ZZ$1000, ROW(F377), MATCH(F$1, 'raw-sheet'!$A$1:$ZZ$1, 0))</f>
        <v>九重完美青春再生活膚露 200ml_x000D_ | INNISFREE Taiwan</v>
      </c>
      <c r="G378" s="30" t="s">
        <v>11</v>
      </c>
      <c r="H378" s="28" t="str">
        <f t="array" ref="H378">INDEX('raw-sheet'!$A$2:$ZZ$1000, ROW(H377), MATCH(H$1, 'raw-sheet'!$A$1:$ZZ$1, 0))</f>
        <v>採用濟州島靈芝等9種珍貴抗老靈草成分，針對九大肌膚問題進行護理，延緩肌膚老化的化妝水。 適合乾性肌膚、熟齡肌膚，喜歡豐富營養感與滋潤質地，高機能多重功效產品的顧客。</v>
      </c>
      <c r="I378" s="30" t="s">
        <v>11</v>
      </c>
      <c r="J378" s="28" t="str">
        <f t="array" ref="J378">INDEX('raw-sheet'!$A$2:$ZZ$1000, ROW(J377), MATCH(J$1, 'raw-sheet'!$A$1:$ZZ$1, 0))</f>
        <v>九重完美青春再生活膚露 200ml</v>
      </c>
      <c r="K378" s="28" t="str">
        <f t="array" ref="K378">INDEX('raw-sheet'!$A$2:$ZZ$1000, ROW(K377), MATCH(K$1, 'raw-sheet'!$A$1:$ZZ$1, 0))</f>
        <v>1</v>
      </c>
      <c r="L378" s="30" t="s">
        <v>11</v>
      </c>
      <c r="M378" s="28" t="str">
        <f t="array" ref="M378">INDEX('raw-sheet'!$A$2:$ZZ$1000, ROW(M377), MATCH(M$1, 'raw-sheet'!$A$1:$ZZ$1, 0))</f>
        <v>https://innisfree-taiwan.myshopify.com/products/perfect-9-intensive-toner</v>
      </c>
      <c r="N378" s="30" t="str">
        <f t="shared" si="11"/>
        <v>Pass</v>
      </c>
      <c r="O378" s="28" t="str">
        <f t="array" ref="O378">INDEX('raw-sheet'!$A$2:$ZZ$1000, ROW(O377), MATCH(O$1, 'raw-sheet'!$A$1:$ZZ$1, 0))</f>
        <v>九重完美青春再生活膚露 200ml | INNISFREE Taiwan</v>
      </c>
      <c r="P378" s="28" t="str">
        <f t="array" ref="P378">INDEX('raw-sheet'!$A$2:$ZZ$1000, ROW(P377), MATCH(P$1, 'raw-sheet'!$A$1:$ZZ$1, 0))</f>
        <v>採用濟州島靈芝等9種珍貴抗老靈草成分，針對九大肌膚問題進行護理，延緩肌膚老化的化妝水。 適合乾性肌膚、熟齡肌膚，喜歡豐富營養感與滋潤質地，高機能多重功效產品的顧客。</v>
      </c>
      <c r="Q378" s="28" t="str">
        <f t="array" ref="Q378">INDEX('raw-sheet'!$A$2:$ZZ$1000, ROW(Q377), MATCH(Q$1, 'raw-sheet'!$A$1:$ZZ$1, 0))</f>
        <v>product</v>
      </c>
      <c r="R378" s="28" t="str">
        <f t="array" ref="R378">INDEX('raw-sheet'!$A$2:$ZZ$1000, ROW(R377), MATCH(R$1, 'raw-sheet'!$A$1:$ZZ$1, 0))</f>
        <v>INNISFREE Taiwan</v>
      </c>
      <c r="S378" s="28" t="str">
        <f t="array" ref="S378">INDEX('raw-sheet'!$A$2:$ZZ$1000, ROW(S377), MATCH(S$1, 'raw-sheet'!$A$1:$ZZ$1, 0))</f>
        <v>http://innisfree-taiwan.myshopify.com/cdn/shop/files/pdp_mig_aae7af49_20230828_161_ID0101_1_jpg.jpg?v=1768543120</v>
      </c>
      <c r="T378" s="28" t="str">
        <f t="array" ref="T378">INDEX('raw-sheet'!$A$2:$ZZ$1000, ROW(T377), MATCH(T$1, 'raw-sheet'!$A$1:$ZZ$1, 0))</f>
        <v>https://innisfree-taiwan.myshopify.com/cdn/shop/files/pdp_mig_aae7af49_20230828_161_ID0101_1_jpg.jpg?v=1768543120</v>
      </c>
      <c r="U378" s="28" t="str">
        <f t="array" ref="U378">INDEX('raw-sheet'!$A$2:$ZZ$1000, ROW(U377), MATCH(U$1, 'raw-sheet'!$A$1:$ZZ$1, 0))</f>
        <v>https://innisfree-taiwan.myshopify.com/products/perfect-9-intensive-toner</v>
      </c>
      <c r="V378" s="28" t="str">
        <f t="array" ref="V378">INDEX('raw-sheet'!$A$2:$ZZ$1000, ROW(V377), MATCH(V$1, 'raw-sheet'!$A$1:$ZZ$1, 0))</f>
        <v>九重完美青春再生活膚露 200ml | INNISFREE Taiwan</v>
      </c>
      <c r="W378" s="28" t="str">
        <f t="array" ref="W378">INDEX('raw-sheet'!$A$2:$ZZ$1000, ROW(W377), MATCH(W$1, 'raw-sheet'!$A$1:$ZZ$1, 0))</f>
        <v>採用濟州島靈芝等9種珍貴抗老靈草成分，針對九大肌膚問題進行護理，延緩肌膚老化的化妝水。 適合乾性肌膚、熟齡肌膚，喜歡豐富營養感與滋潤質地，高機能多重功效產品的顧客。</v>
      </c>
      <c r="X378" s="28" t="str">
        <f t="array" ref="X378">INDEX('raw-sheet'!$A$2:$ZZ$1000, ROW(X377), MATCH(X$1, 'raw-sheet'!$A$1:$ZZ$1, 0))</f>
        <v>summary_large_image</v>
      </c>
      <c r="Y378" s="30" t="s">
        <v>11</v>
      </c>
      <c r="Z378" s="28" t="str">
        <f>VLOOKUP($A378,'raw-schema'!$A:$R,14,0)</f>
        <v>Brand</v>
      </c>
      <c r="AA378" s="28" t="str">
        <f>VLOOKUP($A378,'raw-schema'!$A:$R,15,0)</f>
        <v>Offer</v>
      </c>
      <c r="AB378" s="28" t="str">
        <f>VLOOKUP($A378,'raw-schema'!$A:$R,16,0)</f>
        <v>Organization</v>
      </c>
      <c r="AC378" s="28" t="str">
        <f>VLOOKUP($A378,'raw-schema'!$A:$R,17,0)</f>
        <v>Product</v>
      </c>
      <c r="AD378" s="28">
        <f>VLOOKUP($A378,'raw-schema'!$A:$R,18,0)</f>
        <v>0</v>
      </c>
      <c r="AE378" s="30" t="s">
        <v>69</v>
      </c>
    </row>
    <row r="379" spans="1:31" x14ac:dyDescent="0.3">
      <c r="A379" s="28" t="str">
        <f t="array" ref="A379">INDEX('raw-sheet'!$A$2:$ZZ$1000, ROW(A378), MATCH(A$1, 'raw-sheet'!$A$1:$ZZ$1, 0))</f>
        <v>https://innisfree-taiwan.myshopify.com/products/rcapdrn</v>
      </c>
      <c r="B379" s="30" t="s">
        <v>11</v>
      </c>
      <c r="C379" s="28" t="str">
        <f t="array" ref="C379">INDEX('raw-sheet'!$A$2:$ZZ$1000, ROW(C378), MATCH(C$1, 'raw-sheet'!$A$1:$ZZ$1, 0))</f>
        <v>Product Detail</v>
      </c>
      <c r="D379" s="28">
        <f t="array" ref="D379">INDEX('raw-sheet'!$A$2:$ZZ$1000, ROW(D378), MATCH(D$1, 'raw-sheet'!$A$1:$ZZ$1, 0))</f>
        <v>200</v>
      </c>
      <c r="E379" s="30" t="str">
        <f t="shared" si="10"/>
        <v>Pass</v>
      </c>
      <c r="F379" s="28" t="str">
        <f t="array" ref="F379">INDEX('raw-sheet'!$A$2:$ZZ$1000, ROW(F378), MATCH(F$1, 'raw-sheet'!$A$1:$ZZ$1, 0))</f>
        <v>[12月限定] 雙A爆亮水煮蛋肌組_x000D_ | INNISFREE Taiwan</v>
      </c>
      <c r="G379" s="30" t="s">
        <v>11</v>
      </c>
      <c r="H379" s="28" t="str">
        <f t="array" ref="H379">INDEX('raw-sheet'!$A$2:$ZZ$1000, ROW(H378), MATCH(H$1, 'raw-sheet'!$A$1:$ZZ$1, 0))</f>
        <v>[A醇2+1循環保養] 醫美小白也能無痛體驗不用針的水光奇蹟。每2日使用A醇安瓶溫和代謝老廢角質，改善痘痘粉刺困擾，第3日使用PDRN光安瓶加強煥膚，緊緻肌膚、減少細紋，同時改善毛孔粗大問題。</v>
      </c>
      <c r="I379" s="30" t="s">
        <v>11</v>
      </c>
      <c r="J379" s="28" t="str">
        <f t="array" ref="J379">INDEX('raw-sheet'!$A$2:$ZZ$1000, ROW(J378), MATCH(J$1, 'raw-sheet'!$A$1:$ZZ$1, 0))</f>
        <v>不使用 雙A爆亮水煮蛋肌組</v>
      </c>
      <c r="K379" s="28" t="str">
        <f t="array" ref="K379">INDEX('raw-sheet'!$A$2:$ZZ$1000, ROW(K378), MATCH(K$1, 'raw-sheet'!$A$1:$ZZ$1, 0))</f>
        <v>1</v>
      </c>
      <c r="L379" s="30" t="s">
        <v>11</v>
      </c>
      <c r="M379" s="28" t="str">
        <f t="array" ref="M379">INDEX('raw-sheet'!$A$2:$ZZ$1000, ROW(M378), MATCH(M$1, 'raw-sheet'!$A$1:$ZZ$1, 0))</f>
        <v>https://innisfree-taiwan.myshopify.com/products/rcapdrn</v>
      </c>
      <c r="N379" s="30" t="str">
        <f t="shared" si="11"/>
        <v>Pass</v>
      </c>
      <c r="O379" s="28" t="str">
        <f t="array" ref="O379">INDEX('raw-sheet'!$A$2:$ZZ$1000, ROW(O378), MATCH(O$1, 'raw-sheet'!$A$1:$ZZ$1, 0))</f>
        <v>[12月限定] 雙A爆亮水煮蛋肌組 | INNISFREE Taiwan</v>
      </c>
      <c r="P379" s="28" t="str">
        <f t="array" ref="P379">INDEX('raw-sheet'!$A$2:$ZZ$1000, ROW(P378), MATCH(P$1, 'raw-sheet'!$A$1:$ZZ$1, 0))</f>
        <v>[A醇2+1循環保養] 醫美小白也能無痛體驗不用針的水光奇蹟。每2日使用A醇安瓶溫和代謝老廢角質，改善痘痘粉刺困擾，第3日使用PDRN光安瓶加強煥膚，緊緻肌膚、減少細紋，同時改善毛孔粗大問題。</v>
      </c>
      <c r="Q379" s="28" t="str">
        <f t="array" ref="Q379">INDEX('raw-sheet'!$A$2:$ZZ$1000, ROW(Q378), MATCH(Q$1, 'raw-sheet'!$A$1:$ZZ$1, 0))</f>
        <v>product</v>
      </c>
      <c r="R379" s="28" t="str">
        <f t="array" ref="R379">INDEX('raw-sheet'!$A$2:$ZZ$1000, ROW(R378), MATCH(R$1, 'raw-sheet'!$A$1:$ZZ$1, 0))</f>
        <v>INNISFREE Taiwan</v>
      </c>
      <c r="S379" s="28" t="str">
        <f t="array" ref="S379">INDEX('raw-sheet'!$A$2:$ZZ$1000, ROW(S378), MATCH(S$1, 'raw-sheet'!$A$1:$ZZ$1, 0))</f>
        <v>http://innisfree-taiwan.myshopify.com/cdn/shop/files/20251119_1482_ID0101_1.jpg?v=1770623251</v>
      </c>
      <c r="T379" s="28" t="str">
        <f t="array" ref="T379">INDEX('raw-sheet'!$A$2:$ZZ$1000, ROW(T378), MATCH(T$1, 'raw-sheet'!$A$1:$ZZ$1, 0))</f>
        <v>https://innisfree-taiwan.myshopify.com/cdn/shop/files/20251119_1482_ID0101_1.jpg?v=1770623251</v>
      </c>
      <c r="U379" s="28" t="str">
        <f t="array" ref="U379">INDEX('raw-sheet'!$A$2:$ZZ$1000, ROW(U378), MATCH(U$1, 'raw-sheet'!$A$1:$ZZ$1, 0))</f>
        <v>https://innisfree-taiwan.myshopify.com/products/rcapdrn</v>
      </c>
      <c r="V379" s="28" t="str">
        <f t="array" ref="V379">INDEX('raw-sheet'!$A$2:$ZZ$1000, ROW(V378), MATCH(V$1, 'raw-sheet'!$A$1:$ZZ$1, 0))</f>
        <v>[12月限定] 雙A爆亮水煮蛋肌組 | INNISFREE Taiwan</v>
      </c>
      <c r="W379" s="28" t="str">
        <f t="array" ref="W379">INDEX('raw-sheet'!$A$2:$ZZ$1000, ROW(W378), MATCH(W$1, 'raw-sheet'!$A$1:$ZZ$1, 0))</f>
        <v>[A醇2+1循環保養] 醫美小白也能無痛體驗不用針的水光奇蹟。每2日使用A醇安瓶溫和代謝老廢角質，改善痘痘粉刺困擾，第3日使用PDRN光安瓶加強煥膚，緊緻肌膚、減少細紋，同時改善毛孔粗大問題。</v>
      </c>
      <c r="X379" s="28" t="str">
        <f t="array" ref="X379">INDEX('raw-sheet'!$A$2:$ZZ$1000, ROW(X378), MATCH(X$1, 'raw-sheet'!$A$1:$ZZ$1, 0))</f>
        <v>summary_large_image</v>
      </c>
      <c r="Y379" s="30" t="s">
        <v>11</v>
      </c>
      <c r="Z379" s="28" t="str">
        <f>VLOOKUP($A379,'raw-schema'!$A:$R,14,0)</f>
        <v>Brand</v>
      </c>
      <c r="AA379" s="28" t="str">
        <f>VLOOKUP($A379,'raw-schema'!$A:$R,15,0)</f>
        <v>Offer</v>
      </c>
      <c r="AB379" s="28" t="str">
        <f>VLOOKUP($A379,'raw-schema'!$A:$R,16,0)</f>
        <v>Organization</v>
      </c>
      <c r="AC379" s="28" t="str">
        <f>VLOOKUP($A379,'raw-schema'!$A:$R,17,0)</f>
        <v>Product</v>
      </c>
      <c r="AD379" s="28">
        <f>VLOOKUP($A379,'raw-schema'!$A:$R,18,0)</f>
        <v>0</v>
      </c>
      <c r="AE379" s="30" t="s">
        <v>69</v>
      </c>
    </row>
    <row r="380" spans="1:31" x14ac:dyDescent="0.3">
      <c r="A380" s="28" t="str">
        <f t="array" ref="A380">INDEX('raw-sheet'!$A$2:$ZZ$1000, ROW(A379), MATCH(A$1, 'raw-sheet'!$A$1:$ZZ$1, 0))</f>
        <v>https://innisfree-taiwan.myshopify.com/products/rcapdrn-01</v>
      </c>
      <c r="B380" s="30" t="s">
        <v>72</v>
      </c>
      <c r="C380" s="28" t="str">
        <f t="array" ref="C380">INDEX('raw-sheet'!$A$2:$ZZ$1000, ROW(C379), MATCH(C$1, 'raw-sheet'!$A$1:$ZZ$1, 0))</f>
        <v>Product Detail</v>
      </c>
      <c r="D380" s="28">
        <f t="array" ref="D380">INDEX('raw-sheet'!$A$2:$ZZ$1000, ROW(D379), MATCH(D$1, 'raw-sheet'!$A$1:$ZZ$1, 0))</f>
        <v>200</v>
      </c>
      <c r="E380" s="30" t="str">
        <f t="shared" si="10"/>
        <v>Pass</v>
      </c>
      <c r="F380" s="28" t="str">
        <f t="array" ref="F380">INDEX('raw-sheet'!$A$2:$ZZ$1000, ROW(F379), MATCH(F$1, 'raw-sheet'!$A$1:$ZZ$1, 0))</f>
        <v>[1月限定]雙A爆亮水煮蛋肌組_x000D_ | INNISFREE Taiwan</v>
      </c>
      <c r="G380" s="30" t="s">
        <v>11</v>
      </c>
      <c r="H380" s="28" t="str">
        <f t="array" ref="H380">INDEX('raw-sheet'!$A$2:$ZZ$1000, ROW(H379), MATCH(H$1, 'raw-sheet'!$A$1:$ZZ$1, 0))</f>
        <v>1%A醇PDRN水光安瓶 25ml+A醇淨膚超修護安瓶 30ml [A醇2+1循環保養] 醫美小白也能無痛體驗不用針的水光奇蹟 每2日使用A醇安瓶溫和代謝老廢角質，改善痘痘粉刺困擾 第3日使用PDRN光安瓶加強煥膚，緊緻肌膚、減少細紋，同時改善毛孔粗大問題</v>
      </c>
      <c r="I380" s="30" t="s">
        <v>11</v>
      </c>
      <c r="J380" s="28" t="str">
        <f t="array" ref="J380">INDEX('raw-sheet'!$A$2:$ZZ$1000, ROW(J379), MATCH(J$1, 'raw-sheet'!$A$1:$ZZ$1, 0))</f>
        <v>[1月限定]雙A爆亮水煮蛋肌組</v>
      </c>
      <c r="K380" s="28" t="str">
        <f t="array" ref="K380">INDEX('raw-sheet'!$A$2:$ZZ$1000, ROW(K379), MATCH(K$1, 'raw-sheet'!$A$1:$ZZ$1, 0))</f>
        <v>1</v>
      </c>
      <c r="L380" s="30" t="s">
        <v>11</v>
      </c>
      <c r="M380" s="28" t="str">
        <f t="array" ref="M380">INDEX('raw-sheet'!$A$2:$ZZ$1000, ROW(M379), MATCH(M$1, 'raw-sheet'!$A$1:$ZZ$1, 0))</f>
        <v>https://innisfree-taiwan.myshopify.com/products/rcapdrn-01</v>
      </c>
      <c r="N380" s="30" t="str">
        <f t="shared" si="11"/>
        <v>Pass</v>
      </c>
      <c r="O380" s="28" t="str">
        <f t="array" ref="O380">INDEX('raw-sheet'!$A$2:$ZZ$1000, ROW(O379), MATCH(O$1, 'raw-sheet'!$A$1:$ZZ$1, 0))</f>
        <v>[1月限定]雙A爆亮水煮蛋肌組 | INNISFREE Taiwan</v>
      </c>
      <c r="P380" s="28" t="str">
        <f t="array" ref="P380">INDEX('raw-sheet'!$A$2:$ZZ$1000, ROW(P379), MATCH(P$1, 'raw-sheet'!$A$1:$ZZ$1, 0))</f>
        <v>1%A醇PDRN水光安瓶 25ml+A醇淨膚超修護安瓶 30ml [A醇2+1循環保養] 醫美小白也能無痛體驗不用針的水光奇蹟 每2日使用A醇安瓶溫和代謝老廢角質，改善痘痘粉刺困擾 第3日使用PDRN光安瓶加強煥膚，緊緻肌膚、減少細紋，同時改善毛孔粗大問題</v>
      </c>
      <c r="Q380" s="28" t="str">
        <f t="array" ref="Q380">INDEX('raw-sheet'!$A$2:$ZZ$1000, ROW(Q379), MATCH(Q$1, 'raw-sheet'!$A$1:$ZZ$1, 0))</f>
        <v>product</v>
      </c>
      <c r="R380" s="28" t="str">
        <f t="array" ref="R380">INDEX('raw-sheet'!$A$2:$ZZ$1000, ROW(R379), MATCH(R$1, 'raw-sheet'!$A$1:$ZZ$1, 0))</f>
        <v>INNISFREE Taiwan</v>
      </c>
      <c r="S380" s="28" t="str">
        <f t="array" ref="S380">INDEX('raw-sheet'!$A$2:$ZZ$1000, ROW(S379), MATCH(S$1, 'raw-sheet'!$A$1:$ZZ$1, 0))</f>
        <v>http://innisfree-taiwan.myshopify.com/cdn/shop/files/20251210_1707_ID0101_1.jpg?v=1770623252</v>
      </c>
      <c r="T380" s="28" t="str">
        <f t="array" ref="T380">INDEX('raw-sheet'!$A$2:$ZZ$1000, ROW(T379), MATCH(T$1, 'raw-sheet'!$A$1:$ZZ$1, 0))</f>
        <v>https://innisfree-taiwan.myshopify.com/cdn/shop/files/20251210_1707_ID0101_1.jpg?v=1770623252</v>
      </c>
      <c r="U380" s="28" t="str">
        <f t="array" ref="U380">INDEX('raw-sheet'!$A$2:$ZZ$1000, ROW(U379), MATCH(U$1, 'raw-sheet'!$A$1:$ZZ$1, 0))</f>
        <v>https://innisfree-taiwan.myshopify.com/products/rcapdrn-01</v>
      </c>
      <c r="V380" s="28" t="str">
        <f t="array" ref="V380">INDEX('raw-sheet'!$A$2:$ZZ$1000, ROW(V379), MATCH(V$1, 'raw-sheet'!$A$1:$ZZ$1, 0))</f>
        <v>[1月限定]雙A爆亮水煮蛋肌組 | INNISFREE Taiwan</v>
      </c>
      <c r="W380" s="28" t="str">
        <f t="array" ref="W380">INDEX('raw-sheet'!$A$2:$ZZ$1000, ROW(W379), MATCH(W$1, 'raw-sheet'!$A$1:$ZZ$1, 0))</f>
        <v>1%A醇PDRN水光安瓶 25ml+A醇淨膚超修護安瓶 30ml [A醇2+1循環保養] 醫美小白也能無痛體驗不用針的水光奇蹟 每2日使用A醇安瓶溫和代謝老廢角質，改善痘痘粉刺困擾 第3日使用PDRN光安瓶加強煥膚，緊緻肌膚、減少細紋，同時改善毛孔粗大問題</v>
      </c>
      <c r="X380" s="28" t="str">
        <f t="array" ref="X380">INDEX('raw-sheet'!$A$2:$ZZ$1000, ROW(X379), MATCH(X$1, 'raw-sheet'!$A$1:$ZZ$1, 0))</f>
        <v>summary_large_image</v>
      </c>
      <c r="Y380" s="30" t="s">
        <v>11</v>
      </c>
      <c r="Z380" s="28" t="str">
        <f>VLOOKUP($A380,'raw-schema'!$A:$R,14,0)</f>
        <v>Brand</v>
      </c>
      <c r="AA380" s="28" t="str">
        <f>VLOOKUP($A380,'raw-schema'!$A:$R,15,0)</f>
        <v>Offer</v>
      </c>
      <c r="AB380" s="28" t="str">
        <f>VLOOKUP($A380,'raw-schema'!$A:$R,16,0)</f>
        <v>Organization</v>
      </c>
      <c r="AC380" s="28" t="str">
        <f>VLOOKUP($A380,'raw-schema'!$A:$R,17,0)</f>
        <v>Product</v>
      </c>
      <c r="AD380" s="28">
        <f>VLOOKUP($A380,'raw-schema'!$A:$R,18,0)</f>
        <v>0</v>
      </c>
      <c r="AE380" s="30" t="s">
        <v>69</v>
      </c>
    </row>
    <row r="381" spans="1:31" x14ac:dyDescent="0.3">
      <c r="A381" s="28" t="str">
        <f t="array" ref="A381">INDEX('raw-sheet'!$A$2:$ZZ$1000, ROW(A380), MATCH(A$1, 'raw-sheet'!$A$1:$ZZ$1, 0))</f>
        <v>https://innisfree-taiwan.myshopify.com/products/retinol-cica-ampoule-set</v>
      </c>
      <c r="B381" s="30" t="s">
        <v>11</v>
      </c>
      <c r="C381" s="28" t="str">
        <f t="array" ref="C381">INDEX('raw-sheet'!$A$2:$ZZ$1000, ROW(C380), MATCH(C$1, 'raw-sheet'!$A$1:$ZZ$1, 0))</f>
        <v>Product Detail</v>
      </c>
      <c r="D381" s="28">
        <f t="array" ref="D381">INDEX('raw-sheet'!$A$2:$ZZ$1000, ROW(D380), MATCH(D$1, 'raw-sheet'!$A$1:$ZZ$1, 0))</f>
        <v>200</v>
      </c>
      <c r="E381" s="30" t="str">
        <f t="shared" si="10"/>
        <v>Pass</v>
      </c>
      <c r="F381" s="28" t="str">
        <f t="array" ref="F381">INDEX('raw-sheet'!$A$2:$ZZ$1000, ROW(F380), MATCH(F$1, 'raw-sheet'!$A$1:$ZZ$1, 0))</f>
        <v>A醇淨膚三重修護組_x000D_ | INNISFREE Taiwan</v>
      </c>
      <c r="G381" s="30" t="s">
        <v>11</v>
      </c>
      <c r="H381" s="28" t="str">
        <f t="array" ref="H381">INDEX('raw-sheet'!$A$2:$ZZ$1000, ROW(H380), MATCH(H$1, 'raw-sheet'!$A$1:$ZZ$1, 0))</f>
        <v>蘊含A醇、積雪草萃取及多種保濕成分，幫助肌膚代謝老廢角質，改善粉刺、緊緻毛孔，同時穩定膚況的高效修護安瓶。 適合所有肌膚類型，想改善粉刺痘痘問題、毛孔粗大、肌膚暗沉粗糙困擾的顧客。</v>
      </c>
      <c r="I381" s="30" t="s">
        <v>60</v>
      </c>
      <c r="J381" s="28" t="str">
        <f t="array" ref="J381">INDEX('raw-sheet'!$A$2:$ZZ$1000, ROW(J380), MATCH(J$1, 'raw-sheet'!$A$1:$ZZ$1, 0))</f>
        <v>A醇淨膚三重修護組</v>
      </c>
      <c r="K381" s="28" t="str">
        <f t="array" ref="K381">INDEX('raw-sheet'!$A$2:$ZZ$1000, ROW(K380), MATCH(K$1, 'raw-sheet'!$A$1:$ZZ$1, 0))</f>
        <v>1</v>
      </c>
      <c r="L381" s="30" t="s">
        <v>11</v>
      </c>
      <c r="M381" s="28" t="str">
        <f t="array" ref="M381">INDEX('raw-sheet'!$A$2:$ZZ$1000, ROW(M380), MATCH(M$1, 'raw-sheet'!$A$1:$ZZ$1, 0))</f>
        <v>https://innisfree-taiwan.myshopify.com/products/retinol-cica-ampoule-set</v>
      </c>
      <c r="N381" s="30" t="str">
        <f t="shared" si="11"/>
        <v>Pass</v>
      </c>
      <c r="O381" s="28" t="str">
        <f t="array" ref="O381">INDEX('raw-sheet'!$A$2:$ZZ$1000, ROW(O380), MATCH(O$1, 'raw-sheet'!$A$1:$ZZ$1, 0))</f>
        <v>A醇淨膚三重修護組 | INNISFREE Taiwan</v>
      </c>
      <c r="P381" s="28" t="str">
        <f t="array" ref="P381">INDEX('raw-sheet'!$A$2:$ZZ$1000, ROW(P380), MATCH(P$1, 'raw-sheet'!$A$1:$ZZ$1, 0))</f>
        <v>蘊含A醇、積雪草萃取及多種保濕成分，幫助肌膚代謝老廢角質，改善粉刺、緊緻毛孔，同時穩定膚況的高效修護安瓶。 適合所有肌膚類型，想改善粉刺痘痘問題、毛孔粗大、肌膚暗沉粗糙困擾的顧客。</v>
      </c>
      <c r="Q381" s="28" t="str">
        <f t="array" ref="Q381">INDEX('raw-sheet'!$A$2:$ZZ$1000, ROW(Q380), MATCH(Q$1, 'raw-sheet'!$A$1:$ZZ$1, 0))</f>
        <v>product</v>
      </c>
      <c r="R381" s="28" t="str">
        <f t="array" ref="R381">INDEX('raw-sheet'!$A$2:$ZZ$1000, ROW(R380), MATCH(R$1, 'raw-sheet'!$A$1:$ZZ$1, 0))</f>
        <v>INNISFREE Taiwan</v>
      </c>
      <c r="S381" s="28" t="str">
        <f t="array" ref="S381">INDEX('raw-sheet'!$A$2:$ZZ$1000, ROW(S380), MATCH(S$1, 'raw-sheet'!$A$1:$ZZ$1, 0))</f>
        <v>http://innisfree-taiwan.myshopify.com/cdn/shop/files/pdp_mig_bf5eba0d_20250624_1590_ID0101_1_jpg.jpg?v=1768543073</v>
      </c>
      <c r="T381" s="28" t="str">
        <f t="array" ref="T381">INDEX('raw-sheet'!$A$2:$ZZ$1000, ROW(T380), MATCH(T$1, 'raw-sheet'!$A$1:$ZZ$1, 0))</f>
        <v>https://innisfree-taiwan.myshopify.com/cdn/shop/files/pdp_mig_bf5eba0d_20250624_1590_ID0101_1_jpg.jpg?v=1768543073</v>
      </c>
      <c r="U381" s="28" t="str">
        <f t="array" ref="U381">INDEX('raw-sheet'!$A$2:$ZZ$1000, ROW(U380), MATCH(U$1, 'raw-sheet'!$A$1:$ZZ$1, 0))</f>
        <v>https://innisfree-taiwan.myshopify.com/products/retinol-cica-ampoule-set</v>
      </c>
      <c r="V381" s="28" t="str">
        <f t="array" ref="V381">INDEX('raw-sheet'!$A$2:$ZZ$1000, ROW(V380), MATCH(V$1, 'raw-sheet'!$A$1:$ZZ$1, 0))</f>
        <v>A醇淨膚三重修護組 | INNISFREE Taiwan</v>
      </c>
      <c r="W381" s="28" t="str">
        <f t="array" ref="W381">INDEX('raw-sheet'!$A$2:$ZZ$1000, ROW(W380), MATCH(W$1, 'raw-sheet'!$A$1:$ZZ$1, 0))</f>
        <v>蘊含A醇、積雪草萃取及多種保濕成分，幫助肌膚代謝老廢角質，改善粉刺、緊緻毛孔，同時穩定膚況的高效修護安瓶。 適合所有肌膚類型，想改善粉刺痘痘問題、毛孔粗大、肌膚暗沉粗糙困擾的顧客。</v>
      </c>
      <c r="X381" s="28" t="str">
        <f t="array" ref="X381">INDEX('raw-sheet'!$A$2:$ZZ$1000, ROW(X380), MATCH(X$1, 'raw-sheet'!$A$1:$ZZ$1, 0))</f>
        <v>summary_large_image</v>
      </c>
      <c r="Y381" s="30" t="s">
        <v>56</v>
      </c>
      <c r="Z381" s="28" t="str">
        <f>VLOOKUP($A381,'raw-schema'!$A:$R,14,0)</f>
        <v>Brand</v>
      </c>
      <c r="AA381" s="28" t="str">
        <f>VLOOKUP($A381,'raw-schema'!$A:$R,15,0)</f>
        <v>Offer</v>
      </c>
      <c r="AB381" s="28" t="str">
        <f>VLOOKUP($A381,'raw-schema'!$A:$R,16,0)</f>
        <v>Organization</v>
      </c>
      <c r="AC381" s="28" t="str">
        <f>VLOOKUP($A381,'raw-schema'!$A:$R,17,0)</f>
        <v>Product</v>
      </c>
      <c r="AD381" s="28">
        <f>VLOOKUP($A381,'raw-schema'!$A:$R,18,0)</f>
        <v>0</v>
      </c>
      <c r="AE381" s="30" t="s">
        <v>69</v>
      </c>
    </row>
    <row r="382" spans="1:31" x14ac:dyDescent="0.3">
      <c r="A382" s="28" t="str">
        <f t="array" ref="A382">INDEX('raw-sheet'!$A$2:$ZZ$1000, ROW(A381), MATCH(A$1, 'raw-sheet'!$A$1:$ZZ$1, 0))</f>
        <v>https://innisfree-taiwan.myshopify.com/products/retinol-cica-repair-ampoule-30ml</v>
      </c>
      <c r="B382" s="30" t="s">
        <v>11</v>
      </c>
      <c r="C382" s="28" t="str">
        <f t="array" ref="C382">INDEX('raw-sheet'!$A$2:$ZZ$1000, ROW(C381), MATCH(C$1, 'raw-sheet'!$A$1:$ZZ$1, 0))</f>
        <v>Product Detail</v>
      </c>
      <c r="D382" s="28">
        <f t="array" ref="D382">INDEX('raw-sheet'!$A$2:$ZZ$1000, ROW(D381), MATCH(D$1, 'raw-sheet'!$A$1:$ZZ$1, 0))</f>
        <v>200</v>
      </c>
      <c r="E382" s="30" t="str">
        <f t="shared" si="10"/>
        <v>Pass</v>
      </c>
      <c r="F382" s="28" t="str">
        <f t="array" ref="F382">INDEX('raw-sheet'!$A$2:$ZZ$1000, ROW(F381), MATCH(F$1, 'raw-sheet'!$A$1:$ZZ$1, 0))</f>
        <v>A醇淨膚超修護安瓶 30ml_x000D_ | INNISFREE Taiwan</v>
      </c>
      <c r="G382" s="30" t="s">
        <v>11</v>
      </c>
      <c r="H382" s="28" t="str">
        <f t="array" ref="H382">INDEX('raw-sheet'!$A$2:$ZZ$1000, ROW(H381), MATCH(H$1, 'raw-sheet'!$A$1:$ZZ$1, 0))</f>
        <v>蘊含A醇、積雪草萃取及多種保濕成分，幫助肌膚代謝老廢角質，改善粉刺、緊緻毛孔，同時穩定膚況的高效修護安瓶。 適合所有肌膚類型，想改善粉刺痘痘問題、毛孔粗大、肌膚暗沉粗糙困擾的顧客。</v>
      </c>
      <c r="I382" s="30" t="s">
        <v>60</v>
      </c>
      <c r="J382" s="28" t="str">
        <f t="array" ref="J382">INDEX('raw-sheet'!$A$2:$ZZ$1000, ROW(J381), MATCH(J$1, 'raw-sheet'!$A$1:$ZZ$1, 0))</f>
        <v>A醇淨膚超修護安瓶 30ml</v>
      </c>
      <c r="K382" s="28" t="str">
        <f t="array" ref="K382">INDEX('raw-sheet'!$A$2:$ZZ$1000, ROW(K381), MATCH(K$1, 'raw-sheet'!$A$1:$ZZ$1, 0))</f>
        <v>1</v>
      </c>
      <c r="L382" s="30" t="s">
        <v>11</v>
      </c>
      <c r="M382" s="28" t="str">
        <f t="array" ref="M382">INDEX('raw-sheet'!$A$2:$ZZ$1000, ROW(M381), MATCH(M$1, 'raw-sheet'!$A$1:$ZZ$1, 0))</f>
        <v>https://innisfree-taiwan.myshopify.com/products/retinol-cica-repair-ampoule-30ml</v>
      </c>
      <c r="N382" s="30" t="str">
        <f t="shared" si="11"/>
        <v>Pass</v>
      </c>
      <c r="O382" s="28" t="str">
        <f t="array" ref="O382">INDEX('raw-sheet'!$A$2:$ZZ$1000, ROW(O381), MATCH(O$1, 'raw-sheet'!$A$1:$ZZ$1, 0))</f>
        <v>A醇淨膚超修護安瓶 30ml | INNISFREE Taiwan</v>
      </c>
      <c r="P382" s="28" t="str">
        <f t="array" ref="P382">INDEX('raw-sheet'!$A$2:$ZZ$1000, ROW(P381), MATCH(P$1, 'raw-sheet'!$A$1:$ZZ$1, 0))</f>
        <v>蘊含A醇、積雪草萃取及多種保濕成分，幫助肌膚代謝老廢角質，改善粉刺、緊緻毛孔，同時穩定膚況的高效修護安瓶。 適合所有肌膚類型，想改善粉刺痘痘問題、毛孔粗大、肌膚暗沉粗糙困擾的顧客。</v>
      </c>
      <c r="Q382" s="28" t="str">
        <f t="array" ref="Q382">INDEX('raw-sheet'!$A$2:$ZZ$1000, ROW(Q381), MATCH(Q$1, 'raw-sheet'!$A$1:$ZZ$1, 0))</f>
        <v>product</v>
      </c>
      <c r="R382" s="28" t="str">
        <f t="array" ref="R382">INDEX('raw-sheet'!$A$2:$ZZ$1000, ROW(R381), MATCH(R$1, 'raw-sheet'!$A$1:$ZZ$1, 0))</f>
        <v>INNISFREE Taiwan</v>
      </c>
      <c r="S382" s="28" t="str">
        <f t="array" ref="S382">INDEX('raw-sheet'!$A$2:$ZZ$1000, ROW(S381), MATCH(S$1, 'raw-sheet'!$A$1:$ZZ$1, 0))</f>
        <v>http://innisfree-taiwan.myshopify.com/cdn/shop/files/pdp_mig_8057db40_20250930_695_ID0101_1_jpg.jpg?v=1768543101</v>
      </c>
      <c r="T382" s="28" t="str">
        <f t="array" ref="T382">INDEX('raw-sheet'!$A$2:$ZZ$1000, ROW(T381), MATCH(T$1, 'raw-sheet'!$A$1:$ZZ$1, 0))</f>
        <v>https://innisfree-taiwan.myshopify.com/cdn/shop/files/pdp_mig_8057db40_20250930_695_ID0101_1_jpg.jpg?v=1768543101</v>
      </c>
      <c r="U382" s="28" t="str">
        <f t="array" ref="U382">INDEX('raw-sheet'!$A$2:$ZZ$1000, ROW(U381), MATCH(U$1, 'raw-sheet'!$A$1:$ZZ$1, 0))</f>
        <v>https://innisfree-taiwan.myshopify.com/products/retinol-cica-repair-ampoule-30ml</v>
      </c>
      <c r="V382" s="28" t="str">
        <f t="array" ref="V382">INDEX('raw-sheet'!$A$2:$ZZ$1000, ROW(V381), MATCH(V$1, 'raw-sheet'!$A$1:$ZZ$1, 0))</f>
        <v>A醇淨膚超修護安瓶 30ml | INNISFREE Taiwan</v>
      </c>
      <c r="W382" s="28" t="str">
        <f t="array" ref="W382">INDEX('raw-sheet'!$A$2:$ZZ$1000, ROW(W381), MATCH(W$1, 'raw-sheet'!$A$1:$ZZ$1, 0))</f>
        <v>蘊含A醇、積雪草萃取及多種保濕成分，幫助肌膚代謝老廢角質，改善粉刺、緊緻毛孔，同時穩定膚況的高效修護安瓶。 適合所有肌膚類型，想改善粉刺痘痘問題、毛孔粗大、肌膚暗沉粗糙困擾的顧客。</v>
      </c>
      <c r="X382" s="28" t="str">
        <f t="array" ref="X382">INDEX('raw-sheet'!$A$2:$ZZ$1000, ROW(X381), MATCH(X$1, 'raw-sheet'!$A$1:$ZZ$1, 0))</f>
        <v>summary_large_image</v>
      </c>
      <c r="Y382" s="30" t="s">
        <v>56</v>
      </c>
      <c r="Z382" s="28" t="str">
        <f>VLOOKUP($A382,'raw-schema'!$A:$R,14,0)</f>
        <v>Brand</v>
      </c>
      <c r="AA382" s="28" t="str">
        <f>VLOOKUP($A382,'raw-schema'!$A:$R,15,0)</f>
        <v>Offer</v>
      </c>
      <c r="AB382" s="28" t="str">
        <f>VLOOKUP($A382,'raw-schema'!$A:$R,16,0)</f>
        <v>Organization</v>
      </c>
      <c r="AC382" s="28" t="str">
        <f>VLOOKUP($A382,'raw-schema'!$A:$R,17,0)</f>
        <v>Product</v>
      </c>
      <c r="AD382" s="28">
        <f>VLOOKUP($A382,'raw-schema'!$A:$R,18,0)</f>
        <v>0</v>
      </c>
      <c r="AE382" s="30" t="s">
        <v>69</v>
      </c>
    </row>
    <row r="383" spans="1:31" x14ac:dyDescent="0.3">
      <c r="A383" s="28" t="str">
        <f t="array" ref="A383">INDEX('raw-sheet'!$A$2:$ZZ$1000, ROW(A382), MATCH(A$1, 'raw-sheet'!$A$1:$ZZ$1, 0))</f>
        <v>https://innisfree-taiwan.myshopify.com/products/retinol-cica-repair-ampoule-gel-mask</v>
      </c>
      <c r="B383" s="30" t="s">
        <v>11</v>
      </c>
      <c r="C383" s="28" t="str">
        <f t="array" ref="C383">INDEX('raw-sheet'!$A$2:$ZZ$1000, ROW(C382), MATCH(C$1, 'raw-sheet'!$A$1:$ZZ$1, 0))</f>
        <v>Product Detail</v>
      </c>
      <c r="D383" s="28">
        <f t="array" ref="D383">INDEX('raw-sheet'!$A$2:$ZZ$1000, ROW(D382), MATCH(D$1, 'raw-sheet'!$A$1:$ZZ$1, 0))</f>
        <v>200</v>
      </c>
      <c r="E383" s="30" t="str">
        <f t="shared" si="10"/>
        <v>Pass</v>
      </c>
      <c r="F383" s="28" t="str">
        <f t="array" ref="F383">INDEX('raw-sheet'!$A$2:$ZZ$1000, ROW(F382), MATCH(F$1, 'raw-sheet'!$A$1:$ZZ$1, 0))</f>
        <v>A醇淨膚超修護安瓶果凍面膜 23ml_x000D_ | INNISFREE Taiwan</v>
      </c>
      <c r="G383" s="30" t="s">
        <v>11</v>
      </c>
      <c r="H383" s="28" t="str">
        <f t="array" ref="H383">INDEX('raw-sheet'!$A$2:$ZZ$1000, ROW(H382), MATCH(H$1, 'raw-sheet'!$A$1:$ZZ$1, 0))</f>
        <v>含有A醇淨膚超修護安瓶主要成分的果凍面膜，有助於代謝老廢角質細緻膚觸，打造柔嫩平滑的肌膚。</v>
      </c>
      <c r="I383" s="30" t="s">
        <v>11</v>
      </c>
      <c r="J383" s="28" t="str">
        <f t="array" ref="J383">INDEX('raw-sheet'!$A$2:$ZZ$1000, ROW(J382), MATCH(J$1, 'raw-sheet'!$A$1:$ZZ$1, 0))</f>
        <v>A醇淨膚超修護安瓶果凍面膜 23ml</v>
      </c>
      <c r="K383" s="28" t="str">
        <f t="array" ref="K383">INDEX('raw-sheet'!$A$2:$ZZ$1000, ROW(K382), MATCH(K$1, 'raw-sheet'!$A$1:$ZZ$1, 0))</f>
        <v>1</v>
      </c>
      <c r="L383" s="30" t="s">
        <v>11</v>
      </c>
      <c r="M383" s="28" t="str">
        <f t="array" ref="M383">INDEX('raw-sheet'!$A$2:$ZZ$1000, ROW(M382), MATCH(M$1, 'raw-sheet'!$A$1:$ZZ$1, 0))</f>
        <v>https://innisfree-taiwan.myshopify.com/products/retinol-cica-repair-ampoule-gel-mask</v>
      </c>
      <c r="N383" s="30" t="str">
        <f t="shared" si="11"/>
        <v>Pass</v>
      </c>
      <c r="O383" s="28" t="str">
        <f t="array" ref="O383">INDEX('raw-sheet'!$A$2:$ZZ$1000, ROW(O382), MATCH(O$1, 'raw-sheet'!$A$1:$ZZ$1, 0))</f>
        <v>A醇淨膚超修護安瓶果凍面膜 23ml | INNISFREE Taiwan</v>
      </c>
      <c r="P383" s="28" t="str">
        <f t="array" ref="P383">INDEX('raw-sheet'!$A$2:$ZZ$1000, ROW(P382), MATCH(P$1, 'raw-sheet'!$A$1:$ZZ$1, 0))</f>
        <v>含有A醇淨膚超修護安瓶主要成分的果凍面膜，有助於代謝老廢角質細緻膚觸，打造柔嫩平滑的肌膚。</v>
      </c>
      <c r="Q383" s="28" t="str">
        <f t="array" ref="Q383">INDEX('raw-sheet'!$A$2:$ZZ$1000, ROW(Q382), MATCH(Q$1, 'raw-sheet'!$A$1:$ZZ$1, 0))</f>
        <v>product</v>
      </c>
      <c r="R383" s="28" t="str">
        <f t="array" ref="R383">INDEX('raw-sheet'!$A$2:$ZZ$1000, ROW(R382), MATCH(R$1, 'raw-sheet'!$A$1:$ZZ$1, 0))</f>
        <v>INNISFREE Taiwan</v>
      </c>
      <c r="S383" s="28" t="str">
        <f t="array" ref="S383">INDEX('raw-sheet'!$A$2:$ZZ$1000, ROW(S382), MATCH(S$1, 'raw-sheet'!$A$1:$ZZ$1, 0))</f>
        <v>http://innisfree-taiwan.myshopify.com/cdn/shop/files/pdp_mig_ad4dac87_20250624_1587_ID0101_1_jpg.jpg?v=1768543070</v>
      </c>
      <c r="T383" s="28" t="str">
        <f t="array" ref="T383">INDEX('raw-sheet'!$A$2:$ZZ$1000, ROW(T382), MATCH(T$1, 'raw-sheet'!$A$1:$ZZ$1, 0))</f>
        <v>https://innisfree-taiwan.myshopify.com/cdn/shop/files/pdp_mig_ad4dac87_20250624_1587_ID0101_1_jpg.jpg?v=1768543070</v>
      </c>
      <c r="U383" s="28" t="str">
        <f t="array" ref="U383">INDEX('raw-sheet'!$A$2:$ZZ$1000, ROW(U382), MATCH(U$1, 'raw-sheet'!$A$1:$ZZ$1, 0))</f>
        <v>https://innisfree-taiwan.myshopify.com/products/retinol-cica-repair-ampoule-gel-mask</v>
      </c>
      <c r="V383" s="28" t="str">
        <f t="array" ref="V383">INDEX('raw-sheet'!$A$2:$ZZ$1000, ROW(V382), MATCH(V$1, 'raw-sheet'!$A$1:$ZZ$1, 0))</f>
        <v>A醇淨膚超修護安瓶果凍面膜 23ml | INNISFREE Taiwan</v>
      </c>
      <c r="W383" s="28" t="str">
        <f t="array" ref="W383">INDEX('raw-sheet'!$A$2:$ZZ$1000, ROW(W382), MATCH(W$1, 'raw-sheet'!$A$1:$ZZ$1, 0))</f>
        <v>含有A醇淨膚超修護安瓶主要成分的果凍面膜，有助於代謝老廢角質細緻膚觸，打造柔嫩平滑的肌膚。</v>
      </c>
      <c r="X383" s="28" t="str">
        <f t="array" ref="X383">INDEX('raw-sheet'!$A$2:$ZZ$1000, ROW(X382), MATCH(X$1, 'raw-sheet'!$A$1:$ZZ$1, 0))</f>
        <v>summary_large_image</v>
      </c>
      <c r="Y383" s="30" t="s">
        <v>11</v>
      </c>
      <c r="Z383" s="28" t="str">
        <f>VLOOKUP($A383,'raw-schema'!$A:$R,14,0)</f>
        <v>Brand</v>
      </c>
      <c r="AA383" s="28" t="str">
        <f>VLOOKUP($A383,'raw-schema'!$A:$R,15,0)</f>
        <v>Offer</v>
      </c>
      <c r="AB383" s="28" t="str">
        <f>VLOOKUP($A383,'raw-schema'!$A:$R,16,0)</f>
        <v>Organization</v>
      </c>
      <c r="AC383" s="28" t="str">
        <f>VLOOKUP($A383,'raw-schema'!$A:$R,17,0)</f>
        <v>Product</v>
      </c>
      <c r="AD383" s="28">
        <f>VLOOKUP($A383,'raw-schema'!$A:$R,18,0)</f>
        <v>0</v>
      </c>
      <c r="AE383" s="30" t="s">
        <v>69</v>
      </c>
    </row>
    <row r="384" spans="1:31" x14ac:dyDescent="0.3">
      <c r="A384" s="28" t="str">
        <f t="array" ref="A384">INDEX('raw-sheet'!$A$2:$ZZ$1000, ROW(A383), MATCH(A$1, 'raw-sheet'!$A$1:$ZZ$1, 0))</f>
        <v>https://innisfree-taiwan.myshopify.com/products/retinol-green-tea-pdrn-ampoule-set</v>
      </c>
      <c r="B384" s="30" t="s">
        <v>11</v>
      </c>
      <c r="C384" s="28" t="str">
        <f t="array" ref="C384">INDEX('raw-sheet'!$A$2:$ZZ$1000, ROW(C383), MATCH(C$1, 'raw-sheet'!$A$1:$ZZ$1, 0))</f>
        <v>Product Detail</v>
      </c>
      <c r="D384" s="28">
        <f t="array" ref="D384">INDEX('raw-sheet'!$A$2:$ZZ$1000, ROW(D383), MATCH(D$1, 'raw-sheet'!$A$1:$ZZ$1, 0))</f>
        <v>200</v>
      </c>
      <c r="E384" s="30" t="str">
        <f t="shared" si="10"/>
        <v>Pass</v>
      </c>
      <c r="F384" s="28" t="str">
        <f t="array" ref="F384">INDEX('raw-sheet'!$A$2:$ZZ$1000, ROW(F383), MATCH(F$1, 'raw-sheet'!$A$1:$ZZ$1, 0))</f>
        <v>1%A醇PDRN水光保濕組_x000D_ | INNISFREE Taiwan</v>
      </c>
      <c r="G384" s="30" t="s">
        <v>11</v>
      </c>
      <c r="H384" s="28" t="str">
        <f t="array" ref="H384">INDEX('raw-sheet'!$A$2:$ZZ$1000, ROW(H383), MATCH(H$1, 'raw-sheet'!$A$1:$ZZ$1, 0))</f>
        <v>添加A醇及綠茶PDRN™的煥膚安瓶，有效調理代謝角質、緊緻毛孔、改善肌膚彈性，擁有光滑緊緻的肌膚。*綠茶PDRN™：經過發酵過程提取綠茶益生菌中的保養成分。</v>
      </c>
      <c r="I384" s="30" t="s">
        <v>11</v>
      </c>
      <c r="J384" s="28" t="str">
        <f t="array" ref="J384">INDEX('raw-sheet'!$A$2:$ZZ$1000, ROW(J383), MATCH(J$1, 'raw-sheet'!$A$1:$ZZ$1, 0))</f>
        <v>1%A醇PDRN水光保濕組</v>
      </c>
      <c r="K384" s="28" t="str">
        <f t="array" ref="K384">INDEX('raw-sheet'!$A$2:$ZZ$1000, ROW(K383), MATCH(K$1, 'raw-sheet'!$A$1:$ZZ$1, 0))</f>
        <v>1</v>
      </c>
      <c r="L384" s="30" t="s">
        <v>11</v>
      </c>
      <c r="M384" s="28" t="str">
        <f t="array" ref="M384">INDEX('raw-sheet'!$A$2:$ZZ$1000, ROW(M383), MATCH(M$1, 'raw-sheet'!$A$1:$ZZ$1, 0))</f>
        <v>https://innisfree-taiwan.myshopify.com/products/retinol-green-tea-pdrn-ampoule-set</v>
      </c>
      <c r="N384" s="30" t="str">
        <f t="shared" si="11"/>
        <v>Pass</v>
      </c>
      <c r="O384" s="28" t="str">
        <f t="array" ref="O384">INDEX('raw-sheet'!$A$2:$ZZ$1000, ROW(O383), MATCH(O$1, 'raw-sheet'!$A$1:$ZZ$1, 0))</f>
        <v>1%A醇PDRN水光保濕組 | INNISFREE Taiwan</v>
      </c>
      <c r="P384" s="28" t="str">
        <f t="array" ref="P384">INDEX('raw-sheet'!$A$2:$ZZ$1000, ROW(P383), MATCH(P$1, 'raw-sheet'!$A$1:$ZZ$1, 0))</f>
        <v>添加A醇及綠茶PDRN™的煥膚安瓶，有效調理代謝角質、緊緻毛孔、改善肌膚彈性，擁有光滑緊緻的肌膚。*綠茶PDRN™：經過發酵過程提取綠茶益生菌中的保養成分。</v>
      </c>
      <c r="Q384" s="28" t="str">
        <f t="array" ref="Q384">INDEX('raw-sheet'!$A$2:$ZZ$1000, ROW(Q383), MATCH(Q$1, 'raw-sheet'!$A$1:$ZZ$1, 0))</f>
        <v>product</v>
      </c>
      <c r="R384" s="28" t="str">
        <f t="array" ref="R384">INDEX('raw-sheet'!$A$2:$ZZ$1000, ROW(R383), MATCH(R$1, 'raw-sheet'!$A$1:$ZZ$1, 0))</f>
        <v>INNISFREE Taiwan</v>
      </c>
      <c r="S384" s="28" t="str">
        <f t="array" ref="S384">INDEX('raw-sheet'!$A$2:$ZZ$1000, ROW(S383), MATCH(S$1, 'raw-sheet'!$A$1:$ZZ$1, 0))</f>
        <v>http://innisfree-taiwan.myshopify.com/cdn/shop/files/pdp_mig_1ce7b267_20250624_1589_ID0101_1_jpg.jpg?v=1769474219</v>
      </c>
      <c r="T384" s="28" t="str">
        <f t="array" ref="T384">INDEX('raw-sheet'!$A$2:$ZZ$1000, ROW(T383), MATCH(T$1, 'raw-sheet'!$A$1:$ZZ$1, 0))</f>
        <v>https://innisfree-taiwan.myshopify.com/cdn/shop/files/pdp_mig_1ce7b267_20250624_1589_ID0101_1_jpg.jpg?v=1769474219</v>
      </c>
      <c r="U384" s="28" t="str">
        <f t="array" ref="U384">INDEX('raw-sheet'!$A$2:$ZZ$1000, ROW(U383), MATCH(U$1, 'raw-sheet'!$A$1:$ZZ$1, 0))</f>
        <v>https://innisfree-taiwan.myshopify.com/products/retinol-green-tea-pdrn-ampoule-set</v>
      </c>
      <c r="V384" s="28" t="str">
        <f t="array" ref="V384">INDEX('raw-sheet'!$A$2:$ZZ$1000, ROW(V383), MATCH(V$1, 'raw-sheet'!$A$1:$ZZ$1, 0))</f>
        <v>1%A醇PDRN水光保濕組 | INNISFREE Taiwan</v>
      </c>
      <c r="W384" s="28" t="str">
        <f t="array" ref="W384">INDEX('raw-sheet'!$A$2:$ZZ$1000, ROW(W383), MATCH(W$1, 'raw-sheet'!$A$1:$ZZ$1, 0))</f>
        <v>添加A醇及綠茶PDRN™的煥膚安瓶，有效調理代謝角質、緊緻毛孔、改善肌膚彈性，擁有光滑緊緻的肌膚。*綠茶PDRN™：經過發酵過程提取綠茶益生菌中的保養成分。</v>
      </c>
      <c r="X384" s="28" t="str">
        <f t="array" ref="X384">INDEX('raw-sheet'!$A$2:$ZZ$1000, ROW(X383), MATCH(X$1, 'raw-sheet'!$A$1:$ZZ$1, 0))</f>
        <v>summary_large_image</v>
      </c>
      <c r="Y384" s="30" t="s">
        <v>11</v>
      </c>
      <c r="Z384" s="28" t="str">
        <f>VLOOKUP($A384,'raw-schema'!$A:$R,14,0)</f>
        <v>Brand</v>
      </c>
      <c r="AA384" s="28" t="str">
        <f>VLOOKUP($A384,'raw-schema'!$A:$R,15,0)</f>
        <v>Offer</v>
      </c>
      <c r="AB384" s="28" t="str">
        <f>VLOOKUP($A384,'raw-schema'!$A:$R,16,0)</f>
        <v>Organization</v>
      </c>
      <c r="AC384" s="28" t="str">
        <f>VLOOKUP($A384,'raw-schema'!$A:$R,17,0)</f>
        <v>Product</v>
      </c>
      <c r="AD384" s="28">
        <f>VLOOKUP($A384,'raw-schema'!$A:$R,18,0)</f>
        <v>0</v>
      </c>
      <c r="AE384" s="30" t="s">
        <v>69</v>
      </c>
    </row>
    <row r="385" spans="1:32" x14ac:dyDescent="0.3">
      <c r="A385" s="28" t="str">
        <f t="array" ref="A385">INDEX('raw-sheet'!$A$2:$ZZ$1000, ROW(A384), MATCH(A$1, 'raw-sheet'!$A$1:$ZZ$1, 0))</f>
        <v>https://innisfree-taiwan.myshopify.com/products/retinol-green-tea-pdrn-skinbooster-ampoule</v>
      </c>
      <c r="B385" s="30" t="s">
        <v>11</v>
      </c>
      <c r="C385" s="28" t="str">
        <f t="array" ref="C385">INDEX('raw-sheet'!$A$2:$ZZ$1000, ROW(C384), MATCH(C$1, 'raw-sheet'!$A$1:$ZZ$1, 0))</f>
        <v>Product Detail</v>
      </c>
      <c r="D385" s="28">
        <f t="array" ref="D385">INDEX('raw-sheet'!$A$2:$ZZ$1000, ROW(D384), MATCH(D$1, 'raw-sheet'!$A$1:$ZZ$1, 0))</f>
        <v>200</v>
      </c>
      <c r="E385" s="30" t="str">
        <f t="shared" si="10"/>
        <v>Pass</v>
      </c>
      <c r="F385" s="28" t="str">
        <f t="array" ref="F385">INDEX('raw-sheet'!$A$2:$ZZ$1000, ROW(F384), MATCH(F$1, 'raw-sheet'!$A$1:$ZZ$1, 0))</f>
        <v>1%A醇PDRN水光安瓶 25ml_x000D_ | INNISFREE Taiwan</v>
      </c>
      <c r="G385" s="30" t="s">
        <v>11</v>
      </c>
      <c r="H385" s="28" t="str">
        <f t="array" ref="H385">INDEX('raw-sheet'!$A$2:$ZZ$1000, ROW(H384), MATCH(H$1, 'raw-sheet'!$A$1:$ZZ$1, 0))</f>
        <v>添加A醇及綠茶PDRN™的煥膚安瓶，有效調理代謝角質、緊緻毛孔、改善肌膚彈性，擁有光滑緊緻的肌膚。適合追求水潤透亮肌膚，重視肌膚緊緻與彈力的顧客。</v>
      </c>
      <c r="I385" s="30" t="s">
        <v>60</v>
      </c>
      <c r="J385" s="28" t="str">
        <f t="array" ref="J385">INDEX('raw-sheet'!$A$2:$ZZ$1000, ROW(J384), MATCH(J$1, 'raw-sheet'!$A$1:$ZZ$1, 0))</f>
        <v>1%A醇PDRN水光安瓶 25ml</v>
      </c>
      <c r="K385" s="28" t="str">
        <f t="array" ref="K385">INDEX('raw-sheet'!$A$2:$ZZ$1000, ROW(K384), MATCH(K$1, 'raw-sheet'!$A$1:$ZZ$1, 0))</f>
        <v>1</v>
      </c>
      <c r="L385" s="30" t="s">
        <v>11</v>
      </c>
      <c r="M385" s="28" t="str">
        <f t="array" ref="M385">INDEX('raw-sheet'!$A$2:$ZZ$1000, ROW(M384), MATCH(M$1, 'raw-sheet'!$A$1:$ZZ$1, 0))</f>
        <v>https://innisfree-taiwan.myshopify.com/products/retinol-green-tea-pdrn-skinbooster-ampoule</v>
      </c>
      <c r="N385" s="30" t="str">
        <f t="shared" si="11"/>
        <v>Pass</v>
      </c>
      <c r="O385" s="28" t="str">
        <f t="array" ref="O385">INDEX('raw-sheet'!$A$2:$ZZ$1000, ROW(O384), MATCH(O$1, 'raw-sheet'!$A$1:$ZZ$1, 0))</f>
        <v>1%A醇PDRN水光安瓶 25ml | INNISFREE Taiwan</v>
      </c>
      <c r="P385" s="28" t="str">
        <f t="array" ref="P385">INDEX('raw-sheet'!$A$2:$ZZ$1000, ROW(P384), MATCH(P$1, 'raw-sheet'!$A$1:$ZZ$1, 0))</f>
        <v>添加A醇及綠茶PDRN™的煥膚安瓶，有效調理代謝角質、緊緻毛孔、改善肌膚彈性，擁有光滑緊緻的肌膚。適合追求水潤透亮肌膚，重視肌膚緊緻與彈力的顧客。</v>
      </c>
      <c r="Q385" s="28" t="str">
        <f t="array" ref="Q385">INDEX('raw-sheet'!$A$2:$ZZ$1000, ROW(Q384), MATCH(Q$1, 'raw-sheet'!$A$1:$ZZ$1, 0))</f>
        <v>product</v>
      </c>
      <c r="R385" s="28" t="str">
        <f t="array" ref="R385">INDEX('raw-sheet'!$A$2:$ZZ$1000, ROW(R384), MATCH(R$1, 'raw-sheet'!$A$1:$ZZ$1, 0))</f>
        <v>INNISFREE Taiwan</v>
      </c>
      <c r="S385" s="28" t="str">
        <f t="array" ref="S385">INDEX('raw-sheet'!$A$2:$ZZ$1000, ROW(S384), MATCH(S$1, 'raw-sheet'!$A$1:$ZZ$1, 0))</f>
        <v>http://innisfree-taiwan.myshopify.com/cdn/shop/files/pdp_mig_85de1376_20260109_1437_ID0101_1_jpg.jpg?v=1768543074</v>
      </c>
      <c r="T385" s="28" t="str">
        <f t="array" ref="T385">INDEX('raw-sheet'!$A$2:$ZZ$1000, ROW(T384), MATCH(T$1, 'raw-sheet'!$A$1:$ZZ$1, 0))</f>
        <v>https://innisfree-taiwan.myshopify.com/cdn/shop/files/pdp_mig_85de1376_20260109_1437_ID0101_1_jpg.jpg?v=1768543074</v>
      </c>
      <c r="U385" s="28" t="str">
        <f t="array" ref="U385">INDEX('raw-sheet'!$A$2:$ZZ$1000, ROW(U384), MATCH(U$1, 'raw-sheet'!$A$1:$ZZ$1, 0))</f>
        <v>https://innisfree-taiwan.myshopify.com/products/retinol-green-tea-pdrn-skinbooster-ampoule</v>
      </c>
      <c r="V385" s="28" t="str">
        <f t="array" ref="V385">INDEX('raw-sheet'!$A$2:$ZZ$1000, ROW(V384), MATCH(V$1, 'raw-sheet'!$A$1:$ZZ$1, 0))</f>
        <v>1%A醇PDRN水光安瓶 25ml | INNISFREE Taiwan</v>
      </c>
      <c r="W385" s="28" t="str">
        <f t="array" ref="W385">INDEX('raw-sheet'!$A$2:$ZZ$1000, ROW(W384), MATCH(W$1, 'raw-sheet'!$A$1:$ZZ$1, 0))</f>
        <v>添加A醇及綠茶PDRN™的煥膚安瓶，有效調理代謝角質、緊緻毛孔、改善肌膚彈性，擁有光滑緊緻的肌膚。適合追求水潤透亮肌膚，重視肌膚緊緻與彈力的顧客。</v>
      </c>
      <c r="X385" s="28" t="str">
        <f t="array" ref="X385">INDEX('raw-sheet'!$A$2:$ZZ$1000, ROW(X384), MATCH(X$1, 'raw-sheet'!$A$1:$ZZ$1, 0))</f>
        <v>summary_large_image</v>
      </c>
      <c r="Y385" s="30" t="s">
        <v>56</v>
      </c>
      <c r="Z385" s="28" t="str">
        <f>VLOOKUP($A385,'raw-schema'!$A:$R,14,0)</f>
        <v>Brand</v>
      </c>
      <c r="AA385" s="28" t="str">
        <f>VLOOKUP($A385,'raw-schema'!$A:$R,15,0)</f>
        <v>Offer</v>
      </c>
      <c r="AB385" s="28" t="str">
        <f>VLOOKUP($A385,'raw-schema'!$A:$R,16,0)</f>
        <v>Organization</v>
      </c>
      <c r="AC385" s="28" t="str">
        <f>VLOOKUP($A385,'raw-schema'!$A:$R,17,0)</f>
        <v>Product</v>
      </c>
      <c r="AD385" s="28">
        <f>VLOOKUP($A385,'raw-schema'!$A:$R,18,0)</f>
        <v>0</v>
      </c>
      <c r="AE385" s="30" t="s">
        <v>69</v>
      </c>
    </row>
    <row r="386" spans="1:32" x14ac:dyDescent="0.3">
      <c r="A386" s="28" t="str">
        <f t="array" ref="A386">INDEX('raw-sheet'!$A$2:$ZZ$1000, ROW(A385), MATCH(A$1, 'raw-sheet'!$A$1:$ZZ$1, 0))</f>
        <v>https://innisfree-taiwan.myshopify.com/products/retinol-green-tea-pdrn-skinbooster-ampoule40ml</v>
      </c>
      <c r="B386" s="30" t="s">
        <v>11</v>
      </c>
      <c r="C386" s="28" t="str">
        <f t="array" ref="C386">INDEX('raw-sheet'!$A$2:$ZZ$1000, ROW(C385), MATCH(C$1, 'raw-sheet'!$A$1:$ZZ$1, 0))</f>
        <v>Product Detail</v>
      </c>
      <c r="D386" s="28">
        <f t="array" ref="D386">INDEX('raw-sheet'!$A$2:$ZZ$1000, ROW(D385), MATCH(D$1, 'raw-sheet'!$A$1:$ZZ$1, 0))</f>
        <v>200</v>
      </c>
      <c r="E386" s="30" t="str">
        <f t="shared" ref="E386:E401" si="12">IF(D386=200,"Pass","Not")</f>
        <v>Pass</v>
      </c>
      <c r="F386" s="28" t="str">
        <f t="array" ref="F386">INDEX('raw-sheet'!$A$2:$ZZ$1000, ROW(F385), MATCH(F$1, 'raw-sheet'!$A$1:$ZZ$1, 0))</f>
        <v>1%A醇PDRN水光安瓶 40ml_x000D_ | INNISFREE Taiwan</v>
      </c>
      <c r="G386" s="30" t="s">
        <v>11</v>
      </c>
      <c r="H386" s="28" t="str">
        <f t="array" ref="H386">INDEX('raw-sheet'!$A$2:$ZZ$1000, ROW(H385), MATCH(H$1, 'raw-sheet'!$A$1:$ZZ$1, 0))</f>
        <v>添加A醇及綠茶PDRN™的煥膚安瓶，有效調理代謝角質、緊緻毛孔、改善肌膚彈性，擁有光滑緊緻的肌膚。適合追求水潤透亮肌膚，重視肌膚緊緻與彈力的顧客。</v>
      </c>
      <c r="I386" s="30" t="s">
        <v>60</v>
      </c>
      <c r="J386" s="28" t="str">
        <f t="array" ref="J386">INDEX('raw-sheet'!$A$2:$ZZ$1000, ROW(J385), MATCH(J$1, 'raw-sheet'!$A$1:$ZZ$1, 0))</f>
        <v>1%A醇PDRN水光安瓶 40ml</v>
      </c>
      <c r="K386" s="28" t="str">
        <f t="array" ref="K386">INDEX('raw-sheet'!$A$2:$ZZ$1000, ROW(K385), MATCH(K$1, 'raw-sheet'!$A$1:$ZZ$1, 0))</f>
        <v>1</v>
      </c>
      <c r="L386" s="30" t="s">
        <v>11</v>
      </c>
      <c r="M386" s="28" t="str">
        <f t="array" ref="M386">INDEX('raw-sheet'!$A$2:$ZZ$1000, ROW(M385), MATCH(M$1, 'raw-sheet'!$A$1:$ZZ$1, 0))</f>
        <v>https://innisfree-taiwan.myshopify.com/products/retinol-green-tea-pdrn-skinbooster-ampoule40ml</v>
      </c>
      <c r="N386" s="30" t="str">
        <f t="shared" ref="N386:N401" si="13">IF(A386=M386,"Pass","Not")</f>
        <v>Pass</v>
      </c>
      <c r="O386" s="28" t="str">
        <f t="array" ref="O386">INDEX('raw-sheet'!$A$2:$ZZ$1000, ROW(O385), MATCH(O$1, 'raw-sheet'!$A$1:$ZZ$1, 0))</f>
        <v>1%A醇PDRN水光安瓶 40ml | INNISFREE Taiwan</v>
      </c>
      <c r="P386" s="28" t="str">
        <f t="array" ref="P386">INDEX('raw-sheet'!$A$2:$ZZ$1000, ROW(P385), MATCH(P$1, 'raw-sheet'!$A$1:$ZZ$1, 0))</f>
        <v>添加A醇及綠茶PDRN™的煥膚安瓶，有效調理代謝角質、緊緻毛孔、改善肌膚彈性，擁有光滑緊緻的肌膚。適合追求水潤透亮肌膚，重視肌膚緊緻與彈力的顧客。</v>
      </c>
      <c r="Q386" s="28" t="str">
        <f t="array" ref="Q386">INDEX('raw-sheet'!$A$2:$ZZ$1000, ROW(Q385), MATCH(Q$1, 'raw-sheet'!$A$1:$ZZ$1, 0))</f>
        <v>product</v>
      </c>
      <c r="R386" s="28" t="str">
        <f t="array" ref="R386">INDEX('raw-sheet'!$A$2:$ZZ$1000, ROW(R385), MATCH(R$1, 'raw-sheet'!$A$1:$ZZ$1, 0))</f>
        <v>INNISFREE Taiwan</v>
      </c>
      <c r="S386" s="28" t="str">
        <f t="array" ref="S386">INDEX('raw-sheet'!$A$2:$ZZ$1000, ROW(S385), MATCH(S$1, 'raw-sheet'!$A$1:$ZZ$1, 0))</f>
        <v>http://innisfree-taiwan.myshopify.com/cdn/shop/files/pdp_mig_6a1dc38d_20260109_1601_ID0101_1_jpg.jpg?v=1768543070</v>
      </c>
      <c r="T386" s="28" t="str">
        <f t="array" ref="T386">INDEX('raw-sheet'!$A$2:$ZZ$1000, ROW(T385), MATCH(T$1, 'raw-sheet'!$A$1:$ZZ$1, 0))</f>
        <v>https://innisfree-taiwan.myshopify.com/cdn/shop/files/pdp_mig_6a1dc38d_20260109_1601_ID0101_1_jpg.jpg?v=1768543070</v>
      </c>
      <c r="U386" s="28" t="str">
        <f t="array" ref="U386">INDEX('raw-sheet'!$A$2:$ZZ$1000, ROW(U385), MATCH(U$1, 'raw-sheet'!$A$1:$ZZ$1, 0))</f>
        <v>https://innisfree-taiwan.myshopify.com/products/retinol-green-tea-pdrn-skinbooster-ampoule40ml</v>
      </c>
      <c r="V386" s="28" t="str">
        <f t="array" ref="V386">INDEX('raw-sheet'!$A$2:$ZZ$1000, ROW(V385), MATCH(V$1, 'raw-sheet'!$A$1:$ZZ$1, 0))</f>
        <v>1%A醇PDRN水光安瓶 40ml | INNISFREE Taiwan</v>
      </c>
      <c r="W386" s="28" t="str">
        <f t="array" ref="W386">INDEX('raw-sheet'!$A$2:$ZZ$1000, ROW(W385), MATCH(W$1, 'raw-sheet'!$A$1:$ZZ$1, 0))</f>
        <v>添加A醇及綠茶PDRN™的煥膚安瓶，有效調理代謝角質、緊緻毛孔、改善肌膚彈性，擁有光滑緊緻的肌膚。適合追求水潤透亮肌膚，重視肌膚緊緻與彈力的顧客。</v>
      </c>
      <c r="X386" s="28" t="str">
        <f t="array" ref="X386">INDEX('raw-sheet'!$A$2:$ZZ$1000, ROW(X385), MATCH(X$1, 'raw-sheet'!$A$1:$ZZ$1, 0))</f>
        <v>summary_large_image</v>
      </c>
      <c r="Y386" s="30" t="s">
        <v>56</v>
      </c>
      <c r="Z386" s="28" t="str">
        <f>VLOOKUP($A386,'raw-schema'!$A:$R,14,0)</f>
        <v>Brand</v>
      </c>
      <c r="AA386" s="28" t="str">
        <f>VLOOKUP($A386,'raw-schema'!$A:$R,15,0)</f>
        <v>Offer</v>
      </c>
      <c r="AB386" s="28" t="str">
        <f>VLOOKUP($A386,'raw-schema'!$A:$R,16,0)</f>
        <v>Organization</v>
      </c>
      <c r="AC386" s="28" t="str">
        <f>VLOOKUP($A386,'raw-schema'!$A:$R,17,0)</f>
        <v>Product</v>
      </c>
      <c r="AD386" s="28">
        <f>VLOOKUP($A386,'raw-schema'!$A:$R,18,0)</f>
        <v>0</v>
      </c>
      <c r="AE386" s="30" t="s">
        <v>69</v>
      </c>
    </row>
    <row r="387" spans="1:32" x14ac:dyDescent="0.3">
      <c r="A387" s="28" t="str">
        <f t="array" ref="A387">INDEX('raw-sheet'!$A$2:$ZZ$1000, ROW(A386), MATCH(A$1, 'raw-sheet'!$A$1:$ZZ$1, 0))</f>
        <v>https://innisfree-taiwan.myshopify.com/products/retinol-green-tea-pdrn-skinbooster-toner</v>
      </c>
      <c r="B387" s="30" t="s">
        <v>11</v>
      </c>
      <c r="C387" s="28" t="str">
        <f t="array" ref="C387">INDEX('raw-sheet'!$A$2:$ZZ$1000, ROW(C386), MATCH(C$1, 'raw-sheet'!$A$1:$ZZ$1, 0))</f>
        <v>Product Detail</v>
      </c>
      <c r="D387" s="28">
        <f t="array" ref="D387">INDEX('raw-sheet'!$A$2:$ZZ$1000, ROW(D386), MATCH(D$1, 'raw-sheet'!$A$1:$ZZ$1, 0))</f>
        <v>200</v>
      </c>
      <c r="E387" s="30" t="str">
        <f t="shared" si="12"/>
        <v>Pass</v>
      </c>
      <c r="F387" s="28" t="str">
        <f t="array" ref="F387">INDEX('raw-sheet'!$A$2:$ZZ$1000, ROW(F386), MATCH(F$1, 'raw-sheet'!$A$1:$ZZ$1, 0))</f>
        <v>A醇PDRN水光奇蹟水 170ml_x000D_ | INNISFREE Taiwan</v>
      </c>
      <c r="G387" s="30" t="s">
        <v>11</v>
      </c>
      <c r="H387" s="28" t="str">
        <f t="array" ref="H387">INDEX('raw-sheet'!$A$2:$ZZ$1000, ROW(H386), MATCH(H$1, 'raw-sheet'!$A$1:$ZZ$1, 0))</f>
        <v>添加A醇及綠茶PDRN™的化妝水，有效調理代謝角質、緊緻毛孔、改善肌膚彈性，擁有光滑緊緻的肌膚。推薦給想要水潤光滑膚質的顧客。</v>
      </c>
      <c r="I387" s="30" t="s">
        <v>11</v>
      </c>
      <c r="J387" s="28" t="str">
        <f t="array" ref="J387">INDEX('raw-sheet'!$A$2:$ZZ$1000, ROW(J386), MATCH(J$1, 'raw-sheet'!$A$1:$ZZ$1, 0))</f>
        <v>A醇PDRN水光奇蹟水 170ml</v>
      </c>
      <c r="K387" s="28" t="str">
        <f t="array" ref="K387">INDEX('raw-sheet'!$A$2:$ZZ$1000, ROW(K386), MATCH(K$1, 'raw-sheet'!$A$1:$ZZ$1, 0))</f>
        <v>1</v>
      </c>
      <c r="L387" s="30" t="s">
        <v>11</v>
      </c>
      <c r="M387" s="28" t="str">
        <f t="array" ref="M387">INDEX('raw-sheet'!$A$2:$ZZ$1000, ROW(M386), MATCH(M$1, 'raw-sheet'!$A$1:$ZZ$1, 0))</f>
        <v>https://innisfree-taiwan.myshopify.com/products/retinol-green-tea-pdrn-skinbooster-toner</v>
      </c>
      <c r="N387" s="30" t="str">
        <f t="shared" si="13"/>
        <v>Pass</v>
      </c>
      <c r="O387" s="28" t="str">
        <f t="array" ref="O387">INDEX('raw-sheet'!$A$2:$ZZ$1000, ROW(O386), MATCH(O$1, 'raw-sheet'!$A$1:$ZZ$1, 0))</f>
        <v>A醇PDRN水光奇蹟水 170ml | INNISFREE Taiwan</v>
      </c>
      <c r="P387" s="28" t="str">
        <f t="array" ref="P387">INDEX('raw-sheet'!$A$2:$ZZ$1000, ROW(P386), MATCH(P$1, 'raw-sheet'!$A$1:$ZZ$1, 0))</f>
        <v>添加A醇及綠茶PDRN™的化妝水，有效調理代謝角質、緊緻毛孔、改善肌膚彈性，擁有光滑緊緻的肌膚。推薦給想要水潤光滑膚質的顧客。</v>
      </c>
      <c r="Q387" s="28" t="str">
        <f t="array" ref="Q387">INDEX('raw-sheet'!$A$2:$ZZ$1000, ROW(Q386), MATCH(Q$1, 'raw-sheet'!$A$1:$ZZ$1, 0))</f>
        <v>product</v>
      </c>
      <c r="R387" s="28" t="str">
        <f t="array" ref="R387">INDEX('raw-sheet'!$A$2:$ZZ$1000, ROW(R386), MATCH(R$1, 'raw-sheet'!$A$1:$ZZ$1, 0))</f>
        <v>INNISFREE Taiwan</v>
      </c>
      <c r="S387" s="28" t="str">
        <f t="array" ref="S387">INDEX('raw-sheet'!$A$2:$ZZ$1000, ROW(S386), MATCH(S$1, 'raw-sheet'!$A$1:$ZZ$1, 0))</f>
        <v>http://innisfree-taiwan.myshopify.com/cdn/shop/files/pdp_mig_54191fb5_20250801_1526_ID0101_1_jpg.jpg?v=1768543073</v>
      </c>
      <c r="T387" s="28" t="str">
        <f t="array" ref="T387">INDEX('raw-sheet'!$A$2:$ZZ$1000, ROW(T386), MATCH(T$1, 'raw-sheet'!$A$1:$ZZ$1, 0))</f>
        <v>https://innisfree-taiwan.myshopify.com/cdn/shop/files/pdp_mig_54191fb5_20250801_1526_ID0101_1_jpg.jpg?v=1768543073</v>
      </c>
      <c r="U387" s="28" t="str">
        <f t="array" ref="U387">INDEX('raw-sheet'!$A$2:$ZZ$1000, ROW(U386), MATCH(U$1, 'raw-sheet'!$A$1:$ZZ$1, 0))</f>
        <v>https://innisfree-taiwan.myshopify.com/products/retinol-green-tea-pdrn-skinbooster-toner</v>
      </c>
      <c r="V387" s="28" t="str">
        <f t="array" ref="V387">INDEX('raw-sheet'!$A$2:$ZZ$1000, ROW(V386), MATCH(V$1, 'raw-sheet'!$A$1:$ZZ$1, 0))</f>
        <v>A醇PDRN水光奇蹟水 170ml | INNISFREE Taiwan</v>
      </c>
      <c r="W387" s="28" t="str">
        <f t="array" ref="W387">INDEX('raw-sheet'!$A$2:$ZZ$1000, ROW(W386), MATCH(W$1, 'raw-sheet'!$A$1:$ZZ$1, 0))</f>
        <v>添加A醇及綠茶PDRN™的化妝水，有效調理代謝角質、緊緻毛孔、改善肌膚彈性，擁有光滑緊緻的肌膚。推薦給想要水潤光滑膚質的顧客。</v>
      </c>
      <c r="X387" s="28" t="str">
        <f t="array" ref="X387">INDEX('raw-sheet'!$A$2:$ZZ$1000, ROW(X386), MATCH(X$1, 'raw-sheet'!$A$1:$ZZ$1, 0))</f>
        <v>summary_large_image</v>
      </c>
      <c r="Y387" s="30" t="s">
        <v>11</v>
      </c>
      <c r="Z387" s="28" t="str">
        <f>VLOOKUP($A387,'raw-schema'!$A:$R,14,0)</f>
        <v>Brand</v>
      </c>
      <c r="AA387" s="28" t="str">
        <f>VLOOKUP($A387,'raw-schema'!$A:$R,15,0)</f>
        <v>Offer</v>
      </c>
      <c r="AB387" s="28" t="str">
        <f>VLOOKUP($A387,'raw-schema'!$A:$R,16,0)</f>
        <v>Organization</v>
      </c>
      <c r="AC387" s="28" t="str">
        <f>VLOOKUP($A387,'raw-schema'!$A:$R,17,0)</f>
        <v>Product</v>
      </c>
      <c r="AD387" s="28">
        <f>VLOOKUP($A387,'raw-schema'!$A:$R,18,0)</f>
        <v>0</v>
      </c>
      <c r="AE387" s="30" t="s">
        <v>69</v>
      </c>
    </row>
    <row r="388" spans="1:32" x14ac:dyDescent="0.3">
      <c r="A388" s="28" t="str">
        <f t="array" ref="A388">INDEX('raw-sheet'!$A$2:$ZZ$1000, ROW(A387), MATCH(A$1, 'raw-sheet'!$A$1:$ZZ$1, 0))</f>
        <v>https://innisfree-taiwan.myshopify.com/products/retinol-greentea-pdrn-skinbooster-ampoule-gel-mask</v>
      </c>
      <c r="B388" s="30" t="s">
        <v>11</v>
      </c>
      <c r="C388" s="28" t="str">
        <f t="array" ref="C388">INDEX('raw-sheet'!$A$2:$ZZ$1000, ROW(C387), MATCH(C$1, 'raw-sheet'!$A$1:$ZZ$1, 0))</f>
        <v>Product Detail</v>
      </c>
      <c r="D388" s="28">
        <f t="array" ref="D388">INDEX('raw-sheet'!$A$2:$ZZ$1000, ROW(D387), MATCH(D$1, 'raw-sheet'!$A$1:$ZZ$1, 0))</f>
        <v>200</v>
      </c>
      <c r="E388" s="30" t="str">
        <f t="shared" si="12"/>
        <v>Pass</v>
      </c>
      <c r="F388" s="28" t="str">
        <f t="array" ref="F388">INDEX('raw-sheet'!$A$2:$ZZ$1000, ROW(F387), MATCH(F$1, 'raw-sheet'!$A$1:$ZZ$1, 0))</f>
        <v>1%A醇PDRN水光安瓶果凍面膜 25ml_x000D_ | INNISFREE Taiwan</v>
      </c>
      <c r="G388" s="30" t="s">
        <v>11</v>
      </c>
      <c r="H388" s="28" t="str">
        <f t="array" ref="H388">INDEX('raw-sheet'!$A$2:$ZZ$1000, ROW(H387), MATCH(H$1, 'raw-sheet'!$A$1:$ZZ$1, 0))</f>
        <v>含有1%A醇PDRN水光安瓶主要成分的果凍面膜，能改善粗糙並平滑肌膚，深層補水保濕，打造彈嫩水光肌。</v>
      </c>
      <c r="I388" s="30" t="s">
        <v>11</v>
      </c>
      <c r="J388" s="28" t="str">
        <f t="array" ref="J388">INDEX('raw-sheet'!$A$2:$ZZ$1000, ROW(J387), MATCH(J$1, 'raw-sheet'!$A$1:$ZZ$1, 0))</f>
        <v>1%A醇PDRN水光安瓶果凍面膜 25ml</v>
      </c>
      <c r="K388" s="28" t="str">
        <f t="array" ref="K388">INDEX('raw-sheet'!$A$2:$ZZ$1000, ROW(K387), MATCH(K$1, 'raw-sheet'!$A$1:$ZZ$1, 0))</f>
        <v>1</v>
      </c>
      <c r="L388" s="30" t="s">
        <v>11</v>
      </c>
      <c r="M388" s="28" t="str">
        <f t="array" ref="M388">INDEX('raw-sheet'!$A$2:$ZZ$1000, ROW(M387), MATCH(M$1, 'raw-sheet'!$A$1:$ZZ$1, 0))</f>
        <v>https://innisfree-taiwan.myshopify.com/products/retinol-greentea-pdrn-skinbooster-ampoule-gel-mask</v>
      </c>
      <c r="N388" s="30" t="str">
        <f t="shared" si="13"/>
        <v>Pass</v>
      </c>
      <c r="O388" s="28" t="str">
        <f t="array" ref="O388">INDEX('raw-sheet'!$A$2:$ZZ$1000, ROW(O387), MATCH(O$1, 'raw-sheet'!$A$1:$ZZ$1, 0))</f>
        <v>1%A醇PDRN水光安瓶果凍面膜 25ml | INNISFREE Taiwan</v>
      </c>
      <c r="P388" s="28" t="str">
        <f t="array" ref="P388">INDEX('raw-sheet'!$A$2:$ZZ$1000, ROW(P387), MATCH(P$1, 'raw-sheet'!$A$1:$ZZ$1, 0))</f>
        <v>含有1%A醇PDRN水光安瓶主要成分的果凍面膜，能改善粗糙並平滑肌膚，深層補水保濕，打造彈嫩水光肌。</v>
      </c>
      <c r="Q388" s="28" t="str">
        <f t="array" ref="Q388">INDEX('raw-sheet'!$A$2:$ZZ$1000, ROW(Q387), MATCH(Q$1, 'raw-sheet'!$A$1:$ZZ$1, 0))</f>
        <v>product</v>
      </c>
      <c r="R388" s="28" t="str">
        <f t="array" ref="R388">INDEX('raw-sheet'!$A$2:$ZZ$1000, ROW(R387), MATCH(R$1, 'raw-sheet'!$A$1:$ZZ$1, 0))</f>
        <v>INNISFREE Taiwan</v>
      </c>
      <c r="S388" s="28" t="str">
        <f t="array" ref="S388">INDEX('raw-sheet'!$A$2:$ZZ$1000, ROW(S387), MATCH(S$1, 'raw-sheet'!$A$1:$ZZ$1, 0))</f>
        <v>http://innisfree-taiwan.myshopify.com/cdn/shop/files/pdp_mig_2b825e69_20250624_1588_ID0101_1_jpg.jpg?v=1768543071</v>
      </c>
      <c r="T388" s="28" t="str">
        <f t="array" ref="T388">INDEX('raw-sheet'!$A$2:$ZZ$1000, ROW(T387), MATCH(T$1, 'raw-sheet'!$A$1:$ZZ$1, 0))</f>
        <v>https://innisfree-taiwan.myshopify.com/cdn/shop/files/pdp_mig_2b825e69_20250624_1588_ID0101_1_jpg.jpg?v=1768543071</v>
      </c>
      <c r="U388" s="28" t="str">
        <f t="array" ref="U388">INDEX('raw-sheet'!$A$2:$ZZ$1000, ROW(U387), MATCH(U$1, 'raw-sheet'!$A$1:$ZZ$1, 0))</f>
        <v>https://innisfree-taiwan.myshopify.com/products/retinol-greentea-pdrn-skinbooster-ampoule-gel-mask</v>
      </c>
      <c r="V388" s="28" t="str">
        <f t="array" ref="V388">INDEX('raw-sheet'!$A$2:$ZZ$1000, ROW(V387), MATCH(V$1, 'raw-sheet'!$A$1:$ZZ$1, 0))</f>
        <v>1%A醇PDRN水光安瓶果凍面膜 25ml | INNISFREE Taiwan</v>
      </c>
      <c r="W388" s="28" t="str">
        <f t="array" ref="W388">INDEX('raw-sheet'!$A$2:$ZZ$1000, ROW(W387), MATCH(W$1, 'raw-sheet'!$A$1:$ZZ$1, 0))</f>
        <v>含有1%A醇PDRN水光安瓶主要成分的果凍面膜，能改善粗糙並平滑肌膚，深層補水保濕，打造彈嫩水光肌。</v>
      </c>
      <c r="X388" s="28" t="str">
        <f t="array" ref="X388">INDEX('raw-sheet'!$A$2:$ZZ$1000, ROW(X387), MATCH(X$1, 'raw-sheet'!$A$1:$ZZ$1, 0))</f>
        <v>summary_large_image</v>
      </c>
      <c r="Y388" s="30" t="s">
        <v>11</v>
      </c>
      <c r="Z388" s="28" t="str">
        <f>VLOOKUP($A388,'raw-schema'!$A:$R,14,0)</f>
        <v>Brand</v>
      </c>
      <c r="AA388" s="28" t="str">
        <f>VLOOKUP($A388,'raw-schema'!$A:$R,15,0)</f>
        <v>Offer</v>
      </c>
      <c r="AB388" s="28" t="str">
        <f>VLOOKUP($A388,'raw-schema'!$A:$R,16,0)</f>
        <v>Organization</v>
      </c>
      <c r="AC388" s="28" t="str">
        <f>VLOOKUP($A388,'raw-schema'!$A:$R,17,0)</f>
        <v>Product</v>
      </c>
      <c r="AD388" s="28">
        <f>VLOOKUP($A388,'raw-schema'!$A:$R,18,0)</f>
        <v>0</v>
      </c>
      <c r="AE388" s="30" t="s">
        <v>69</v>
      </c>
    </row>
    <row r="389" spans="1:32" x14ac:dyDescent="0.3">
      <c r="A389" s="28" t="str">
        <f t="array" ref="A389">INDEX('raw-sheet'!$A$2:$ZZ$1000, ROW(A388), MATCH(A$1, 'raw-sheet'!$A$1:$ZZ$1, 0))</f>
        <v>https://innisfree-taiwan.myshopify.com/products/sculpting-powder-contour</v>
      </c>
      <c r="B389" s="30" t="s">
        <v>11</v>
      </c>
      <c r="C389" s="28" t="str">
        <f t="array" ref="C389">INDEX('raw-sheet'!$A$2:$ZZ$1000, ROW(C388), MATCH(C$1, 'raw-sheet'!$A$1:$ZZ$1, 0))</f>
        <v>Product Detail</v>
      </c>
      <c r="D389" s="28">
        <f t="array" ref="D389">INDEX('raw-sheet'!$A$2:$ZZ$1000, ROW(D388), MATCH(D$1, 'raw-sheet'!$A$1:$ZZ$1, 0))</f>
        <v>200</v>
      </c>
      <c r="E389" s="30" t="str">
        <f t="shared" si="12"/>
        <v>Pass</v>
      </c>
      <c r="F389" s="28" t="str">
        <f t="array" ref="F389">INDEX('raw-sheet'!$A$2:$ZZ$1000, ROW(F388), MATCH(F$1, 'raw-sheet'!$A$1:$ZZ$1, 0))</f>
        <v>妝自然圓形修容 6.8g_x000D_ | INNISFREE Taiwan</v>
      </c>
      <c r="G389" s="30" t="s">
        <v>11</v>
      </c>
      <c r="H389" s="28" t="str">
        <f t="array" ref="H389">INDEX('raw-sheet'!$A$2:$ZZ$1000, ROW(H388), MATCH(H$1, 'raw-sheet'!$A$1:$ZZ$1, 0))</f>
        <v>打造自然立體妝容的修容餅。</v>
      </c>
      <c r="I389" s="30" t="s">
        <v>11</v>
      </c>
      <c r="J389" s="28" t="str">
        <f t="array" ref="J389">INDEX('raw-sheet'!$A$2:$ZZ$1000, ROW(J388), MATCH(J$1, 'raw-sheet'!$A$1:$ZZ$1, 0))</f>
        <v>妝自然圓形修容 6.8g</v>
      </c>
      <c r="K389" s="28" t="str">
        <f t="array" ref="K389">INDEX('raw-sheet'!$A$2:$ZZ$1000, ROW(K388), MATCH(K$1, 'raw-sheet'!$A$1:$ZZ$1, 0))</f>
        <v>1</v>
      </c>
      <c r="L389" s="30" t="s">
        <v>11</v>
      </c>
      <c r="M389" s="28" t="str">
        <f t="array" ref="M389">INDEX('raw-sheet'!$A$2:$ZZ$1000, ROW(M388), MATCH(M$1, 'raw-sheet'!$A$1:$ZZ$1, 0))</f>
        <v>https://innisfree-taiwan.myshopify.com/products/sculpting-powder-contour</v>
      </c>
      <c r="N389" s="30" t="str">
        <f t="shared" si="13"/>
        <v>Pass</v>
      </c>
      <c r="O389" s="28" t="str">
        <f t="array" ref="O389">INDEX('raw-sheet'!$A$2:$ZZ$1000, ROW(O388), MATCH(O$1, 'raw-sheet'!$A$1:$ZZ$1, 0))</f>
        <v>妝自然圓形修容 6.8g | INNISFREE Taiwan</v>
      </c>
      <c r="P389" s="28" t="str">
        <f t="array" ref="P389">INDEX('raw-sheet'!$A$2:$ZZ$1000, ROW(P388), MATCH(P$1, 'raw-sheet'!$A$1:$ZZ$1, 0))</f>
        <v>打造自然立體妝容的修容餅。</v>
      </c>
      <c r="Q389" s="28" t="str">
        <f t="array" ref="Q389">INDEX('raw-sheet'!$A$2:$ZZ$1000, ROW(Q388), MATCH(Q$1, 'raw-sheet'!$A$1:$ZZ$1, 0))</f>
        <v>product</v>
      </c>
      <c r="R389" s="28" t="str">
        <f t="array" ref="R389">INDEX('raw-sheet'!$A$2:$ZZ$1000, ROW(R388), MATCH(R$1, 'raw-sheet'!$A$1:$ZZ$1, 0))</f>
        <v>INNISFREE Taiwan</v>
      </c>
      <c r="S389" s="28" t="str">
        <f t="array" ref="S389">INDEX('raw-sheet'!$A$2:$ZZ$1000, ROW(S388), MATCH(S$1, 'raw-sheet'!$A$1:$ZZ$1, 0))</f>
        <v>http://innisfree-taiwan.myshopify.com/cdn/shop/files/pdp_mig_dee2b6bc_20240319_1333_ID0101_1_jpg.jpg?v=1768543075</v>
      </c>
      <c r="T389" s="28" t="str">
        <f t="array" ref="T389">INDEX('raw-sheet'!$A$2:$ZZ$1000, ROW(T388), MATCH(T$1, 'raw-sheet'!$A$1:$ZZ$1, 0))</f>
        <v>https://innisfree-taiwan.myshopify.com/cdn/shop/files/pdp_mig_dee2b6bc_20240319_1333_ID0101_1_jpg.jpg?v=1768543075</v>
      </c>
      <c r="U389" s="28" t="str">
        <f t="array" ref="U389">INDEX('raw-sheet'!$A$2:$ZZ$1000, ROW(U388), MATCH(U$1, 'raw-sheet'!$A$1:$ZZ$1, 0))</f>
        <v>https://innisfree-taiwan.myshopify.com/products/sculpting-powder-contour</v>
      </c>
      <c r="V389" s="28" t="str">
        <f t="array" ref="V389">INDEX('raw-sheet'!$A$2:$ZZ$1000, ROW(V388), MATCH(V$1, 'raw-sheet'!$A$1:$ZZ$1, 0))</f>
        <v>妝自然圓形修容 6.8g | INNISFREE Taiwan</v>
      </c>
      <c r="W389" s="28" t="str">
        <f t="array" ref="W389">INDEX('raw-sheet'!$A$2:$ZZ$1000, ROW(W388), MATCH(W$1, 'raw-sheet'!$A$1:$ZZ$1, 0))</f>
        <v>打造自然立體妝容的修容餅。</v>
      </c>
      <c r="X389" s="28" t="str">
        <f t="array" ref="X389">INDEX('raw-sheet'!$A$2:$ZZ$1000, ROW(X388), MATCH(X$1, 'raw-sheet'!$A$1:$ZZ$1, 0))</f>
        <v>summary_large_image</v>
      </c>
      <c r="Y389" s="30" t="s">
        <v>11</v>
      </c>
      <c r="Z389" s="28" t="str">
        <f>VLOOKUP($A389,'raw-schema'!$A:$R,14,0)</f>
        <v>Brand</v>
      </c>
      <c r="AA389" s="28" t="str">
        <f>VLOOKUP($A389,'raw-schema'!$A:$R,15,0)</f>
        <v>Offer</v>
      </c>
      <c r="AB389" s="28" t="str">
        <f>VLOOKUP($A389,'raw-schema'!$A:$R,16,0)</f>
        <v>Organization</v>
      </c>
      <c r="AC389" s="28" t="str">
        <f>VLOOKUP($A389,'raw-schema'!$A:$R,17,0)</f>
        <v>Product</v>
      </c>
      <c r="AD389" s="28" t="str">
        <f>VLOOKUP($A389,'raw-schema'!$A:$R,18,0)</f>
        <v>ProductGroup</v>
      </c>
      <c r="AE389" s="30" t="s">
        <v>69</v>
      </c>
    </row>
    <row r="390" spans="1:32" x14ac:dyDescent="0.3">
      <c r="A390" s="28" t="str">
        <f t="array" ref="A390">INDEX('raw-sheet'!$A$2:$ZZ$1000, ROW(A389), MATCH(A$1, 'raw-sheet'!$A$1:$ZZ$1, 0))</f>
        <v>https://innisfree-taiwan.myshopify.com/products/sheer-glowy-highlighter</v>
      </c>
      <c r="B390" s="30" t="s">
        <v>11</v>
      </c>
      <c r="C390" s="28" t="str">
        <f t="array" ref="C390">INDEX('raw-sheet'!$A$2:$ZZ$1000, ROW(C389), MATCH(C$1, 'raw-sheet'!$A$1:$ZZ$1, 0))</f>
        <v>Product Detail</v>
      </c>
      <c r="D390" s="28">
        <f t="array" ref="D390">INDEX('raw-sheet'!$A$2:$ZZ$1000, ROW(D389), MATCH(D$1, 'raw-sheet'!$A$1:$ZZ$1, 0))</f>
        <v>200</v>
      </c>
      <c r="E390" s="30" t="str">
        <f t="shared" si="12"/>
        <v>Pass</v>
      </c>
      <c r="F390" s="28" t="str">
        <f t="array" ref="F390">INDEX('raw-sheet'!$A$2:$ZZ$1000, ROW(F389), MATCH(F$1, 'raw-sheet'!$A$1:$ZZ$1, 0))</f>
        <v>妝自然圓形打亮 5.5g_x000D_ | INNISFREE Taiwan</v>
      </c>
      <c r="G390" s="30" t="s">
        <v>11</v>
      </c>
      <c r="H390" s="28" t="str">
        <f t="array" ref="H390">INDEX('raw-sheet'!$A$2:$ZZ$1000, ROW(H389), MATCH(H$1, 'raw-sheet'!$A$1:$ZZ$1, 0))</f>
        <v>打造自然光澤的打亮效果</v>
      </c>
      <c r="I390" s="30" t="s">
        <v>11</v>
      </c>
      <c r="J390" s="28" t="str">
        <f t="array" ref="J390">INDEX('raw-sheet'!$A$2:$ZZ$1000, ROW(J389), MATCH(J$1, 'raw-sheet'!$A$1:$ZZ$1, 0))</f>
        <v>妝自然圓形打亮 5.5g</v>
      </c>
      <c r="K390" s="28" t="str">
        <f t="array" ref="K390">INDEX('raw-sheet'!$A$2:$ZZ$1000, ROW(K389), MATCH(K$1, 'raw-sheet'!$A$1:$ZZ$1, 0))</f>
        <v>1</v>
      </c>
      <c r="L390" s="30" t="s">
        <v>11</v>
      </c>
      <c r="M390" s="28" t="str">
        <f t="array" ref="M390">INDEX('raw-sheet'!$A$2:$ZZ$1000, ROW(M389), MATCH(M$1, 'raw-sheet'!$A$1:$ZZ$1, 0))</f>
        <v>https://innisfree-taiwan.myshopify.com/products/sheer-glowy-highlighter</v>
      </c>
      <c r="N390" s="30" t="str">
        <f t="shared" si="13"/>
        <v>Pass</v>
      </c>
      <c r="O390" s="28" t="str">
        <f t="array" ref="O390">INDEX('raw-sheet'!$A$2:$ZZ$1000, ROW(O389), MATCH(O$1, 'raw-sheet'!$A$1:$ZZ$1, 0))</f>
        <v>妝自然圓形打亮 5.5g | INNISFREE Taiwan</v>
      </c>
      <c r="P390" s="28" t="str">
        <f t="array" ref="P390">INDEX('raw-sheet'!$A$2:$ZZ$1000, ROW(P389), MATCH(P$1, 'raw-sheet'!$A$1:$ZZ$1, 0))</f>
        <v>打造自然光澤的打亮效果</v>
      </c>
      <c r="Q390" s="28" t="str">
        <f t="array" ref="Q390">INDEX('raw-sheet'!$A$2:$ZZ$1000, ROW(Q389), MATCH(Q$1, 'raw-sheet'!$A$1:$ZZ$1, 0))</f>
        <v>product</v>
      </c>
      <c r="R390" s="28" t="str">
        <f t="array" ref="R390">INDEX('raw-sheet'!$A$2:$ZZ$1000, ROW(R389), MATCH(R$1, 'raw-sheet'!$A$1:$ZZ$1, 0))</f>
        <v>INNISFREE Taiwan</v>
      </c>
      <c r="S390" s="28" t="str">
        <f t="array" ref="S390">INDEX('raw-sheet'!$A$2:$ZZ$1000, ROW(S389), MATCH(S$1, 'raw-sheet'!$A$1:$ZZ$1, 0))</f>
        <v>http://innisfree-taiwan.myshopify.com/cdn/shop/files/pdp_mig_a3f7bd0f_20240318_1332_ID0101_1_jpg.jpg?v=1768543075</v>
      </c>
      <c r="T390" s="28" t="str">
        <f t="array" ref="T390">INDEX('raw-sheet'!$A$2:$ZZ$1000, ROW(T389), MATCH(T$1, 'raw-sheet'!$A$1:$ZZ$1, 0))</f>
        <v>https://innisfree-taiwan.myshopify.com/cdn/shop/files/pdp_mig_a3f7bd0f_20240318_1332_ID0101_1_jpg.jpg?v=1768543075</v>
      </c>
      <c r="U390" s="28" t="str">
        <f t="array" ref="U390">INDEX('raw-sheet'!$A$2:$ZZ$1000, ROW(U389), MATCH(U$1, 'raw-sheet'!$A$1:$ZZ$1, 0))</f>
        <v>https://innisfree-taiwan.myshopify.com/products/sheer-glowy-highlighter</v>
      </c>
      <c r="V390" s="28" t="str">
        <f t="array" ref="V390">INDEX('raw-sheet'!$A$2:$ZZ$1000, ROW(V389), MATCH(V$1, 'raw-sheet'!$A$1:$ZZ$1, 0))</f>
        <v>妝自然圓形打亮 5.5g | INNISFREE Taiwan</v>
      </c>
      <c r="W390" s="28" t="str">
        <f t="array" ref="W390">INDEX('raw-sheet'!$A$2:$ZZ$1000, ROW(W389), MATCH(W$1, 'raw-sheet'!$A$1:$ZZ$1, 0))</f>
        <v>打造自然光澤的打亮效果</v>
      </c>
      <c r="X390" s="28" t="str">
        <f t="array" ref="X390">INDEX('raw-sheet'!$A$2:$ZZ$1000, ROW(X389), MATCH(X$1, 'raw-sheet'!$A$1:$ZZ$1, 0))</f>
        <v>summary_large_image</v>
      </c>
      <c r="Y390" s="30" t="s">
        <v>11</v>
      </c>
      <c r="Z390" s="28" t="str">
        <f>VLOOKUP($A390,'raw-schema'!$A:$R,14,0)</f>
        <v>Brand</v>
      </c>
      <c r="AA390" s="28" t="str">
        <f>VLOOKUP($A390,'raw-schema'!$A:$R,15,0)</f>
        <v>Offer</v>
      </c>
      <c r="AB390" s="28" t="str">
        <f>VLOOKUP($A390,'raw-schema'!$A:$R,16,0)</f>
        <v>Organization</v>
      </c>
      <c r="AC390" s="28" t="str">
        <f>VLOOKUP($A390,'raw-schema'!$A:$R,17,0)</f>
        <v>Product</v>
      </c>
      <c r="AD390" s="28" t="str">
        <f>VLOOKUP($A390,'raw-schema'!$A:$R,18,0)</f>
        <v>ProductGroup</v>
      </c>
      <c r="AE390" s="30" t="s">
        <v>69</v>
      </c>
    </row>
    <row r="391" spans="1:32" x14ac:dyDescent="0.3">
      <c r="A391" s="28" t="str">
        <f t="array" ref="A391">INDEX('raw-sheet'!$A$2:$ZZ$1000, ROW(A390), MATCH(A$1, 'raw-sheet'!$A$1:$ZZ$1, 0))</f>
        <v>https://innisfree-taiwan.myshopify.com/products/silky-powder-blush</v>
      </c>
      <c r="B391" s="30" t="s">
        <v>11</v>
      </c>
      <c r="C391" s="28" t="str">
        <f t="array" ref="C391">INDEX('raw-sheet'!$A$2:$ZZ$1000, ROW(C390), MATCH(C$1, 'raw-sheet'!$A$1:$ZZ$1, 0))</f>
        <v>Product Detail</v>
      </c>
      <c r="D391" s="28">
        <f t="array" ref="D391">INDEX('raw-sheet'!$A$2:$ZZ$1000, ROW(D390), MATCH(D$1, 'raw-sheet'!$A$1:$ZZ$1, 0))</f>
        <v>200</v>
      </c>
      <c r="E391" s="30" t="str">
        <f t="shared" si="12"/>
        <v>Pass</v>
      </c>
      <c r="F391" s="28" t="str">
        <f t="array" ref="F391">INDEX('raw-sheet'!$A$2:$ZZ$1000, ROW(F390), MATCH(F$1, 'raw-sheet'!$A$1:$ZZ$1, 0))</f>
        <v>妝自然圓形腮紅 6.2g_x000D_ | INNISFREE Taiwan</v>
      </c>
      <c r="G391" s="30" t="s">
        <v>11</v>
      </c>
      <c r="H391" s="28" t="str">
        <f t="array" ref="H391">INDEX('raw-sheet'!$A$2:$ZZ$1000, ROW(H390), MATCH(H$1, 'raw-sheet'!$A$1:$ZZ$1, 0))</f>
        <v>絲柔質地的腮紅，打造自然好氣色</v>
      </c>
      <c r="I391" s="30" t="s">
        <v>11</v>
      </c>
      <c r="J391" s="28" t="str">
        <f t="array" ref="J391">INDEX('raw-sheet'!$A$2:$ZZ$1000, ROW(J390), MATCH(J$1, 'raw-sheet'!$A$1:$ZZ$1, 0))</f>
        <v>妝自然圓形腮紅 6.2g</v>
      </c>
      <c r="K391" s="28" t="str">
        <f t="array" ref="K391">INDEX('raw-sheet'!$A$2:$ZZ$1000, ROW(K390), MATCH(K$1, 'raw-sheet'!$A$1:$ZZ$1, 0))</f>
        <v>1</v>
      </c>
      <c r="L391" s="30" t="s">
        <v>11</v>
      </c>
      <c r="M391" s="28" t="str">
        <f t="array" ref="M391">INDEX('raw-sheet'!$A$2:$ZZ$1000, ROW(M390), MATCH(M$1, 'raw-sheet'!$A$1:$ZZ$1, 0))</f>
        <v>https://innisfree-taiwan.myshopify.com/products/silky-powder-blush</v>
      </c>
      <c r="N391" s="30" t="str">
        <f t="shared" si="13"/>
        <v>Pass</v>
      </c>
      <c r="O391" s="28" t="str">
        <f t="array" ref="O391">INDEX('raw-sheet'!$A$2:$ZZ$1000, ROW(O390), MATCH(O$1, 'raw-sheet'!$A$1:$ZZ$1, 0))</f>
        <v>妝自然圓形腮紅 6.2g | INNISFREE Taiwan</v>
      </c>
      <c r="P391" s="28" t="str">
        <f t="array" ref="P391">INDEX('raw-sheet'!$A$2:$ZZ$1000, ROW(P390), MATCH(P$1, 'raw-sheet'!$A$1:$ZZ$1, 0))</f>
        <v>絲柔質地的腮紅，打造自然好氣色</v>
      </c>
      <c r="Q391" s="28" t="str">
        <f t="array" ref="Q391">INDEX('raw-sheet'!$A$2:$ZZ$1000, ROW(Q390), MATCH(Q$1, 'raw-sheet'!$A$1:$ZZ$1, 0))</f>
        <v>product</v>
      </c>
      <c r="R391" s="28" t="str">
        <f t="array" ref="R391">INDEX('raw-sheet'!$A$2:$ZZ$1000, ROW(R390), MATCH(R$1, 'raw-sheet'!$A$1:$ZZ$1, 0))</f>
        <v>INNISFREE Taiwan</v>
      </c>
      <c r="S391" s="28" t="str">
        <f t="array" ref="S391">INDEX('raw-sheet'!$A$2:$ZZ$1000, ROW(S390), MATCH(S$1, 'raw-sheet'!$A$1:$ZZ$1, 0))</f>
        <v>http://innisfree-taiwan.myshopify.com/cdn/shop/files/pdp_mig_73392914_20240319_1334_ID0101_1_jpg.jpg?v=1768543074</v>
      </c>
      <c r="T391" s="28" t="str">
        <f t="array" ref="T391">INDEX('raw-sheet'!$A$2:$ZZ$1000, ROW(T390), MATCH(T$1, 'raw-sheet'!$A$1:$ZZ$1, 0))</f>
        <v>https://innisfree-taiwan.myshopify.com/cdn/shop/files/pdp_mig_73392914_20240319_1334_ID0101_1_jpg.jpg?v=1768543074</v>
      </c>
      <c r="U391" s="28" t="str">
        <f t="array" ref="U391">INDEX('raw-sheet'!$A$2:$ZZ$1000, ROW(U390), MATCH(U$1, 'raw-sheet'!$A$1:$ZZ$1, 0))</f>
        <v>https://innisfree-taiwan.myshopify.com/products/silky-powder-blush</v>
      </c>
      <c r="V391" s="28" t="str">
        <f t="array" ref="V391">INDEX('raw-sheet'!$A$2:$ZZ$1000, ROW(V390), MATCH(V$1, 'raw-sheet'!$A$1:$ZZ$1, 0))</f>
        <v>妝自然圓形腮紅 6.2g | INNISFREE Taiwan</v>
      </c>
      <c r="W391" s="28" t="str">
        <f t="array" ref="W391">INDEX('raw-sheet'!$A$2:$ZZ$1000, ROW(W390), MATCH(W$1, 'raw-sheet'!$A$1:$ZZ$1, 0))</f>
        <v>絲柔質地的腮紅，打造自然好氣色</v>
      </c>
      <c r="X391" s="28" t="str">
        <f t="array" ref="X391">INDEX('raw-sheet'!$A$2:$ZZ$1000, ROW(X390), MATCH(X$1, 'raw-sheet'!$A$1:$ZZ$1, 0))</f>
        <v>summary_large_image</v>
      </c>
      <c r="Y391" s="30" t="s">
        <v>11</v>
      </c>
      <c r="Z391" s="28" t="str">
        <f>VLOOKUP($A391,'raw-schema'!$A:$R,14,0)</f>
        <v>Brand</v>
      </c>
      <c r="AA391" s="28" t="str">
        <f>VLOOKUP($A391,'raw-schema'!$A:$R,15,0)</f>
        <v>Offer</v>
      </c>
      <c r="AB391" s="28" t="str">
        <f>VLOOKUP($A391,'raw-schema'!$A:$R,16,0)</f>
        <v>Organization</v>
      </c>
      <c r="AC391" s="28" t="str">
        <f>VLOOKUP($A391,'raw-schema'!$A:$R,17,0)</f>
        <v>Product</v>
      </c>
      <c r="AD391" s="28" t="str">
        <f>VLOOKUP($A391,'raw-schema'!$A:$R,18,0)</f>
        <v>ProductGroup</v>
      </c>
      <c r="AE391" s="30" t="s">
        <v>69</v>
      </c>
    </row>
    <row r="392" spans="1:32" x14ac:dyDescent="0.3">
      <c r="A392" s="28" t="str">
        <f t="array" ref="A392">INDEX('raw-sheet'!$A$2:$ZZ$1000, ROW(A391), MATCH(A$1, 'raw-sheet'!$A$1:$ZZ$1, 0))</f>
        <v>https://innisfree-taiwan.myshopify.com/products/sold-out-sample</v>
      </c>
      <c r="B392" s="30" t="s">
        <v>11</v>
      </c>
      <c r="C392" s="28" t="str">
        <f t="array" ref="C392">INDEX('raw-sheet'!$A$2:$ZZ$1000, ROW(C391), MATCH(C$1, 'raw-sheet'!$A$1:$ZZ$1, 0))</f>
        <v>Product Detail</v>
      </c>
      <c r="D392" s="28">
        <f t="array" ref="D392">INDEX('raw-sheet'!$A$2:$ZZ$1000, ROW(D391), MATCH(D$1, 'raw-sheet'!$A$1:$ZZ$1, 0))</f>
        <v>200</v>
      </c>
      <c r="E392" s="30" t="str">
        <f t="shared" si="12"/>
        <v>Pass</v>
      </c>
      <c r="F392" s="28" t="str">
        <f t="array" ref="F392">INDEX('raw-sheet'!$A$2:$ZZ$1000, ROW(F391), MATCH(F$1, 'raw-sheet'!$A$1:$ZZ$1, 0))</f>
        <v>[dev test] sold out sample_x000D_ | INNISFREE Taiwan</v>
      </c>
      <c r="G392" s="30" t="s">
        <v>11</v>
      </c>
      <c r="H392" s="28">
        <f t="array" ref="H392">INDEX('raw-sheet'!$A$2:$ZZ$1000, ROW(H391), MATCH(H$1, 'raw-sheet'!$A$1:$ZZ$1, 0))</f>
        <v>0</v>
      </c>
      <c r="I392" s="30" t="s">
        <v>61</v>
      </c>
      <c r="J392" s="28" t="str">
        <f t="array" ref="J392">INDEX('raw-sheet'!$A$2:$ZZ$1000, ROW(J391), MATCH(J$1, 'raw-sheet'!$A$1:$ZZ$1, 0))</f>
        <v>[dev test] sold out sample</v>
      </c>
      <c r="K392" s="28" t="str">
        <f t="array" ref="K392">INDEX('raw-sheet'!$A$2:$ZZ$1000, ROW(K391), MATCH(K$1, 'raw-sheet'!$A$1:$ZZ$1, 0))</f>
        <v>1</v>
      </c>
      <c r="L392" s="30" t="s">
        <v>11</v>
      </c>
      <c r="M392" s="28" t="str">
        <f t="array" ref="M392">INDEX('raw-sheet'!$A$2:$ZZ$1000, ROW(M391), MATCH(M$1, 'raw-sheet'!$A$1:$ZZ$1, 0))</f>
        <v>https://innisfree-taiwan.myshopify.com/products/sold-out-sample</v>
      </c>
      <c r="N392" s="30" t="str">
        <f t="shared" si="13"/>
        <v>Pass</v>
      </c>
      <c r="O392" s="28" t="str">
        <f t="array" ref="O392">INDEX('raw-sheet'!$A$2:$ZZ$1000, ROW(O391), MATCH(O$1, 'raw-sheet'!$A$1:$ZZ$1, 0))</f>
        <v>[dev test] sold out sample | INNISFREE Taiwan</v>
      </c>
      <c r="P392" s="28" t="str">
        <f t="array" ref="P392">INDEX('raw-sheet'!$A$2:$ZZ$1000, ROW(P391),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392" s="28" t="str">
        <f t="array" ref="Q392">INDEX('raw-sheet'!$A$2:$ZZ$1000, ROW(Q391), MATCH(Q$1, 'raw-sheet'!$A$1:$ZZ$1, 0))</f>
        <v>product</v>
      </c>
      <c r="R392" s="28" t="str">
        <f t="array" ref="R392">INDEX('raw-sheet'!$A$2:$ZZ$1000, ROW(R391), MATCH(R$1, 'raw-sheet'!$A$1:$ZZ$1, 0))</f>
        <v>INNISFREE Taiwan</v>
      </c>
      <c r="S392" s="28" t="str">
        <f t="array" ref="S392">INDEX('raw-sheet'!$A$2:$ZZ$1000, ROW(S391), MATCH(S$1, 'raw-sheet'!$A$1:$ZZ$1, 0))</f>
        <v>http://innisfree-taiwan.myshopify.com/cdn/shop/files/logo.png?v=1767594135</v>
      </c>
      <c r="T392" s="28" t="str">
        <f t="array" ref="T392">INDEX('raw-sheet'!$A$2:$ZZ$1000, ROW(T391), MATCH(T$1, 'raw-sheet'!$A$1:$ZZ$1, 0))</f>
        <v>https://innisfree-taiwan.myshopify.com/cdn/shop/files/logo.png?v=1767594135</v>
      </c>
      <c r="U392" s="28" t="str">
        <f t="array" ref="U392">INDEX('raw-sheet'!$A$2:$ZZ$1000, ROW(U391), MATCH(U$1, 'raw-sheet'!$A$1:$ZZ$1, 0))</f>
        <v>https://innisfree-taiwan.myshopify.com/products/sold-out-sample</v>
      </c>
      <c r="V392" s="28" t="str">
        <f t="array" ref="V392">INDEX('raw-sheet'!$A$2:$ZZ$1000, ROW(V391), MATCH(V$1, 'raw-sheet'!$A$1:$ZZ$1, 0))</f>
        <v>[dev test] sold out sample | INNISFREE Taiwan</v>
      </c>
      <c r="W392" s="28" t="str">
        <f t="array" ref="W392">INDEX('raw-sheet'!$A$2:$ZZ$1000, ROW(W391),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392" s="28" t="str">
        <f t="array" ref="X392">INDEX('raw-sheet'!$A$2:$ZZ$1000, ROW(X391), MATCH(X$1, 'raw-sheet'!$A$1:$ZZ$1, 0))</f>
        <v>summary_large_image</v>
      </c>
      <c r="Y392" s="30" t="s">
        <v>56</v>
      </c>
      <c r="Z392" s="28" t="str">
        <f>VLOOKUP($A392,'raw-schema'!$A:$R,14,0)</f>
        <v>Brand</v>
      </c>
      <c r="AA392" s="28" t="str">
        <f>VLOOKUP($A392,'raw-schema'!$A:$R,15,0)</f>
        <v>Offer</v>
      </c>
      <c r="AB392" s="28" t="str">
        <f>VLOOKUP($A392,'raw-schema'!$A:$R,16,0)</f>
        <v>Organization</v>
      </c>
      <c r="AC392" s="28" t="str">
        <f>VLOOKUP($A392,'raw-schema'!$A:$R,17,0)</f>
        <v>Product</v>
      </c>
      <c r="AD392" s="28">
        <f>VLOOKUP($A392,'raw-schema'!$A:$R,18,0)</f>
        <v>0</v>
      </c>
      <c r="AE392" s="30" t="s">
        <v>69</v>
      </c>
    </row>
    <row r="393" spans="1:32" x14ac:dyDescent="0.3">
      <c r="A393" s="28" t="str">
        <f t="array" ref="A393">INDEX('raw-sheet'!$A$2:$ZZ$1000, ROW(A392), MATCH(A$1, 'raw-sheet'!$A$1:$ZZ$1, 0))</f>
        <v>https://innisfree-taiwan.myshopify.com/products/super-volcanic-pore-clay-mask</v>
      </c>
      <c r="B393" s="30" t="s">
        <v>11</v>
      </c>
      <c r="C393" s="28" t="str">
        <f t="array" ref="C393">INDEX('raw-sheet'!$A$2:$ZZ$1000, ROW(C392), MATCH(C$1, 'raw-sheet'!$A$1:$ZZ$1, 0))</f>
        <v>Product Detail</v>
      </c>
      <c r="D393" s="28">
        <f t="array" ref="D393">INDEX('raw-sheet'!$A$2:$ZZ$1000, ROW(D392), MATCH(D$1, 'raw-sheet'!$A$1:$ZZ$1, 0))</f>
        <v>200</v>
      </c>
      <c r="E393" s="30" t="str">
        <f t="shared" si="12"/>
        <v>Pass</v>
      </c>
      <c r="F393" s="28" t="str">
        <f t="array" ref="F393">INDEX('raw-sheet'!$A$2:$ZZ$1000, ROW(F392), MATCH(F$1, 'raw-sheet'!$A$1:$ZZ$1, 0))</f>
        <v>超級火山泥毛孔潔淨面膜 &amp;#40;小熊維尼限定版&amp;#41;_x000D_ | INNISFREE Taiwan</v>
      </c>
      <c r="G393" s="30" t="s">
        <v>11</v>
      </c>
      <c r="H393" s="28" t="str">
        <f t="array" ref="H393">INDEX('raw-sheet'!$A$2:$ZZ$1000, ROW(H392), MATCH(H$1, 'raw-sheet'!$A$1:$ZZ$1, 0))</f>
        <v>含有火山皮脂淨化粉末成分，擁有強力吸附油脂的效果，集中解決毛孔問題的潔淨面膜。</v>
      </c>
      <c r="I393" s="30" t="s">
        <v>11</v>
      </c>
      <c r="J393" s="28" t="str">
        <f t="array" ref="J393">INDEX('raw-sheet'!$A$2:$ZZ$1000, ROW(J392), MATCH(J$1, 'raw-sheet'!$A$1:$ZZ$1, 0))</f>
        <v>超級火山泥毛孔潔淨面膜 (小熊維尼限定版)</v>
      </c>
      <c r="K393" s="28" t="str">
        <f t="array" ref="K393">INDEX('raw-sheet'!$A$2:$ZZ$1000, ROW(K392), MATCH(K$1, 'raw-sheet'!$A$1:$ZZ$1, 0))</f>
        <v>1</v>
      </c>
      <c r="L393" s="30" t="s">
        <v>11</v>
      </c>
      <c r="M393" s="28" t="str">
        <f t="array" ref="M393">INDEX('raw-sheet'!$A$2:$ZZ$1000, ROW(M392), MATCH(M$1, 'raw-sheet'!$A$1:$ZZ$1, 0))</f>
        <v>https://innisfree-taiwan.myshopify.com/products/super-volcanic-pore-clay-mask</v>
      </c>
      <c r="N393" s="30" t="str">
        <f t="shared" si="13"/>
        <v>Pass</v>
      </c>
      <c r="O393" s="28" t="str">
        <f t="array" ref="O393">INDEX('raw-sheet'!$A$2:$ZZ$1000, ROW(O392), MATCH(O$1, 'raw-sheet'!$A$1:$ZZ$1, 0))</f>
        <v>超級火山泥毛孔潔淨面膜 &amp;#40;小熊維尼限定版&amp;#41; | INNISFREE Taiwan</v>
      </c>
      <c r="P393" s="28" t="str">
        <f t="array" ref="P393">INDEX('raw-sheet'!$A$2:$ZZ$1000, ROW(P392), MATCH(P$1, 'raw-sheet'!$A$1:$ZZ$1, 0))</f>
        <v>含有火山皮脂淨化粉末成分，擁有強力吸附油脂的效果，集中解決毛孔問題的潔淨面膜。</v>
      </c>
      <c r="Q393" s="28" t="str">
        <f t="array" ref="Q393">INDEX('raw-sheet'!$A$2:$ZZ$1000, ROW(Q392), MATCH(Q$1, 'raw-sheet'!$A$1:$ZZ$1, 0))</f>
        <v>product</v>
      </c>
      <c r="R393" s="28" t="str">
        <f t="array" ref="R393">INDEX('raw-sheet'!$A$2:$ZZ$1000, ROW(R392), MATCH(R$1, 'raw-sheet'!$A$1:$ZZ$1, 0))</f>
        <v>INNISFREE Taiwan</v>
      </c>
      <c r="S393" s="28" t="str">
        <f t="array" ref="S393">INDEX('raw-sheet'!$A$2:$ZZ$1000, ROW(S392), MATCH(S$1, 'raw-sheet'!$A$1:$ZZ$1, 0))</f>
        <v>http://innisfree-taiwan.myshopify.com/cdn/shop/files/pdp_mig_80f2c382_20250826_1616_ID0101_1_jpg.jpg?v=1768543086</v>
      </c>
      <c r="T393" s="28" t="str">
        <f t="array" ref="T393">INDEX('raw-sheet'!$A$2:$ZZ$1000, ROW(T392), MATCH(T$1, 'raw-sheet'!$A$1:$ZZ$1, 0))</f>
        <v>https://innisfree-taiwan.myshopify.com/cdn/shop/files/pdp_mig_80f2c382_20250826_1616_ID0101_1_jpg.jpg?v=1768543086</v>
      </c>
      <c r="U393" s="28" t="str">
        <f t="array" ref="U393">INDEX('raw-sheet'!$A$2:$ZZ$1000, ROW(U392), MATCH(U$1, 'raw-sheet'!$A$1:$ZZ$1, 0))</f>
        <v>https://innisfree-taiwan.myshopify.com/products/super-volcanic-pore-clay-mask</v>
      </c>
      <c r="V393" s="28" t="str">
        <f t="array" ref="V393">INDEX('raw-sheet'!$A$2:$ZZ$1000, ROW(V392), MATCH(V$1, 'raw-sheet'!$A$1:$ZZ$1, 0))</f>
        <v>超級火山泥毛孔潔淨面膜 &amp;#40;小熊維尼限定版&amp;#41; | INNISFREE Taiwan</v>
      </c>
      <c r="W393" s="28" t="str">
        <f t="array" ref="W393">INDEX('raw-sheet'!$A$2:$ZZ$1000, ROW(W392), MATCH(W$1, 'raw-sheet'!$A$1:$ZZ$1, 0))</f>
        <v>含有火山皮脂淨化粉末成分，擁有強力吸附油脂的效果，集中解決毛孔問題的潔淨面膜。</v>
      </c>
      <c r="X393" s="28" t="str">
        <f t="array" ref="X393">INDEX('raw-sheet'!$A$2:$ZZ$1000, ROW(X392), MATCH(X$1, 'raw-sheet'!$A$1:$ZZ$1, 0))</f>
        <v>summary_large_image</v>
      </c>
      <c r="Y393" s="30" t="s">
        <v>11</v>
      </c>
      <c r="Z393" s="28" t="str">
        <f>VLOOKUP($A393,'raw-schema'!$A:$R,14,0)</f>
        <v>Brand</v>
      </c>
      <c r="AA393" s="28" t="str">
        <f>VLOOKUP($A393,'raw-schema'!$A:$R,15,0)</f>
        <v>Offer</v>
      </c>
      <c r="AB393" s="28" t="str">
        <f>VLOOKUP($A393,'raw-schema'!$A:$R,16,0)</f>
        <v>Organization</v>
      </c>
      <c r="AC393" s="28" t="str">
        <f>VLOOKUP($A393,'raw-schema'!$A:$R,17,0)</f>
        <v>Product</v>
      </c>
      <c r="AD393" s="28">
        <f>VLOOKUP($A393,'raw-schema'!$A:$R,18,0)</f>
        <v>0</v>
      </c>
      <c r="AE393" s="30" t="s">
        <v>69</v>
      </c>
    </row>
    <row r="394" spans="1:32" x14ac:dyDescent="0.3">
      <c r="A394" s="28" t="str">
        <f t="array" ref="A394">INDEX('raw-sheet'!$A$2:$ZZ$1000, ROW(A393), MATCH(A$1, 'raw-sheet'!$A$1:$ZZ$1, 0))</f>
        <v>https://innisfree-taiwan.myshopify.com/products/test-mainproduct001</v>
      </c>
      <c r="B394" s="30"/>
      <c r="C394" s="28" t="str">
        <f t="array" ref="C394">INDEX('raw-sheet'!$A$2:$ZZ$1000, ROW(C393), MATCH(C$1, 'raw-sheet'!$A$1:$ZZ$1, 0))</f>
        <v>Product Detail</v>
      </c>
      <c r="D394" s="28">
        <f t="array" ref="D394">INDEX('raw-sheet'!$A$2:$ZZ$1000, ROW(D393), MATCH(D$1, 'raw-sheet'!$A$1:$ZZ$1, 0))</f>
        <v>200</v>
      </c>
      <c r="E394" s="30" t="str">
        <f t="shared" si="12"/>
        <v>Pass</v>
      </c>
      <c r="F394" s="28" t="str">
        <f t="array" ref="F394">INDEX('raw-sheet'!$A$2:$ZZ$1000, ROW(F393), MATCH(F$1, 'raw-sheet'!$A$1:$ZZ$1, 0))</f>
        <v>[TEST] 1%A醇PDRN水光保濕組_x000D_ | INNISFREE Taiwan</v>
      </c>
      <c r="G394" s="30"/>
      <c r="H394" s="28">
        <f t="array" ref="H394">INDEX('raw-sheet'!$A$2:$ZZ$1000, ROW(H393), MATCH(H$1, 'raw-sheet'!$A$1:$ZZ$1, 0))</f>
        <v>0</v>
      </c>
      <c r="I394" s="30"/>
      <c r="J394" s="28" t="str">
        <f t="array" ref="J394">INDEX('raw-sheet'!$A$2:$ZZ$1000, ROW(J393), MATCH(J$1, 'raw-sheet'!$A$1:$ZZ$1, 0))</f>
        <v>[TEST] 1%A醇PDRN水光保濕組</v>
      </c>
      <c r="K394" s="28" t="str">
        <f t="array" ref="K394">INDEX('raw-sheet'!$A$2:$ZZ$1000, ROW(K393), MATCH(K$1, 'raw-sheet'!$A$1:$ZZ$1, 0))</f>
        <v>1</v>
      </c>
      <c r="L394" s="30"/>
      <c r="M394" s="28" t="str">
        <f t="array" ref="M394">INDEX('raw-sheet'!$A$2:$ZZ$1000, ROW(M393), MATCH(M$1, 'raw-sheet'!$A$1:$ZZ$1, 0))</f>
        <v>https://innisfree-taiwan.myshopify.com/products/test-mainproduct001</v>
      </c>
      <c r="N394" s="30" t="str">
        <f t="shared" si="13"/>
        <v>Pass</v>
      </c>
      <c r="O394" s="28" t="str">
        <f t="array" ref="O394">INDEX('raw-sheet'!$A$2:$ZZ$1000, ROW(O393), MATCH(O$1, 'raw-sheet'!$A$1:$ZZ$1, 0))</f>
        <v>[TEST] 1%A醇PDRN水光保濕組 | INNISFREE Taiwan</v>
      </c>
      <c r="P394" s="28" t="str">
        <f t="array" ref="P394">INDEX('raw-sheet'!$A$2:$ZZ$1000, ROW(P393),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394" s="28" t="str">
        <f t="array" ref="Q394">INDEX('raw-sheet'!$A$2:$ZZ$1000, ROW(Q393), MATCH(Q$1, 'raw-sheet'!$A$1:$ZZ$1, 0))</f>
        <v>product</v>
      </c>
      <c r="R394" s="28" t="str">
        <f t="array" ref="R394">INDEX('raw-sheet'!$A$2:$ZZ$1000, ROW(R393), MATCH(R$1, 'raw-sheet'!$A$1:$ZZ$1, 0))</f>
        <v>INNISFREE Taiwan</v>
      </c>
      <c r="S394" s="28" t="str">
        <f t="array" ref="S394">INDEX('raw-sheet'!$A$2:$ZZ$1000, ROW(S393), MATCH(S$1, 'raw-sheet'!$A$1:$ZZ$1, 0))</f>
        <v>http://innisfree-taiwan.myshopify.com/cdn/shop/files/logo.png?v=1767594135</v>
      </c>
      <c r="T394" s="28" t="str">
        <f t="array" ref="T394">INDEX('raw-sheet'!$A$2:$ZZ$1000, ROW(T393), MATCH(T$1, 'raw-sheet'!$A$1:$ZZ$1, 0))</f>
        <v>https://innisfree-taiwan.myshopify.com/cdn/shop/files/logo.png?v=1767594135</v>
      </c>
      <c r="U394" s="28" t="str">
        <f t="array" ref="U394">INDEX('raw-sheet'!$A$2:$ZZ$1000, ROW(U393), MATCH(U$1, 'raw-sheet'!$A$1:$ZZ$1, 0))</f>
        <v>https://innisfree-taiwan.myshopify.com/products/test-mainproduct001</v>
      </c>
      <c r="V394" s="28" t="str">
        <f t="array" ref="V394">INDEX('raw-sheet'!$A$2:$ZZ$1000, ROW(V393), MATCH(V$1, 'raw-sheet'!$A$1:$ZZ$1, 0))</f>
        <v>[TEST] 1%A醇PDRN水光保濕組 | INNISFREE Taiwan</v>
      </c>
      <c r="W394" s="28" t="str">
        <f t="array" ref="W394">INDEX('raw-sheet'!$A$2:$ZZ$1000, ROW(W393),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394" s="28" t="str">
        <f t="array" ref="X394">INDEX('raw-sheet'!$A$2:$ZZ$1000, ROW(X393), MATCH(X$1, 'raw-sheet'!$A$1:$ZZ$1, 0))</f>
        <v>summary_large_image</v>
      </c>
      <c r="Y394" s="30"/>
      <c r="Z394" s="28" t="str">
        <f>VLOOKUP($A394,'raw-schema'!$A:$R,14,0)</f>
        <v>Brand</v>
      </c>
      <c r="AA394" s="28" t="str">
        <f>VLOOKUP($A394,'raw-schema'!$A:$R,15,0)</f>
        <v>Offer</v>
      </c>
      <c r="AB394" s="28" t="str">
        <f>VLOOKUP($A394,'raw-schema'!$A:$R,16,0)</f>
        <v>Organization</v>
      </c>
      <c r="AC394" s="28" t="str">
        <f>VLOOKUP($A394,'raw-schema'!$A:$R,17,0)</f>
        <v>Product</v>
      </c>
      <c r="AD394" s="28">
        <f>VLOOKUP($A394,'raw-schema'!$A:$R,18,0)</f>
        <v>0</v>
      </c>
      <c r="AE394" s="30"/>
      <c r="AF394" t="s">
        <v>71</v>
      </c>
    </row>
    <row r="395" spans="1:32" x14ac:dyDescent="0.3">
      <c r="A395" s="28" t="str">
        <f t="array" ref="A395">INDEX('raw-sheet'!$A$2:$ZZ$1000, ROW(A394), MATCH(A$1, 'raw-sheet'!$A$1:$ZZ$1, 0))</f>
        <v>https://innisfree-taiwan.myshopify.com/products/test-sample-product-3</v>
      </c>
      <c r="B395" s="30"/>
      <c r="C395" s="28" t="str">
        <f t="array" ref="C395">INDEX('raw-sheet'!$A$2:$ZZ$1000, ROW(C394), MATCH(C$1, 'raw-sheet'!$A$1:$ZZ$1, 0))</f>
        <v>Product Detail</v>
      </c>
      <c r="D395" s="28">
        <f t="array" ref="D395">INDEX('raw-sheet'!$A$2:$ZZ$1000, ROW(D394), MATCH(D$1, 'raw-sheet'!$A$1:$ZZ$1, 0))</f>
        <v>200</v>
      </c>
      <c r="E395" s="30" t="str">
        <f t="shared" si="12"/>
        <v>Pass</v>
      </c>
      <c r="F395" s="28" t="str">
        <f t="array" ref="F395">INDEX('raw-sheet'!$A$2:$ZZ$1000, ROW(F394), MATCH(F$1, 'raw-sheet'!$A$1:$ZZ$1, 0))</f>
        <v>Test Sample product 3_x000D_ | INNISFREE Taiwan</v>
      </c>
      <c r="G395" s="30"/>
      <c r="H395" s="28" t="str">
        <f t="array" ref="H395">INDEX('raw-sheet'!$A$2:$ZZ$1000, ROW(H394), MATCH(H$1, 'raw-sheet'!$A$1:$ZZ$1, 0))</f>
        <v>pdp transcy test   配送</v>
      </c>
      <c r="I395" s="30"/>
      <c r="J395" s="28" t="str">
        <f t="array" ref="J395">INDEX('raw-sheet'!$A$2:$ZZ$1000, ROW(J394), MATCH(J$1, 'raw-sheet'!$A$1:$ZZ$1, 0))</f>
        <v>Test Sample product 3</v>
      </c>
      <c r="K395" s="28" t="str">
        <f t="array" ref="K395">INDEX('raw-sheet'!$A$2:$ZZ$1000, ROW(K394), MATCH(K$1, 'raw-sheet'!$A$1:$ZZ$1, 0))</f>
        <v>1</v>
      </c>
      <c r="L395" s="30"/>
      <c r="M395" s="28" t="str">
        <f t="array" ref="M395">INDEX('raw-sheet'!$A$2:$ZZ$1000, ROW(M394), MATCH(M$1, 'raw-sheet'!$A$1:$ZZ$1, 0))</f>
        <v>https://innisfree-taiwan.myshopify.com/products/test-sample-product-3</v>
      </c>
      <c r="N395" s="30" t="str">
        <f t="shared" si="13"/>
        <v>Pass</v>
      </c>
      <c r="O395" s="28" t="str">
        <f t="array" ref="O395">INDEX('raw-sheet'!$A$2:$ZZ$1000, ROW(O394), MATCH(O$1, 'raw-sheet'!$A$1:$ZZ$1, 0))</f>
        <v>Test Sample product 3 | INNISFREE Taiwan</v>
      </c>
      <c r="P395" s="28" t="str">
        <f t="array" ref="P395">INDEX('raw-sheet'!$A$2:$ZZ$1000, ROW(P394), MATCH(P$1, 'raw-sheet'!$A$1:$ZZ$1, 0))</f>
        <v>pdp transcy test   配送</v>
      </c>
      <c r="Q395" s="28" t="str">
        <f t="array" ref="Q395">INDEX('raw-sheet'!$A$2:$ZZ$1000, ROW(Q394), MATCH(Q$1, 'raw-sheet'!$A$1:$ZZ$1, 0))</f>
        <v>product</v>
      </c>
      <c r="R395" s="28" t="str">
        <f t="array" ref="R395">INDEX('raw-sheet'!$A$2:$ZZ$1000, ROW(R394), MATCH(R$1, 'raw-sheet'!$A$1:$ZZ$1, 0))</f>
        <v>INNISFREE Taiwan</v>
      </c>
      <c r="S395" s="28" t="str">
        <f t="array" ref="S395">INDEX('raw-sheet'!$A$2:$ZZ$1000, ROW(S394), MATCH(S$1, 'raw-sheet'!$A$1:$ZZ$1, 0))</f>
        <v>http://innisfree-taiwan.myshopify.com/cdn/shop/files/pdp_mig_product-66_ID0101_2.png?v=1764230689</v>
      </c>
      <c r="T395" s="28" t="str">
        <f t="array" ref="T395">INDEX('raw-sheet'!$A$2:$ZZ$1000, ROW(T394), MATCH(T$1, 'raw-sheet'!$A$1:$ZZ$1, 0))</f>
        <v>https://innisfree-taiwan.myshopify.com/cdn/shop/files/pdp_mig_product-66_ID0101_2.png?v=1764230689</v>
      </c>
      <c r="U395" s="28" t="str">
        <f t="array" ref="U395">INDEX('raw-sheet'!$A$2:$ZZ$1000, ROW(U394), MATCH(U$1, 'raw-sheet'!$A$1:$ZZ$1, 0))</f>
        <v>https://innisfree-taiwan.myshopify.com/products/test-sample-product-3</v>
      </c>
      <c r="V395" s="28" t="str">
        <f t="array" ref="V395">INDEX('raw-sheet'!$A$2:$ZZ$1000, ROW(V394), MATCH(V$1, 'raw-sheet'!$A$1:$ZZ$1, 0))</f>
        <v>Test Sample product 3 | INNISFREE Taiwan</v>
      </c>
      <c r="W395" s="28" t="str">
        <f t="array" ref="W395">INDEX('raw-sheet'!$A$2:$ZZ$1000, ROW(W394), MATCH(W$1, 'raw-sheet'!$A$1:$ZZ$1, 0))</f>
        <v>pdp transcy test   配送</v>
      </c>
      <c r="X395" s="28" t="str">
        <f t="array" ref="X395">INDEX('raw-sheet'!$A$2:$ZZ$1000, ROW(X394), MATCH(X$1, 'raw-sheet'!$A$1:$ZZ$1, 0))</f>
        <v>summary_large_image</v>
      </c>
      <c r="Y395" s="30"/>
      <c r="Z395" s="28" t="str">
        <f>VLOOKUP($A395,'raw-schema'!$A:$R,14,0)</f>
        <v>Brand</v>
      </c>
      <c r="AA395" s="28" t="str">
        <f>VLOOKUP($A395,'raw-schema'!$A:$R,15,0)</f>
        <v>Offer</v>
      </c>
      <c r="AB395" s="28" t="str">
        <f>VLOOKUP($A395,'raw-schema'!$A:$R,16,0)</f>
        <v>Organization</v>
      </c>
      <c r="AC395" s="28" t="str">
        <f>VLOOKUP($A395,'raw-schema'!$A:$R,17,0)</f>
        <v>Product</v>
      </c>
      <c r="AD395" s="28" t="str">
        <f>VLOOKUP($A395,'raw-schema'!$A:$R,18,0)</f>
        <v>ProductGroup</v>
      </c>
      <c r="AE395" s="30"/>
      <c r="AF395" t="s">
        <v>71</v>
      </c>
    </row>
    <row r="396" spans="1:32" x14ac:dyDescent="0.3">
      <c r="A396" s="28" t="str">
        <f t="array" ref="A396">INDEX('raw-sheet'!$A$2:$ZZ$1000, ROW(A395), MATCH(A$1, 'raw-sheet'!$A$1:$ZZ$1, 0))</f>
        <v>https://innisfree-taiwan.myshopify.com/products/tone-up-no-sebum-sunscreen23</v>
      </c>
      <c r="B396" s="30" t="s">
        <v>11</v>
      </c>
      <c r="C396" s="28" t="str">
        <f t="array" ref="C396">INDEX('raw-sheet'!$A$2:$ZZ$1000, ROW(C395), MATCH(C$1, 'raw-sheet'!$A$1:$ZZ$1, 0))</f>
        <v>Product Detail</v>
      </c>
      <c r="D396" s="28">
        <f t="array" ref="D396">INDEX('raw-sheet'!$A$2:$ZZ$1000, ROW(D395), MATCH(D$1, 'raw-sheet'!$A$1:$ZZ$1, 0))</f>
        <v>200</v>
      </c>
      <c r="E396" s="30" t="str">
        <f t="shared" si="12"/>
        <v>Pass</v>
      </c>
      <c r="F396" s="28" t="str">
        <f t="array" ref="F396">INDEX('raw-sheet'!$A$2:$ZZ$1000, ROW(F395), MATCH(F$1, 'raw-sheet'!$A$1:$ZZ$1, 0))</f>
        <v>向日葵亮顏控油防曬霜 SPF50+ PA++++ 60ml_x000D_ | INNISFREE Taiwan</v>
      </c>
      <c r="G396" s="30" t="s">
        <v>11</v>
      </c>
      <c r="H396" s="28" t="str">
        <f t="array" ref="H396">INDEX('raw-sheet'!$A$2:$ZZ$1000, ROW(H395), MATCH(H$1, 'raw-sheet'!$A$1:$ZZ$1, 0))</f>
        <v>物理性防曬+專利控油技術，能避免油脂分泌旺盛問題，同時達到長效持妝之功效。</v>
      </c>
      <c r="I396" s="30" t="s">
        <v>60</v>
      </c>
      <c r="J396" s="28" t="str">
        <f t="array" ref="J396">INDEX('raw-sheet'!$A$2:$ZZ$1000, ROW(J395), MATCH(J$1, 'raw-sheet'!$A$1:$ZZ$1, 0))</f>
        <v>向日葵亮顏控油防曬霜 SPF50+ PA++++ 60ml</v>
      </c>
      <c r="K396" s="28" t="str">
        <f t="array" ref="K396">INDEX('raw-sheet'!$A$2:$ZZ$1000, ROW(K395), MATCH(K$1, 'raw-sheet'!$A$1:$ZZ$1, 0))</f>
        <v>1</v>
      </c>
      <c r="L396" s="30" t="s">
        <v>11</v>
      </c>
      <c r="M396" s="28" t="str">
        <f t="array" ref="M396">INDEX('raw-sheet'!$A$2:$ZZ$1000, ROW(M395), MATCH(M$1, 'raw-sheet'!$A$1:$ZZ$1, 0))</f>
        <v>https://innisfree-taiwan.myshopify.com/products/tone-up-no-sebum-sunscreen23</v>
      </c>
      <c r="N396" s="30" t="str">
        <f t="shared" si="13"/>
        <v>Pass</v>
      </c>
      <c r="O396" s="28" t="str">
        <f t="array" ref="O396">INDEX('raw-sheet'!$A$2:$ZZ$1000, ROW(O395), MATCH(O$1, 'raw-sheet'!$A$1:$ZZ$1, 0))</f>
        <v>向日葵亮顏控油防曬霜 SPF50+ PA++++ 60ml | INNISFREE Taiwan</v>
      </c>
      <c r="P396" s="28" t="str">
        <f t="array" ref="P396">INDEX('raw-sheet'!$A$2:$ZZ$1000, ROW(P395), MATCH(P$1, 'raw-sheet'!$A$1:$ZZ$1, 0))</f>
        <v>物理性防曬+專利控油技術，能避免油脂分泌旺盛問題，同時達到長效持妝之功效。</v>
      </c>
      <c r="Q396" s="28" t="str">
        <f t="array" ref="Q396">INDEX('raw-sheet'!$A$2:$ZZ$1000, ROW(Q395), MATCH(Q$1, 'raw-sheet'!$A$1:$ZZ$1, 0))</f>
        <v>product</v>
      </c>
      <c r="R396" s="28" t="str">
        <f t="array" ref="R396">INDEX('raw-sheet'!$A$2:$ZZ$1000, ROW(R395), MATCH(R$1, 'raw-sheet'!$A$1:$ZZ$1, 0))</f>
        <v>INNISFREE Taiwan</v>
      </c>
      <c r="S396" s="28" t="str">
        <f t="array" ref="S396">INDEX('raw-sheet'!$A$2:$ZZ$1000, ROW(S395), MATCH(S$1, 'raw-sheet'!$A$1:$ZZ$1, 0))</f>
        <v>http://innisfree-taiwan.myshopify.com/cdn/shop/files/pdp_mig_f0af4d12_20231129_1056_ID0101_1_jpg.jpg?v=1768543093</v>
      </c>
      <c r="T396" s="28" t="str">
        <f t="array" ref="T396">INDEX('raw-sheet'!$A$2:$ZZ$1000, ROW(T395), MATCH(T$1, 'raw-sheet'!$A$1:$ZZ$1, 0))</f>
        <v>https://innisfree-taiwan.myshopify.com/cdn/shop/files/pdp_mig_f0af4d12_20231129_1056_ID0101_1_jpg.jpg?v=1768543093</v>
      </c>
      <c r="U396" s="28" t="str">
        <f t="array" ref="U396">INDEX('raw-sheet'!$A$2:$ZZ$1000, ROW(U395), MATCH(U$1, 'raw-sheet'!$A$1:$ZZ$1, 0))</f>
        <v>https://innisfree-taiwan.myshopify.com/products/tone-up-no-sebum-sunscreen23</v>
      </c>
      <c r="V396" s="28" t="str">
        <f t="array" ref="V396">INDEX('raw-sheet'!$A$2:$ZZ$1000, ROW(V395), MATCH(V$1, 'raw-sheet'!$A$1:$ZZ$1, 0))</f>
        <v>向日葵亮顏控油防曬霜 SPF50+ PA++++ 60ml | INNISFREE Taiwan</v>
      </c>
      <c r="W396" s="28" t="str">
        <f t="array" ref="W396">INDEX('raw-sheet'!$A$2:$ZZ$1000, ROW(W395), MATCH(W$1, 'raw-sheet'!$A$1:$ZZ$1, 0))</f>
        <v>物理性防曬+專利控油技術，能避免油脂分泌旺盛問題，同時達到長效持妝之功效。</v>
      </c>
      <c r="X396" s="28" t="str">
        <f t="array" ref="X396">INDEX('raw-sheet'!$A$2:$ZZ$1000, ROW(X395), MATCH(X$1, 'raw-sheet'!$A$1:$ZZ$1, 0))</f>
        <v>summary_large_image</v>
      </c>
      <c r="Y396" s="30" t="s">
        <v>56</v>
      </c>
      <c r="Z396" s="28" t="str">
        <f>VLOOKUP($A396,'raw-schema'!$A:$R,14,0)</f>
        <v>Brand</v>
      </c>
      <c r="AA396" s="28" t="str">
        <f>VLOOKUP($A396,'raw-schema'!$A:$R,15,0)</f>
        <v>Offer</v>
      </c>
      <c r="AB396" s="28" t="str">
        <f>VLOOKUP($A396,'raw-schema'!$A:$R,16,0)</f>
        <v>Organization</v>
      </c>
      <c r="AC396" s="28" t="str">
        <f>VLOOKUP($A396,'raw-schema'!$A:$R,17,0)</f>
        <v>Product</v>
      </c>
      <c r="AD396" s="28">
        <f>VLOOKUP($A396,'raw-schema'!$A:$R,18,0)</f>
        <v>0</v>
      </c>
      <c r="AE396" s="30" t="s">
        <v>69</v>
      </c>
    </row>
    <row r="397" spans="1:32" x14ac:dyDescent="0.3">
      <c r="A397" s="28" t="str">
        <f t="array" ref="A397">INDEX('raw-sheet'!$A$2:$ZZ$1000, ROW(A396), MATCH(A$1, 'raw-sheet'!$A$1:$ZZ$1, 0))</f>
        <v>https://innisfree-taiwan.myshopify.com/products/vcpdrn</v>
      </c>
      <c r="B397" s="30" t="s">
        <v>11</v>
      </c>
      <c r="C397" s="28" t="str">
        <f t="array" ref="C397">INDEX('raw-sheet'!$A$2:$ZZ$1000, ROW(C396), MATCH(C$1, 'raw-sheet'!$A$1:$ZZ$1, 0))</f>
        <v>Product Detail</v>
      </c>
      <c r="D397" s="28">
        <f t="array" ref="D397">INDEX('raw-sheet'!$A$2:$ZZ$1000, ROW(D396), MATCH(D$1, 'raw-sheet'!$A$1:$ZZ$1, 0))</f>
        <v>200</v>
      </c>
      <c r="E397" s="30" t="str">
        <f t="shared" si="12"/>
        <v>Pass</v>
      </c>
      <c r="F397" s="28" t="str">
        <f t="array" ref="F397">INDEX('raw-sheet'!$A$2:$ZZ$1000, ROW(F396), MATCH(F$1, 'raw-sheet'!$A$1:$ZZ$1, 0))</f>
        <v>[2月限定]早C晚A水光抗老組&amp;#40;進階版&amp;#41;_x000D_ | INNISFREE Taiwan</v>
      </c>
      <c r="G397" s="30" t="s">
        <v>11</v>
      </c>
      <c r="H397" s="28" t="str">
        <f t="array" ref="H397">INDEX('raw-sheet'!$A$2:$ZZ$1000, ROW(H396), MATCH(H$1, 'raw-sheet'!$A$1:$ZZ$1, 0))</f>
        <v>維他命C淨亮精華 30ml+1%A醇PDRN水光安瓶 25ml [早C晚A 進階保養] 推薦給想緊緻毛孔及預防細紋的人，醫美小白也能無痛煥膚打造水光奇肌！ 早上使用維生素C淡化斑點、改善暗沉 夜間使用PDRN水光安瓶緊緻肌膚、減少細紋，同時改善毛孔粗大問題</v>
      </c>
      <c r="I397" s="30" t="s">
        <v>60</v>
      </c>
      <c r="J397" s="28" t="str">
        <f t="array" ref="J397">INDEX('raw-sheet'!$A$2:$ZZ$1000, ROW(J396), MATCH(J$1, 'raw-sheet'!$A$1:$ZZ$1, 0))</f>
        <v>[2月限定]早C晚A水光抗老組(進階版)</v>
      </c>
      <c r="K397" s="28" t="str">
        <f t="array" ref="K397">INDEX('raw-sheet'!$A$2:$ZZ$1000, ROW(K396), MATCH(K$1, 'raw-sheet'!$A$1:$ZZ$1, 0))</f>
        <v>1</v>
      </c>
      <c r="L397" s="30" t="s">
        <v>11</v>
      </c>
      <c r="M397" s="28" t="str">
        <f t="array" ref="M397">INDEX('raw-sheet'!$A$2:$ZZ$1000, ROW(M396), MATCH(M$1, 'raw-sheet'!$A$1:$ZZ$1, 0))</f>
        <v>https://innisfree-taiwan.myshopify.com/products/vcpdrn</v>
      </c>
      <c r="N397" s="30" t="str">
        <f t="shared" si="13"/>
        <v>Pass</v>
      </c>
      <c r="O397" s="28" t="str">
        <f t="array" ref="O397">INDEX('raw-sheet'!$A$2:$ZZ$1000, ROW(O396), MATCH(O$1, 'raw-sheet'!$A$1:$ZZ$1, 0))</f>
        <v>[2月限定]早C晚A水光抗老組&amp;#40;進階版&amp;#41; | INNISFREE Taiwan</v>
      </c>
      <c r="P397" s="28" t="str">
        <f t="array" ref="P397">INDEX('raw-sheet'!$A$2:$ZZ$1000, ROW(P396), MATCH(P$1, 'raw-sheet'!$A$1:$ZZ$1, 0))</f>
        <v>維他命C淨亮精華 30ml+1%A醇PDRN水光安瓶 25ml [早C晚A 進階保養] 推薦給想緊緻毛孔及預防細紋的人，醫美小白也能無痛煥膚打造水光奇肌！ 早上使用維生素C淡化斑點、改善暗沉 夜間使用PDRN水光安瓶緊緻肌膚、減少細紋，同時改善毛孔粗大問題</v>
      </c>
      <c r="Q397" s="28" t="str">
        <f t="array" ref="Q397">INDEX('raw-sheet'!$A$2:$ZZ$1000, ROW(Q396), MATCH(Q$1, 'raw-sheet'!$A$1:$ZZ$1, 0))</f>
        <v>product</v>
      </c>
      <c r="R397" s="28" t="str">
        <f t="array" ref="R397">INDEX('raw-sheet'!$A$2:$ZZ$1000, ROW(R396), MATCH(R$1, 'raw-sheet'!$A$1:$ZZ$1, 0))</f>
        <v>INNISFREE Taiwan</v>
      </c>
      <c r="S397" s="28" t="str">
        <f t="array" ref="S397">INDEX('raw-sheet'!$A$2:$ZZ$1000, ROW(S396), MATCH(S$1, 'raw-sheet'!$A$1:$ZZ$1, 0))</f>
        <v>http://innisfree-taiwan.myshopify.com/cdn/shop/files/20260112_1727_ID0101_1.jpg?v=1770623247</v>
      </c>
      <c r="T397" s="28" t="str">
        <f t="array" ref="T397">INDEX('raw-sheet'!$A$2:$ZZ$1000, ROW(T396), MATCH(T$1, 'raw-sheet'!$A$1:$ZZ$1, 0))</f>
        <v>https://innisfree-taiwan.myshopify.com/cdn/shop/files/20260112_1727_ID0101_1.jpg?v=1770623247</v>
      </c>
      <c r="U397" s="28" t="str">
        <f t="array" ref="U397">INDEX('raw-sheet'!$A$2:$ZZ$1000, ROW(U396), MATCH(U$1, 'raw-sheet'!$A$1:$ZZ$1, 0))</f>
        <v>https://innisfree-taiwan.myshopify.com/products/vcpdrn</v>
      </c>
      <c r="V397" s="28" t="str">
        <f t="array" ref="V397">INDEX('raw-sheet'!$A$2:$ZZ$1000, ROW(V396), MATCH(V$1, 'raw-sheet'!$A$1:$ZZ$1, 0))</f>
        <v>[2月限定]早C晚A水光抗老組&amp;#40;進階版&amp;#41; | INNISFREE Taiwan</v>
      </c>
      <c r="W397" s="28" t="str">
        <f t="array" ref="W397">INDEX('raw-sheet'!$A$2:$ZZ$1000, ROW(W396), MATCH(W$1, 'raw-sheet'!$A$1:$ZZ$1, 0))</f>
        <v>維他命C淨亮精華 30ml+1%A醇PDRN水光安瓶 25ml [早C晚A 進階保養] 推薦給想緊緻毛孔及預防細紋的人，醫美小白也能無痛煥膚打造水光奇肌！ 早上使用維生素C淡化斑點、改善暗沉 夜間使用PDRN水光安瓶緊緻肌膚、減少細紋，同時改善毛孔粗大問題</v>
      </c>
      <c r="X397" s="28" t="str">
        <f t="array" ref="X397">INDEX('raw-sheet'!$A$2:$ZZ$1000, ROW(X396), MATCH(X$1, 'raw-sheet'!$A$1:$ZZ$1, 0))</f>
        <v>summary_large_image</v>
      </c>
      <c r="Y397" s="30" t="s">
        <v>56</v>
      </c>
      <c r="Z397" s="28" t="str">
        <f>VLOOKUP($A397,'raw-schema'!$A:$R,14,0)</f>
        <v>Brand</v>
      </c>
      <c r="AA397" s="28" t="str">
        <f>VLOOKUP($A397,'raw-schema'!$A:$R,15,0)</f>
        <v>Offer</v>
      </c>
      <c r="AB397" s="28" t="str">
        <f>VLOOKUP($A397,'raw-schema'!$A:$R,16,0)</f>
        <v>Organization</v>
      </c>
      <c r="AC397" s="28" t="str">
        <f>VLOOKUP($A397,'raw-schema'!$A:$R,17,0)</f>
        <v>Product</v>
      </c>
      <c r="AD397" s="28">
        <f>VLOOKUP($A397,'raw-schema'!$A:$R,18,0)</f>
        <v>0</v>
      </c>
      <c r="AE397" s="30" t="s">
        <v>69</v>
      </c>
    </row>
    <row r="398" spans="1:32" x14ac:dyDescent="0.3">
      <c r="A398" s="28" t="str">
        <f t="array" ref="A398">INDEX('raw-sheet'!$A$2:$ZZ$1000, ROW(A397), MATCH(A$1, 'raw-sheet'!$A$1:$ZZ$1, 0))</f>
        <v>https://innisfree-taiwan.myshopify.com/products/vcpdrn-01</v>
      </c>
      <c r="B398" s="30" t="s">
        <v>72</v>
      </c>
      <c r="C398" s="28" t="str">
        <f t="array" ref="C398">INDEX('raw-sheet'!$A$2:$ZZ$1000, ROW(C397), MATCH(C$1, 'raw-sheet'!$A$1:$ZZ$1, 0))</f>
        <v>Product Detail</v>
      </c>
      <c r="D398" s="28">
        <f t="array" ref="D398">INDEX('raw-sheet'!$A$2:$ZZ$1000, ROW(D397), MATCH(D$1, 'raw-sheet'!$A$1:$ZZ$1, 0))</f>
        <v>200</v>
      </c>
      <c r="E398" s="30" t="str">
        <f t="shared" si="12"/>
        <v>Pass</v>
      </c>
      <c r="F398" s="28" t="str">
        <f t="array" ref="F398">INDEX('raw-sheet'!$A$2:$ZZ$1000, ROW(F397), MATCH(F$1, 'raw-sheet'!$A$1:$ZZ$1, 0))</f>
        <v>[1月限定]早C晚A水光抗老組&amp;#40;進階版&amp;#41;_x000D_ | INNISFREE Taiwan</v>
      </c>
      <c r="G398" s="30" t="s">
        <v>11</v>
      </c>
      <c r="H398" s="28" t="str">
        <f t="array" ref="H398">INDEX('raw-sheet'!$A$2:$ZZ$1000, ROW(H397), MATCH(H$1, 'raw-sheet'!$A$1:$ZZ$1, 0))</f>
        <v>維他命C淨亮精華 30ml+1%A醇PDRN水光安瓶 25ml [早C晚A 進階保養] 推薦給想緊緻毛孔及預防細紋的人，醫美小白也能無痛煥膚打造水光奇肌！ 早上使用維生素C淡化斑點、改善暗沉 夜間使用PDRN水光安瓶緊緻肌膚、減少細紋，同時改善毛孔粗大問題</v>
      </c>
      <c r="I398" s="30" t="s">
        <v>60</v>
      </c>
      <c r="J398" s="28" t="str">
        <f t="array" ref="J398">INDEX('raw-sheet'!$A$2:$ZZ$1000, ROW(J397), MATCH(J$1, 'raw-sheet'!$A$1:$ZZ$1, 0))</f>
        <v>[1月限定]早C晚A水光抗老組(進階版)</v>
      </c>
      <c r="K398" s="28" t="str">
        <f t="array" ref="K398">INDEX('raw-sheet'!$A$2:$ZZ$1000, ROW(K397), MATCH(K$1, 'raw-sheet'!$A$1:$ZZ$1, 0))</f>
        <v>1</v>
      </c>
      <c r="L398" s="30" t="s">
        <v>11</v>
      </c>
      <c r="M398" s="28" t="str">
        <f t="array" ref="M398">INDEX('raw-sheet'!$A$2:$ZZ$1000, ROW(M397), MATCH(M$1, 'raw-sheet'!$A$1:$ZZ$1, 0))</f>
        <v>https://innisfree-taiwan.myshopify.com/products/vcpdrn-01</v>
      </c>
      <c r="N398" s="30" t="str">
        <f t="shared" si="13"/>
        <v>Pass</v>
      </c>
      <c r="O398" s="28" t="str">
        <f t="array" ref="O398">INDEX('raw-sheet'!$A$2:$ZZ$1000, ROW(O397), MATCH(O$1, 'raw-sheet'!$A$1:$ZZ$1, 0))</f>
        <v>[1月限定]早C晚A水光抗老組&amp;#40;進階版&amp;#41; | INNISFREE Taiwan</v>
      </c>
      <c r="P398" s="28" t="str">
        <f t="array" ref="P398">INDEX('raw-sheet'!$A$2:$ZZ$1000, ROW(P397), MATCH(P$1, 'raw-sheet'!$A$1:$ZZ$1, 0))</f>
        <v>維他命C淨亮精華 30ml+1%A醇PDRN水光安瓶 25ml [早C晚A 進階保養] 推薦給想緊緻毛孔及預防細紋的人，醫美小白也能無痛煥膚打造水光奇肌！ 早上使用維生素C淡化斑點、改善暗沉 夜間使用PDRN水光安瓶緊緻肌膚、減少細紋，同時改善毛孔粗大問題</v>
      </c>
      <c r="Q398" s="28" t="str">
        <f t="array" ref="Q398">INDEX('raw-sheet'!$A$2:$ZZ$1000, ROW(Q397), MATCH(Q$1, 'raw-sheet'!$A$1:$ZZ$1, 0))</f>
        <v>product</v>
      </c>
      <c r="R398" s="28" t="str">
        <f t="array" ref="R398">INDEX('raw-sheet'!$A$2:$ZZ$1000, ROW(R397), MATCH(R$1, 'raw-sheet'!$A$1:$ZZ$1, 0))</f>
        <v>INNISFREE Taiwan</v>
      </c>
      <c r="S398" s="28" t="str">
        <f t="array" ref="S398">INDEX('raw-sheet'!$A$2:$ZZ$1000, ROW(S397), MATCH(S$1, 'raw-sheet'!$A$1:$ZZ$1, 0))</f>
        <v>http://innisfree-taiwan.myshopify.com/cdn/shop/files/20251211_1711_ID0101_1.jpg?v=1770623248</v>
      </c>
      <c r="T398" s="28" t="str">
        <f t="array" ref="T398">INDEX('raw-sheet'!$A$2:$ZZ$1000, ROW(T397), MATCH(T$1, 'raw-sheet'!$A$1:$ZZ$1, 0))</f>
        <v>https://innisfree-taiwan.myshopify.com/cdn/shop/files/20251211_1711_ID0101_1.jpg?v=1770623248</v>
      </c>
      <c r="U398" s="28" t="str">
        <f t="array" ref="U398">INDEX('raw-sheet'!$A$2:$ZZ$1000, ROW(U397), MATCH(U$1, 'raw-sheet'!$A$1:$ZZ$1, 0))</f>
        <v>https://innisfree-taiwan.myshopify.com/products/vcpdrn-01</v>
      </c>
      <c r="V398" s="28" t="str">
        <f t="array" ref="V398">INDEX('raw-sheet'!$A$2:$ZZ$1000, ROW(V397), MATCH(V$1, 'raw-sheet'!$A$1:$ZZ$1, 0))</f>
        <v>[1月限定]早C晚A水光抗老組&amp;#40;進階版&amp;#41; | INNISFREE Taiwan</v>
      </c>
      <c r="W398" s="28" t="str">
        <f t="array" ref="W398">INDEX('raw-sheet'!$A$2:$ZZ$1000, ROW(W397), MATCH(W$1, 'raw-sheet'!$A$1:$ZZ$1, 0))</f>
        <v>維他命C淨亮精華 30ml+1%A醇PDRN水光安瓶 25ml [早C晚A 進階保養] 推薦給想緊緻毛孔及預防細紋的人，醫美小白也能無痛煥膚打造水光奇肌！ 早上使用維生素C淡化斑點、改善暗沉 夜間使用PDRN水光安瓶緊緻肌膚、減少細紋，同時改善毛孔粗大問題</v>
      </c>
      <c r="X398" s="28" t="str">
        <f t="array" ref="X398">INDEX('raw-sheet'!$A$2:$ZZ$1000, ROW(X397), MATCH(X$1, 'raw-sheet'!$A$1:$ZZ$1, 0))</f>
        <v>summary_large_image</v>
      </c>
      <c r="Y398" s="30" t="s">
        <v>56</v>
      </c>
      <c r="Z398" s="28" t="str">
        <f>VLOOKUP($A398,'raw-schema'!$A:$R,14,0)</f>
        <v>Brand</v>
      </c>
      <c r="AA398" s="28" t="str">
        <f>VLOOKUP($A398,'raw-schema'!$A:$R,15,0)</f>
        <v>Offer</v>
      </c>
      <c r="AB398" s="28" t="str">
        <f>VLOOKUP($A398,'raw-schema'!$A:$R,16,0)</f>
        <v>Organization</v>
      </c>
      <c r="AC398" s="28" t="str">
        <f>VLOOKUP($A398,'raw-schema'!$A:$R,17,0)</f>
        <v>Product</v>
      </c>
      <c r="AD398" s="28">
        <f>VLOOKUP($A398,'raw-schema'!$A:$R,18,0)</f>
        <v>0</v>
      </c>
      <c r="AE398" s="30" t="s">
        <v>69</v>
      </c>
    </row>
    <row r="399" spans="1:32" x14ac:dyDescent="0.3">
      <c r="A399" s="28" t="str">
        <f t="array" ref="A399">INDEX('raw-sheet'!$A$2:$ZZ$1000, ROW(A398), MATCH(A$1, 'raw-sheet'!$A$1:$ZZ$1, 0))</f>
        <v>https://innisfree-taiwan.myshopify.com/products/vcrca</v>
      </c>
      <c r="B399" s="30" t="s">
        <v>11</v>
      </c>
      <c r="C399" s="28" t="str">
        <f t="array" ref="C399">INDEX('raw-sheet'!$A$2:$ZZ$1000, ROW(C398), MATCH(C$1, 'raw-sheet'!$A$1:$ZZ$1, 0))</f>
        <v>Product Detail</v>
      </c>
      <c r="D399" s="28">
        <f t="array" ref="D399">INDEX('raw-sheet'!$A$2:$ZZ$1000, ROW(D398), MATCH(D$1, 'raw-sheet'!$A$1:$ZZ$1, 0))</f>
        <v>200</v>
      </c>
      <c r="E399" s="30" t="str">
        <f t="shared" si="12"/>
        <v>Pass</v>
      </c>
      <c r="F399" s="28" t="str">
        <f t="array" ref="F399">INDEX('raw-sheet'!$A$2:$ZZ$1000, ROW(F398), MATCH(F$1, 'raw-sheet'!$A$1:$ZZ$1, 0))</f>
        <v>[2月限定]早C晚A戰痘穩膚組&amp;#40;入門版&amp;#41;_x000D_ | INNISFREE Taiwan</v>
      </c>
      <c r="G399" s="30" t="s">
        <v>11</v>
      </c>
      <c r="H399" s="28" t="str">
        <f t="array" ref="H399">INDEX('raw-sheet'!$A$2:$ZZ$1000, ROW(H398), MATCH(H$1, 'raw-sheet'!$A$1:$ZZ$1, 0))</f>
        <v>維他命C淨亮精華 30ml+A醇淨膚超修護安瓶 30ml [早C晚A 入門保養] 推薦給肌膚暗沉及痘痘粉刺困擾的人，敏感肌也能無痛煥膚打造光透美肌！ 早上使用維生素C淡化斑點、改善暗沉 夜間使用A醇幫助肌膚溫和代謝老廢角質，改善痘痘粉刺困擾</v>
      </c>
      <c r="I399" s="30" t="s">
        <v>60</v>
      </c>
      <c r="J399" s="28" t="str">
        <f t="array" ref="J399">INDEX('raw-sheet'!$A$2:$ZZ$1000, ROW(J398), MATCH(J$1, 'raw-sheet'!$A$1:$ZZ$1, 0))</f>
        <v>[2月限定]早C晚A戰痘穩膚組(入門版)</v>
      </c>
      <c r="K399" s="28" t="str">
        <f t="array" ref="K399">INDEX('raw-sheet'!$A$2:$ZZ$1000, ROW(K398), MATCH(K$1, 'raw-sheet'!$A$1:$ZZ$1, 0))</f>
        <v>1</v>
      </c>
      <c r="L399" s="30" t="s">
        <v>11</v>
      </c>
      <c r="M399" s="28" t="str">
        <f t="array" ref="M399">INDEX('raw-sheet'!$A$2:$ZZ$1000, ROW(M398), MATCH(M$1, 'raw-sheet'!$A$1:$ZZ$1, 0))</f>
        <v>https://innisfree-taiwan.myshopify.com/products/vcrca</v>
      </c>
      <c r="N399" s="30" t="str">
        <f t="shared" si="13"/>
        <v>Pass</v>
      </c>
      <c r="O399" s="28" t="str">
        <f t="array" ref="O399">INDEX('raw-sheet'!$A$2:$ZZ$1000, ROW(O398), MATCH(O$1, 'raw-sheet'!$A$1:$ZZ$1, 0))</f>
        <v>[2月限定]早C晚A戰痘穩膚組&amp;#40;入門版&amp;#41; | INNISFREE Taiwan</v>
      </c>
      <c r="P399" s="28" t="str">
        <f t="array" ref="P399">INDEX('raw-sheet'!$A$2:$ZZ$1000, ROW(P398), MATCH(P$1, 'raw-sheet'!$A$1:$ZZ$1, 0))</f>
        <v>維他命C淨亮精華 30ml+A醇淨膚超修護安瓶 30ml [早C晚A 入門保養] 推薦給肌膚暗沉及痘痘粉刺困擾的人，敏感肌也能無痛煥膚打造光透美肌！ 早上使用維生素C淡化斑點、改善暗沉 夜間使用A醇幫助肌膚溫和代謝老廢角質，改善痘痘粉刺困擾</v>
      </c>
      <c r="Q399" s="28" t="str">
        <f t="array" ref="Q399">INDEX('raw-sheet'!$A$2:$ZZ$1000, ROW(Q398), MATCH(Q$1, 'raw-sheet'!$A$1:$ZZ$1, 0))</f>
        <v>product</v>
      </c>
      <c r="R399" s="28" t="str">
        <f t="array" ref="R399">INDEX('raw-sheet'!$A$2:$ZZ$1000, ROW(R398), MATCH(R$1, 'raw-sheet'!$A$1:$ZZ$1, 0))</f>
        <v>INNISFREE Taiwan</v>
      </c>
      <c r="S399" s="28" t="str">
        <f t="array" ref="S399">INDEX('raw-sheet'!$A$2:$ZZ$1000, ROW(S398), MATCH(S$1, 'raw-sheet'!$A$1:$ZZ$1, 0))</f>
        <v>http://innisfree-taiwan.myshopify.com/cdn/shop/files/20260112_1726_ID0101_1.jpg?v=1770623248</v>
      </c>
      <c r="T399" s="28" t="str">
        <f t="array" ref="T399">INDEX('raw-sheet'!$A$2:$ZZ$1000, ROW(T398), MATCH(T$1, 'raw-sheet'!$A$1:$ZZ$1, 0))</f>
        <v>https://innisfree-taiwan.myshopify.com/cdn/shop/files/20260112_1726_ID0101_1.jpg?v=1770623248</v>
      </c>
      <c r="U399" s="28" t="str">
        <f t="array" ref="U399">INDEX('raw-sheet'!$A$2:$ZZ$1000, ROW(U398), MATCH(U$1, 'raw-sheet'!$A$1:$ZZ$1, 0))</f>
        <v>https://innisfree-taiwan.myshopify.com/products/vcrca</v>
      </c>
      <c r="V399" s="28" t="str">
        <f t="array" ref="V399">INDEX('raw-sheet'!$A$2:$ZZ$1000, ROW(V398), MATCH(V$1, 'raw-sheet'!$A$1:$ZZ$1, 0))</f>
        <v>[2月限定]早C晚A戰痘穩膚組&amp;#40;入門版&amp;#41; | INNISFREE Taiwan</v>
      </c>
      <c r="W399" s="28" t="str">
        <f t="array" ref="W399">INDEX('raw-sheet'!$A$2:$ZZ$1000, ROW(W398), MATCH(W$1, 'raw-sheet'!$A$1:$ZZ$1, 0))</f>
        <v>維他命C淨亮精華 30ml+A醇淨膚超修護安瓶 30ml [早C晚A 入門保養] 推薦給肌膚暗沉及痘痘粉刺困擾的人，敏感肌也能無痛煥膚打造光透美肌！ 早上使用維生素C淡化斑點、改善暗沉 夜間使用A醇幫助肌膚溫和代謝老廢角質，改善痘痘粉刺困擾</v>
      </c>
      <c r="X399" s="28" t="str">
        <f t="array" ref="X399">INDEX('raw-sheet'!$A$2:$ZZ$1000, ROW(X398), MATCH(X$1, 'raw-sheet'!$A$1:$ZZ$1, 0))</f>
        <v>summary_large_image</v>
      </c>
      <c r="Y399" s="30" t="s">
        <v>56</v>
      </c>
      <c r="Z399" s="28" t="str">
        <f>VLOOKUP($A399,'raw-schema'!$A:$R,14,0)</f>
        <v>Brand</v>
      </c>
      <c r="AA399" s="28" t="str">
        <f>VLOOKUP($A399,'raw-schema'!$A:$R,15,0)</f>
        <v>Offer</v>
      </c>
      <c r="AB399" s="28" t="str">
        <f>VLOOKUP($A399,'raw-schema'!$A:$R,16,0)</f>
        <v>Organization</v>
      </c>
      <c r="AC399" s="28" t="str">
        <f>VLOOKUP($A399,'raw-schema'!$A:$R,17,0)</f>
        <v>Product</v>
      </c>
      <c r="AD399" s="28">
        <f>VLOOKUP($A399,'raw-schema'!$A:$R,18,0)</f>
        <v>0</v>
      </c>
      <c r="AE399" s="30" t="s">
        <v>69</v>
      </c>
    </row>
    <row r="400" spans="1:32" x14ac:dyDescent="0.3">
      <c r="A400" s="28" t="str">
        <f t="array" ref="A400">INDEX('raw-sheet'!$A$2:$ZZ$1000, ROW(A399), MATCH(A$1, 'raw-sheet'!$A$1:$ZZ$1, 0))</f>
        <v>https://innisfree-taiwan.myshopify.com/products/vcrca-01</v>
      </c>
      <c r="B400" s="30" t="s">
        <v>72</v>
      </c>
      <c r="C400" s="28" t="str">
        <f t="array" ref="C400">INDEX('raw-sheet'!$A$2:$ZZ$1000, ROW(C399), MATCH(C$1, 'raw-sheet'!$A$1:$ZZ$1, 0))</f>
        <v>Product Detail</v>
      </c>
      <c r="D400" s="28">
        <f t="array" ref="D400">INDEX('raw-sheet'!$A$2:$ZZ$1000, ROW(D399), MATCH(D$1, 'raw-sheet'!$A$1:$ZZ$1, 0))</f>
        <v>200</v>
      </c>
      <c r="E400" s="30" t="str">
        <f t="shared" si="12"/>
        <v>Pass</v>
      </c>
      <c r="F400" s="28" t="str">
        <f t="array" ref="F400">INDEX('raw-sheet'!$A$2:$ZZ$1000, ROW(F399), MATCH(F$1, 'raw-sheet'!$A$1:$ZZ$1, 0))</f>
        <v>[1月限定]早C晚A戰痘穩膚組&amp;#40;入門版&amp;#41;_x000D_ | INNISFREE Taiwan</v>
      </c>
      <c r="G400" s="30" t="s">
        <v>11</v>
      </c>
      <c r="H400" s="28" t="str">
        <f t="array" ref="H400">INDEX('raw-sheet'!$A$2:$ZZ$1000, ROW(H399), MATCH(H$1, 'raw-sheet'!$A$1:$ZZ$1, 0))</f>
        <v>維他命C淨亮精華 30ml+A醇淨膚超修護安瓶 30ml [早C晚A 入門保養] 推薦給肌膚暗沉及痘痘粉刺困擾的人，敏感肌也能無痛煥膚打造光透美肌！ 早上使用維生素C淡化斑點、改善暗沉 夜間使用A醇幫助肌膚溫和代謝老廢角質，改善痘痘粉刺困擾</v>
      </c>
      <c r="I400" s="30" t="s">
        <v>60</v>
      </c>
      <c r="J400" s="28" t="str">
        <f t="array" ref="J400">INDEX('raw-sheet'!$A$2:$ZZ$1000, ROW(J399), MATCH(J$1, 'raw-sheet'!$A$1:$ZZ$1, 0))</f>
        <v>[1月限定]早C晚A戰痘穩膚組(入門版)</v>
      </c>
      <c r="K400" s="28" t="str">
        <f t="array" ref="K400">INDEX('raw-sheet'!$A$2:$ZZ$1000, ROW(K399), MATCH(K$1, 'raw-sheet'!$A$1:$ZZ$1, 0))</f>
        <v>1</v>
      </c>
      <c r="L400" s="30" t="s">
        <v>11</v>
      </c>
      <c r="M400" s="28" t="str">
        <f t="array" ref="M400">INDEX('raw-sheet'!$A$2:$ZZ$1000, ROW(M399), MATCH(M$1, 'raw-sheet'!$A$1:$ZZ$1, 0))</f>
        <v>https://innisfree-taiwan.myshopify.com/products/vcrca-01</v>
      </c>
      <c r="N400" s="30" t="str">
        <f t="shared" si="13"/>
        <v>Pass</v>
      </c>
      <c r="O400" s="28" t="str">
        <f t="array" ref="O400">INDEX('raw-sheet'!$A$2:$ZZ$1000, ROW(O399), MATCH(O$1, 'raw-sheet'!$A$1:$ZZ$1, 0))</f>
        <v>[1月限定]早C晚A戰痘穩膚組&amp;#40;入門版&amp;#41; | INNISFREE Taiwan</v>
      </c>
      <c r="P400" s="28" t="str">
        <f t="array" ref="P400">INDEX('raw-sheet'!$A$2:$ZZ$1000, ROW(P399), MATCH(P$1, 'raw-sheet'!$A$1:$ZZ$1, 0))</f>
        <v>維他命C淨亮精華 30ml+A醇淨膚超修護安瓶 30ml [早C晚A 入門保養] 推薦給肌膚暗沉及痘痘粉刺困擾的人，敏感肌也能無痛煥膚打造光透美肌！ 早上使用維生素C淡化斑點、改善暗沉 夜間使用A醇幫助肌膚溫和代謝老廢角質，改善痘痘粉刺困擾</v>
      </c>
      <c r="Q400" s="28" t="str">
        <f t="array" ref="Q400">INDEX('raw-sheet'!$A$2:$ZZ$1000, ROW(Q399), MATCH(Q$1, 'raw-sheet'!$A$1:$ZZ$1, 0))</f>
        <v>product</v>
      </c>
      <c r="R400" s="28" t="str">
        <f t="array" ref="R400">INDEX('raw-sheet'!$A$2:$ZZ$1000, ROW(R399), MATCH(R$1, 'raw-sheet'!$A$1:$ZZ$1, 0))</f>
        <v>INNISFREE Taiwan</v>
      </c>
      <c r="S400" s="28" t="str">
        <f t="array" ref="S400">INDEX('raw-sheet'!$A$2:$ZZ$1000, ROW(S399), MATCH(S$1, 'raw-sheet'!$A$1:$ZZ$1, 0))</f>
        <v>http://innisfree-taiwan.myshopify.com/cdn/shop/files/20251210_1710_ID0101_1.jpg?v=1770623249</v>
      </c>
      <c r="T400" s="28" t="str">
        <f t="array" ref="T400">INDEX('raw-sheet'!$A$2:$ZZ$1000, ROW(T399), MATCH(T$1, 'raw-sheet'!$A$1:$ZZ$1, 0))</f>
        <v>https://innisfree-taiwan.myshopify.com/cdn/shop/files/20251210_1710_ID0101_1.jpg?v=1770623249</v>
      </c>
      <c r="U400" s="28" t="str">
        <f t="array" ref="U400">INDEX('raw-sheet'!$A$2:$ZZ$1000, ROW(U399), MATCH(U$1, 'raw-sheet'!$A$1:$ZZ$1, 0))</f>
        <v>https://innisfree-taiwan.myshopify.com/products/vcrca-01</v>
      </c>
      <c r="V400" s="28" t="str">
        <f t="array" ref="V400">INDEX('raw-sheet'!$A$2:$ZZ$1000, ROW(V399), MATCH(V$1, 'raw-sheet'!$A$1:$ZZ$1, 0))</f>
        <v>[1月限定]早C晚A戰痘穩膚組&amp;#40;入門版&amp;#41; | INNISFREE Taiwan</v>
      </c>
      <c r="W400" s="28" t="str">
        <f t="array" ref="W400">INDEX('raw-sheet'!$A$2:$ZZ$1000, ROW(W399), MATCH(W$1, 'raw-sheet'!$A$1:$ZZ$1, 0))</f>
        <v>維他命C淨亮精華 30ml+A醇淨膚超修護安瓶 30ml [早C晚A 入門保養] 推薦給肌膚暗沉及痘痘粉刺困擾的人，敏感肌也能無痛煥膚打造光透美肌！ 早上使用維生素C淡化斑點、改善暗沉 夜間使用A醇幫助肌膚溫和代謝老廢角質，改善痘痘粉刺困擾</v>
      </c>
      <c r="X400" s="28" t="str">
        <f t="array" ref="X400">INDEX('raw-sheet'!$A$2:$ZZ$1000, ROW(X399), MATCH(X$1, 'raw-sheet'!$A$1:$ZZ$1, 0))</f>
        <v>summary_large_image</v>
      </c>
      <c r="Y400" s="30" t="s">
        <v>56</v>
      </c>
      <c r="Z400" s="28" t="str">
        <f>VLOOKUP($A400,'raw-schema'!$A:$R,14,0)</f>
        <v>Brand</v>
      </c>
      <c r="AA400" s="28" t="str">
        <f>VLOOKUP($A400,'raw-schema'!$A:$R,15,0)</f>
        <v>Offer</v>
      </c>
      <c r="AB400" s="28" t="str">
        <f>VLOOKUP($A400,'raw-schema'!$A:$R,16,0)</f>
        <v>Organization</v>
      </c>
      <c r="AC400" s="28" t="str">
        <f>VLOOKUP($A400,'raw-schema'!$A:$R,17,0)</f>
        <v>Product</v>
      </c>
      <c r="AD400" s="28">
        <f>VLOOKUP($A400,'raw-schema'!$A:$R,18,0)</f>
        <v>0</v>
      </c>
      <c r="AE400" s="30" t="s">
        <v>69</v>
      </c>
    </row>
    <row r="401" spans="1:31" x14ac:dyDescent="0.3">
      <c r="A401" s="28" t="str">
        <f t="array" ref="A401">INDEX('raw-sheet'!$A$2:$ZZ$1000, ROW(A400), MATCH(A$1, 'raw-sheet'!$A$1:$ZZ$1, 0))</f>
        <v>https://innisfree-taiwan.myshopify.com/products/vcvcp</v>
      </c>
      <c r="B401" s="30" t="s">
        <v>11</v>
      </c>
      <c r="C401" s="28" t="str">
        <f t="array" ref="C401">INDEX('raw-sheet'!$A$2:$ZZ$1000, ROW(C400), MATCH(C$1, 'raw-sheet'!$A$1:$ZZ$1, 0))</f>
        <v>Product Detail</v>
      </c>
      <c r="D401" s="28">
        <f t="array" ref="D401">INDEX('raw-sheet'!$A$2:$ZZ$1000, ROW(D400), MATCH(D$1, 'raw-sheet'!$A$1:$ZZ$1, 0))</f>
        <v>200</v>
      </c>
      <c r="E401" s="30" t="str">
        <f t="shared" si="12"/>
        <v>Pass</v>
      </c>
      <c r="F401" s="28" t="str">
        <f t="array" ref="F401">INDEX('raw-sheet'!$A$2:$ZZ$1000, ROW(F400), MATCH(F$1, 'raw-sheet'!$A$1:$ZZ$1, 0))</f>
        <v>[1月限定]維C棉片兩用煥亮組_x000D_ | INNISFREE Taiwan</v>
      </c>
      <c r="G401" s="30" t="s">
        <v>11</v>
      </c>
      <c r="H401" s="28" t="str">
        <f t="array" ref="H401">INDEX('raw-sheet'!$A$2:$ZZ$1000, ROW(H400), MATCH(H$1, 'raw-sheet'!$A$1:$ZZ$1, 0))</f>
        <v>維他命C淨亮棉片60片+維他命C淨亮精華 50ml 推薦給肌膚暗沉、膚色不均或有斑點困擾的人，使用維他命C淨亮精華淡化斑點、改善暗沉、均勻膚色，搭配維他命C棉片擦拭&amp;濕敷，讓肌膚更光滑透亮。</v>
      </c>
      <c r="I401" s="30" t="s">
        <v>11</v>
      </c>
      <c r="J401" s="28" t="str">
        <f t="array" ref="J401">INDEX('raw-sheet'!$A$2:$ZZ$1000, ROW(J400), MATCH(J$1, 'raw-sheet'!$A$1:$ZZ$1, 0))</f>
        <v>[1月限定]維C棉片兩用煥亮組</v>
      </c>
      <c r="K401" s="28" t="str">
        <f t="array" ref="K401">INDEX('raw-sheet'!$A$2:$ZZ$1000, ROW(K400), MATCH(K$1, 'raw-sheet'!$A$1:$ZZ$1, 0))</f>
        <v>1</v>
      </c>
      <c r="L401" s="30" t="s">
        <v>11</v>
      </c>
      <c r="M401" s="28" t="str">
        <f t="array" ref="M401">INDEX('raw-sheet'!$A$2:$ZZ$1000, ROW(M400), MATCH(M$1, 'raw-sheet'!$A$1:$ZZ$1, 0))</f>
        <v>https://innisfree-taiwan.myshopify.com/products/vcvcp</v>
      </c>
      <c r="N401" s="30" t="str">
        <f t="shared" si="13"/>
        <v>Pass</v>
      </c>
      <c r="O401" s="28" t="str">
        <f t="array" ref="O401">INDEX('raw-sheet'!$A$2:$ZZ$1000, ROW(O400), MATCH(O$1, 'raw-sheet'!$A$1:$ZZ$1, 0))</f>
        <v>[1月限定]維C棉片兩用煥亮組 | INNISFREE Taiwan</v>
      </c>
      <c r="P401" s="28" t="str">
        <f t="array" ref="P401">INDEX('raw-sheet'!$A$2:$ZZ$1000, ROW(P400), MATCH(P$1, 'raw-sheet'!$A$1:$ZZ$1, 0))</f>
        <v>維他命C淨亮棉片60片+維他命C淨亮精華 50ml 推薦給肌膚暗沉、膚色不均或有斑點困擾的人，使用維他命C淨亮精華淡化斑點、改善暗沉、均勻膚色，搭配維他命C棉片擦拭&amp;濕敷，讓肌膚更光滑透亮。</v>
      </c>
      <c r="Q401" s="28" t="str">
        <f t="array" ref="Q401">INDEX('raw-sheet'!$A$2:$ZZ$1000, ROW(Q400), MATCH(Q$1, 'raw-sheet'!$A$1:$ZZ$1, 0))</f>
        <v>product</v>
      </c>
      <c r="R401" s="28" t="str">
        <f t="array" ref="R401">INDEX('raw-sheet'!$A$2:$ZZ$1000, ROW(R400), MATCH(R$1, 'raw-sheet'!$A$1:$ZZ$1, 0))</f>
        <v>INNISFREE Taiwan</v>
      </c>
      <c r="S401" s="28" t="str">
        <f t="array" ref="S401">INDEX('raw-sheet'!$A$2:$ZZ$1000, ROW(S400), MATCH(S$1, 'raw-sheet'!$A$1:$ZZ$1, 0))</f>
        <v>http://innisfree-taiwan.myshopify.com/cdn/shop/files/20251210_1708_ID0101_1.jpg?v=1770623250</v>
      </c>
      <c r="T401" s="28" t="str">
        <f t="array" ref="T401">INDEX('raw-sheet'!$A$2:$ZZ$1000, ROW(T400), MATCH(T$1, 'raw-sheet'!$A$1:$ZZ$1, 0))</f>
        <v>https://innisfree-taiwan.myshopify.com/cdn/shop/files/20251210_1708_ID0101_1.jpg?v=1770623250</v>
      </c>
      <c r="U401" s="28" t="str">
        <f t="array" ref="U401">INDEX('raw-sheet'!$A$2:$ZZ$1000, ROW(U400), MATCH(U$1, 'raw-sheet'!$A$1:$ZZ$1, 0))</f>
        <v>https://innisfree-taiwan.myshopify.com/products/vcvcp</v>
      </c>
      <c r="V401" s="28" t="str">
        <f t="array" ref="V401">INDEX('raw-sheet'!$A$2:$ZZ$1000, ROW(V400), MATCH(V$1, 'raw-sheet'!$A$1:$ZZ$1, 0))</f>
        <v>[1月限定]維C棉片兩用煥亮組 | INNISFREE Taiwan</v>
      </c>
      <c r="W401" s="28" t="str">
        <f t="array" ref="W401">INDEX('raw-sheet'!$A$2:$ZZ$1000, ROW(W400), MATCH(W$1, 'raw-sheet'!$A$1:$ZZ$1, 0))</f>
        <v>維他命C淨亮棉片60片+維他命C淨亮精華 50ml 推薦給肌膚暗沉、膚色不均或有斑點困擾的人，使用維他命C淨亮精華淡化斑點、改善暗沉、均勻膚色，搭配維他命C棉片擦拭&amp;濕敷，讓肌膚更光滑透亮。</v>
      </c>
      <c r="X401" s="28" t="str">
        <f t="array" ref="X401">INDEX('raw-sheet'!$A$2:$ZZ$1000, ROW(X400), MATCH(X$1, 'raw-sheet'!$A$1:$ZZ$1, 0))</f>
        <v>summary_large_image</v>
      </c>
      <c r="Y401" s="30" t="s">
        <v>11</v>
      </c>
      <c r="Z401" s="28" t="str">
        <f>VLOOKUP($A401,'raw-schema'!$A:$R,14,0)</f>
        <v>Brand</v>
      </c>
      <c r="AA401" s="28" t="str">
        <f>VLOOKUP($A401,'raw-schema'!$A:$R,15,0)</f>
        <v>Offer</v>
      </c>
      <c r="AB401" s="28" t="str">
        <f>VLOOKUP($A401,'raw-schema'!$A:$R,16,0)</f>
        <v>Organization</v>
      </c>
      <c r="AC401" s="28" t="str">
        <f>VLOOKUP($A401,'raw-schema'!$A:$R,17,0)</f>
        <v>Product</v>
      </c>
      <c r="AD401" s="28">
        <f>VLOOKUP($A401,'raw-schema'!$A:$R,18,0)</f>
        <v>0</v>
      </c>
      <c r="AE401" s="30" t="s">
        <v>69</v>
      </c>
    </row>
    <row r="402" spans="1:31" x14ac:dyDescent="0.3">
      <c r="A402" s="28" t="str">
        <f t="array" ref="A402">INDEX('raw-sheet'!$A$2:$ZZ$1000, ROW(A401), MATCH(A$1, 'raw-sheet'!$A$1:$ZZ$1, 0))</f>
        <v>https://innisfree-taiwan.myshopify.com/products/vitamin-c-green-tea-brightening-serum-gel-mask</v>
      </c>
      <c r="B402" s="30" t="s">
        <v>11</v>
      </c>
      <c r="C402" s="28" t="str">
        <f t="array" ref="C402">INDEX('raw-sheet'!$A$2:$ZZ$1000, ROW(C401), MATCH(C$1, 'raw-sheet'!$A$1:$ZZ$1, 0))</f>
        <v>Product Detail</v>
      </c>
      <c r="D402" s="28">
        <f t="array" ref="D402">INDEX('raw-sheet'!$A$2:$ZZ$1000, ROW(D401), MATCH(D$1, 'raw-sheet'!$A$1:$ZZ$1, 0))</f>
        <v>200</v>
      </c>
      <c r="E402" s="30" t="str">
        <f t="shared" ref="E402:E407" si="14">IF(D402=200,"Pass","Not")</f>
        <v>Pass</v>
      </c>
      <c r="F402" s="28" t="str">
        <f t="array" ref="F402">INDEX('raw-sheet'!$A$2:$ZZ$1000, ROW(F401), MATCH(F$1, 'raw-sheet'!$A$1:$ZZ$1, 0))</f>
        <v>維他命C淨亮精華果凍面膜 25ml_x000D_ | INNISFREE Taiwan</v>
      </c>
      <c r="G402" s="30" t="s">
        <v>11</v>
      </c>
      <c r="H402" s="28" t="str">
        <f t="array" ref="H402">INDEX('raw-sheet'!$A$2:$ZZ$1000, ROW(H401), MATCH(H$1, 'raw-sheet'!$A$1:$ZZ$1, 0))</f>
        <v>富含維他命C、穀胱甘肽與維他命B3三大亮白成分，有助於改善暗沉，促進肌膚淨透亮澤。在三款精華凝膠面膜中，輕盈清爽的質地，適合春夏等炎熱季節使用。</v>
      </c>
      <c r="I402" s="30" t="s">
        <v>11</v>
      </c>
      <c r="J402" s="28" t="str">
        <f t="array" ref="J402">INDEX('raw-sheet'!$A$2:$ZZ$1000, ROW(J401), MATCH(J$1, 'raw-sheet'!$A$1:$ZZ$1, 0))</f>
        <v>維他命C淨亮精華果凍面膜 25ml</v>
      </c>
      <c r="K402" s="28" t="str">
        <f t="array" ref="K402">INDEX('raw-sheet'!$A$2:$ZZ$1000, ROW(K401), MATCH(K$1, 'raw-sheet'!$A$1:$ZZ$1, 0))</f>
        <v>1</v>
      </c>
      <c r="L402" s="30" t="s">
        <v>11</v>
      </c>
      <c r="M402" s="28" t="str">
        <f t="array" ref="M402">INDEX('raw-sheet'!$A$2:$ZZ$1000, ROW(M401), MATCH(M$1, 'raw-sheet'!$A$1:$ZZ$1, 0))</f>
        <v>https://innisfree-taiwan.myshopify.com/products/vitamin-c-green-tea-brightening-serum-gel-mask</v>
      </c>
      <c r="N402" s="30" t="str">
        <f t="shared" ref="N402:N407" si="15">IF(A402=M402,"Pass","Not")</f>
        <v>Pass</v>
      </c>
      <c r="O402" s="28" t="str">
        <f t="array" ref="O402">INDEX('raw-sheet'!$A$2:$ZZ$1000, ROW(O401), MATCH(O$1, 'raw-sheet'!$A$1:$ZZ$1, 0))</f>
        <v>維他命C淨亮精華果凍面膜 25ml | INNISFREE Taiwan</v>
      </c>
      <c r="P402" s="28" t="str">
        <f t="array" ref="P402">INDEX('raw-sheet'!$A$2:$ZZ$1000, ROW(P401), MATCH(P$1, 'raw-sheet'!$A$1:$ZZ$1, 0))</f>
        <v>富含維他命C、穀胱甘肽與維他命B3三大亮白成分，有助於改善暗沉，促進肌膚淨透亮澤。在三款精華凝膠面膜中，輕盈清爽的質地，適合春夏等炎熱季節使用。</v>
      </c>
      <c r="Q402" s="28" t="str">
        <f t="array" ref="Q402">INDEX('raw-sheet'!$A$2:$ZZ$1000, ROW(Q401), MATCH(Q$1, 'raw-sheet'!$A$1:$ZZ$1, 0))</f>
        <v>product</v>
      </c>
      <c r="R402" s="28" t="str">
        <f t="array" ref="R402">INDEX('raw-sheet'!$A$2:$ZZ$1000, ROW(R401), MATCH(R$1, 'raw-sheet'!$A$1:$ZZ$1, 0))</f>
        <v>INNISFREE Taiwan</v>
      </c>
      <c r="S402" s="28" t="str">
        <f t="array" ref="S402">INDEX('raw-sheet'!$A$2:$ZZ$1000, ROW(S401), MATCH(S$1, 'raw-sheet'!$A$1:$ZZ$1, 0))</f>
        <v>http://innisfree-taiwan.myshopify.com/cdn/shop/files/pdp_mig_4c0f0ef8_20250620_1586_ID0101_1_jpg.jpg?v=1768543072</v>
      </c>
      <c r="T402" s="28" t="str">
        <f t="array" ref="T402">INDEX('raw-sheet'!$A$2:$ZZ$1000, ROW(T401), MATCH(T$1, 'raw-sheet'!$A$1:$ZZ$1, 0))</f>
        <v>https://innisfree-taiwan.myshopify.com/cdn/shop/files/pdp_mig_4c0f0ef8_20250620_1586_ID0101_1_jpg.jpg?v=1768543072</v>
      </c>
      <c r="U402" s="28" t="str">
        <f t="array" ref="U402">INDEX('raw-sheet'!$A$2:$ZZ$1000, ROW(U401), MATCH(U$1, 'raw-sheet'!$A$1:$ZZ$1, 0))</f>
        <v>https://innisfree-taiwan.myshopify.com/products/vitamin-c-green-tea-brightening-serum-gel-mask</v>
      </c>
      <c r="V402" s="28" t="str">
        <f t="array" ref="V402">INDEX('raw-sheet'!$A$2:$ZZ$1000, ROW(V401), MATCH(V$1, 'raw-sheet'!$A$1:$ZZ$1, 0))</f>
        <v>維他命C淨亮精華果凍面膜 25ml | INNISFREE Taiwan</v>
      </c>
      <c r="W402" s="28" t="str">
        <f t="array" ref="W402">INDEX('raw-sheet'!$A$2:$ZZ$1000, ROW(W401), MATCH(W$1, 'raw-sheet'!$A$1:$ZZ$1, 0))</f>
        <v>富含維他命C、穀胱甘肽與維他命B3三大亮白成分，有助於改善暗沉，促進肌膚淨透亮澤。在三款精華凝膠面膜中，輕盈清爽的質地，適合春夏等炎熱季節使用。</v>
      </c>
      <c r="X402" s="28" t="str">
        <f t="array" ref="X402">INDEX('raw-sheet'!$A$2:$ZZ$1000, ROW(X401), MATCH(X$1, 'raw-sheet'!$A$1:$ZZ$1, 0))</f>
        <v>summary_large_image</v>
      </c>
      <c r="Y402" s="30" t="s">
        <v>11</v>
      </c>
      <c r="Z402" s="28" t="str">
        <f>VLOOKUP($A402,'raw-schema'!$A:$R,14,0)</f>
        <v>Brand</v>
      </c>
      <c r="AA402" s="28" t="str">
        <f>VLOOKUP($A402,'raw-schema'!$A:$R,15,0)</f>
        <v>Offer</v>
      </c>
      <c r="AB402" s="28" t="str">
        <f>VLOOKUP($A402,'raw-schema'!$A:$R,16,0)</f>
        <v>Organization</v>
      </c>
      <c r="AC402" s="28" t="str">
        <f>VLOOKUP($A402,'raw-schema'!$A:$R,17,0)</f>
        <v>Product</v>
      </c>
      <c r="AD402" s="28">
        <f>VLOOKUP($A402,'raw-schema'!$A:$R,18,0)</f>
        <v>0</v>
      </c>
      <c r="AE402" s="30" t="s">
        <v>69</v>
      </c>
    </row>
    <row r="403" spans="1:31" x14ac:dyDescent="0.3">
      <c r="A403" s="28" t="str">
        <f t="array" ref="A403">INDEX('raw-sheet'!$A$2:$ZZ$1000, ROW(A402), MATCH(A$1, 'raw-sheet'!$A$1:$ZZ$1, 0))</f>
        <v>https://innisfree-taiwan.myshopify.com/products/vitamin-c-green-tea-enzyme-brightening</v>
      </c>
      <c r="B403" s="30" t="s">
        <v>11</v>
      </c>
      <c r="C403" s="28" t="str">
        <f t="array" ref="C403">INDEX('raw-sheet'!$A$2:$ZZ$1000, ROW(C402), MATCH(C$1, 'raw-sheet'!$A$1:$ZZ$1, 0))</f>
        <v>Product Detail</v>
      </c>
      <c r="D403" s="28">
        <f t="array" ref="D403">INDEX('raw-sheet'!$A$2:$ZZ$1000, ROW(D402), MATCH(D$1, 'raw-sheet'!$A$1:$ZZ$1, 0))</f>
        <v>200</v>
      </c>
      <c r="E403" s="30" t="str">
        <f t="shared" si="14"/>
        <v>Pass</v>
      </c>
      <c r="F403" s="28" t="str">
        <f t="array" ref="F403">INDEX('raw-sheet'!$A$2:$ZZ$1000, ROW(F402), MATCH(F$1, 'raw-sheet'!$A$1:$ZZ$1, 0))</f>
        <v>維他命C淨亮精華 50ml_x000D_ | INNISFREE Taiwan</v>
      </c>
      <c r="G403" s="30" t="s">
        <v>11</v>
      </c>
      <c r="H403" s="28" t="str">
        <f t="array" ref="H403">INDEX('raw-sheet'!$A$2:$ZZ$1000, ROW(H402), MATCH(H$1,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I403" s="30" t="s">
        <v>11</v>
      </c>
      <c r="J403" s="28" t="str">
        <f t="array" ref="J403">INDEX('raw-sheet'!$A$2:$ZZ$1000, ROW(J402), MATCH(J$1, 'raw-sheet'!$A$1:$ZZ$1, 0))</f>
        <v>維他命C淨亮精華 50ml</v>
      </c>
      <c r="K403" s="28" t="str">
        <f t="array" ref="K403">INDEX('raw-sheet'!$A$2:$ZZ$1000, ROW(K402), MATCH(K$1, 'raw-sheet'!$A$1:$ZZ$1, 0))</f>
        <v>1</v>
      </c>
      <c r="L403" s="30" t="s">
        <v>11</v>
      </c>
      <c r="M403" s="28" t="str">
        <f t="array" ref="M403">INDEX('raw-sheet'!$A$2:$ZZ$1000, ROW(M402), MATCH(M$1, 'raw-sheet'!$A$1:$ZZ$1, 0))</f>
        <v>https://innisfree-taiwan.myshopify.com/products/vitamin-c-green-tea-enzyme-brightening</v>
      </c>
      <c r="N403" s="30" t="str">
        <f t="shared" si="15"/>
        <v>Pass</v>
      </c>
      <c r="O403" s="28" t="str">
        <f t="array" ref="O403">INDEX('raw-sheet'!$A$2:$ZZ$1000, ROW(O402), MATCH(O$1, 'raw-sheet'!$A$1:$ZZ$1, 0))</f>
        <v>維他命C淨亮精華 50ml | INNISFREE Taiwan</v>
      </c>
      <c r="P403" s="28" t="str">
        <f t="array" ref="P403">INDEX('raw-sheet'!$A$2:$ZZ$1000, ROW(P402), MATCH(P$1,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Q403" s="28" t="str">
        <f t="array" ref="Q403">INDEX('raw-sheet'!$A$2:$ZZ$1000, ROW(Q402), MATCH(Q$1, 'raw-sheet'!$A$1:$ZZ$1, 0))</f>
        <v>product</v>
      </c>
      <c r="R403" s="28" t="str">
        <f t="array" ref="R403">INDEX('raw-sheet'!$A$2:$ZZ$1000, ROW(R402), MATCH(R$1, 'raw-sheet'!$A$1:$ZZ$1, 0))</f>
        <v>INNISFREE Taiwan</v>
      </c>
      <c r="S403" s="28" t="str">
        <f t="array" ref="S403">INDEX('raw-sheet'!$A$2:$ZZ$1000, ROW(S402), MATCH(S$1, 'raw-sheet'!$A$1:$ZZ$1, 0))</f>
        <v>http://innisfree-taiwan.myshopify.com/cdn/shop/files/pdp_mig_fbbe1d09_20250930_1353_ID0101_1_png.png?v=1768543074</v>
      </c>
      <c r="T403" s="28" t="str">
        <f t="array" ref="T403">INDEX('raw-sheet'!$A$2:$ZZ$1000, ROW(T402), MATCH(T$1, 'raw-sheet'!$A$1:$ZZ$1, 0))</f>
        <v>https://innisfree-taiwan.myshopify.com/cdn/shop/files/pdp_mig_fbbe1d09_20250930_1353_ID0101_1_png.png?v=1768543074</v>
      </c>
      <c r="U403" s="28" t="str">
        <f t="array" ref="U403">INDEX('raw-sheet'!$A$2:$ZZ$1000, ROW(U402), MATCH(U$1, 'raw-sheet'!$A$1:$ZZ$1, 0))</f>
        <v>https://innisfree-taiwan.myshopify.com/products/vitamin-c-green-tea-enzyme-brightening</v>
      </c>
      <c r="V403" s="28" t="str">
        <f t="array" ref="V403">INDEX('raw-sheet'!$A$2:$ZZ$1000, ROW(V402), MATCH(V$1, 'raw-sheet'!$A$1:$ZZ$1, 0))</f>
        <v>維他命C淨亮精華 50ml | INNISFREE Taiwan</v>
      </c>
      <c r="W403" s="28" t="str">
        <f t="array" ref="W403">INDEX('raw-sheet'!$A$2:$ZZ$1000, ROW(W402), MATCH(W$1,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X403" s="28" t="str">
        <f t="array" ref="X403">INDEX('raw-sheet'!$A$2:$ZZ$1000, ROW(X402), MATCH(X$1, 'raw-sheet'!$A$1:$ZZ$1, 0))</f>
        <v>summary_large_image</v>
      </c>
      <c r="Y403" s="30" t="s">
        <v>11</v>
      </c>
      <c r="Z403" s="28" t="str">
        <f>VLOOKUP($A403,'raw-schema'!$A:$R,14,0)</f>
        <v>Brand</v>
      </c>
      <c r="AA403" s="28" t="str">
        <f>VLOOKUP($A403,'raw-schema'!$A:$R,15,0)</f>
        <v>Offer</v>
      </c>
      <c r="AB403" s="28" t="str">
        <f>VLOOKUP($A403,'raw-schema'!$A:$R,16,0)</f>
        <v>Organization</v>
      </c>
      <c r="AC403" s="28" t="str">
        <f>VLOOKUP($A403,'raw-schema'!$A:$R,17,0)</f>
        <v>Product</v>
      </c>
      <c r="AD403" s="28">
        <f>VLOOKUP($A403,'raw-schema'!$A:$R,18,0)</f>
        <v>0</v>
      </c>
      <c r="AE403" s="30" t="s">
        <v>69</v>
      </c>
    </row>
    <row r="404" spans="1:31" x14ac:dyDescent="0.3">
      <c r="A404" s="28" t="str">
        <f t="array" ref="A404">INDEX('raw-sheet'!$A$2:$ZZ$1000, ROW(A403), MATCH(A$1, 'raw-sheet'!$A$1:$ZZ$1, 0))</f>
        <v>https://innisfree-taiwan.myshopify.com/products/vitamin-c-green-tea-enzyme-brightening-cream</v>
      </c>
      <c r="B404" s="30" t="s">
        <v>11</v>
      </c>
      <c r="C404" s="28" t="str">
        <f t="array" ref="C404">INDEX('raw-sheet'!$A$2:$ZZ$1000, ROW(C403), MATCH(C$1, 'raw-sheet'!$A$1:$ZZ$1, 0))</f>
        <v>Product Detail</v>
      </c>
      <c r="D404" s="28">
        <f t="array" ref="D404">INDEX('raw-sheet'!$A$2:$ZZ$1000, ROW(D403), MATCH(D$1, 'raw-sheet'!$A$1:$ZZ$1, 0))</f>
        <v>200</v>
      </c>
      <c r="E404" s="30" t="str">
        <f t="shared" si="14"/>
        <v>Pass</v>
      </c>
      <c r="F404" s="28" t="str">
        <f t="array" ref="F404">INDEX('raw-sheet'!$A$2:$ZZ$1000, ROW(F403), MATCH(F$1, 'raw-sheet'!$A$1:$ZZ$1, 0))</f>
        <v>維他命C淨亮淡斑凝霜 50ml_x000D_ | INNISFREE Taiwan</v>
      </c>
      <c r="G404" s="30" t="s">
        <v>11</v>
      </c>
      <c r="H404" s="28" t="str">
        <f t="array" ref="H404">INDEX('raw-sheet'!$A$2:$ZZ$1000, ROW(H403), MATCH(H$1, 'raw-sheet'!$A$1:$ZZ$1, 0))</f>
        <v>維他命C和綠茶酵素的亮白凝霜，可針對淡化斑點、改善膚色不均，打造淨透亮的肌膚。適合想改善斑點、提亮膚色，希望霜類產品保濕但不油膩且好吸收的顧客。</v>
      </c>
      <c r="I404" s="30" t="s">
        <v>11</v>
      </c>
      <c r="J404" s="28" t="str">
        <f t="array" ref="J404">INDEX('raw-sheet'!$A$2:$ZZ$1000, ROW(J403), MATCH(J$1, 'raw-sheet'!$A$1:$ZZ$1, 0))</f>
        <v>維他命C淨亮淡斑凝霜 50ml</v>
      </c>
      <c r="K404" s="28" t="str">
        <f t="array" ref="K404">INDEX('raw-sheet'!$A$2:$ZZ$1000, ROW(K403), MATCH(K$1, 'raw-sheet'!$A$1:$ZZ$1, 0))</f>
        <v>1</v>
      </c>
      <c r="L404" s="30" t="s">
        <v>11</v>
      </c>
      <c r="M404" s="28" t="str">
        <f t="array" ref="M404">INDEX('raw-sheet'!$A$2:$ZZ$1000, ROW(M403), MATCH(M$1, 'raw-sheet'!$A$1:$ZZ$1, 0))</f>
        <v>https://innisfree-taiwan.myshopify.com/products/vitamin-c-green-tea-enzyme-brightening-cream</v>
      </c>
      <c r="N404" s="30" t="str">
        <f t="shared" si="15"/>
        <v>Pass</v>
      </c>
      <c r="O404" s="28" t="str">
        <f t="array" ref="O404">INDEX('raw-sheet'!$A$2:$ZZ$1000, ROW(O403), MATCH(O$1, 'raw-sheet'!$A$1:$ZZ$1, 0))</f>
        <v>維他命C淨亮淡斑凝霜 50ml | INNISFREE Taiwan</v>
      </c>
      <c r="P404" s="28" t="str">
        <f t="array" ref="P404">INDEX('raw-sheet'!$A$2:$ZZ$1000, ROW(P403), MATCH(P$1, 'raw-sheet'!$A$1:$ZZ$1, 0))</f>
        <v>維他命C和綠茶酵素的亮白凝霜，可針對淡化斑點、改善膚色不均，打造淨透亮的肌膚。適合想改善斑點、提亮膚色，希望霜類產品保濕但不油膩且好吸收的顧客。</v>
      </c>
      <c r="Q404" s="28" t="str">
        <f t="array" ref="Q404">INDEX('raw-sheet'!$A$2:$ZZ$1000, ROW(Q403), MATCH(Q$1, 'raw-sheet'!$A$1:$ZZ$1, 0))</f>
        <v>product</v>
      </c>
      <c r="R404" s="28" t="str">
        <f t="array" ref="R404">INDEX('raw-sheet'!$A$2:$ZZ$1000, ROW(R403), MATCH(R$1, 'raw-sheet'!$A$1:$ZZ$1, 0))</f>
        <v>INNISFREE Taiwan</v>
      </c>
      <c r="S404" s="28" t="str">
        <f t="array" ref="S404">INDEX('raw-sheet'!$A$2:$ZZ$1000, ROW(S403), MATCH(S$1, 'raw-sheet'!$A$1:$ZZ$1, 0))</f>
        <v>http://innisfree-taiwan.myshopify.com/cdn/shop/files/pdp_mig_44a05e10_20260109_1517_ID0101_1_jpg.jpg?v=1768543073</v>
      </c>
      <c r="T404" s="28" t="str">
        <f t="array" ref="T404">INDEX('raw-sheet'!$A$2:$ZZ$1000, ROW(T403), MATCH(T$1, 'raw-sheet'!$A$1:$ZZ$1, 0))</f>
        <v>https://innisfree-taiwan.myshopify.com/cdn/shop/files/pdp_mig_44a05e10_20260109_1517_ID0101_1_jpg.jpg?v=1768543073</v>
      </c>
      <c r="U404" s="28" t="str">
        <f t="array" ref="U404">INDEX('raw-sheet'!$A$2:$ZZ$1000, ROW(U403), MATCH(U$1, 'raw-sheet'!$A$1:$ZZ$1, 0))</f>
        <v>https://innisfree-taiwan.myshopify.com/products/vitamin-c-green-tea-enzyme-brightening-cream</v>
      </c>
      <c r="V404" s="28" t="str">
        <f t="array" ref="V404">INDEX('raw-sheet'!$A$2:$ZZ$1000, ROW(V403), MATCH(V$1, 'raw-sheet'!$A$1:$ZZ$1, 0))</f>
        <v>維他命C淨亮淡斑凝霜 50ml | INNISFREE Taiwan</v>
      </c>
      <c r="W404" s="28" t="str">
        <f t="array" ref="W404">INDEX('raw-sheet'!$A$2:$ZZ$1000, ROW(W403), MATCH(W$1, 'raw-sheet'!$A$1:$ZZ$1, 0))</f>
        <v>維他命C和綠茶酵素的亮白凝霜，可針對淡化斑點、改善膚色不均，打造淨透亮的肌膚。適合想改善斑點、提亮膚色，希望霜類產品保濕但不油膩且好吸收的顧客。</v>
      </c>
      <c r="X404" s="28" t="str">
        <f t="array" ref="X404">INDEX('raw-sheet'!$A$2:$ZZ$1000, ROW(X403), MATCH(X$1, 'raw-sheet'!$A$1:$ZZ$1, 0))</f>
        <v>summary_large_image</v>
      </c>
      <c r="Y404" s="30" t="s">
        <v>11</v>
      </c>
      <c r="Z404" s="28" t="str">
        <f>VLOOKUP($A404,'raw-schema'!$A:$R,14,0)</f>
        <v>Brand</v>
      </c>
      <c r="AA404" s="28" t="str">
        <f>VLOOKUP($A404,'raw-schema'!$A:$R,15,0)</f>
        <v>Offer</v>
      </c>
      <c r="AB404" s="28" t="str">
        <f>VLOOKUP($A404,'raw-schema'!$A:$R,16,0)</f>
        <v>Organization</v>
      </c>
      <c r="AC404" s="28" t="str">
        <f>VLOOKUP($A404,'raw-schema'!$A:$R,17,0)</f>
        <v>Product</v>
      </c>
      <c r="AD404" s="28">
        <f>VLOOKUP($A404,'raw-schema'!$A:$R,18,0)</f>
        <v>0</v>
      </c>
      <c r="AE404" s="30" t="s">
        <v>69</v>
      </c>
    </row>
    <row r="405" spans="1:31" x14ac:dyDescent="0.3">
      <c r="A405" s="28" t="str">
        <f t="array" ref="A405">INDEX('raw-sheet'!$A$2:$ZZ$1000, ROW(A404), MATCH(A$1, 'raw-sheet'!$A$1:$ZZ$1, 0))</f>
        <v>https://innisfree-taiwan.myshopify.com/products/vitamin-c-green-tea-enzyme-brightening-pad</v>
      </c>
      <c r="B405" s="30" t="s">
        <v>11</v>
      </c>
      <c r="C405" s="28" t="str">
        <f t="array" ref="C405">INDEX('raw-sheet'!$A$2:$ZZ$1000, ROW(C404), MATCH(C$1, 'raw-sheet'!$A$1:$ZZ$1, 0))</f>
        <v>Product Detail</v>
      </c>
      <c r="D405" s="28">
        <f t="array" ref="D405">INDEX('raw-sheet'!$A$2:$ZZ$1000, ROW(D404), MATCH(D$1, 'raw-sheet'!$A$1:$ZZ$1, 0))</f>
        <v>200</v>
      </c>
      <c r="E405" s="30" t="str">
        <f t="shared" si="14"/>
        <v>Pass</v>
      </c>
      <c r="F405" s="28" t="str">
        <f t="array" ref="F405">INDEX('raw-sheet'!$A$2:$ZZ$1000, ROW(F404), MATCH(F$1, 'raw-sheet'!$A$1:$ZZ$1, 0))</f>
        <v>維他命C淨亮棉片170ml &amp;#40;60片&amp;#41;_x000D_ | INNISFREE Taiwan</v>
      </c>
      <c r="G405" s="30" t="s">
        <v>11</v>
      </c>
      <c r="H405" s="28" t="str">
        <f t="array" ref="H405">INDEX('raw-sheet'!$A$2:$ZZ$1000, ROW(H404), MATCH(H$1, 'raw-sheet'!$A$1:$ZZ$1, 0))</f>
        <v>富含維生素C淨亮精華的棉片，有助於淡化斑點、改善暗沉、均勻膚色，讓肌膚更光滑透亮。 全膚質適用，適合在意膚色不均、斑點問題，想要尋找溫和低敏亮白成分產品的顧客。</v>
      </c>
      <c r="I405" s="30" t="s">
        <v>11</v>
      </c>
      <c r="J405" s="28" t="str">
        <f t="array" ref="J405">INDEX('raw-sheet'!$A$2:$ZZ$1000, ROW(J404), MATCH(J$1, 'raw-sheet'!$A$1:$ZZ$1, 0))</f>
        <v>維他命C淨亮棉片170ml (60片)</v>
      </c>
      <c r="K405" s="28" t="str">
        <f t="array" ref="K405">INDEX('raw-sheet'!$A$2:$ZZ$1000, ROW(K404), MATCH(K$1, 'raw-sheet'!$A$1:$ZZ$1, 0))</f>
        <v>1</v>
      </c>
      <c r="L405" s="30" t="s">
        <v>11</v>
      </c>
      <c r="M405" s="28" t="str">
        <f t="array" ref="M405">INDEX('raw-sheet'!$A$2:$ZZ$1000, ROW(M404), MATCH(M$1, 'raw-sheet'!$A$1:$ZZ$1, 0))</f>
        <v>https://innisfree-taiwan.myshopify.com/products/vitamin-c-green-tea-enzyme-brightening-pad</v>
      </c>
      <c r="N405" s="30" t="str">
        <f t="shared" si="15"/>
        <v>Pass</v>
      </c>
      <c r="O405" s="28" t="str">
        <f t="array" ref="O405">INDEX('raw-sheet'!$A$2:$ZZ$1000, ROW(O404), MATCH(O$1, 'raw-sheet'!$A$1:$ZZ$1, 0))</f>
        <v>維他命C淨亮棉片170ml &amp;#40;60片&amp;#41; | INNISFREE Taiwan</v>
      </c>
      <c r="P405" s="28" t="str">
        <f t="array" ref="P405">INDEX('raw-sheet'!$A$2:$ZZ$1000, ROW(P404), MATCH(P$1, 'raw-sheet'!$A$1:$ZZ$1, 0))</f>
        <v>富含維生素C淨亮精華的棉片，有助於淡化斑點、改善暗沉、均勻膚色，讓肌膚更光滑透亮。 全膚質適用，適合在意膚色不均、斑點問題，想要尋找溫和低敏亮白成分產品的顧客。</v>
      </c>
      <c r="Q405" s="28" t="str">
        <f t="array" ref="Q405">INDEX('raw-sheet'!$A$2:$ZZ$1000, ROW(Q404), MATCH(Q$1, 'raw-sheet'!$A$1:$ZZ$1, 0))</f>
        <v>product</v>
      </c>
      <c r="R405" s="28" t="str">
        <f t="array" ref="R405">INDEX('raw-sheet'!$A$2:$ZZ$1000, ROW(R404), MATCH(R$1, 'raw-sheet'!$A$1:$ZZ$1, 0))</f>
        <v>INNISFREE Taiwan</v>
      </c>
      <c r="S405" s="28" t="str">
        <f t="array" ref="S405">INDEX('raw-sheet'!$A$2:$ZZ$1000, ROW(S404), MATCH(S$1, 'raw-sheet'!$A$1:$ZZ$1, 0))</f>
        <v>http://innisfree-taiwan.myshopify.com/cdn/shop/files/pdp_mig_bd408ff4_20240422_1351_ID0101_1_jpg.jpg?v=1768543073</v>
      </c>
      <c r="T405" s="28" t="str">
        <f t="array" ref="T405">INDEX('raw-sheet'!$A$2:$ZZ$1000, ROW(T404), MATCH(T$1, 'raw-sheet'!$A$1:$ZZ$1, 0))</f>
        <v>https://innisfree-taiwan.myshopify.com/cdn/shop/files/pdp_mig_bd408ff4_20240422_1351_ID0101_1_jpg.jpg?v=1768543073</v>
      </c>
      <c r="U405" s="28" t="str">
        <f t="array" ref="U405">INDEX('raw-sheet'!$A$2:$ZZ$1000, ROW(U404), MATCH(U$1, 'raw-sheet'!$A$1:$ZZ$1, 0))</f>
        <v>https://innisfree-taiwan.myshopify.com/products/vitamin-c-green-tea-enzyme-brightening-pad</v>
      </c>
      <c r="V405" s="28" t="str">
        <f t="array" ref="V405">INDEX('raw-sheet'!$A$2:$ZZ$1000, ROW(V404), MATCH(V$1, 'raw-sheet'!$A$1:$ZZ$1, 0))</f>
        <v>維他命C淨亮棉片170ml &amp;#40;60片&amp;#41; | INNISFREE Taiwan</v>
      </c>
      <c r="W405" s="28" t="str">
        <f t="array" ref="W405">INDEX('raw-sheet'!$A$2:$ZZ$1000, ROW(W404), MATCH(W$1, 'raw-sheet'!$A$1:$ZZ$1, 0))</f>
        <v>富含維生素C淨亮精華的棉片，有助於淡化斑點、改善暗沉、均勻膚色，讓肌膚更光滑透亮。 全膚質適用，適合在意膚色不均、斑點問題，想要尋找溫和低敏亮白成分產品的顧客。</v>
      </c>
      <c r="X405" s="28" t="str">
        <f t="array" ref="X405">INDEX('raw-sheet'!$A$2:$ZZ$1000, ROW(X404), MATCH(X$1, 'raw-sheet'!$A$1:$ZZ$1, 0))</f>
        <v>summary_large_image</v>
      </c>
      <c r="Y405" s="30" t="s">
        <v>11</v>
      </c>
      <c r="Z405" s="28" t="str">
        <f>VLOOKUP($A405,'raw-schema'!$A:$R,14,0)</f>
        <v>Brand</v>
      </c>
      <c r="AA405" s="28" t="str">
        <f>VLOOKUP($A405,'raw-schema'!$A:$R,15,0)</f>
        <v>Offer</v>
      </c>
      <c r="AB405" s="28" t="str">
        <f>VLOOKUP($A405,'raw-schema'!$A:$R,16,0)</f>
        <v>Organization</v>
      </c>
      <c r="AC405" s="28" t="str">
        <f>VLOOKUP($A405,'raw-schema'!$A:$R,17,0)</f>
        <v>Product</v>
      </c>
      <c r="AD405" s="28">
        <f>VLOOKUP($A405,'raw-schema'!$A:$R,18,0)</f>
        <v>0</v>
      </c>
      <c r="AE405" s="30" t="s">
        <v>69</v>
      </c>
    </row>
    <row r="406" spans="1:31" x14ac:dyDescent="0.3">
      <c r="A406" s="28" t="str">
        <f t="array" ref="A406">INDEX('raw-sheet'!$A$2:$ZZ$1000, ROW(A405), MATCH(A$1, 'raw-sheet'!$A$1:$ZZ$1, 0))</f>
        <v>https://innisfree-taiwan.myshopify.com/products/vitamin-c-green-tea-enzyme-brightening-serum</v>
      </c>
      <c r="B406" s="30" t="s">
        <v>11</v>
      </c>
      <c r="C406" s="28" t="str">
        <f t="array" ref="C406">INDEX('raw-sheet'!$A$2:$ZZ$1000, ROW(C405), MATCH(C$1, 'raw-sheet'!$A$1:$ZZ$1, 0))</f>
        <v>Product Detail</v>
      </c>
      <c r="D406" s="28">
        <f t="array" ref="D406">INDEX('raw-sheet'!$A$2:$ZZ$1000, ROW(D405), MATCH(D$1, 'raw-sheet'!$A$1:$ZZ$1, 0))</f>
        <v>200</v>
      </c>
      <c r="E406" s="30" t="str">
        <f t="shared" si="14"/>
        <v>Pass</v>
      </c>
      <c r="F406" s="28" t="str">
        <f t="array" ref="F406">INDEX('raw-sheet'!$A$2:$ZZ$1000, ROW(F405), MATCH(F$1, 'raw-sheet'!$A$1:$ZZ$1, 0))</f>
        <v>維他命C淨亮精華 30ml_x000D_ | INNISFREE Taiwan</v>
      </c>
      <c r="G406" s="30" t="s">
        <v>11</v>
      </c>
      <c r="H406" s="28" t="str">
        <f t="array" ref="H406">INDEX('raw-sheet'!$A$2:$ZZ$1000, ROW(H405), MATCH(H$1,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I406" s="30" t="s">
        <v>11</v>
      </c>
      <c r="J406" s="28" t="str">
        <f t="array" ref="J406">INDEX('raw-sheet'!$A$2:$ZZ$1000, ROW(J405), MATCH(J$1, 'raw-sheet'!$A$1:$ZZ$1, 0))</f>
        <v>維他命C淨亮精華 30ml</v>
      </c>
      <c r="K406" s="28" t="str">
        <f t="array" ref="K406">INDEX('raw-sheet'!$A$2:$ZZ$1000, ROW(K405), MATCH(K$1, 'raw-sheet'!$A$1:$ZZ$1, 0))</f>
        <v>1</v>
      </c>
      <c r="L406" s="30" t="s">
        <v>11</v>
      </c>
      <c r="M406" s="28" t="str">
        <f t="array" ref="M406">INDEX('raw-sheet'!$A$2:$ZZ$1000, ROW(M405), MATCH(M$1, 'raw-sheet'!$A$1:$ZZ$1, 0))</f>
        <v>https://innisfree-taiwan.myshopify.com/products/vitamin-c-green-tea-enzyme-brightening-serum</v>
      </c>
      <c r="N406" s="30" t="str">
        <f t="shared" si="15"/>
        <v>Pass</v>
      </c>
      <c r="O406" s="28" t="str">
        <f t="array" ref="O406">INDEX('raw-sheet'!$A$2:$ZZ$1000, ROW(O405), MATCH(O$1, 'raw-sheet'!$A$1:$ZZ$1, 0))</f>
        <v>維他命C淨亮精華 30ml | INNISFREE Taiwan</v>
      </c>
      <c r="P406" s="28" t="str">
        <f t="array" ref="P406">INDEX('raw-sheet'!$A$2:$ZZ$1000, ROW(P405), MATCH(P$1,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Q406" s="28" t="str">
        <f t="array" ref="Q406">INDEX('raw-sheet'!$A$2:$ZZ$1000, ROW(Q405), MATCH(Q$1, 'raw-sheet'!$A$1:$ZZ$1, 0))</f>
        <v>product</v>
      </c>
      <c r="R406" s="28" t="str">
        <f t="array" ref="R406">INDEX('raw-sheet'!$A$2:$ZZ$1000, ROW(R405), MATCH(R$1, 'raw-sheet'!$A$1:$ZZ$1, 0))</f>
        <v>INNISFREE Taiwan</v>
      </c>
      <c r="S406" s="28" t="str">
        <f t="array" ref="S406">INDEX('raw-sheet'!$A$2:$ZZ$1000, ROW(S405), MATCH(S$1, 'raw-sheet'!$A$1:$ZZ$1, 0))</f>
        <v>http://innisfree-taiwan.myshopify.com/cdn/shop/files/pdp_mig_1fa1baef_20250930_1099_ID0101_1_jpg.jpg?v=1768543091</v>
      </c>
      <c r="T406" s="28" t="str">
        <f t="array" ref="T406">INDEX('raw-sheet'!$A$2:$ZZ$1000, ROW(T405), MATCH(T$1, 'raw-sheet'!$A$1:$ZZ$1, 0))</f>
        <v>https://innisfree-taiwan.myshopify.com/cdn/shop/files/pdp_mig_1fa1baef_20250930_1099_ID0101_1_jpg.jpg?v=1768543091</v>
      </c>
      <c r="U406" s="28" t="str">
        <f t="array" ref="U406">INDEX('raw-sheet'!$A$2:$ZZ$1000, ROW(U405), MATCH(U$1, 'raw-sheet'!$A$1:$ZZ$1, 0))</f>
        <v>https://innisfree-taiwan.myshopify.com/products/vitamin-c-green-tea-enzyme-brightening-serum</v>
      </c>
      <c r="V406" s="28" t="str">
        <f t="array" ref="V406">INDEX('raw-sheet'!$A$2:$ZZ$1000, ROW(V405), MATCH(V$1, 'raw-sheet'!$A$1:$ZZ$1, 0))</f>
        <v>維他命C淨亮精華 30ml | INNISFREE Taiwan</v>
      </c>
      <c r="W406" s="28" t="str">
        <f t="array" ref="W406">INDEX('raw-sheet'!$A$2:$ZZ$1000, ROW(W405), MATCH(W$1,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X406" s="28" t="str">
        <f t="array" ref="X406">INDEX('raw-sheet'!$A$2:$ZZ$1000, ROW(X405), MATCH(X$1, 'raw-sheet'!$A$1:$ZZ$1, 0))</f>
        <v>summary_large_image</v>
      </c>
      <c r="Y406" s="30" t="s">
        <v>11</v>
      </c>
      <c r="Z406" s="28" t="str">
        <f>VLOOKUP($A406,'raw-schema'!$A:$R,14,0)</f>
        <v>Brand</v>
      </c>
      <c r="AA406" s="28" t="str">
        <f>VLOOKUP($A406,'raw-schema'!$A:$R,15,0)</f>
        <v>Offer</v>
      </c>
      <c r="AB406" s="28" t="str">
        <f>VLOOKUP($A406,'raw-schema'!$A:$R,16,0)</f>
        <v>Organization</v>
      </c>
      <c r="AC406" s="28" t="str">
        <f>VLOOKUP($A406,'raw-schema'!$A:$R,17,0)</f>
        <v>Product</v>
      </c>
      <c r="AD406" s="28">
        <f>VLOOKUP($A406,'raw-schema'!$A:$R,18,0)</f>
        <v>0</v>
      </c>
      <c r="AE406" s="30" t="s">
        <v>69</v>
      </c>
    </row>
    <row r="407" spans="1:31" x14ac:dyDescent="0.3">
      <c r="A407" s="28" t="str">
        <f t="array" ref="A407">INDEX('raw-sheet'!$A$2:$ZZ$1000, ROW(A406), MATCH(A$1, 'raw-sheet'!$A$1:$ZZ$1, 0))</f>
        <v>https://innisfree-taiwan.myshopify.com/password</v>
      </c>
      <c r="B407" s="30" t="s">
        <v>11</v>
      </c>
      <c r="C407" s="28">
        <f t="array" ref="C407">INDEX('raw-sheet'!$A$2:$ZZ$1000, ROW(C406), MATCH(C$1, 'raw-sheet'!$A$1:$ZZ$1, 0))</f>
        <v>0</v>
      </c>
      <c r="D407" s="28">
        <f t="array" ref="D407">INDEX('raw-sheet'!$A$2:$ZZ$1000, ROW(D406), MATCH(D$1, 'raw-sheet'!$A$1:$ZZ$1, 0))</f>
        <v>200</v>
      </c>
      <c r="E407" s="30" t="str">
        <f t="shared" si="14"/>
        <v>Pass</v>
      </c>
      <c r="F407" s="28" t="str">
        <f t="array" ref="F407">INDEX('raw-sheet'!$A$2:$ZZ$1000, ROW(F406), MATCH(F$1, 'raw-sheet'!$A$1:$ZZ$1, 0))</f>
        <v>INNISFREE Taiwan</v>
      </c>
      <c r="G407" s="30" t="s">
        <v>11</v>
      </c>
      <c r="H407" s="28">
        <f t="array" ref="H407">INDEX('raw-sheet'!$A$2:$ZZ$1000, ROW(H406), MATCH(H$1, 'raw-sheet'!$A$1:$ZZ$1, 0))</f>
        <v>0</v>
      </c>
      <c r="I407" s="30" t="s">
        <v>11</v>
      </c>
      <c r="J407" s="28">
        <f t="array" ref="J407">INDEX('raw-sheet'!$A$2:$ZZ$1000, ROW(J406), MATCH(J$1, 'raw-sheet'!$A$1:$ZZ$1, 0))</f>
        <v>0</v>
      </c>
      <c r="K407" s="28" t="str">
        <f t="array" ref="K407">INDEX('raw-sheet'!$A$2:$ZZ$1000, ROW(K406), MATCH(K$1, 'raw-sheet'!$A$1:$ZZ$1, 0))</f>
        <v>0</v>
      </c>
      <c r="L407" s="30" t="s">
        <v>11</v>
      </c>
      <c r="M407" s="28" t="str">
        <f t="array" ref="M407">INDEX('raw-sheet'!$A$2:$ZZ$1000, ROW(M406), MATCH(M$1, 'raw-sheet'!$A$1:$ZZ$1, 0))</f>
        <v>https://innisfree-taiwan.myshopify.com/password</v>
      </c>
      <c r="N407" s="30" t="str">
        <f t="shared" si="15"/>
        <v>Pass</v>
      </c>
      <c r="O407" s="28" t="str">
        <f t="array" ref="O407">INDEX('raw-sheet'!$A$2:$ZZ$1000, ROW(O406), MATCH(O$1, 'raw-sheet'!$A$1:$ZZ$1, 0))</f>
        <v>INNISFREE Taiwan</v>
      </c>
      <c r="P407" s="28" t="str">
        <f t="array" ref="P407">INDEX('raw-sheet'!$A$2:$ZZ$1000, ROW(P406),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407" s="28" t="str">
        <f t="array" ref="Q407">INDEX('raw-sheet'!$A$2:$ZZ$1000, ROW(Q406), MATCH(Q$1, 'raw-sheet'!$A$1:$ZZ$1, 0))</f>
        <v>website</v>
      </c>
      <c r="R407" s="28" t="str">
        <f t="array" ref="R407">INDEX('raw-sheet'!$A$2:$ZZ$1000, ROW(R406), MATCH(R$1, 'raw-sheet'!$A$1:$ZZ$1, 0))</f>
        <v>INNISFREE Taiwan</v>
      </c>
      <c r="S407" s="28" t="str">
        <f t="array" ref="S407">INDEX('raw-sheet'!$A$2:$ZZ$1000, ROW(S406), MATCH(S$1, 'raw-sheet'!$A$1:$ZZ$1, 0))</f>
        <v>http://innisfree-taiwan.myshopify.com/cdn/shop/files/logo.png?v=1767594135</v>
      </c>
      <c r="T407" s="28" t="str">
        <f t="array" ref="T407">INDEX('raw-sheet'!$A$2:$ZZ$1000, ROW(T406), MATCH(T$1, 'raw-sheet'!$A$1:$ZZ$1, 0))</f>
        <v>https://innisfree-taiwan.myshopify.com/cdn/shop/files/logo.png?v=1767594135</v>
      </c>
      <c r="U407" s="28" t="str">
        <f t="array" ref="U407">INDEX('raw-sheet'!$A$2:$ZZ$1000, ROW(U406), MATCH(U$1, 'raw-sheet'!$A$1:$ZZ$1, 0))</f>
        <v>https://innisfree-taiwan.myshopify.com</v>
      </c>
      <c r="V407" s="28" t="str">
        <f t="array" ref="V407">INDEX('raw-sheet'!$A$2:$ZZ$1000, ROW(V406), MATCH(V$1, 'raw-sheet'!$A$1:$ZZ$1, 0))</f>
        <v>INNISFREE Taiwan</v>
      </c>
      <c r="W407" s="28" t="str">
        <f t="array" ref="W407">INDEX('raw-sheet'!$A$2:$ZZ$1000, ROW(W406),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407" s="28" t="str">
        <f t="array" ref="X407">INDEX('raw-sheet'!$A$2:$ZZ$1000, ROW(X406), MATCH(X$1, 'raw-sheet'!$A$1:$ZZ$1, 0))</f>
        <v>summary_large_image</v>
      </c>
      <c r="Y407" s="30" t="s">
        <v>11</v>
      </c>
      <c r="Z407" s="28">
        <f>VLOOKUP($A407,'raw-schema'!$A:$R,14,0)</f>
        <v>0</v>
      </c>
      <c r="AA407" s="28">
        <f>VLOOKUP($A407,'raw-schema'!$A:$R,15,0)</f>
        <v>0</v>
      </c>
      <c r="AB407" s="28">
        <f>VLOOKUP($A407,'raw-schema'!$A:$R,16,0)</f>
        <v>0</v>
      </c>
      <c r="AC407" s="28">
        <f>VLOOKUP($A407,'raw-schema'!$A:$R,17,0)</f>
        <v>0</v>
      </c>
      <c r="AD407" s="28">
        <f>VLOOKUP($A407,'raw-schema'!$A:$R,18,0)</f>
        <v>0</v>
      </c>
      <c r="AE407" s="30" t="s">
        <v>69</v>
      </c>
    </row>
    <row r="408" spans="1:31" x14ac:dyDescent="0.3">
      <c r="A408" s="28" t="str">
        <f t="array" ref="A408">INDEX('raw-sheet'!$A$2:$ZZ$1000, ROW(A407), MATCH(A$1, 'raw-sheet'!$A$1:$ZZ$1, 0))</f>
        <v>https://innisfree-taiwan.myshopify.com/collections/value-gift-set-for-gifting-or-personal-use</v>
      </c>
      <c r="B408" s="30" t="s">
        <v>11</v>
      </c>
      <c r="C408" s="28" t="str">
        <f t="array" ref="C408">INDEX('raw-sheet'!$A$2:$ZZ$1000, ROW(C407), MATCH(C$1, 'raw-sheet'!$A$1:$ZZ$1, 0))</f>
        <v>Product List</v>
      </c>
      <c r="D408" s="28">
        <f t="array" ref="D408">INDEX('raw-sheet'!$A$2:$ZZ$1000, ROW(D407), MATCH(D$1, 'raw-sheet'!$A$1:$ZZ$1, 0))</f>
        <v>200</v>
      </c>
      <c r="E408" s="30" t="str">
        <f t="shared" ref="E408:E424" si="16">IF(D408=200,"Pass","Not")</f>
        <v>Pass</v>
      </c>
      <c r="F408" s="28" t="str">
        <f t="array" ref="F408">INDEX('raw-sheet'!$A$2:$ZZ$1000, ROW(F407), MATCH(F$1, 'raw-sheet'!$A$1:$ZZ$1, 0))</f>
        <v>超值精選禮盒💚 送禮自用超划算😍_x000D_ | INNISFREE Taiwan</v>
      </c>
      <c r="G408" s="30" t="s">
        <v>11</v>
      </c>
      <c r="H408" s="28" t="str">
        <f t="array" ref="H408">INDEX('raw-sheet'!$A$2:$ZZ$1000, ROW(H407), MATCH(H$1, 'raw-sheet'!$A$1:$ZZ$1, 0))</f>
        <v>[超值精選禮盒💚 送禮自用超划算😍 ] 溫和高效的保養禮盒✨</v>
      </c>
      <c r="I408" s="30" t="s">
        <v>11</v>
      </c>
      <c r="J408" s="28" t="str">
        <f t="array" ref="J408">INDEX('raw-sheet'!$A$2:$ZZ$1000, ROW(J407), MATCH(J$1, 'raw-sheet'!$A$1:$ZZ$1, 0))</f>
        <v>超值精選禮盒💚 送禮自用超划算😍</v>
      </c>
      <c r="K408" s="28" t="str">
        <f t="array" ref="K408">INDEX('raw-sheet'!$A$2:$ZZ$1000, ROW(K407), MATCH(K$1, 'raw-sheet'!$A$1:$ZZ$1, 0))</f>
        <v>1</v>
      </c>
      <c r="L408" s="30" t="s">
        <v>11</v>
      </c>
      <c r="M408" s="28" t="str">
        <f t="array" ref="M408">INDEX('raw-sheet'!$A$2:$ZZ$1000, ROW(M407), MATCH(M$1, 'raw-sheet'!$A$1:$ZZ$1, 0))</f>
        <v>https://innisfree-taiwan.myshopify.com/collections/value-gift-set-for-gifting-or-personal-use</v>
      </c>
      <c r="N408" s="30" t="str">
        <f t="shared" ref="N408:N424" si="17">IF(A408=M408,"Pass","Not")</f>
        <v>Pass</v>
      </c>
      <c r="O408" s="28" t="str">
        <f t="array" ref="O408">INDEX('raw-sheet'!$A$2:$ZZ$1000, ROW(O407), MATCH(O$1, 'raw-sheet'!$A$1:$ZZ$1, 0))</f>
        <v>超值精選禮盒💚 送禮自用超划算😍 | INNISFREE Taiwan</v>
      </c>
      <c r="P408" s="28" t="str">
        <f t="array" ref="P408">INDEX('raw-sheet'!$A$2:$ZZ$1000, ROW(P407), MATCH(P$1, 'raw-sheet'!$A$1:$ZZ$1, 0))</f>
        <v>[超值精選禮盒💚 送禮自用超划算😍 ] 溫和高效的保養禮盒✨</v>
      </c>
      <c r="Q408" s="28" t="str">
        <f t="array" ref="Q408">INDEX('raw-sheet'!$A$2:$ZZ$1000, ROW(Q407), MATCH(Q$1, 'raw-sheet'!$A$1:$ZZ$1, 0))</f>
        <v>website</v>
      </c>
      <c r="R408" s="28" t="str">
        <f t="array" ref="R408">INDEX('raw-sheet'!$A$2:$ZZ$1000, ROW(R407), MATCH(R$1, 'raw-sheet'!$A$1:$ZZ$1, 0))</f>
        <v>INNISFREE Taiwan</v>
      </c>
      <c r="S408" s="28" t="str">
        <f t="array" ref="S408">INDEX('raw-sheet'!$A$2:$ZZ$1000, ROW(S407), MATCH(S$1, 'raw-sheet'!$A$1:$ZZ$1, 0))</f>
        <v>http://innisfree-taiwan.myshopify.com/cdn/shop/files/logo.png?v=1767594135</v>
      </c>
      <c r="T408" s="28" t="str">
        <f t="array" ref="T408">INDEX('raw-sheet'!$A$2:$ZZ$1000, ROW(T407), MATCH(T$1, 'raw-sheet'!$A$1:$ZZ$1, 0))</f>
        <v>https://innisfree-taiwan.myshopify.com/cdn/shop/files/logo.png?v=1767594135</v>
      </c>
      <c r="U408" s="28" t="str">
        <f t="array" ref="U408">INDEX('raw-sheet'!$A$2:$ZZ$1000, ROW(U407), MATCH(U$1, 'raw-sheet'!$A$1:$ZZ$1, 0))</f>
        <v>https://innisfree-taiwan.myshopify.com/collections/value-gift-set-for-gifting-or-personal-use</v>
      </c>
      <c r="V408" s="28" t="str">
        <f t="array" ref="V408">INDEX('raw-sheet'!$A$2:$ZZ$1000, ROW(V407), MATCH(V$1, 'raw-sheet'!$A$1:$ZZ$1, 0))</f>
        <v>超值精選禮盒💚 送禮自用超划算😍 | INNISFREE Taiwan</v>
      </c>
      <c r="W408" s="28" t="str">
        <f t="array" ref="W408">INDEX('raw-sheet'!$A$2:$ZZ$1000, ROW(W407), MATCH(W$1, 'raw-sheet'!$A$1:$ZZ$1, 0))</f>
        <v>[超值精選禮盒💚 送禮自用超划算😍 ] 溫和高效的保養禮盒✨</v>
      </c>
      <c r="X408" s="28" t="str">
        <f t="array" ref="X408">INDEX('raw-sheet'!$A$2:$ZZ$1000, ROW(X407), MATCH(X$1, 'raw-sheet'!$A$1:$ZZ$1, 0))</f>
        <v>summary_large_image</v>
      </c>
      <c r="Y408" s="30" t="s">
        <v>11</v>
      </c>
      <c r="Z408" s="28" t="str">
        <f>VLOOKUP($A408,'raw-schema'!$A:$R,14,0)</f>
        <v>Organization</v>
      </c>
      <c r="AA408" s="28">
        <f>VLOOKUP($A408,'raw-schema'!$A:$R,15,0)</f>
        <v>0</v>
      </c>
      <c r="AB408" s="28">
        <f>VLOOKUP($A408,'raw-schema'!$A:$R,16,0)</f>
        <v>0</v>
      </c>
      <c r="AC408" s="28">
        <f>VLOOKUP($A408,'raw-schema'!$A:$R,17,0)</f>
        <v>0</v>
      </c>
      <c r="AD408" s="28">
        <f>VLOOKUP($A408,'raw-schema'!$A:$R,18,0)</f>
        <v>0</v>
      </c>
      <c r="AE408" s="30" t="s">
        <v>69</v>
      </c>
    </row>
    <row r="409" spans="1:31" x14ac:dyDescent="0.3">
      <c r="A409" s="28" t="str">
        <f t="array" ref="A409">INDEX('raw-sheet'!$A$2:$ZZ$1000, ROW(A408), MATCH(A$1, 'raw-sheet'!$A$1:$ZZ$1, 0))</f>
        <v>https://innisfree-taiwan.myshopify.com/collections/leave-a-review-and-get-a-free-face-mask</v>
      </c>
      <c r="B409" s="30" t="s">
        <v>11</v>
      </c>
      <c r="C409" s="28" t="str">
        <f t="array" ref="C409">INDEX('raw-sheet'!$A$2:$ZZ$1000, ROW(C408), MATCH(C$1, 'raw-sheet'!$A$1:$ZZ$1, 0))</f>
        <v>Product List</v>
      </c>
      <c r="D409" s="28">
        <f t="array" ref="D409">INDEX('raw-sheet'!$A$2:$ZZ$1000, ROW(D408), MATCH(D$1, 'raw-sheet'!$A$1:$ZZ$1, 0))</f>
        <v>200</v>
      </c>
      <c r="E409" s="30" t="str">
        <f t="shared" si="16"/>
        <v>Pass</v>
      </c>
      <c r="F409" s="28" t="str">
        <f t="array" ref="F409">INDEX('raw-sheet'!$A$2:$ZZ$1000, ROW(F408), MATCH(F$1, 'raw-sheet'!$A$1:$ZZ$1, 0))</f>
        <v>填心得 領面膜！_x000D_ | INNISFREE Taiwan</v>
      </c>
      <c r="G409" s="30" t="s">
        <v>11</v>
      </c>
      <c r="H409" s="28" t="str">
        <f t="array" ref="H409">INDEX('raw-sheet'!$A$2:$ZZ$1000, ROW(H408), MATCH(H$1, 'raw-sheet'!$A$1:$ZZ$1, 0))</f>
        <v>[填心得 領面膜！ ] 前150名填寫可於2月中至門市免費兌換面膜3片</v>
      </c>
      <c r="I409" s="30" t="s">
        <v>11</v>
      </c>
      <c r="J409" s="28" t="str">
        <f t="array" ref="J409">INDEX('raw-sheet'!$A$2:$ZZ$1000, ROW(J408), MATCH(J$1, 'raw-sheet'!$A$1:$ZZ$1, 0))</f>
        <v>填心得 領面膜！</v>
      </c>
      <c r="K409" s="28" t="str">
        <f t="array" ref="K409">INDEX('raw-sheet'!$A$2:$ZZ$1000, ROW(K408), MATCH(K$1, 'raw-sheet'!$A$1:$ZZ$1, 0))</f>
        <v>1</v>
      </c>
      <c r="L409" s="30" t="s">
        <v>11</v>
      </c>
      <c r="M409" s="28" t="str">
        <f t="array" ref="M409">INDEX('raw-sheet'!$A$2:$ZZ$1000, ROW(M408), MATCH(M$1, 'raw-sheet'!$A$1:$ZZ$1, 0))</f>
        <v>https://innisfree-taiwan.myshopify.com/collections/leave-a-review-and-get-a-free-face-mask</v>
      </c>
      <c r="N409" s="30" t="str">
        <f t="shared" si="17"/>
        <v>Pass</v>
      </c>
      <c r="O409" s="28" t="str">
        <f t="array" ref="O409">INDEX('raw-sheet'!$A$2:$ZZ$1000, ROW(O408), MATCH(O$1, 'raw-sheet'!$A$1:$ZZ$1, 0))</f>
        <v>填心得 領面膜！ | INNISFREE Taiwan</v>
      </c>
      <c r="P409" s="28" t="str">
        <f t="array" ref="P409">INDEX('raw-sheet'!$A$2:$ZZ$1000, ROW(P408), MATCH(P$1, 'raw-sheet'!$A$1:$ZZ$1, 0))</f>
        <v>[填心得 領面膜！ ] 前150名填寫可於2月中至門市免費兌換面膜3片</v>
      </c>
      <c r="Q409" s="28" t="str">
        <f t="array" ref="Q409">INDEX('raw-sheet'!$A$2:$ZZ$1000, ROW(Q408), MATCH(Q$1, 'raw-sheet'!$A$1:$ZZ$1, 0))</f>
        <v>website</v>
      </c>
      <c r="R409" s="28" t="str">
        <f t="array" ref="R409">INDEX('raw-sheet'!$A$2:$ZZ$1000, ROW(R408), MATCH(R$1, 'raw-sheet'!$A$1:$ZZ$1, 0))</f>
        <v>INNISFREE Taiwan</v>
      </c>
      <c r="S409" s="28" t="str">
        <f t="array" ref="S409">INDEX('raw-sheet'!$A$2:$ZZ$1000, ROW(S408), MATCH(S$1, 'raw-sheet'!$A$1:$ZZ$1, 0))</f>
        <v>http://innisfree-taiwan.myshopify.com/cdn/shop/files/logo.png?v=1767594135</v>
      </c>
      <c r="T409" s="28" t="str">
        <f t="array" ref="T409">INDEX('raw-sheet'!$A$2:$ZZ$1000, ROW(T408), MATCH(T$1, 'raw-sheet'!$A$1:$ZZ$1, 0))</f>
        <v>https://innisfree-taiwan.myshopify.com/cdn/shop/files/logo.png?v=1767594135</v>
      </c>
      <c r="U409" s="28" t="str">
        <f t="array" ref="U409">INDEX('raw-sheet'!$A$2:$ZZ$1000, ROW(U408), MATCH(U$1, 'raw-sheet'!$A$1:$ZZ$1, 0))</f>
        <v>https://innisfree-taiwan.myshopify.com/collections/leave-a-review-and-get-a-free-face-mask</v>
      </c>
      <c r="V409" s="28" t="str">
        <f t="array" ref="V409">INDEX('raw-sheet'!$A$2:$ZZ$1000, ROW(V408), MATCH(V$1, 'raw-sheet'!$A$1:$ZZ$1, 0))</f>
        <v>填心得 領面膜！ | INNISFREE Taiwan</v>
      </c>
      <c r="W409" s="28" t="str">
        <f t="array" ref="W409">INDEX('raw-sheet'!$A$2:$ZZ$1000, ROW(W408), MATCH(W$1, 'raw-sheet'!$A$1:$ZZ$1, 0))</f>
        <v>[填心得 領面膜！ ] 前150名填寫可於2月中至門市免費兌換面膜3片</v>
      </c>
      <c r="X409" s="28" t="str">
        <f t="array" ref="X409">INDEX('raw-sheet'!$A$2:$ZZ$1000, ROW(X408), MATCH(X$1, 'raw-sheet'!$A$1:$ZZ$1, 0))</f>
        <v>summary_large_image</v>
      </c>
      <c r="Y409" s="30" t="s">
        <v>11</v>
      </c>
      <c r="Z409" s="28" t="str">
        <f>VLOOKUP($A409,'raw-schema'!$A:$R,14,0)</f>
        <v>Organization</v>
      </c>
      <c r="AA409" s="28">
        <f>VLOOKUP($A409,'raw-schema'!$A:$R,15,0)</f>
        <v>0</v>
      </c>
      <c r="AB409" s="28">
        <f>VLOOKUP($A409,'raw-schema'!$A:$R,16,0)</f>
        <v>0</v>
      </c>
      <c r="AC409" s="28">
        <f>VLOOKUP($A409,'raw-schema'!$A:$R,17,0)</f>
        <v>0</v>
      </c>
      <c r="AD409" s="28">
        <f>VLOOKUP($A409,'raw-schema'!$A:$R,18,0)</f>
        <v>0</v>
      </c>
      <c r="AE409" s="30" t="s">
        <v>69</v>
      </c>
    </row>
    <row r="410" spans="1:31" x14ac:dyDescent="0.3">
      <c r="A410" s="28" t="str">
        <f t="array" ref="A410">INDEX('raw-sheet'!$A$2:$ZZ$1000, ROW(A409), MATCH(A$1, 'raw-sheet'!$A$1:$ZZ$1, 0))</f>
        <v>https://innisfree-taiwan.myshopify.com/blogs/notice?page=2</v>
      </c>
      <c r="B410" s="30" t="s">
        <v>11</v>
      </c>
      <c r="C410" s="28" t="str">
        <f t="array" ref="C410">INDEX('raw-sheet'!$A$2:$ZZ$1000, ROW(C409), MATCH(C$1, 'raw-sheet'!$A$1:$ZZ$1, 0))</f>
        <v>Blog Page</v>
      </c>
      <c r="D410" s="28">
        <f t="array" ref="D410">INDEX('raw-sheet'!$A$2:$ZZ$1000, ROW(D409), MATCH(D$1, 'raw-sheet'!$A$1:$ZZ$1, 0))</f>
        <v>200</v>
      </c>
      <c r="E410" s="30" t="str">
        <f t="shared" si="16"/>
        <v>Pass</v>
      </c>
      <c r="F410" s="28" t="str">
        <f t="array" ref="F410">INDEX('raw-sheet'!$A$2:$ZZ$1000, ROW(F409), MATCH(F$1, 'raw-sheet'!$A$1:$ZZ$1, 0))</f>
        <v>公告_x000D_ – Page 2 | INNISFREE Taiwan</v>
      </c>
      <c r="G410" s="30" t="s">
        <v>11</v>
      </c>
      <c r="H410" s="28">
        <f t="array" ref="H410">INDEX('raw-sheet'!$A$2:$ZZ$1000, ROW(H409), MATCH(H$1, 'raw-sheet'!$A$1:$ZZ$1, 0))</f>
        <v>0</v>
      </c>
      <c r="I410" s="30" t="s">
        <v>11</v>
      </c>
      <c r="J410" s="28" t="str">
        <f t="array" ref="J410">INDEX('raw-sheet'!$A$2:$ZZ$1000, ROW(J409), MATCH(J$1, 'raw-sheet'!$A$1:$ZZ$1, 0))</f>
        <v>公告</v>
      </c>
      <c r="K410" s="28" t="str">
        <f t="array" ref="K410">INDEX('raw-sheet'!$A$2:$ZZ$1000, ROW(K409), MATCH(K$1, 'raw-sheet'!$A$1:$ZZ$1, 0))</f>
        <v>1</v>
      </c>
      <c r="L410" s="30" t="s">
        <v>11</v>
      </c>
      <c r="M410" s="28" t="str">
        <f t="array" ref="M410">INDEX('raw-sheet'!$A$2:$ZZ$1000, ROW(M409), MATCH(M$1, 'raw-sheet'!$A$1:$ZZ$1, 0))</f>
        <v>https://innisfree-taiwan.myshopify.com/blogs/notice?page=2</v>
      </c>
      <c r="N410" s="30" t="str">
        <f t="shared" si="17"/>
        <v>Pass</v>
      </c>
      <c r="O410" s="28" t="str">
        <f t="array" ref="O410">INDEX('raw-sheet'!$A$2:$ZZ$1000, ROW(O409), MATCH(O$1, 'raw-sheet'!$A$1:$ZZ$1, 0))</f>
        <v>公告 | INNISFREE Taiwan</v>
      </c>
      <c r="P410" s="28" t="str">
        <f t="array" ref="P410">INDEX('raw-sheet'!$A$2:$ZZ$1000, ROW(P409),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410" s="28" t="str">
        <f t="array" ref="Q410">INDEX('raw-sheet'!$A$2:$ZZ$1000, ROW(Q409), MATCH(Q$1, 'raw-sheet'!$A$1:$ZZ$1, 0))</f>
        <v>website</v>
      </c>
      <c r="R410" s="28" t="str">
        <f t="array" ref="R410">INDEX('raw-sheet'!$A$2:$ZZ$1000, ROW(R409), MATCH(R$1, 'raw-sheet'!$A$1:$ZZ$1, 0))</f>
        <v>INNISFREE Taiwan</v>
      </c>
      <c r="S410" s="28" t="str">
        <f t="array" ref="S410">INDEX('raw-sheet'!$A$2:$ZZ$1000, ROW(S409), MATCH(S$1, 'raw-sheet'!$A$1:$ZZ$1, 0))</f>
        <v>http://innisfree-taiwan.myshopify.com/cdn/shop/files/logo.png?v=1767594135</v>
      </c>
      <c r="T410" s="28" t="str">
        <f t="array" ref="T410">INDEX('raw-sheet'!$A$2:$ZZ$1000, ROW(T409), MATCH(T$1, 'raw-sheet'!$A$1:$ZZ$1, 0))</f>
        <v>https://innisfree-taiwan.myshopify.com/cdn/shop/files/logo.png?v=1767594135</v>
      </c>
      <c r="U410" s="28" t="str">
        <f t="array" ref="U410">INDEX('raw-sheet'!$A$2:$ZZ$1000, ROW(U409), MATCH(U$1, 'raw-sheet'!$A$1:$ZZ$1, 0))</f>
        <v>https://innisfree-taiwan.myshopify.com/blogs/notice?page=2</v>
      </c>
      <c r="V410" s="28" t="str">
        <f t="array" ref="V410">INDEX('raw-sheet'!$A$2:$ZZ$1000, ROW(V409), MATCH(V$1, 'raw-sheet'!$A$1:$ZZ$1, 0))</f>
        <v>公告 | INNISFREE Taiwan</v>
      </c>
      <c r="W410" s="28" t="str">
        <f t="array" ref="W410">INDEX('raw-sheet'!$A$2:$ZZ$1000, ROW(W409),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410" s="28" t="str">
        <f t="array" ref="X410">INDEX('raw-sheet'!$A$2:$ZZ$1000, ROW(X409), MATCH(X$1, 'raw-sheet'!$A$1:$ZZ$1, 0))</f>
        <v>summary_large_image</v>
      </c>
      <c r="Y410" s="30" t="s">
        <v>11</v>
      </c>
      <c r="Z410" s="28" t="str">
        <f>VLOOKUP($A410,'raw-schema'!$A:$R,14,0)</f>
        <v>Organization</v>
      </c>
      <c r="AA410" s="28">
        <f>VLOOKUP($A410,'raw-schema'!$A:$R,15,0)</f>
        <v>0</v>
      </c>
      <c r="AB410" s="28">
        <f>VLOOKUP($A410,'raw-schema'!$A:$R,16,0)</f>
        <v>0</v>
      </c>
      <c r="AC410" s="28">
        <f>VLOOKUP($A410,'raw-schema'!$A:$R,17,0)</f>
        <v>0</v>
      </c>
      <c r="AD410" s="28">
        <f>VLOOKUP($A410,'raw-schema'!$A:$R,18,0)</f>
        <v>0</v>
      </c>
      <c r="AE410" s="30" t="s">
        <v>69</v>
      </c>
    </row>
    <row r="411" spans="1:31" x14ac:dyDescent="0.3">
      <c r="A411" s="28" t="str">
        <f t="array" ref="A411">INDEX('raw-sheet'!$A$2:$ZZ$1000, ROW(A410), MATCH(A$1, 'raw-sheet'!$A$1:$ZZ$1, 0))</f>
        <v>https://innisfree-taiwan.myshopify.com/blogs/notice?page=1</v>
      </c>
      <c r="B411" s="30" t="s">
        <v>11</v>
      </c>
      <c r="C411" s="28" t="str">
        <f t="array" ref="C411">INDEX('raw-sheet'!$A$2:$ZZ$1000, ROW(C410), MATCH(C$1, 'raw-sheet'!$A$1:$ZZ$1, 0))</f>
        <v>Blog Page</v>
      </c>
      <c r="D411" s="28">
        <f t="array" ref="D411">INDEX('raw-sheet'!$A$2:$ZZ$1000, ROW(D410), MATCH(D$1, 'raw-sheet'!$A$1:$ZZ$1, 0))</f>
        <v>200</v>
      </c>
      <c r="E411" s="30" t="str">
        <f t="shared" si="16"/>
        <v>Pass</v>
      </c>
      <c r="F411" s="28" t="str">
        <f t="array" ref="F411">INDEX('raw-sheet'!$A$2:$ZZ$1000, ROW(F410), MATCH(F$1, 'raw-sheet'!$A$1:$ZZ$1, 0))</f>
        <v>公告_x000D_ | INNISFREE Taiwan</v>
      </c>
      <c r="G411" s="30" t="s">
        <v>11</v>
      </c>
      <c r="H411" s="28">
        <f t="array" ref="H411">INDEX('raw-sheet'!$A$2:$ZZ$1000, ROW(H410), MATCH(H$1, 'raw-sheet'!$A$1:$ZZ$1, 0))</f>
        <v>0</v>
      </c>
      <c r="I411" s="30" t="s">
        <v>11</v>
      </c>
      <c r="J411" s="28" t="str">
        <f t="array" ref="J411">INDEX('raw-sheet'!$A$2:$ZZ$1000, ROW(J410), MATCH(J$1, 'raw-sheet'!$A$1:$ZZ$1, 0))</f>
        <v>公告</v>
      </c>
      <c r="K411" s="28" t="str">
        <f t="array" ref="K411">INDEX('raw-sheet'!$A$2:$ZZ$1000, ROW(K410), MATCH(K$1, 'raw-sheet'!$A$1:$ZZ$1, 0))</f>
        <v>1</v>
      </c>
      <c r="L411" s="30" t="s">
        <v>11</v>
      </c>
      <c r="M411" s="28" t="str">
        <f t="array" ref="M411">INDEX('raw-sheet'!$A$2:$ZZ$1000, ROW(M410), MATCH(M$1, 'raw-sheet'!$A$1:$ZZ$1, 0))</f>
        <v>https://innisfree-taiwan.myshopify.com/blogs/notice</v>
      </c>
      <c r="N411" s="30" t="str">
        <f t="shared" si="17"/>
        <v>Not</v>
      </c>
      <c r="O411" s="28" t="str">
        <f t="array" ref="O411">INDEX('raw-sheet'!$A$2:$ZZ$1000, ROW(O410), MATCH(O$1, 'raw-sheet'!$A$1:$ZZ$1, 0))</f>
        <v>公告 | INNISFREE Taiwan</v>
      </c>
      <c r="P411" s="28" t="str">
        <f t="array" ref="P411">INDEX('raw-sheet'!$A$2:$ZZ$1000, ROW(P410),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411" s="28" t="str">
        <f t="array" ref="Q411">INDEX('raw-sheet'!$A$2:$ZZ$1000, ROW(Q410), MATCH(Q$1, 'raw-sheet'!$A$1:$ZZ$1, 0))</f>
        <v>website</v>
      </c>
      <c r="R411" s="28" t="str">
        <f t="array" ref="R411">INDEX('raw-sheet'!$A$2:$ZZ$1000, ROW(R410), MATCH(R$1, 'raw-sheet'!$A$1:$ZZ$1, 0))</f>
        <v>INNISFREE Taiwan</v>
      </c>
      <c r="S411" s="28" t="str">
        <f t="array" ref="S411">INDEX('raw-sheet'!$A$2:$ZZ$1000, ROW(S410), MATCH(S$1, 'raw-sheet'!$A$1:$ZZ$1, 0))</f>
        <v>http://innisfree-taiwan.myshopify.com/cdn/shop/files/logo.png?v=1767594135</v>
      </c>
      <c r="T411" s="28" t="str">
        <f t="array" ref="T411">INDEX('raw-sheet'!$A$2:$ZZ$1000, ROW(T410), MATCH(T$1, 'raw-sheet'!$A$1:$ZZ$1, 0))</f>
        <v>https://innisfree-taiwan.myshopify.com/cdn/shop/files/logo.png?v=1767594135</v>
      </c>
      <c r="U411" s="28" t="str">
        <f t="array" ref="U411">INDEX('raw-sheet'!$A$2:$ZZ$1000, ROW(U410), MATCH(U$1, 'raw-sheet'!$A$1:$ZZ$1, 0))</f>
        <v>https://innisfree-taiwan.myshopify.com/blogs/notice</v>
      </c>
      <c r="V411" s="28" t="str">
        <f t="array" ref="V411">INDEX('raw-sheet'!$A$2:$ZZ$1000, ROW(V410), MATCH(V$1, 'raw-sheet'!$A$1:$ZZ$1, 0))</f>
        <v>公告 | INNISFREE Taiwan</v>
      </c>
      <c r="W411" s="28" t="str">
        <f t="array" ref="W411">INDEX('raw-sheet'!$A$2:$ZZ$1000, ROW(W410),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411" s="28" t="str">
        <f t="array" ref="X411">INDEX('raw-sheet'!$A$2:$ZZ$1000, ROW(X410), MATCH(X$1, 'raw-sheet'!$A$1:$ZZ$1, 0))</f>
        <v>summary_large_image</v>
      </c>
      <c r="Y411" s="30" t="s">
        <v>11</v>
      </c>
      <c r="Z411" s="28" t="str">
        <f>VLOOKUP($A411,'raw-schema'!$A:$R,14,0)</f>
        <v>Organization</v>
      </c>
      <c r="AA411" s="28">
        <f>VLOOKUP($A411,'raw-schema'!$A:$R,15,0)</f>
        <v>0</v>
      </c>
      <c r="AB411" s="28">
        <f>VLOOKUP($A411,'raw-schema'!$A:$R,16,0)</f>
        <v>0</v>
      </c>
      <c r="AC411" s="28">
        <f>VLOOKUP($A411,'raw-schema'!$A:$R,17,0)</f>
        <v>0</v>
      </c>
      <c r="AD411" s="28">
        <f>VLOOKUP($A411,'raw-schema'!$A:$R,18,0)</f>
        <v>0</v>
      </c>
      <c r="AE411" s="30" t="s">
        <v>69</v>
      </c>
    </row>
    <row r="412" spans="1:31" x14ac:dyDescent="0.3">
      <c r="A412" s="28" t="str">
        <f t="array" ref="A412">INDEX('raw-sheet'!$A$2:$ZZ$1000, ROW(A411), MATCH(A$1, 'raw-sheet'!$A$1:$ZZ$1, 0))</f>
        <v>https://innisfree-taiwan.myshopify.com/blogs/notice/notice_11</v>
      </c>
      <c r="B412" s="30" t="s">
        <v>11</v>
      </c>
      <c r="C412" s="28" t="str">
        <f t="array" ref="C412">INDEX('raw-sheet'!$A$2:$ZZ$1000, ROW(C411), MATCH(C$1, 'raw-sheet'!$A$1:$ZZ$1, 0))</f>
        <v>Blog Page</v>
      </c>
      <c r="D412" s="28">
        <f t="array" ref="D412">INDEX('raw-sheet'!$A$2:$ZZ$1000, ROW(D411), MATCH(D$1, 'raw-sheet'!$A$1:$ZZ$1, 0))</f>
        <v>200</v>
      </c>
      <c r="E412" s="30" t="str">
        <f t="shared" si="16"/>
        <v>Pass</v>
      </c>
      <c r="F412" s="28" t="str">
        <f t="array" ref="F412">INDEX('raw-sheet'!$A$2:$ZZ$1000, ROW(F411), MATCH(F$1, 'raw-sheet'!$A$1:$ZZ$1, 0))</f>
        <v>notice_11_x000D_ | INNISFREE Taiwan</v>
      </c>
      <c r="G412" s="30" t="s">
        <v>11</v>
      </c>
      <c r="H412" s="28" t="str">
        <f t="array" ref="H412">INDEX('raw-sheet'!$A$2:$ZZ$1000, ROW(H411), MATCH(H$1, 'raw-sheet'!$A$1:$ZZ$1, 0))</f>
        <v>gggg</v>
      </c>
      <c r="I412" s="30" t="s">
        <v>11</v>
      </c>
      <c r="J412" s="28" t="str">
        <f t="array" ref="J412">INDEX('raw-sheet'!$A$2:$ZZ$1000, ROW(J411), MATCH(J$1, 'raw-sheet'!$A$1:$ZZ$1, 0))</f>
        <v>notice_11</v>
      </c>
      <c r="K412" s="28" t="str">
        <f t="array" ref="K412">INDEX('raw-sheet'!$A$2:$ZZ$1000, ROW(K411), MATCH(K$1, 'raw-sheet'!$A$1:$ZZ$1, 0))</f>
        <v>1</v>
      </c>
      <c r="L412" s="30" t="s">
        <v>11</v>
      </c>
      <c r="M412" s="28" t="str">
        <f t="array" ref="M412">INDEX('raw-sheet'!$A$2:$ZZ$1000, ROW(M411), MATCH(M$1, 'raw-sheet'!$A$1:$ZZ$1, 0))</f>
        <v>https://innisfree-taiwan.myshopify.com/blogs/notice/notice_11</v>
      </c>
      <c r="N412" s="30" t="str">
        <f t="shared" si="17"/>
        <v>Pass</v>
      </c>
      <c r="O412" s="28" t="str">
        <f t="array" ref="O412">INDEX('raw-sheet'!$A$2:$ZZ$1000, ROW(O411), MATCH(O$1, 'raw-sheet'!$A$1:$ZZ$1, 0))</f>
        <v>notice_11 | INNISFREE Taiwan</v>
      </c>
      <c r="P412" s="28" t="str">
        <f t="array" ref="P412">INDEX('raw-sheet'!$A$2:$ZZ$1000, ROW(P411), MATCH(P$1, 'raw-sheet'!$A$1:$ZZ$1, 0))</f>
        <v>gggg</v>
      </c>
      <c r="Q412" s="28" t="str">
        <f t="array" ref="Q412">INDEX('raw-sheet'!$A$2:$ZZ$1000, ROW(Q411), MATCH(Q$1, 'raw-sheet'!$A$1:$ZZ$1, 0))</f>
        <v>article</v>
      </c>
      <c r="R412" s="28" t="str">
        <f t="array" ref="R412">INDEX('raw-sheet'!$A$2:$ZZ$1000, ROW(R411), MATCH(R$1, 'raw-sheet'!$A$1:$ZZ$1, 0))</f>
        <v>INNISFREE Taiwan</v>
      </c>
      <c r="S412" s="28" t="str">
        <f t="array" ref="S412">INDEX('raw-sheet'!$A$2:$ZZ$1000, ROW(S411), MATCH(S$1, 'raw-sheet'!$A$1:$ZZ$1, 0))</f>
        <v>http://innisfree-taiwan.myshopify.com/cdn/shop/files/logo.png?v=1767594135</v>
      </c>
      <c r="T412" s="28" t="str">
        <f t="array" ref="T412">INDEX('raw-sheet'!$A$2:$ZZ$1000, ROW(T411), MATCH(T$1, 'raw-sheet'!$A$1:$ZZ$1, 0))</f>
        <v>https://innisfree-taiwan.myshopify.com/cdn/shop/files/logo.png?v=1767594135</v>
      </c>
      <c r="U412" s="28" t="str">
        <f t="array" ref="U412">INDEX('raw-sheet'!$A$2:$ZZ$1000, ROW(U411), MATCH(U$1, 'raw-sheet'!$A$1:$ZZ$1, 0))</f>
        <v>https://innisfree-taiwan.myshopify.com/blogs/notice/notice_11</v>
      </c>
      <c r="V412" s="28" t="str">
        <f t="array" ref="V412">INDEX('raw-sheet'!$A$2:$ZZ$1000, ROW(V411), MATCH(V$1, 'raw-sheet'!$A$1:$ZZ$1, 0))</f>
        <v>notice_11 | INNISFREE Taiwan</v>
      </c>
      <c r="W412" s="28" t="str">
        <f t="array" ref="W412">INDEX('raw-sheet'!$A$2:$ZZ$1000, ROW(W411), MATCH(W$1, 'raw-sheet'!$A$1:$ZZ$1, 0))</f>
        <v>gggg</v>
      </c>
      <c r="X412" s="28" t="str">
        <f t="array" ref="X412">INDEX('raw-sheet'!$A$2:$ZZ$1000, ROW(X411), MATCH(X$1, 'raw-sheet'!$A$1:$ZZ$1, 0))</f>
        <v>summary_large_image</v>
      </c>
      <c r="Y412" s="30" t="s">
        <v>11</v>
      </c>
      <c r="Z412" s="28" t="str">
        <f>VLOOKUP($A412,'raw-schema'!$A:$R,14,0)</f>
        <v>Article</v>
      </c>
      <c r="AA412" s="28" t="str">
        <f>VLOOKUP($A412,'raw-schema'!$A:$R,15,0)</f>
        <v>Organization</v>
      </c>
      <c r="AB412" s="28" t="str">
        <f>VLOOKUP($A412,'raw-schema'!$A:$R,16,0)</f>
        <v>Person</v>
      </c>
      <c r="AC412" s="28" t="str">
        <f>VLOOKUP($A412,'raw-schema'!$A:$R,17,0)</f>
        <v>WebPage</v>
      </c>
      <c r="AD412" s="28">
        <f>VLOOKUP($A412,'raw-schema'!$A:$R,18,0)</f>
        <v>0</v>
      </c>
      <c r="AE412" s="30" t="s">
        <v>69</v>
      </c>
    </row>
    <row r="413" spans="1:31" x14ac:dyDescent="0.3">
      <c r="A413" s="28" t="str">
        <f t="array" ref="A413">INDEX('raw-sheet'!$A$2:$ZZ$1000, ROW(A412), MATCH(A$1, 'raw-sheet'!$A$1:$ZZ$1, 0))</f>
        <v>https://innisfree-taiwan.myshopify.com/blogs/notice/notice_10</v>
      </c>
      <c r="B413" s="30" t="s">
        <v>11</v>
      </c>
      <c r="C413" s="28" t="str">
        <f t="array" ref="C413">INDEX('raw-sheet'!$A$2:$ZZ$1000, ROW(C412), MATCH(C$1, 'raw-sheet'!$A$1:$ZZ$1, 0))</f>
        <v>Blog Page</v>
      </c>
      <c r="D413" s="28">
        <f t="array" ref="D413">INDEX('raw-sheet'!$A$2:$ZZ$1000, ROW(D412), MATCH(D$1, 'raw-sheet'!$A$1:$ZZ$1, 0))</f>
        <v>200</v>
      </c>
      <c r="E413" s="30" t="str">
        <f t="shared" si="16"/>
        <v>Pass</v>
      </c>
      <c r="F413" s="28" t="str">
        <f t="array" ref="F413">INDEX('raw-sheet'!$A$2:$ZZ$1000, ROW(F412), MATCH(F$1, 'raw-sheet'!$A$1:$ZZ$1, 0))</f>
        <v>notice_10_x000D_ | INNISFREE Taiwan</v>
      </c>
      <c r="G413" s="30" t="s">
        <v>11</v>
      </c>
      <c r="H413" s="28" t="str">
        <f t="array" ref="H413">INDEX('raw-sheet'!$A$2:$ZZ$1000, ROW(H412), MATCH(H$1, 'raw-sheet'!$A$1:$ZZ$1, 0))</f>
        <v>aaasdasdasdd   assssass</v>
      </c>
      <c r="I413" s="30" t="s">
        <v>11</v>
      </c>
      <c r="J413" s="28" t="str">
        <f t="array" ref="J413">INDEX('raw-sheet'!$A$2:$ZZ$1000, ROW(J412), MATCH(J$1, 'raw-sheet'!$A$1:$ZZ$1, 0))</f>
        <v>notice_10</v>
      </c>
      <c r="K413" s="28" t="str">
        <f t="array" ref="K413">INDEX('raw-sheet'!$A$2:$ZZ$1000, ROW(K412), MATCH(K$1, 'raw-sheet'!$A$1:$ZZ$1, 0))</f>
        <v>1</v>
      </c>
      <c r="L413" s="30" t="s">
        <v>11</v>
      </c>
      <c r="M413" s="28" t="str">
        <f t="array" ref="M413">INDEX('raw-sheet'!$A$2:$ZZ$1000, ROW(M412), MATCH(M$1, 'raw-sheet'!$A$1:$ZZ$1, 0))</f>
        <v>https://innisfree-taiwan.myshopify.com/blogs/notice/notice_10</v>
      </c>
      <c r="N413" s="30" t="str">
        <f t="shared" si="17"/>
        <v>Pass</v>
      </c>
      <c r="O413" s="28" t="str">
        <f t="array" ref="O413">INDEX('raw-sheet'!$A$2:$ZZ$1000, ROW(O412), MATCH(O$1, 'raw-sheet'!$A$1:$ZZ$1, 0))</f>
        <v>notice_10 | INNISFREE Taiwan</v>
      </c>
      <c r="P413" s="28" t="str">
        <f t="array" ref="P413">INDEX('raw-sheet'!$A$2:$ZZ$1000, ROW(P412), MATCH(P$1, 'raw-sheet'!$A$1:$ZZ$1, 0))</f>
        <v>aaasdasdasdd   assssass</v>
      </c>
      <c r="Q413" s="28" t="str">
        <f t="array" ref="Q413">INDEX('raw-sheet'!$A$2:$ZZ$1000, ROW(Q412), MATCH(Q$1, 'raw-sheet'!$A$1:$ZZ$1, 0))</f>
        <v>article</v>
      </c>
      <c r="R413" s="28" t="str">
        <f t="array" ref="R413">INDEX('raw-sheet'!$A$2:$ZZ$1000, ROW(R412), MATCH(R$1, 'raw-sheet'!$A$1:$ZZ$1, 0))</f>
        <v>INNISFREE Taiwan</v>
      </c>
      <c r="S413" s="28" t="str">
        <f t="array" ref="S413">INDEX('raw-sheet'!$A$2:$ZZ$1000, ROW(S412), MATCH(S$1, 'raw-sheet'!$A$1:$ZZ$1, 0))</f>
        <v>http://innisfree-taiwan.myshopify.com/cdn/shop/files/logo.png?v=1767594135</v>
      </c>
      <c r="T413" s="28" t="str">
        <f t="array" ref="T413">INDEX('raw-sheet'!$A$2:$ZZ$1000, ROW(T412), MATCH(T$1, 'raw-sheet'!$A$1:$ZZ$1, 0))</f>
        <v>https://innisfree-taiwan.myshopify.com/cdn/shop/files/logo.png?v=1767594135</v>
      </c>
      <c r="U413" s="28" t="str">
        <f t="array" ref="U413">INDEX('raw-sheet'!$A$2:$ZZ$1000, ROW(U412), MATCH(U$1, 'raw-sheet'!$A$1:$ZZ$1, 0))</f>
        <v>https://innisfree-taiwan.myshopify.com/blogs/notice/notice_10</v>
      </c>
      <c r="V413" s="28" t="str">
        <f t="array" ref="V413">INDEX('raw-sheet'!$A$2:$ZZ$1000, ROW(V412), MATCH(V$1, 'raw-sheet'!$A$1:$ZZ$1, 0))</f>
        <v>notice_10 | INNISFREE Taiwan</v>
      </c>
      <c r="W413" s="28" t="str">
        <f t="array" ref="W413">INDEX('raw-sheet'!$A$2:$ZZ$1000, ROW(W412), MATCH(W$1, 'raw-sheet'!$A$1:$ZZ$1, 0))</f>
        <v>aaasdasdasdd   assssass</v>
      </c>
      <c r="X413" s="28" t="str">
        <f t="array" ref="X413">INDEX('raw-sheet'!$A$2:$ZZ$1000, ROW(X412), MATCH(X$1, 'raw-sheet'!$A$1:$ZZ$1, 0))</f>
        <v>summary_large_image</v>
      </c>
      <c r="Y413" s="30" t="s">
        <v>11</v>
      </c>
      <c r="Z413" s="28" t="str">
        <f>VLOOKUP($A413,'raw-schema'!$A:$R,14,0)</f>
        <v>Article</v>
      </c>
      <c r="AA413" s="28" t="str">
        <f>VLOOKUP($A413,'raw-schema'!$A:$R,15,0)</f>
        <v>Organization</v>
      </c>
      <c r="AB413" s="28" t="str">
        <f>VLOOKUP($A413,'raw-schema'!$A:$R,16,0)</f>
        <v>Person</v>
      </c>
      <c r="AC413" s="28" t="str">
        <f>VLOOKUP($A413,'raw-schema'!$A:$R,17,0)</f>
        <v>WebPage</v>
      </c>
      <c r="AD413" s="28">
        <f>VLOOKUP($A413,'raw-schema'!$A:$R,18,0)</f>
        <v>0</v>
      </c>
      <c r="AE413" s="30" t="s">
        <v>69</v>
      </c>
    </row>
    <row r="414" spans="1:31" x14ac:dyDescent="0.3">
      <c r="A414" s="28" t="str">
        <f t="array" ref="A414">INDEX('raw-sheet'!$A$2:$ZZ$1000, ROW(A413), MATCH(A$1, 'raw-sheet'!$A$1:$ZZ$1, 0))</f>
        <v>https://innisfree-taiwan.myshopify.com/blogs/notice/notice_09</v>
      </c>
      <c r="B414" s="30" t="s">
        <v>11</v>
      </c>
      <c r="C414" s="28" t="str">
        <f t="array" ref="C414">INDEX('raw-sheet'!$A$2:$ZZ$1000, ROW(C413), MATCH(C$1, 'raw-sheet'!$A$1:$ZZ$1, 0))</f>
        <v>Blog Page</v>
      </c>
      <c r="D414" s="28">
        <f t="array" ref="D414">INDEX('raw-sheet'!$A$2:$ZZ$1000, ROW(D413), MATCH(D$1, 'raw-sheet'!$A$1:$ZZ$1, 0))</f>
        <v>200</v>
      </c>
      <c r="E414" s="30" t="str">
        <f t="shared" si="16"/>
        <v>Pass</v>
      </c>
      <c r="F414" s="28" t="str">
        <f t="array" ref="F414">INDEX('raw-sheet'!$A$2:$ZZ$1000, ROW(F413), MATCH(F$1, 'raw-sheet'!$A$1:$ZZ$1, 0))</f>
        <v>notice_09_x000D_ | INNISFREE Taiwan</v>
      </c>
      <c r="G414" s="30" t="s">
        <v>11</v>
      </c>
      <c r="H414" s="28" t="str">
        <f t="array" ref="H414">INDEX('raw-sheet'!$A$2:$ZZ$1000, ROW(H413), MATCH(H$1, 'raw-sheet'!$A$1:$ZZ$1, 0))</f>
        <v>aaaadwq 111111111 asdasd   xxxxza</v>
      </c>
      <c r="I414" s="30" t="s">
        <v>11</v>
      </c>
      <c r="J414" s="28" t="str">
        <f t="array" ref="J414">INDEX('raw-sheet'!$A$2:$ZZ$1000, ROW(J413), MATCH(J$1, 'raw-sheet'!$A$1:$ZZ$1, 0))</f>
        <v>notice_09</v>
      </c>
      <c r="K414" s="28" t="str">
        <f t="array" ref="K414">INDEX('raw-sheet'!$A$2:$ZZ$1000, ROW(K413), MATCH(K$1, 'raw-sheet'!$A$1:$ZZ$1, 0))</f>
        <v>2</v>
      </c>
      <c r="L414" s="30" t="s">
        <v>11</v>
      </c>
      <c r="M414" s="28" t="str">
        <f t="array" ref="M414">INDEX('raw-sheet'!$A$2:$ZZ$1000, ROW(M413), MATCH(M$1, 'raw-sheet'!$A$1:$ZZ$1, 0))</f>
        <v>https://innisfree-taiwan.myshopify.com/blogs/notice/notice_09</v>
      </c>
      <c r="N414" s="30" t="str">
        <f t="shared" si="17"/>
        <v>Pass</v>
      </c>
      <c r="O414" s="28" t="str">
        <f t="array" ref="O414">INDEX('raw-sheet'!$A$2:$ZZ$1000, ROW(O413), MATCH(O$1, 'raw-sheet'!$A$1:$ZZ$1, 0))</f>
        <v>notice_09 | INNISFREE Taiwan</v>
      </c>
      <c r="P414" s="28" t="str">
        <f t="array" ref="P414">INDEX('raw-sheet'!$A$2:$ZZ$1000, ROW(P413), MATCH(P$1, 'raw-sheet'!$A$1:$ZZ$1, 0))</f>
        <v>aaaadwq 111111111 asdasd   xxxxza</v>
      </c>
      <c r="Q414" s="28" t="str">
        <f t="array" ref="Q414">INDEX('raw-sheet'!$A$2:$ZZ$1000, ROW(Q413), MATCH(Q$1, 'raw-sheet'!$A$1:$ZZ$1, 0))</f>
        <v>article</v>
      </c>
      <c r="R414" s="28" t="str">
        <f t="array" ref="R414">INDEX('raw-sheet'!$A$2:$ZZ$1000, ROW(R413), MATCH(R$1, 'raw-sheet'!$A$1:$ZZ$1, 0))</f>
        <v>INNISFREE Taiwan</v>
      </c>
      <c r="S414" s="28" t="str">
        <f t="array" ref="S414">INDEX('raw-sheet'!$A$2:$ZZ$1000, ROW(S413), MATCH(S$1, 'raw-sheet'!$A$1:$ZZ$1, 0))</f>
        <v>http://innisfree-taiwan.myshopify.com/cdn/shop/files/logo.png?v=1767594135</v>
      </c>
      <c r="T414" s="28" t="str">
        <f t="array" ref="T414">INDEX('raw-sheet'!$A$2:$ZZ$1000, ROW(T413), MATCH(T$1, 'raw-sheet'!$A$1:$ZZ$1, 0))</f>
        <v>https://innisfree-taiwan.myshopify.com/cdn/shop/files/logo.png?v=1767594135</v>
      </c>
      <c r="U414" s="28" t="str">
        <f t="array" ref="U414">INDEX('raw-sheet'!$A$2:$ZZ$1000, ROW(U413), MATCH(U$1, 'raw-sheet'!$A$1:$ZZ$1, 0))</f>
        <v>https://innisfree-taiwan.myshopify.com/blogs/notice/notice_09</v>
      </c>
      <c r="V414" s="28" t="str">
        <f t="array" ref="V414">INDEX('raw-sheet'!$A$2:$ZZ$1000, ROW(V413), MATCH(V$1, 'raw-sheet'!$A$1:$ZZ$1, 0))</f>
        <v>notice_09 | INNISFREE Taiwan</v>
      </c>
      <c r="W414" s="28" t="str">
        <f t="array" ref="W414">INDEX('raw-sheet'!$A$2:$ZZ$1000, ROW(W413), MATCH(W$1, 'raw-sheet'!$A$1:$ZZ$1, 0))</f>
        <v>aaaadwq 111111111 asdasd   xxxxza</v>
      </c>
      <c r="X414" s="28" t="str">
        <f t="array" ref="X414">INDEX('raw-sheet'!$A$2:$ZZ$1000, ROW(X413), MATCH(X$1, 'raw-sheet'!$A$1:$ZZ$1, 0))</f>
        <v>summary_large_image</v>
      </c>
      <c r="Y414" s="30" t="s">
        <v>11</v>
      </c>
      <c r="Z414" s="28" t="str">
        <f>VLOOKUP($A414,'raw-schema'!$A:$R,14,0)</f>
        <v>Article</v>
      </c>
      <c r="AA414" s="28" t="str">
        <f>VLOOKUP($A414,'raw-schema'!$A:$R,15,0)</f>
        <v>Organization</v>
      </c>
      <c r="AB414" s="28" t="str">
        <f>VLOOKUP($A414,'raw-schema'!$A:$R,16,0)</f>
        <v>Person</v>
      </c>
      <c r="AC414" s="28" t="str">
        <f>VLOOKUP($A414,'raw-schema'!$A:$R,17,0)</f>
        <v>WebPage</v>
      </c>
      <c r="AD414" s="28">
        <f>VLOOKUP($A414,'raw-schema'!$A:$R,18,0)</f>
        <v>0</v>
      </c>
      <c r="AE414" s="30" t="s">
        <v>69</v>
      </c>
    </row>
    <row r="415" spans="1:31" x14ac:dyDescent="0.3">
      <c r="A415" s="28" t="str">
        <f t="array" ref="A415">INDEX('raw-sheet'!$A$2:$ZZ$1000, ROW(A414), MATCH(A$1, 'raw-sheet'!$A$1:$ZZ$1, 0))</f>
        <v>https://innisfree-taiwan.myshopify.com/blogs/notice/notice_08</v>
      </c>
      <c r="B415" s="30" t="s">
        <v>11</v>
      </c>
      <c r="C415" s="28" t="str">
        <f t="array" ref="C415">INDEX('raw-sheet'!$A$2:$ZZ$1000, ROW(C414), MATCH(C$1, 'raw-sheet'!$A$1:$ZZ$1, 0))</f>
        <v>Blog Page</v>
      </c>
      <c r="D415" s="28">
        <f t="array" ref="D415">INDEX('raw-sheet'!$A$2:$ZZ$1000, ROW(D414), MATCH(D$1, 'raw-sheet'!$A$1:$ZZ$1, 0))</f>
        <v>200</v>
      </c>
      <c r="E415" s="30" t="str">
        <f t="shared" si="16"/>
        <v>Pass</v>
      </c>
      <c r="F415" s="28" t="str">
        <f t="array" ref="F415">INDEX('raw-sheet'!$A$2:$ZZ$1000, ROW(F414), MATCH(F$1, 'raw-sheet'!$A$1:$ZZ$1, 0))</f>
        <v>notice_08_x000D_ | INNISFREE Taiwan</v>
      </c>
      <c r="G415" s="30" t="s">
        <v>11</v>
      </c>
      <c r="H415" s="28" t="str">
        <f t="array" ref="H415">INDEX('raw-sheet'!$A$2:$ZZ$1000, ROW(H414), MATCH(H$1, 'raw-sheet'!$A$1:$ZZ$1, 0))</f>
        <v>asd  asdasd asdasd1123123123213asaa</v>
      </c>
      <c r="I415" s="30" t="s">
        <v>11</v>
      </c>
      <c r="J415" s="28" t="str">
        <f t="array" ref="J415">INDEX('raw-sheet'!$A$2:$ZZ$1000, ROW(J414), MATCH(J$1, 'raw-sheet'!$A$1:$ZZ$1, 0))</f>
        <v>notice_08</v>
      </c>
      <c r="K415" s="28" t="str">
        <f t="array" ref="K415">INDEX('raw-sheet'!$A$2:$ZZ$1000, ROW(K414), MATCH(K$1, 'raw-sheet'!$A$1:$ZZ$1, 0))</f>
        <v>1</v>
      </c>
      <c r="L415" s="30" t="s">
        <v>11</v>
      </c>
      <c r="M415" s="28" t="str">
        <f t="array" ref="M415">INDEX('raw-sheet'!$A$2:$ZZ$1000, ROW(M414), MATCH(M$1, 'raw-sheet'!$A$1:$ZZ$1, 0))</f>
        <v>https://innisfree-taiwan.myshopify.com/blogs/notice/notice_08</v>
      </c>
      <c r="N415" s="30" t="str">
        <f t="shared" si="17"/>
        <v>Pass</v>
      </c>
      <c r="O415" s="28" t="str">
        <f t="array" ref="O415">INDEX('raw-sheet'!$A$2:$ZZ$1000, ROW(O414), MATCH(O$1, 'raw-sheet'!$A$1:$ZZ$1, 0))</f>
        <v>notice_08 | INNISFREE Taiwan</v>
      </c>
      <c r="P415" s="28" t="str">
        <f t="array" ref="P415">INDEX('raw-sheet'!$A$2:$ZZ$1000, ROW(P414), MATCH(P$1, 'raw-sheet'!$A$1:$ZZ$1, 0))</f>
        <v>asd  asdasd asdasd1123123123213asaa</v>
      </c>
      <c r="Q415" s="28" t="str">
        <f t="array" ref="Q415">INDEX('raw-sheet'!$A$2:$ZZ$1000, ROW(Q414), MATCH(Q$1, 'raw-sheet'!$A$1:$ZZ$1, 0))</f>
        <v>article</v>
      </c>
      <c r="R415" s="28" t="str">
        <f t="array" ref="R415">INDEX('raw-sheet'!$A$2:$ZZ$1000, ROW(R414), MATCH(R$1, 'raw-sheet'!$A$1:$ZZ$1, 0))</f>
        <v>INNISFREE Taiwan</v>
      </c>
      <c r="S415" s="28" t="str">
        <f t="array" ref="S415">INDEX('raw-sheet'!$A$2:$ZZ$1000, ROW(S414), MATCH(S$1, 'raw-sheet'!$A$1:$ZZ$1, 0))</f>
        <v>http://innisfree-taiwan.myshopify.com/cdn/shop/files/logo.png?v=1767594135</v>
      </c>
      <c r="T415" s="28" t="str">
        <f t="array" ref="T415">INDEX('raw-sheet'!$A$2:$ZZ$1000, ROW(T414), MATCH(T$1, 'raw-sheet'!$A$1:$ZZ$1, 0))</f>
        <v>https://innisfree-taiwan.myshopify.com/cdn/shop/files/logo.png?v=1767594135</v>
      </c>
      <c r="U415" s="28" t="str">
        <f t="array" ref="U415">INDEX('raw-sheet'!$A$2:$ZZ$1000, ROW(U414), MATCH(U$1, 'raw-sheet'!$A$1:$ZZ$1, 0))</f>
        <v>https://innisfree-taiwan.myshopify.com/blogs/notice/notice_08</v>
      </c>
      <c r="V415" s="28" t="str">
        <f t="array" ref="V415">INDEX('raw-sheet'!$A$2:$ZZ$1000, ROW(V414), MATCH(V$1, 'raw-sheet'!$A$1:$ZZ$1, 0))</f>
        <v>notice_08 | INNISFREE Taiwan</v>
      </c>
      <c r="W415" s="28" t="str">
        <f t="array" ref="W415">INDEX('raw-sheet'!$A$2:$ZZ$1000, ROW(W414), MATCH(W$1, 'raw-sheet'!$A$1:$ZZ$1, 0))</f>
        <v>asd  asdasd asdasd1123123123213asaa</v>
      </c>
      <c r="X415" s="28" t="str">
        <f t="array" ref="X415">INDEX('raw-sheet'!$A$2:$ZZ$1000, ROW(X414), MATCH(X$1, 'raw-sheet'!$A$1:$ZZ$1, 0))</f>
        <v>summary_large_image</v>
      </c>
      <c r="Y415" s="30" t="s">
        <v>11</v>
      </c>
      <c r="Z415" s="28" t="str">
        <f>VLOOKUP($A415,'raw-schema'!$A:$R,14,0)</f>
        <v>Article</v>
      </c>
      <c r="AA415" s="28" t="str">
        <f>VLOOKUP($A415,'raw-schema'!$A:$R,15,0)</f>
        <v>Organization</v>
      </c>
      <c r="AB415" s="28" t="str">
        <f>VLOOKUP($A415,'raw-schema'!$A:$R,16,0)</f>
        <v>Person</v>
      </c>
      <c r="AC415" s="28" t="str">
        <f>VLOOKUP($A415,'raw-schema'!$A:$R,17,0)</f>
        <v>WebPage</v>
      </c>
      <c r="AD415" s="28">
        <f>VLOOKUP($A415,'raw-schema'!$A:$R,18,0)</f>
        <v>0</v>
      </c>
      <c r="AE415" s="30" t="s">
        <v>69</v>
      </c>
    </row>
    <row r="416" spans="1:31" x14ac:dyDescent="0.3">
      <c r="A416" s="28" t="str">
        <f t="array" ref="A416">INDEX('raw-sheet'!$A$2:$ZZ$1000, ROW(A415), MATCH(A$1, 'raw-sheet'!$A$1:$ZZ$1, 0))</f>
        <v>https://innisfree-taiwan.myshopify.com/blogs/notice/notice_07</v>
      </c>
      <c r="B416" s="30" t="s">
        <v>11</v>
      </c>
      <c r="C416" s="28" t="str">
        <f t="array" ref="C416">INDEX('raw-sheet'!$A$2:$ZZ$1000, ROW(C415), MATCH(C$1, 'raw-sheet'!$A$1:$ZZ$1, 0))</f>
        <v>Blog Page</v>
      </c>
      <c r="D416" s="28">
        <f t="array" ref="D416">INDEX('raw-sheet'!$A$2:$ZZ$1000, ROW(D415), MATCH(D$1, 'raw-sheet'!$A$1:$ZZ$1, 0))</f>
        <v>200</v>
      </c>
      <c r="E416" s="30" t="str">
        <f t="shared" si="16"/>
        <v>Pass</v>
      </c>
      <c r="F416" s="28" t="str">
        <f t="array" ref="F416">INDEX('raw-sheet'!$A$2:$ZZ$1000, ROW(F415), MATCH(F$1, 'raw-sheet'!$A$1:$ZZ$1, 0))</f>
        <v>notice_07_x000D_ | INNISFREE Taiwan</v>
      </c>
      <c r="G416" s="30" t="s">
        <v>11</v>
      </c>
      <c r="H416" s="28">
        <f t="array" ref="H416">INDEX('raw-sheet'!$A$2:$ZZ$1000, ROW(H415), MATCH(H$1, 'raw-sheet'!$A$1:$ZZ$1, 0))</f>
        <v>0</v>
      </c>
      <c r="I416" s="30" t="s">
        <v>11</v>
      </c>
      <c r="J416" s="28" t="str">
        <f t="array" ref="J416">INDEX('raw-sheet'!$A$2:$ZZ$1000, ROW(J415), MATCH(J$1, 'raw-sheet'!$A$1:$ZZ$1, 0))</f>
        <v>notice_07</v>
      </c>
      <c r="K416" s="28" t="str">
        <f t="array" ref="K416">INDEX('raw-sheet'!$A$2:$ZZ$1000, ROW(K415), MATCH(K$1, 'raw-sheet'!$A$1:$ZZ$1, 0))</f>
        <v>1</v>
      </c>
      <c r="L416" s="30" t="s">
        <v>11</v>
      </c>
      <c r="M416" s="28" t="str">
        <f t="array" ref="M416">INDEX('raw-sheet'!$A$2:$ZZ$1000, ROW(M415), MATCH(M$1, 'raw-sheet'!$A$1:$ZZ$1, 0))</f>
        <v>https://innisfree-taiwan.myshopify.com/blogs/notice/notice_07</v>
      </c>
      <c r="N416" s="30" t="str">
        <f t="shared" si="17"/>
        <v>Pass</v>
      </c>
      <c r="O416" s="28" t="str">
        <f t="array" ref="O416">INDEX('raw-sheet'!$A$2:$ZZ$1000, ROW(O415), MATCH(O$1, 'raw-sheet'!$A$1:$ZZ$1, 0))</f>
        <v>notice_07 | INNISFREE Taiwan</v>
      </c>
      <c r="P416" s="28" t="str">
        <f t="array" ref="P416">INDEX('raw-sheet'!$A$2:$ZZ$1000, ROW(P415), MATCH(P$1,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Q416" s="28" t="str">
        <f t="array" ref="Q416">INDEX('raw-sheet'!$A$2:$ZZ$1000, ROW(Q415), MATCH(Q$1, 'raw-sheet'!$A$1:$ZZ$1, 0))</f>
        <v>article</v>
      </c>
      <c r="R416" s="28" t="str">
        <f t="array" ref="R416">INDEX('raw-sheet'!$A$2:$ZZ$1000, ROW(R415), MATCH(R$1, 'raw-sheet'!$A$1:$ZZ$1, 0))</f>
        <v>INNISFREE Taiwan</v>
      </c>
      <c r="S416" s="28" t="str">
        <f t="array" ref="S416">INDEX('raw-sheet'!$A$2:$ZZ$1000, ROW(S415), MATCH(S$1, 'raw-sheet'!$A$1:$ZZ$1, 0))</f>
        <v>http://innisfree-taiwan.myshopify.com/cdn/shop/files/logo.png?v=1767594135</v>
      </c>
      <c r="T416" s="28" t="str">
        <f t="array" ref="T416">INDEX('raw-sheet'!$A$2:$ZZ$1000, ROW(T415), MATCH(T$1, 'raw-sheet'!$A$1:$ZZ$1, 0))</f>
        <v>https://innisfree-taiwan.myshopify.com/cdn/shop/files/logo.png?v=1767594135</v>
      </c>
      <c r="U416" s="28" t="str">
        <f t="array" ref="U416">INDEX('raw-sheet'!$A$2:$ZZ$1000, ROW(U415), MATCH(U$1, 'raw-sheet'!$A$1:$ZZ$1, 0))</f>
        <v>https://innisfree-taiwan.myshopify.com/blogs/notice/notice_07</v>
      </c>
      <c r="V416" s="28" t="str">
        <f t="array" ref="V416">INDEX('raw-sheet'!$A$2:$ZZ$1000, ROW(V415), MATCH(V$1, 'raw-sheet'!$A$1:$ZZ$1, 0))</f>
        <v>notice_07 | INNISFREE Taiwan</v>
      </c>
      <c r="W416" s="28" t="str">
        <f t="array" ref="W416">INDEX('raw-sheet'!$A$2:$ZZ$1000, ROW(W415), MATCH(W$1,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X416" s="28" t="str">
        <f t="array" ref="X416">INDEX('raw-sheet'!$A$2:$ZZ$1000, ROW(X415), MATCH(X$1, 'raw-sheet'!$A$1:$ZZ$1, 0))</f>
        <v>summary_large_image</v>
      </c>
      <c r="Y416" s="30" t="s">
        <v>11</v>
      </c>
      <c r="Z416" s="28" t="str">
        <f>VLOOKUP($A416,'raw-schema'!$A:$R,14,0)</f>
        <v>Article</v>
      </c>
      <c r="AA416" s="28" t="str">
        <f>VLOOKUP($A416,'raw-schema'!$A:$R,15,0)</f>
        <v>Organization</v>
      </c>
      <c r="AB416" s="28" t="str">
        <f>VLOOKUP($A416,'raw-schema'!$A:$R,16,0)</f>
        <v>Person</v>
      </c>
      <c r="AC416" s="28" t="str">
        <f>VLOOKUP($A416,'raw-schema'!$A:$R,17,0)</f>
        <v>WebPage</v>
      </c>
      <c r="AD416" s="28">
        <f>VLOOKUP($A416,'raw-schema'!$A:$R,18,0)</f>
        <v>0</v>
      </c>
      <c r="AE416" s="30" t="s">
        <v>69</v>
      </c>
    </row>
    <row r="417" spans="1:31" x14ac:dyDescent="0.3">
      <c r="A417" s="28" t="str">
        <f t="array" ref="A417">INDEX('raw-sheet'!$A$2:$ZZ$1000, ROW(A416), MATCH(A$1, 'raw-sheet'!$A$1:$ZZ$1, 0))</f>
        <v>https://innisfree-taiwan.myshopify.com/blogs/notice/notice_06</v>
      </c>
      <c r="B417" s="30" t="s">
        <v>11</v>
      </c>
      <c r="C417" s="28" t="str">
        <f t="array" ref="C417">INDEX('raw-sheet'!$A$2:$ZZ$1000, ROW(C416), MATCH(C$1, 'raw-sheet'!$A$1:$ZZ$1, 0))</f>
        <v>Blog Page</v>
      </c>
      <c r="D417" s="28">
        <f t="array" ref="D417">INDEX('raw-sheet'!$A$2:$ZZ$1000, ROW(D416), MATCH(D$1, 'raw-sheet'!$A$1:$ZZ$1, 0))</f>
        <v>200</v>
      </c>
      <c r="E417" s="30" t="str">
        <f t="shared" si="16"/>
        <v>Pass</v>
      </c>
      <c r="F417" s="28" t="str">
        <f t="array" ref="F417">INDEX('raw-sheet'!$A$2:$ZZ$1000, ROW(F416), MATCH(F$1, 'raw-sheet'!$A$1:$ZZ$1, 0))</f>
        <v>notice_06_x000D_ | INNISFREE Taiwan</v>
      </c>
      <c r="G417" s="30" t="s">
        <v>11</v>
      </c>
      <c r="H417" s="28" t="str">
        <f t="array" ref="H417">INDEX('raw-sheet'!$A$2:$ZZ$1000, ROW(H416), MATCH(H$1, 'raw-sheet'!$A$1:$ZZ$1, 0))</f>
        <v>aaaa 12121213555   a12sd12asd12sadsad</v>
      </c>
      <c r="I417" s="30" t="s">
        <v>11</v>
      </c>
      <c r="J417" s="28" t="str">
        <f t="array" ref="J417">INDEX('raw-sheet'!$A$2:$ZZ$1000, ROW(J416), MATCH(J$1, 'raw-sheet'!$A$1:$ZZ$1, 0))</f>
        <v>notice_06</v>
      </c>
      <c r="K417" s="28" t="str">
        <f t="array" ref="K417">INDEX('raw-sheet'!$A$2:$ZZ$1000, ROW(K416), MATCH(K$1, 'raw-sheet'!$A$1:$ZZ$1, 0))</f>
        <v>1</v>
      </c>
      <c r="L417" s="30" t="s">
        <v>11</v>
      </c>
      <c r="M417" s="28" t="str">
        <f t="array" ref="M417">INDEX('raw-sheet'!$A$2:$ZZ$1000, ROW(M416), MATCH(M$1, 'raw-sheet'!$A$1:$ZZ$1, 0))</f>
        <v>https://innisfree-taiwan.myshopify.com/blogs/notice/notice_06</v>
      </c>
      <c r="N417" s="30" t="str">
        <f t="shared" si="17"/>
        <v>Pass</v>
      </c>
      <c r="O417" s="28" t="str">
        <f t="array" ref="O417">INDEX('raw-sheet'!$A$2:$ZZ$1000, ROW(O416), MATCH(O$1, 'raw-sheet'!$A$1:$ZZ$1, 0))</f>
        <v>notice_06 | INNISFREE Taiwan</v>
      </c>
      <c r="P417" s="28" t="str">
        <f t="array" ref="P417">INDEX('raw-sheet'!$A$2:$ZZ$1000, ROW(P416), MATCH(P$1, 'raw-sheet'!$A$1:$ZZ$1, 0))</f>
        <v>aaaa 12121213555   a12sd12asd12sadsad</v>
      </c>
      <c r="Q417" s="28" t="str">
        <f t="array" ref="Q417">INDEX('raw-sheet'!$A$2:$ZZ$1000, ROW(Q416), MATCH(Q$1, 'raw-sheet'!$A$1:$ZZ$1, 0))</f>
        <v>article</v>
      </c>
      <c r="R417" s="28" t="str">
        <f t="array" ref="R417">INDEX('raw-sheet'!$A$2:$ZZ$1000, ROW(R416), MATCH(R$1, 'raw-sheet'!$A$1:$ZZ$1, 0))</f>
        <v>INNISFREE Taiwan</v>
      </c>
      <c r="S417" s="28" t="str">
        <f t="array" ref="S417">INDEX('raw-sheet'!$A$2:$ZZ$1000, ROW(S416), MATCH(S$1, 'raw-sheet'!$A$1:$ZZ$1, 0))</f>
        <v>http://innisfree-taiwan.myshopify.com/cdn/shop/files/logo.png?v=1767594135</v>
      </c>
      <c r="T417" s="28" t="str">
        <f t="array" ref="T417">INDEX('raw-sheet'!$A$2:$ZZ$1000, ROW(T416), MATCH(T$1, 'raw-sheet'!$A$1:$ZZ$1, 0))</f>
        <v>https://innisfree-taiwan.myshopify.com/cdn/shop/files/logo.png?v=1767594135</v>
      </c>
      <c r="U417" s="28" t="str">
        <f t="array" ref="U417">INDEX('raw-sheet'!$A$2:$ZZ$1000, ROW(U416), MATCH(U$1, 'raw-sheet'!$A$1:$ZZ$1, 0))</f>
        <v>https://innisfree-taiwan.myshopify.com/blogs/notice/notice_06</v>
      </c>
      <c r="V417" s="28" t="str">
        <f t="array" ref="V417">INDEX('raw-sheet'!$A$2:$ZZ$1000, ROW(V416), MATCH(V$1, 'raw-sheet'!$A$1:$ZZ$1, 0))</f>
        <v>notice_06 | INNISFREE Taiwan</v>
      </c>
      <c r="W417" s="28" t="str">
        <f t="array" ref="W417">INDEX('raw-sheet'!$A$2:$ZZ$1000, ROW(W416), MATCH(W$1, 'raw-sheet'!$A$1:$ZZ$1, 0))</f>
        <v>aaaa 12121213555   a12sd12asd12sadsad</v>
      </c>
      <c r="X417" s="28" t="str">
        <f t="array" ref="X417">INDEX('raw-sheet'!$A$2:$ZZ$1000, ROW(X416), MATCH(X$1, 'raw-sheet'!$A$1:$ZZ$1, 0))</f>
        <v>summary_large_image</v>
      </c>
      <c r="Y417" s="30" t="s">
        <v>11</v>
      </c>
      <c r="Z417" s="28" t="str">
        <f>VLOOKUP($A417,'raw-schema'!$A:$R,14,0)</f>
        <v>Article</v>
      </c>
      <c r="AA417" s="28" t="str">
        <f>VLOOKUP($A417,'raw-schema'!$A:$R,15,0)</f>
        <v>Organization</v>
      </c>
      <c r="AB417" s="28" t="str">
        <f>VLOOKUP($A417,'raw-schema'!$A:$R,16,0)</f>
        <v>Person</v>
      </c>
      <c r="AC417" s="28" t="str">
        <f>VLOOKUP($A417,'raw-schema'!$A:$R,17,0)</f>
        <v>WebPage</v>
      </c>
      <c r="AD417" s="28">
        <f>VLOOKUP($A417,'raw-schema'!$A:$R,18,0)</f>
        <v>0</v>
      </c>
      <c r="AE417" s="30" t="s">
        <v>69</v>
      </c>
    </row>
    <row r="418" spans="1:31" x14ac:dyDescent="0.3">
      <c r="A418" s="28" t="str">
        <f t="array" ref="A418">INDEX('raw-sheet'!$A$2:$ZZ$1000, ROW(A417), MATCH(A$1, 'raw-sheet'!$A$1:$ZZ$1, 0))</f>
        <v>https://innisfree-taiwan.myshopify.com/blogs/notice/notice_05</v>
      </c>
      <c r="B418" s="30" t="s">
        <v>11</v>
      </c>
      <c r="C418" s="28" t="str">
        <f t="array" ref="C418">INDEX('raw-sheet'!$A$2:$ZZ$1000, ROW(C417), MATCH(C$1, 'raw-sheet'!$A$1:$ZZ$1, 0))</f>
        <v>Blog Page</v>
      </c>
      <c r="D418" s="28">
        <f t="array" ref="D418">INDEX('raw-sheet'!$A$2:$ZZ$1000, ROW(D417), MATCH(D$1, 'raw-sheet'!$A$1:$ZZ$1, 0))</f>
        <v>200</v>
      </c>
      <c r="E418" s="30" t="str">
        <f t="shared" si="16"/>
        <v>Pass</v>
      </c>
      <c r="F418" s="28" t="str">
        <f t="array" ref="F418">INDEX('raw-sheet'!$A$2:$ZZ$1000, ROW(F417), MATCH(F$1, 'raw-sheet'!$A$1:$ZZ$1, 0))</f>
        <v>notice_05_x000D_ | INNISFREE Taiwan</v>
      </c>
      <c r="G418" s="30" t="s">
        <v>11</v>
      </c>
      <c r="H418" s="28" t="str">
        <f t="array" ref="H418">INDEX('raw-sheet'!$A$2:$ZZ$1000, ROW(H417), MATCH(H$1, 'raw-sheet'!$A$1:$ZZ$1, 0))</f>
        <v>Link Test</v>
      </c>
      <c r="I418" s="30" t="s">
        <v>11</v>
      </c>
      <c r="J418" s="28" t="str">
        <f t="array" ref="J418">INDEX('raw-sheet'!$A$2:$ZZ$1000, ROW(J417), MATCH(J$1, 'raw-sheet'!$A$1:$ZZ$1, 0))</f>
        <v>notice_05</v>
      </c>
      <c r="K418" s="28" t="str">
        <f t="array" ref="K418">INDEX('raw-sheet'!$A$2:$ZZ$1000, ROW(K417), MATCH(K$1, 'raw-sheet'!$A$1:$ZZ$1, 0))</f>
        <v>1</v>
      </c>
      <c r="L418" s="30" t="s">
        <v>11</v>
      </c>
      <c r="M418" s="28" t="str">
        <f t="array" ref="M418">INDEX('raw-sheet'!$A$2:$ZZ$1000, ROW(M417), MATCH(M$1, 'raw-sheet'!$A$1:$ZZ$1, 0))</f>
        <v>https://innisfree-taiwan.myshopify.com/blogs/notice/notice_05</v>
      </c>
      <c r="N418" s="30" t="str">
        <f t="shared" si="17"/>
        <v>Pass</v>
      </c>
      <c r="O418" s="28" t="str">
        <f t="array" ref="O418">INDEX('raw-sheet'!$A$2:$ZZ$1000, ROW(O417), MATCH(O$1, 'raw-sheet'!$A$1:$ZZ$1, 0))</f>
        <v>notice_05 | INNISFREE Taiwan</v>
      </c>
      <c r="P418" s="28" t="str">
        <f t="array" ref="P418">INDEX('raw-sheet'!$A$2:$ZZ$1000, ROW(P417), MATCH(P$1, 'raw-sheet'!$A$1:$ZZ$1, 0))</f>
        <v>Link Test</v>
      </c>
      <c r="Q418" s="28" t="str">
        <f t="array" ref="Q418">INDEX('raw-sheet'!$A$2:$ZZ$1000, ROW(Q417), MATCH(Q$1, 'raw-sheet'!$A$1:$ZZ$1, 0))</f>
        <v>article</v>
      </c>
      <c r="R418" s="28" t="str">
        <f t="array" ref="R418">INDEX('raw-sheet'!$A$2:$ZZ$1000, ROW(R417), MATCH(R$1, 'raw-sheet'!$A$1:$ZZ$1, 0))</f>
        <v>INNISFREE Taiwan</v>
      </c>
      <c r="S418" s="28" t="str">
        <f t="array" ref="S418">INDEX('raw-sheet'!$A$2:$ZZ$1000, ROW(S417), MATCH(S$1, 'raw-sheet'!$A$1:$ZZ$1, 0))</f>
        <v>http://innisfree-taiwan.myshopify.com/cdn/shop/files/logo.png?v=1767594135</v>
      </c>
      <c r="T418" s="28" t="str">
        <f t="array" ref="T418">INDEX('raw-sheet'!$A$2:$ZZ$1000, ROW(T417), MATCH(T$1, 'raw-sheet'!$A$1:$ZZ$1, 0))</f>
        <v>https://innisfree-taiwan.myshopify.com/cdn/shop/files/logo.png?v=1767594135</v>
      </c>
      <c r="U418" s="28" t="str">
        <f t="array" ref="U418">INDEX('raw-sheet'!$A$2:$ZZ$1000, ROW(U417), MATCH(U$1, 'raw-sheet'!$A$1:$ZZ$1, 0))</f>
        <v>https://innisfree-taiwan.myshopify.com/blogs/notice/notice_05</v>
      </c>
      <c r="V418" s="28" t="str">
        <f t="array" ref="V418">INDEX('raw-sheet'!$A$2:$ZZ$1000, ROW(V417), MATCH(V$1, 'raw-sheet'!$A$1:$ZZ$1, 0))</f>
        <v>notice_05 | INNISFREE Taiwan</v>
      </c>
      <c r="W418" s="28" t="str">
        <f t="array" ref="W418">INDEX('raw-sheet'!$A$2:$ZZ$1000, ROW(W417), MATCH(W$1, 'raw-sheet'!$A$1:$ZZ$1, 0))</f>
        <v>Link Test</v>
      </c>
      <c r="X418" s="28" t="str">
        <f t="array" ref="X418">INDEX('raw-sheet'!$A$2:$ZZ$1000, ROW(X417), MATCH(X$1, 'raw-sheet'!$A$1:$ZZ$1, 0))</f>
        <v>summary_large_image</v>
      </c>
      <c r="Y418" s="30" t="s">
        <v>11</v>
      </c>
      <c r="Z418" s="28" t="str">
        <f>VLOOKUP($A418,'raw-schema'!$A:$R,14,0)</f>
        <v>Article</v>
      </c>
      <c r="AA418" s="28" t="str">
        <f>VLOOKUP($A418,'raw-schema'!$A:$R,15,0)</f>
        <v>Organization</v>
      </c>
      <c r="AB418" s="28" t="str">
        <f>VLOOKUP($A418,'raw-schema'!$A:$R,16,0)</f>
        <v>Person</v>
      </c>
      <c r="AC418" s="28" t="str">
        <f>VLOOKUP($A418,'raw-schema'!$A:$R,17,0)</f>
        <v>WebPage</v>
      </c>
      <c r="AD418" s="28">
        <f>VLOOKUP($A418,'raw-schema'!$A:$R,18,0)</f>
        <v>0</v>
      </c>
      <c r="AE418" s="30" t="s">
        <v>69</v>
      </c>
    </row>
    <row r="419" spans="1:31" x14ac:dyDescent="0.3">
      <c r="A419" s="28" t="str">
        <f t="array" ref="A419">INDEX('raw-sheet'!$A$2:$ZZ$1000, ROW(A418), MATCH(A$1, 'raw-sheet'!$A$1:$ZZ$1, 0))</f>
        <v>https://innisfree-taiwan.myshopify.com/blogs/notice/notice_04</v>
      </c>
      <c r="B419" s="30" t="s">
        <v>11</v>
      </c>
      <c r="C419" s="28" t="str">
        <f t="array" ref="C419">INDEX('raw-sheet'!$A$2:$ZZ$1000, ROW(C418), MATCH(C$1, 'raw-sheet'!$A$1:$ZZ$1, 0))</f>
        <v>Blog Page</v>
      </c>
      <c r="D419" s="28">
        <f t="array" ref="D419">INDEX('raw-sheet'!$A$2:$ZZ$1000, ROW(D418), MATCH(D$1, 'raw-sheet'!$A$1:$ZZ$1, 0))</f>
        <v>200</v>
      </c>
      <c r="E419" s="30" t="str">
        <f t="shared" si="16"/>
        <v>Pass</v>
      </c>
      <c r="F419" s="28" t="str">
        <f t="array" ref="F419">INDEX('raw-sheet'!$A$2:$ZZ$1000, ROW(F418), MATCH(F$1, 'raw-sheet'!$A$1:$ZZ$1, 0))</f>
        <v>notice_04_x000D_ | INNISFREE Taiwan</v>
      </c>
      <c r="G419" s="30" t="s">
        <v>11</v>
      </c>
      <c r="H419" s="28" t="str">
        <f t="array" ref="H419">INDEX('raw-sheet'!$A$2:$ZZ$1000, ROW(H418), MATCH(H$1, 'raw-sheet'!$A$1:$ZZ$1, 0))</f>
        <v>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</v>
      </c>
      <c r="I419" s="30" t="s">
        <v>11</v>
      </c>
      <c r="J419" s="28" t="str">
        <f t="array" ref="J419">INDEX('raw-sheet'!$A$2:$ZZ$1000, ROW(J418), MATCH(J$1, 'raw-sheet'!$A$1:$ZZ$1, 0))</f>
        <v>notice_04</v>
      </c>
      <c r="K419" s="28" t="str">
        <f t="array" ref="K419">INDEX('raw-sheet'!$A$2:$ZZ$1000, ROW(K418), MATCH(K$1, 'raw-sheet'!$A$1:$ZZ$1, 0))</f>
        <v>1</v>
      </c>
      <c r="L419" s="30" t="s">
        <v>11</v>
      </c>
      <c r="M419" s="28" t="str">
        <f t="array" ref="M419">INDEX('raw-sheet'!$A$2:$ZZ$1000, ROW(M418), MATCH(M$1, 'raw-sheet'!$A$1:$ZZ$1, 0))</f>
        <v>https://innisfree-taiwan.myshopify.com/blogs/notice/notice_04</v>
      </c>
      <c r="N419" s="30" t="str">
        <f t="shared" si="17"/>
        <v>Pass</v>
      </c>
      <c r="O419" s="28" t="str">
        <f t="array" ref="O419">INDEX('raw-sheet'!$A$2:$ZZ$1000, ROW(O418), MATCH(O$1, 'raw-sheet'!$A$1:$ZZ$1, 0))</f>
        <v>notice_04 | INNISFREE Taiwan</v>
      </c>
      <c r="P419" s="28" t="str">
        <f t="array" ref="P419">INDEX('raw-sheet'!$A$2:$ZZ$1000, ROW(P418), MATCH(P$1, 'raw-sheet'!$A$1:$ZZ$1, 0))</f>
        <v>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</v>
      </c>
      <c r="Q419" s="28" t="str">
        <f t="array" ref="Q419">INDEX('raw-sheet'!$A$2:$ZZ$1000, ROW(Q418), MATCH(Q$1, 'raw-sheet'!$A$1:$ZZ$1, 0))</f>
        <v>article</v>
      </c>
      <c r="R419" s="28" t="str">
        <f t="array" ref="R419">INDEX('raw-sheet'!$A$2:$ZZ$1000, ROW(R418), MATCH(R$1, 'raw-sheet'!$A$1:$ZZ$1, 0))</f>
        <v>INNISFREE Taiwan</v>
      </c>
      <c r="S419" s="28" t="str">
        <f t="array" ref="S419">INDEX('raw-sheet'!$A$2:$ZZ$1000, ROW(S418), MATCH(S$1, 'raw-sheet'!$A$1:$ZZ$1, 0))</f>
        <v>http://innisfree-taiwan.myshopify.com/cdn/shop/files/logo.png?v=1767594135</v>
      </c>
      <c r="T419" s="28" t="str">
        <f t="array" ref="T419">INDEX('raw-sheet'!$A$2:$ZZ$1000, ROW(T418), MATCH(T$1, 'raw-sheet'!$A$1:$ZZ$1, 0))</f>
        <v>https://innisfree-taiwan.myshopify.com/cdn/shop/files/logo.png?v=1767594135</v>
      </c>
      <c r="U419" s="28" t="str">
        <f t="array" ref="U419">INDEX('raw-sheet'!$A$2:$ZZ$1000, ROW(U418), MATCH(U$1, 'raw-sheet'!$A$1:$ZZ$1, 0))</f>
        <v>https://innisfree-taiwan.myshopify.com/blogs/notice/notice_04</v>
      </c>
      <c r="V419" s="28" t="str">
        <f t="array" ref="V419">INDEX('raw-sheet'!$A$2:$ZZ$1000, ROW(V418), MATCH(V$1, 'raw-sheet'!$A$1:$ZZ$1, 0))</f>
        <v>notice_04 | INNISFREE Taiwan</v>
      </c>
      <c r="W419" s="28" t="str">
        <f t="array" ref="W419">INDEX('raw-sheet'!$A$2:$ZZ$1000, ROW(W418), MATCH(W$1, 'raw-sheet'!$A$1:$ZZ$1, 0))</f>
        <v>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</v>
      </c>
      <c r="X419" s="28" t="str">
        <f t="array" ref="X419">INDEX('raw-sheet'!$A$2:$ZZ$1000, ROW(X418), MATCH(X$1, 'raw-sheet'!$A$1:$ZZ$1, 0))</f>
        <v>summary_large_image</v>
      </c>
      <c r="Y419" s="30" t="s">
        <v>11</v>
      </c>
      <c r="Z419" s="28" t="str">
        <f>VLOOKUP($A419,'raw-schema'!$A:$R,14,0)</f>
        <v>Article</v>
      </c>
      <c r="AA419" s="28" t="str">
        <f>VLOOKUP($A419,'raw-schema'!$A:$R,15,0)</f>
        <v>Organization</v>
      </c>
      <c r="AB419" s="28" t="str">
        <f>VLOOKUP($A419,'raw-schema'!$A:$R,16,0)</f>
        <v>Person</v>
      </c>
      <c r="AC419" s="28" t="str">
        <f>VLOOKUP($A419,'raw-schema'!$A:$R,17,0)</f>
        <v>WebPage</v>
      </c>
      <c r="AD419" s="28">
        <f>VLOOKUP($A419,'raw-schema'!$A:$R,18,0)</f>
        <v>0</v>
      </c>
      <c r="AE419" s="30" t="s">
        <v>69</v>
      </c>
    </row>
    <row r="420" spans="1:31" x14ac:dyDescent="0.3">
      <c r="A420" s="28" t="str">
        <f t="array" ref="A420">INDEX('raw-sheet'!$A$2:$ZZ$1000, ROW(A419), MATCH(A$1, 'raw-sheet'!$A$1:$ZZ$1, 0))</f>
        <v>https://innisfree-taiwan.myshopify.com/blogs/notice/notice_03</v>
      </c>
      <c r="B420" s="30" t="s">
        <v>11</v>
      </c>
      <c r="C420" s="28" t="str">
        <f t="array" ref="C420">INDEX('raw-sheet'!$A$2:$ZZ$1000, ROW(C419), MATCH(C$1, 'raw-sheet'!$A$1:$ZZ$1, 0))</f>
        <v>Blog Page</v>
      </c>
      <c r="D420" s="28">
        <f t="array" ref="D420">INDEX('raw-sheet'!$A$2:$ZZ$1000, ROW(D419), MATCH(D$1, 'raw-sheet'!$A$1:$ZZ$1, 0))</f>
        <v>200</v>
      </c>
      <c r="E420" s="30" t="str">
        <f t="shared" si="16"/>
        <v>Pass</v>
      </c>
      <c r="F420" s="28" t="str">
        <f t="array" ref="F420">INDEX('raw-sheet'!$A$2:$ZZ$1000, ROW(F419), MATCH(F$1, 'raw-sheet'!$A$1:$ZZ$1, 0))</f>
        <v>notice_03_x000D_ | INNISFREE Taiwan</v>
      </c>
      <c r="G420" s="30" t="s">
        <v>11</v>
      </c>
      <c r="H420" s="28" t="str">
        <f t="array" ref="H420">INDEX('raw-sheet'!$A$2:$ZZ$1000, ROW(H419), MATCH(H$1, 'raw-sheet'!$A$1:$ZZ$1, 0))</f>
        <v>12  55 6 6 6 7 8 84 1 1 23123 13  21 231 21 21212 1 2121221212</v>
      </c>
      <c r="I420" s="30" t="s">
        <v>11</v>
      </c>
      <c r="J420" s="28" t="str">
        <f t="array" ref="J420">INDEX('raw-sheet'!$A$2:$ZZ$1000, ROW(J419), MATCH(J$1, 'raw-sheet'!$A$1:$ZZ$1, 0))</f>
        <v>notice_03</v>
      </c>
      <c r="K420" s="28" t="str">
        <f t="array" ref="K420">INDEX('raw-sheet'!$A$2:$ZZ$1000, ROW(K419), MATCH(K$1, 'raw-sheet'!$A$1:$ZZ$1, 0))</f>
        <v>1</v>
      </c>
      <c r="L420" s="30" t="s">
        <v>11</v>
      </c>
      <c r="M420" s="28" t="str">
        <f t="array" ref="M420">INDEX('raw-sheet'!$A$2:$ZZ$1000, ROW(M419), MATCH(M$1, 'raw-sheet'!$A$1:$ZZ$1, 0))</f>
        <v>https://innisfree-taiwan.myshopify.com/blogs/notice/notice_03</v>
      </c>
      <c r="N420" s="30" t="str">
        <f t="shared" si="17"/>
        <v>Pass</v>
      </c>
      <c r="O420" s="28" t="str">
        <f t="array" ref="O420">INDEX('raw-sheet'!$A$2:$ZZ$1000, ROW(O419), MATCH(O$1, 'raw-sheet'!$A$1:$ZZ$1, 0))</f>
        <v>notice_03 | INNISFREE Taiwan</v>
      </c>
      <c r="P420" s="28" t="str">
        <f t="array" ref="P420">INDEX('raw-sheet'!$A$2:$ZZ$1000, ROW(P419), MATCH(P$1, 'raw-sheet'!$A$1:$ZZ$1, 0))</f>
        <v>12  55 6 6 6 7 8 84 1 1 23123 13  21 231 21 21212 1 2121221212</v>
      </c>
      <c r="Q420" s="28" t="str">
        <f t="array" ref="Q420">INDEX('raw-sheet'!$A$2:$ZZ$1000, ROW(Q419), MATCH(Q$1, 'raw-sheet'!$A$1:$ZZ$1, 0))</f>
        <v>article</v>
      </c>
      <c r="R420" s="28" t="str">
        <f t="array" ref="R420">INDEX('raw-sheet'!$A$2:$ZZ$1000, ROW(R419), MATCH(R$1, 'raw-sheet'!$A$1:$ZZ$1, 0))</f>
        <v>INNISFREE Taiwan</v>
      </c>
      <c r="S420" s="28" t="str">
        <f t="array" ref="S420">INDEX('raw-sheet'!$A$2:$ZZ$1000, ROW(S419), MATCH(S$1, 'raw-sheet'!$A$1:$ZZ$1, 0))</f>
        <v>http://innisfree-taiwan.myshopify.com/cdn/shop/files/logo.png?v=1767594135</v>
      </c>
      <c r="T420" s="28" t="str">
        <f t="array" ref="T420">INDEX('raw-sheet'!$A$2:$ZZ$1000, ROW(T419), MATCH(T$1, 'raw-sheet'!$A$1:$ZZ$1, 0))</f>
        <v>https://innisfree-taiwan.myshopify.com/cdn/shop/files/logo.png?v=1767594135</v>
      </c>
      <c r="U420" s="28" t="str">
        <f t="array" ref="U420">INDEX('raw-sheet'!$A$2:$ZZ$1000, ROW(U419), MATCH(U$1, 'raw-sheet'!$A$1:$ZZ$1, 0))</f>
        <v>https://innisfree-taiwan.myshopify.com/blogs/notice/notice_03</v>
      </c>
      <c r="V420" s="28" t="str">
        <f t="array" ref="V420">INDEX('raw-sheet'!$A$2:$ZZ$1000, ROW(V419), MATCH(V$1, 'raw-sheet'!$A$1:$ZZ$1, 0))</f>
        <v>notice_03 | INNISFREE Taiwan</v>
      </c>
      <c r="W420" s="28" t="str">
        <f t="array" ref="W420">INDEX('raw-sheet'!$A$2:$ZZ$1000, ROW(W419), MATCH(W$1, 'raw-sheet'!$A$1:$ZZ$1, 0))</f>
        <v>12  55 6 6 6 7 8 84 1 1 23123 13  21 231 21 21212 1 2121221212</v>
      </c>
      <c r="X420" s="28" t="str">
        <f t="array" ref="X420">INDEX('raw-sheet'!$A$2:$ZZ$1000, ROW(X419), MATCH(X$1, 'raw-sheet'!$A$1:$ZZ$1, 0))</f>
        <v>summary_large_image</v>
      </c>
      <c r="Y420" s="30" t="s">
        <v>11</v>
      </c>
      <c r="Z420" s="28" t="str">
        <f>VLOOKUP($A420,'raw-schema'!$A:$R,14,0)</f>
        <v>Article</v>
      </c>
      <c r="AA420" s="28" t="str">
        <f>VLOOKUP($A420,'raw-schema'!$A:$R,15,0)</f>
        <v>Organization</v>
      </c>
      <c r="AB420" s="28" t="str">
        <f>VLOOKUP($A420,'raw-schema'!$A:$R,16,0)</f>
        <v>Person</v>
      </c>
      <c r="AC420" s="28" t="str">
        <f>VLOOKUP($A420,'raw-schema'!$A:$R,17,0)</f>
        <v>WebPage</v>
      </c>
      <c r="AD420" s="28">
        <f>VLOOKUP($A420,'raw-schema'!$A:$R,18,0)</f>
        <v>0</v>
      </c>
      <c r="AE420" s="30" t="s">
        <v>69</v>
      </c>
    </row>
    <row r="421" spans="1:31" x14ac:dyDescent="0.3">
      <c r="A421" s="28" t="str">
        <f t="array" ref="A421">INDEX('raw-sheet'!$A$2:$ZZ$1000, ROW(A420), MATCH(A$1, 'raw-sheet'!$A$1:$ZZ$1, 0))</f>
        <v>https://innisfree-taiwan.myshopify.com/blogs/notice/notice_02</v>
      </c>
      <c r="B421" s="30" t="s">
        <v>11</v>
      </c>
      <c r="C421" s="28" t="str">
        <f t="array" ref="C421">INDEX('raw-sheet'!$A$2:$ZZ$1000, ROW(C420), MATCH(C$1, 'raw-sheet'!$A$1:$ZZ$1, 0))</f>
        <v>Blog Page</v>
      </c>
      <c r="D421" s="28">
        <f t="array" ref="D421">INDEX('raw-sheet'!$A$2:$ZZ$1000, ROW(D420), MATCH(D$1, 'raw-sheet'!$A$1:$ZZ$1, 0))</f>
        <v>200</v>
      </c>
      <c r="E421" s="30" t="str">
        <f t="shared" si="16"/>
        <v>Pass</v>
      </c>
      <c r="F421" s="28" t="str">
        <f t="array" ref="F421">INDEX('raw-sheet'!$A$2:$ZZ$1000, ROW(F420), MATCH(F$1, 'raw-sheet'!$A$1:$ZZ$1, 0))</f>
        <v>notice_02_x000D_ | INNISFREE Taiwan</v>
      </c>
      <c r="G421" s="30" t="s">
        <v>11</v>
      </c>
      <c r="H421" s="28" t="str">
        <f t="array" ref="H421">INDEX('raw-sheet'!$A$2:$ZZ$1000, ROW(H420), MATCH(H$1, 'raw-sheet'!$A$1:$ZZ$1, 0))</f>
        <v>1 2 3 4 5 6</v>
      </c>
      <c r="I421" s="30" t="s">
        <v>11</v>
      </c>
      <c r="J421" s="28" t="str">
        <f t="array" ref="J421">INDEX('raw-sheet'!$A$2:$ZZ$1000, ROW(J420), MATCH(J$1, 'raw-sheet'!$A$1:$ZZ$1, 0))</f>
        <v>notice_02</v>
      </c>
      <c r="K421" s="28" t="str">
        <f t="array" ref="K421">INDEX('raw-sheet'!$A$2:$ZZ$1000, ROW(K420), MATCH(K$1, 'raw-sheet'!$A$1:$ZZ$1, 0))</f>
        <v>1</v>
      </c>
      <c r="L421" s="30" t="s">
        <v>11</v>
      </c>
      <c r="M421" s="28" t="str">
        <f t="array" ref="M421">INDEX('raw-sheet'!$A$2:$ZZ$1000, ROW(M420), MATCH(M$1, 'raw-sheet'!$A$1:$ZZ$1, 0))</f>
        <v>https://innisfree-taiwan.myshopify.com/blogs/notice/notice_02</v>
      </c>
      <c r="N421" s="30" t="str">
        <f t="shared" si="17"/>
        <v>Pass</v>
      </c>
      <c r="O421" s="28" t="str">
        <f t="array" ref="O421">INDEX('raw-sheet'!$A$2:$ZZ$1000, ROW(O420), MATCH(O$1, 'raw-sheet'!$A$1:$ZZ$1, 0))</f>
        <v>notice_02 | INNISFREE Taiwan</v>
      </c>
      <c r="P421" s="28" t="str">
        <f t="array" ref="P421">INDEX('raw-sheet'!$A$2:$ZZ$1000, ROW(P420), MATCH(P$1, 'raw-sheet'!$A$1:$ZZ$1, 0))</f>
        <v>1 2 3 4 5 6</v>
      </c>
      <c r="Q421" s="28" t="str">
        <f t="array" ref="Q421">INDEX('raw-sheet'!$A$2:$ZZ$1000, ROW(Q420), MATCH(Q$1, 'raw-sheet'!$A$1:$ZZ$1, 0))</f>
        <v>article</v>
      </c>
      <c r="R421" s="28" t="str">
        <f t="array" ref="R421">INDEX('raw-sheet'!$A$2:$ZZ$1000, ROW(R420), MATCH(R$1, 'raw-sheet'!$A$1:$ZZ$1, 0))</f>
        <v>INNISFREE Taiwan</v>
      </c>
      <c r="S421" s="28" t="str">
        <f t="array" ref="S421">INDEX('raw-sheet'!$A$2:$ZZ$1000, ROW(S420), MATCH(S$1, 'raw-sheet'!$A$1:$ZZ$1, 0))</f>
        <v>http://innisfree-taiwan.myshopify.com/cdn/shop/files/logo.png?v=1767594135</v>
      </c>
      <c r="T421" s="28" t="str">
        <f t="array" ref="T421">INDEX('raw-sheet'!$A$2:$ZZ$1000, ROW(T420), MATCH(T$1, 'raw-sheet'!$A$1:$ZZ$1, 0))</f>
        <v>https://innisfree-taiwan.myshopify.com/cdn/shop/files/logo.png?v=1767594135</v>
      </c>
      <c r="U421" s="28" t="str">
        <f t="array" ref="U421">INDEX('raw-sheet'!$A$2:$ZZ$1000, ROW(U420), MATCH(U$1, 'raw-sheet'!$A$1:$ZZ$1, 0))</f>
        <v>https://innisfree-taiwan.myshopify.com/blogs/notice/notice_02</v>
      </c>
      <c r="V421" s="28" t="str">
        <f t="array" ref="V421">INDEX('raw-sheet'!$A$2:$ZZ$1000, ROW(V420), MATCH(V$1, 'raw-sheet'!$A$1:$ZZ$1, 0))</f>
        <v>notice_02 | INNISFREE Taiwan</v>
      </c>
      <c r="W421" s="28" t="str">
        <f t="array" ref="W421">INDEX('raw-sheet'!$A$2:$ZZ$1000, ROW(W420), MATCH(W$1, 'raw-sheet'!$A$1:$ZZ$1, 0))</f>
        <v>1 2 3 4 5 6</v>
      </c>
      <c r="X421" s="28" t="str">
        <f t="array" ref="X421">INDEX('raw-sheet'!$A$2:$ZZ$1000, ROW(X420), MATCH(X$1, 'raw-sheet'!$A$1:$ZZ$1, 0))</f>
        <v>summary_large_image</v>
      </c>
      <c r="Y421" s="30" t="s">
        <v>11</v>
      </c>
      <c r="Z421" s="28" t="str">
        <f>VLOOKUP($A421,'raw-schema'!$A:$R,14,0)</f>
        <v>Article</v>
      </c>
      <c r="AA421" s="28" t="str">
        <f>VLOOKUP($A421,'raw-schema'!$A:$R,15,0)</f>
        <v>Organization</v>
      </c>
      <c r="AB421" s="28" t="str">
        <f>VLOOKUP($A421,'raw-schema'!$A:$R,16,0)</f>
        <v>Person</v>
      </c>
      <c r="AC421" s="28" t="str">
        <f>VLOOKUP($A421,'raw-schema'!$A:$R,17,0)</f>
        <v>WebPage</v>
      </c>
      <c r="AD421" s="28">
        <f>VLOOKUP($A421,'raw-schema'!$A:$R,18,0)</f>
        <v>0</v>
      </c>
      <c r="AE421" s="30" t="s">
        <v>69</v>
      </c>
    </row>
    <row r="422" spans="1:31" x14ac:dyDescent="0.3">
      <c r="A422" s="28" t="str">
        <f t="array" ref="A422">INDEX('raw-sheet'!$A$2:$ZZ$1000, ROW(A421), MATCH(A$1, 'raw-sheet'!$A$1:$ZZ$1, 0))</f>
        <v>https://innisfree-taiwan.myshopify.com/blogs/notice/notice_01</v>
      </c>
      <c r="B422" s="30" t="s">
        <v>11</v>
      </c>
      <c r="C422" s="28" t="str">
        <f t="array" ref="C422">INDEX('raw-sheet'!$A$2:$ZZ$1000, ROW(C421), MATCH(C$1, 'raw-sheet'!$A$1:$ZZ$1, 0))</f>
        <v>Blog Page</v>
      </c>
      <c r="D422" s="28">
        <f t="array" ref="D422">INDEX('raw-sheet'!$A$2:$ZZ$1000, ROW(D421), MATCH(D$1, 'raw-sheet'!$A$1:$ZZ$1, 0))</f>
        <v>200</v>
      </c>
      <c r="E422" s="30" t="str">
        <f t="shared" si="16"/>
        <v>Pass</v>
      </c>
      <c r="F422" s="28" t="str">
        <f t="array" ref="F422">INDEX('raw-sheet'!$A$2:$ZZ$1000, ROW(F421), MATCH(F$1, 'raw-sheet'!$A$1:$ZZ$1, 0))</f>
        <v>notice_01_x000D_ | INNISFREE Taiwan</v>
      </c>
      <c r="G422" s="30" t="s">
        <v>11</v>
      </c>
      <c r="H422" s="28" t="str">
        <f t="array" ref="H422">INDEX('raw-sheet'!$A$2:$ZZ$1000, ROW(H421), MATCH(H$1, 'raw-sheet'!$A$1:$ZZ$1, 0))</f>
        <v>123456</v>
      </c>
      <c r="I422" s="30" t="s">
        <v>11</v>
      </c>
      <c r="J422" s="28" t="str">
        <f t="array" ref="J422">INDEX('raw-sheet'!$A$2:$ZZ$1000, ROW(J421), MATCH(J$1, 'raw-sheet'!$A$1:$ZZ$1, 0))</f>
        <v>notice_01</v>
      </c>
      <c r="K422" s="28" t="str">
        <f t="array" ref="K422">INDEX('raw-sheet'!$A$2:$ZZ$1000, ROW(K421), MATCH(K$1, 'raw-sheet'!$A$1:$ZZ$1, 0))</f>
        <v>1</v>
      </c>
      <c r="L422" s="30" t="s">
        <v>11</v>
      </c>
      <c r="M422" s="28" t="str">
        <f t="array" ref="M422">INDEX('raw-sheet'!$A$2:$ZZ$1000, ROW(M421), MATCH(M$1, 'raw-sheet'!$A$1:$ZZ$1, 0))</f>
        <v>https://innisfree-taiwan.myshopify.com/blogs/notice/notice_01</v>
      </c>
      <c r="N422" s="30" t="str">
        <f t="shared" si="17"/>
        <v>Pass</v>
      </c>
      <c r="O422" s="28" t="str">
        <f t="array" ref="O422">INDEX('raw-sheet'!$A$2:$ZZ$1000, ROW(O421), MATCH(O$1, 'raw-sheet'!$A$1:$ZZ$1, 0))</f>
        <v>notice_01 | INNISFREE Taiwan</v>
      </c>
      <c r="P422" s="28" t="str">
        <f t="array" ref="P422">INDEX('raw-sheet'!$A$2:$ZZ$1000, ROW(P421), MATCH(P$1, 'raw-sheet'!$A$1:$ZZ$1, 0))</f>
        <v>123456</v>
      </c>
      <c r="Q422" s="28" t="str">
        <f t="array" ref="Q422">INDEX('raw-sheet'!$A$2:$ZZ$1000, ROW(Q421), MATCH(Q$1, 'raw-sheet'!$A$1:$ZZ$1, 0))</f>
        <v>article</v>
      </c>
      <c r="R422" s="28" t="str">
        <f t="array" ref="R422">INDEX('raw-sheet'!$A$2:$ZZ$1000, ROW(R421), MATCH(R$1, 'raw-sheet'!$A$1:$ZZ$1, 0))</f>
        <v>INNISFREE Taiwan</v>
      </c>
      <c r="S422" s="28" t="str">
        <f t="array" ref="S422">INDEX('raw-sheet'!$A$2:$ZZ$1000, ROW(S421), MATCH(S$1, 'raw-sheet'!$A$1:$ZZ$1, 0))</f>
        <v>http://innisfree-taiwan.myshopify.com/cdn/shop/files/logo.png?v=1767594135</v>
      </c>
      <c r="T422" s="28" t="str">
        <f t="array" ref="T422">INDEX('raw-sheet'!$A$2:$ZZ$1000, ROW(T421), MATCH(T$1, 'raw-sheet'!$A$1:$ZZ$1, 0))</f>
        <v>https://innisfree-taiwan.myshopify.com/cdn/shop/files/logo.png?v=1767594135</v>
      </c>
      <c r="U422" s="28" t="str">
        <f t="array" ref="U422">INDEX('raw-sheet'!$A$2:$ZZ$1000, ROW(U421), MATCH(U$1, 'raw-sheet'!$A$1:$ZZ$1, 0))</f>
        <v>https://innisfree-taiwan.myshopify.com/blogs/notice/notice_01</v>
      </c>
      <c r="V422" s="28" t="str">
        <f t="array" ref="V422">INDEX('raw-sheet'!$A$2:$ZZ$1000, ROW(V421), MATCH(V$1, 'raw-sheet'!$A$1:$ZZ$1, 0))</f>
        <v>notice_01 | INNISFREE Taiwan</v>
      </c>
      <c r="W422" s="28" t="str">
        <f t="array" ref="W422">INDEX('raw-sheet'!$A$2:$ZZ$1000, ROW(W421), MATCH(W$1, 'raw-sheet'!$A$1:$ZZ$1, 0))</f>
        <v>123456</v>
      </c>
      <c r="X422" s="28" t="str">
        <f t="array" ref="X422">INDEX('raw-sheet'!$A$2:$ZZ$1000, ROW(X421), MATCH(X$1, 'raw-sheet'!$A$1:$ZZ$1, 0))</f>
        <v>summary_large_image</v>
      </c>
      <c r="Y422" s="30" t="s">
        <v>11</v>
      </c>
      <c r="Z422" s="28" t="str">
        <f>VLOOKUP($A422,'raw-schema'!$A:$R,14,0)</f>
        <v>Article</v>
      </c>
      <c r="AA422" s="28" t="str">
        <f>VLOOKUP($A422,'raw-schema'!$A:$R,15,0)</f>
        <v>Organization</v>
      </c>
      <c r="AB422" s="28" t="str">
        <f>VLOOKUP($A422,'raw-schema'!$A:$R,16,0)</f>
        <v>Person</v>
      </c>
      <c r="AC422" s="28" t="str">
        <f>VLOOKUP($A422,'raw-schema'!$A:$R,17,0)</f>
        <v>WebPage</v>
      </c>
      <c r="AD422" s="28">
        <f>VLOOKUP($A422,'raw-schema'!$A:$R,18,0)</f>
        <v>0</v>
      </c>
      <c r="AE422" s="30" t="s">
        <v>69</v>
      </c>
    </row>
    <row r="423" spans="1:31" x14ac:dyDescent="0.3">
      <c r="A423" s="28" t="str">
        <f t="array" ref="A423">INDEX('raw-sheet'!$A$2:$ZZ$1000, ROW(A422), MATCH(A$1, 'raw-sheet'!$A$1:$ZZ$1, 0))</f>
        <v>https://innisfree-taiwan.myshopify.com/admin</v>
      </c>
      <c r="B423" s="30" t="s">
        <v>11</v>
      </c>
      <c r="C423" s="28">
        <f t="array" ref="C423">INDEX('raw-sheet'!$A$2:$ZZ$1000, ROW(C422), MATCH(C$1, 'raw-sheet'!$A$1:$ZZ$1, 0))</f>
        <v>0</v>
      </c>
      <c r="D423" s="28">
        <f t="array" ref="D423">INDEX('raw-sheet'!$A$2:$ZZ$1000, ROW(D422), MATCH(D$1, 'raw-sheet'!$A$1:$ZZ$1, 0))</f>
        <v>302</v>
      </c>
      <c r="E423" s="30" t="str">
        <f t="shared" si="16"/>
        <v>Not</v>
      </c>
      <c r="F423" s="28">
        <f t="array" ref="F423">INDEX('raw-sheet'!$A$2:$ZZ$1000, ROW(F422), MATCH(F$1, 'raw-sheet'!$A$1:$ZZ$1, 0))</f>
        <v>0</v>
      </c>
      <c r="G423" s="30" t="s">
        <v>11</v>
      </c>
      <c r="H423" s="28">
        <f t="array" ref="H423">INDEX('raw-sheet'!$A$2:$ZZ$1000, ROW(H422), MATCH(H$1, 'raw-sheet'!$A$1:$ZZ$1, 0))</f>
        <v>0</v>
      </c>
      <c r="I423" s="30" t="s">
        <v>11</v>
      </c>
      <c r="J423" s="28">
        <f t="array" ref="J423">INDEX('raw-sheet'!$A$2:$ZZ$1000, ROW(J422), MATCH(J$1, 'raw-sheet'!$A$1:$ZZ$1, 0))</f>
        <v>0</v>
      </c>
      <c r="K423" s="28">
        <f t="array" ref="K423">INDEX('raw-sheet'!$A$2:$ZZ$1000, ROW(K422), MATCH(K$1, 'raw-sheet'!$A$1:$ZZ$1, 0))</f>
        <v>0</v>
      </c>
      <c r="L423" s="30" t="s">
        <v>11</v>
      </c>
      <c r="M423" s="28">
        <f t="array" ref="M423">INDEX('raw-sheet'!$A$2:$ZZ$1000, ROW(M422), MATCH(M$1, 'raw-sheet'!$A$1:$ZZ$1, 0))</f>
        <v>0</v>
      </c>
      <c r="N423" s="30" t="str">
        <f t="shared" si="17"/>
        <v>Not</v>
      </c>
      <c r="O423" s="28">
        <f t="array" ref="O423">INDEX('raw-sheet'!$A$2:$ZZ$1000, ROW(O422), MATCH(O$1, 'raw-sheet'!$A$1:$ZZ$1, 0))</f>
        <v>0</v>
      </c>
      <c r="P423" s="28">
        <f t="array" ref="P423">INDEX('raw-sheet'!$A$2:$ZZ$1000, ROW(P422), MATCH(P$1, 'raw-sheet'!$A$1:$ZZ$1, 0))</f>
        <v>0</v>
      </c>
      <c r="Q423" s="28">
        <f t="array" ref="Q423">INDEX('raw-sheet'!$A$2:$ZZ$1000, ROW(Q422), MATCH(Q$1, 'raw-sheet'!$A$1:$ZZ$1, 0))</f>
        <v>0</v>
      </c>
      <c r="R423" s="28">
        <f t="array" ref="R423">INDEX('raw-sheet'!$A$2:$ZZ$1000, ROW(R422), MATCH(R$1, 'raw-sheet'!$A$1:$ZZ$1, 0))</f>
        <v>0</v>
      </c>
      <c r="S423" s="28">
        <f t="array" ref="S423">INDEX('raw-sheet'!$A$2:$ZZ$1000, ROW(S422), MATCH(S$1, 'raw-sheet'!$A$1:$ZZ$1, 0))</f>
        <v>0</v>
      </c>
      <c r="T423" s="28">
        <f t="array" ref="T423">INDEX('raw-sheet'!$A$2:$ZZ$1000, ROW(T422), MATCH(T$1, 'raw-sheet'!$A$1:$ZZ$1, 0))</f>
        <v>0</v>
      </c>
      <c r="U423" s="28">
        <f t="array" ref="U423">INDEX('raw-sheet'!$A$2:$ZZ$1000, ROW(U422), MATCH(U$1, 'raw-sheet'!$A$1:$ZZ$1, 0))</f>
        <v>0</v>
      </c>
      <c r="V423" s="28">
        <f t="array" ref="V423">INDEX('raw-sheet'!$A$2:$ZZ$1000, ROW(V422), MATCH(V$1, 'raw-sheet'!$A$1:$ZZ$1, 0))</f>
        <v>0</v>
      </c>
      <c r="W423" s="28">
        <f t="array" ref="W423">INDEX('raw-sheet'!$A$2:$ZZ$1000, ROW(W422), MATCH(W$1, 'raw-sheet'!$A$1:$ZZ$1, 0))</f>
        <v>0</v>
      </c>
      <c r="X423" s="28">
        <f t="array" ref="X423">INDEX('raw-sheet'!$A$2:$ZZ$1000, ROW(X422), MATCH(X$1, 'raw-sheet'!$A$1:$ZZ$1, 0))</f>
        <v>0</v>
      </c>
      <c r="Y423" s="30" t="s">
        <v>11</v>
      </c>
      <c r="Z423" s="28" t="e">
        <f>VLOOKUP($A423,'raw-schema'!$A:$R,14,0)</f>
        <v>#N/A</v>
      </c>
      <c r="AA423" s="28" t="e">
        <f>VLOOKUP($A423,'raw-schema'!$A:$R,15,0)</f>
        <v>#N/A</v>
      </c>
      <c r="AB423" s="28" t="e">
        <f>VLOOKUP($A423,'raw-schema'!$A:$R,16,0)</f>
        <v>#N/A</v>
      </c>
      <c r="AC423" s="28" t="e">
        <f>VLOOKUP($A423,'raw-schema'!$A:$R,17,0)</f>
        <v>#N/A</v>
      </c>
      <c r="AD423" s="28" t="e">
        <f>VLOOKUP($A423,'raw-schema'!$A:$R,18,0)</f>
        <v>#N/A</v>
      </c>
      <c r="AE423" s="30" t="s">
        <v>69</v>
      </c>
    </row>
    <row r="424" spans="1:31" x14ac:dyDescent="0.3">
      <c r="A424" s="28" t="str">
        <f t="array" ref="A424">INDEX('raw-sheet'!$A$2:$ZZ$1000, ROW(A423), MATCH(A$1, 'raw-sheet'!$A$1:$ZZ$1, 0))</f>
        <v>https://innisfree-taiwan.myshopify.com/admin/auth/login?redirect=%2Fadmin</v>
      </c>
      <c r="B424" s="30" t="s">
        <v>11</v>
      </c>
      <c r="C424" s="28">
        <f t="array" ref="C424">INDEX('raw-sheet'!$A$2:$ZZ$1000, ROW(C423), MATCH(C$1, 'raw-sheet'!$A$1:$ZZ$1, 0))</f>
        <v>0</v>
      </c>
      <c r="D424" s="28">
        <f t="array" ref="D424">INDEX('raw-sheet'!$A$2:$ZZ$1000, ROW(D423), MATCH(D$1, 'raw-sheet'!$A$1:$ZZ$1, 0))</f>
        <v>302</v>
      </c>
      <c r="E424" s="30" t="str">
        <f t="shared" si="16"/>
        <v>Not</v>
      </c>
      <c r="F424" s="28">
        <f t="array" ref="F424">INDEX('raw-sheet'!$A$2:$ZZ$1000, ROW(F423), MATCH(F$1, 'raw-sheet'!$A$1:$ZZ$1, 0))</f>
        <v>0</v>
      </c>
      <c r="G424" s="30" t="s">
        <v>11</v>
      </c>
      <c r="H424" s="28">
        <f t="array" ref="H424">INDEX('raw-sheet'!$A$2:$ZZ$1000, ROW(H423), MATCH(H$1, 'raw-sheet'!$A$1:$ZZ$1, 0))</f>
        <v>0</v>
      </c>
      <c r="I424" s="30" t="s">
        <v>11</v>
      </c>
      <c r="J424" s="28">
        <f t="array" ref="J424">INDEX('raw-sheet'!$A$2:$ZZ$1000, ROW(J423), MATCH(J$1, 'raw-sheet'!$A$1:$ZZ$1, 0))</f>
        <v>0</v>
      </c>
      <c r="K424" s="28">
        <f t="array" ref="K424">INDEX('raw-sheet'!$A$2:$ZZ$1000, ROW(K423), MATCH(K$1, 'raw-sheet'!$A$1:$ZZ$1, 0))</f>
        <v>0</v>
      </c>
      <c r="L424" s="30" t="s">
        <v>11</v>
      </c>
      <c r="M424" s="28">
        <f t="array" ref="M424">INDEX('raw-sheet'!$A$2:$ZZ$1000, ROW(M423), MATCH(M$1, 'raw-sheet'!$A$1:$ZZ$1, 0))</f>
        <v>0</v>
      </c>
      <c r="N424" s="30" t="str">
        <f t="shared" si="17"/>
        <v>Not</v>
      </c>
      <c r="O424" s="28">
        <f t="array" ref="O424">INDEX('raw-sheet'!$A$2:$ZZ$1000, ROW(O423), MATCH(O$1, 'raw-sheet'!$A$1:$ZZ$1, 0))</f>
        <v>0</v>
      </c>
      <c r="P424" s="28">
        <f t="array" ref="P424">INDEX('raw-sheet'!$A$2:$ZZ$1000, ROW(P423), MATCH(P$1, 'raw-sheet'!$A$1:$ZZ$1, 0))</f>
        <v>0</v>
      </c>
      <c r="Q424" s="28">
        <f t="array" ref="Q424">INDEX('raw-sheet'!$A$2:$ZZ$1000, ROW(Q423), MATCH(Q$1, 'raw-sheet'!$A$1:$ZZ$1, 0))</f>
        <v>0</v>
      </c>
      <c r="R424" s="28">
        <f t="array" ref="R424">INDEX('raw-sheet'!$A$2:$ZZ$1000, ROW(R423), MATCH(R$1, 'raw-sheet'!$A$1:$ZZ$1, 0))</f>
        <v>0</v>
      </c>
      <c r="S424" s="28">
        <f t="array" ref="S424">INDEX('raw-sheet'!$A$2:$ZZ$1000, ROW(S423), MATCH(S$1, 'raw-sheet'!$A$1:$ZZ$1, 0))</f>
        <v>0</v>
      </c>
      <c r="T424" s="28">
        <f t="array" ref="T424">INDEX('raw-sheet'!$A$2:$ZZ$1000, ROW(T423), MATCH(T$1, 'raw-sheet'!$A$1:$ZZ$1, 0))</f>
        <v>0</v>
      </c>
      <c r="U424" s="28">
        <f t="array" ref="U424">INDEX('raw-sheet'!$A$2:$ZZ$1000, ROW(U423), MATCH(U$1, 'raw-sheet'!$A$1:$ZZ$1, 0))</f>
        <v>0</v>
      </c>
      <c r="V424" s="28">
        <f t="array" ref="V424">INDEX('raw-sheet'!$A$2:$ZZ$1000, ROW(V423), MATCH(V$1, 'raw-sheet'!$A$1:$ZZ$1, 0))</f>
        <v>0</v>
      </c>
      <c r="W424" s="28">
        <f t="array" ref="W424">INDEX('raw-sheet'!$A$2:$ZZ$1000, ROW(W423), MATCH(W$1, 'raw-sheet'!$A$1:$ZZ$1, 0))</f>
        <v>0</v>
      </c>
      <c r="X424" s="28">
        <f t="array" ref="X424">INDEX('raw-sheet'!$A$2:$ZZ$1000, ROW(X423), MATCH(X$1, 'raw-sheet'!$A$1:$ZZ$1, 0))</f>
        <v>0</v>
      </c>
      <c r="Y424" s="30" t="s">
        <v>11</v>
      </c>
      <c r="Z424" s="28" t="e">
        <f>VLOOKUP($A424,'raw-schema'!$A:$R,14,0)</f>
        <v>#N/A</v>
      </c>
      <c r="AA424" s="28" t="e">
        <f>VLOOKUP($A424,'raw-schema'!$A:$R,15,0)</f>
        <v>#N/A</v>
      </c>
      <c r="AB424" s="28" t="e">
        <f>VLOOKUP($A424,'raw-schema'!$A:$R,16,0)</f>
        <v>#N/A</v>
      </c>
      <c r="AC424" s="28" t="e">
        <f>VLOOKUP($A424,'raw-schema'!$A:$R,17,0)</f>
        <v>#N/A</v>
      </c>
      <c r="AD424" s="28" t="e">
        <f>VLOOKUP($A424,'raw-schema'!$A:$R,18,0)</f>
        <v>#N/A</v>
      </c>
      <c r="AE424" s="30" t="s">
        <v>69</v>
      </c>
    </row>
    <row r="425" spans="1:31" x14ac:dyDescent="0.3">
      <c r="A425" s="28"/>
      <c r="B425" s="30"/>
      <c r="C425" s="28"/>
      <c r="D425" s="28"/>
      <c r="E425" s="30"/>
      <c r="F425" s="28"/>
      <c r="G425" s="30"/>
      <c r="H425" s="28"/>
      <c r="I425" s="30"/>
      <c r="J425" s="28"/>
      <c r="K425" s="28"/>
      <c r="L425" s="30"/>
      <c r="M425" s="28"/>
      <c r="N425" s="30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30"/>
      <c r="Z425" s="28"/>
      <c r="AA425" s="28"/>
      <c r="AB425" s="28"/>
      <c r="AC425" s="28"/>
      <c r="AD425" s="28"/>
      <c r="AE425" s="30"/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G424"/>
  <sheetViews>
    <sheetView tabSelected="1" zoomScale="85" zoomScaleNormal="85" workbookViewId="0">
      <pane xSplit="4" ySplit="1" topLeftCell="E2" activePane="bottomRight" state="frozen"/>
      <selection activeCell="A26" sqref="A26"/>
      <selection pane="topRight" activeCell="A26" sqref="A26"/>
      <selection pane="bottomLeft" activeCell="A26" sqref="A26"/>
      <selection pane="bottomRight" activeCell="A2" sqref="A2"/>
    </sheetView>
  </sheetViews>
  <sheetFormatPr defaultRowHeight="16.5" x14ac:dyDescent="0.3"/>
  <cols>
    <col min="1" max="1" width="73.625" style="1" customWidth="1"/>
    <col min="2" max="2" width="36.375" style="32" customWidth="1"/>
    <col min="3" max="3" width="16.75" style="1" customWidth="1"/>
    <col min="4" max="4" width="15.25" style="1" customWidth="1"/>
    <col min="5" max="5" width="9" style="1" customWidth="1"/>
    <col min="6" max="6" width="15.5" style="1" customWidth="1"/>
    <col min="7" max="7" width="19.5" style="1" customWidth="1"/>
    <col min="8" max="8" width="16" style="1" bestFit="1" customWidth="1"/>
    <col min="9" max="9" width="28.125" style="1" customWidth="1"/>
    <col min="10" max="10" width="17.375" style="1" customWidth="1"/>
    <col min="11" max="11" width="20.125" style="1" customWidth="1"/>
    <col min="12" max="12" width="9" style="32" customWidth="1"/>
    <col min="13" max="13" width="9" style="1" customWidth="1"/>
    <col min="14" max="14" width="20.25" style="1" customWidth="1"/>
    <col min="15" max="15" width="9" style="1" customWidth="1"/>
    <col min="16" max="16" width="17.375" style="1" customWidth="1"/>
    <col min="17" max="17" width="16" style="1" customWidth="1"/>
    <col min="18" max="25" width="9" style="1" customWidth="1"/>
    <col min="26" max="26" width="11.125" style="1" bestFit="1" customWidth="1"/>
    <col min="27" max="30" width="9" style="1" customWidth="1"/>
    <col min="31" max="31" width="11.125" style="1" customWidth="1"/>
    <col min="32" max="32" width="18" style="1" bestFit="1" customWidth="1"/>
    <col min="33" max="33" width="17.75" style="1" bestFit="1" customWidth="1"/>
    <col min="34" max="16384" width="9" style="1"/>
  </cols>
  <sheetData>
    <row r="1" spans="1:33" x14ac:dyDescent="0.3">
      <c r="A1" s="26" t="s">
        <v>10</v>
      </c>
      <c r="B1" s="33" t="s">
        <v>55</v>
      </c>
      <c r="C1" s="27" t="s">
        <v>26</v>
      </c>
      <c r="D1" s="26" t="s">
        <v>27</v>
      </c>
      <c r="E1" s="26" t="s">
        <v>13</v>
      </c>
      <c r="F1" s="27" t="s">
        <v>28</v>
      </c>
      <c r="G1" s="26" t="s">
        <v>29</v>
      </c>
      <c r="H1" s="27" t="s">
        <v>30</v>
      </c>
      <c r="I1" s="26" t="s">
        <v>31</v>
      </c>
      <c r="J1" s="27" t="s">
        <v>32</v>
      </c>
      <c r="K1" s="26" t="s">
        <v>33</v>
      </c>
      <c r="L1" s="26" t="s">
        <v>34</v>
      </c>
      <c r="M1" s="27" t="s">
        <v>35</v>
      </c>
      <c r="N1" s="26" t="s">
        <v>36</v>
      </c>
      <c r="O1" s="27" t="s">
        <v>37</v>
      </c>
      <c r="P1" s="26" t="s">
        <v>38</v>
      </c>
      <c r="Q1" s="26" t="s">
        <v>39</v>
      </c>
      <c r="R1" s="26" t="s">
        <v>40</v>
      </c>
      <c r="S1" s="26" t="s">
        <v>41</v>
      </c>
      <c r="T1" s="26" t="s">
        <v>42</v>
      </c>
      <c r="U1" s="26" t="s">
        <v>43</v>
      </c>
      <c r="V1" s="26" t="s">
        <v>44</v>
      </c>
      <c r="W1" s="26" t="s">
        <v>45</v>
      </c>
      <c r="X1" s="26" t="s">
        <v>46</v>
      </c>
      <c r="Y1" s="26" t="s">
        <v>47</v>
      </c>
      <c r="Z1" s="27" t="s">
        <v>48</v>
      </c>
      <c r="AA1" s="26" t="s">
        <v>49</v>
      </c>
      <c r="AB1" s="26" t="s">
        <v>50</v>
      </c>
      <c r="AC1" s="26" t="s">
        <v>51</v>
      </c>
      <c r="AD1" s="26" t="s">
        <v>52</v>
      </c>
      <c r="AE1" s="26" t="s">
        <v>53</v>
      </c>
      <c r="AF1" s="27" t="s">
        <v>54</v>
      </c>
      <c r="AG1" s="42" t="s">
        <v>2397</v>
      </c>
    </row>
    <row r="2" spans="1:33" s="35" customFormat="1" ht="16.5" customHeight="1" x14ac:dyDescent="0.3">
      <c r="A2" s="28" t="s">
        <v>144</v>
      </c>
      <c r="B2" s="34"/>
      <c r="C2" s="30" t="s">
        <v>11</v>
      </c>
      <c r="D2" s="28" t="s">
        <v>2406</v>
      </c>
      <c r="E2" s="28">
        <v>200</v>
      </c>
      <c r="F2" s="30" t="s">
        <v>11</v>
      </c>
      <c r="G2" s="28" t="s">
        <v>148</v>
      </c>
      <c r="H2" s="30" t="s">
        <v>11</v>
      </c>
      <c r="I2" s="28" t="s">
        <v>149</v>
      </c>
      <c r="J2" s="30" t="s">
        <v>11</v>
      </c>
      <c r="K2" s="28" t="s">
        <v>150</v>
      </c>
      <c r="L2" s="28" t="s">
        <v>157</v>
      </c>
      <c r="M2" s="30" t="s">
        <v>11</v>
      </c>
      <c r="N2" s="28" t="s">
        <v>144</v>
      </c>
      <c r="O2" s="30" t="s">
        <v>11</v>
      </c>
      <c r="P2" s="28" t="s">
        <v>152</v>
      </c>
      <c r="Q2" s="28" t="s">
        <v>149</v>
      </c>
      <c r="R2" s="28" t="s">
        <v>153</v>
      </c>
      <c r="S2" s="28" t="s">
        <v>150</v>
      </c>
      <c r="T2" s="28" t="s">
        <v>154</v>
      </c>
      <c r="U2" s="28" t="s">
        <v>155</v>
      </c>
      <c r="V2" s="28" t="s">
        <v>144</v>
      </c>
      <c r="W2" s="28" t="s">
        <v>152</v>
      </c>
      <c r="X2" s="28" t="s">
        <v>149</v>
      </c>
      <c r="Y2" s="28" t="s">
        <v>156</v>
      </c>
      <c r="Z2" s="31" t="s">
        <v>56</v>
      </c>
      <c r="AA2" s="28" t="s">
        <v>2276</v>
      </c>
      <c r="AB2" s="28" t="s">
        <v>2277</v>
      </c>
      <c r="AC2" s="28" t="s">
        <v>2278</v>
      </c>
      <c r="AD2" s="28" t="s">
        <v>2401</v>
      </c>
      <c r="AE2" s="28" t="s">
        <v>2401</v>
      </c>
      <c r="AF2" s="31" t="s">
        <v>2399</v>
      </c>
      <c r="AG2" s="28" t="s">
        <v>2400</v>
      </c>
    </row>
    <row r="3" spans="1:33" x14ac:dyDescent="0.3">
      <c r="A3" s="28" t="s">
        <v>159</v>
      </c>
      <c r="B3" s="34" t="s">
        <v>58</v>
      </c>
      <c r="C3" s="30"/>
      <c r="D3" s="30"/>
      <c r="E3" s="28">
        <v>404</v>
      </c>
      <c r="F3" s="30" t="s">
        <v>2403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x14ac:dyDescent="0.3">
      <c r="A4" s="28" t="s">
        <v>164</v>
      </c>
      <c r="B4" s="34" t="s">
        <v>2381</v>
      </c>
      <c r="C4" s="30" t="s">
        <v>11</v>
      </c>
      <c r="D4" s="28" t="s">
        <v>8</v>
      </c>
      <c r="E4" s="37">
        <v>302</v>
      </c>
      <c r="F4" s="30" t="s">
        <v>11</v>
      </c>
      <c r="G4" s="28" t="s">
        <v>2402</v>
      </c>
      <c r="H4" s="30" t="s">
        <v>11</v>
      </c>
      <c r="I4" s="28" t="s">
        <v>2402</v>
      </c>
      <c r="J4" s="30" t="s">
        <v>11</v>
      </c>
      <c r="K4" s="28" t="s">
        <v>2402</v>
      </c>
      <c r="L4" s="28" t="s">
        <v>2402</v>
      </c>
      <c r="M4" s="30" t="s">
        <v>11</v>
      </c>
      <c r="N4" s="28" t="s">
        <v>2402</v>
      </c>
      <c r="O4" s="30" t="s">
        <v>11</v>
      </c>
      <c r="P4" s="28" t="s">
        <v>2402</v>
      </c>
      <c r="Q4" s="28" t="s">
        <v>2402</v>
      </c>
      <c r="R4" s="28" t="s">
        <v>2402</v>
      </c>
      <c r="S4" s="28" t="s">
        <v>2402</v>
      </c>
      <c r="T4" s="28" t="s">
        <v>2402</v>
      </c>
      <c r="U4" s="28" t="s">
        <v>2402</v>
      </c>
      <c r="V4" s="28" t="s">
        <v>2402</v>
      </c>
      <c r="W4" s="28" t="s">
        <v>2402</v>
      </c>
      <c r="X4" s="28" t="s">
        <v>2402</v>
      </c>
      <c r="Y4" s="28" t="s">
        <v>2402</v>
      </c>
      <c r="Z4" s="30" t="s">
        <v>11</v>
      </c>
      <c r="AA4" s="28" t="s">
        <v>2402</v>
      </c>
      <c r="AB4" s="28" t="s">
        <v>2402</v>
      </c>
      <c r="AC4" s="28" t="s">
        <v>2402</v>
      </c>
      <c r="AD4" s="28" t="s">
        <v>2402</v>
      </c>
      <c r="AE4" s="28" t="s">
        <v>2402</v>
      </c>
      <c r="AF4" s="30" t="s">
        <v>11</v>
      </c>
      <c r="AG4" s="28" t="s">
        <v>2401</v>
      </c>
    </row>
    <row r="5" spans="1:33" x14ac:dyDescent="0.3">
      <c r="A5" s="28" t="s">
        <v>170</v>
      </c>
      <c r="B5" s="34" t="s">
        <v>59</v>
      </c>
      <c r="C5" s="30" t="s">
        <v>11</v>
      </c>
      <c r="D5" s="28" t="s">
        <v>8</v>
      </c>
      <c r="E5" s="37">
        <v>302</v>
      </c>
      <c r="F5" s="30" t="s">
        <v>11</v>
      </c>
      <c r="G5" s="28" t="s">
        <v>2402</v>
      </c>
      <c r="H5" s="30" t="s">
        <v>11</v>
      </c>
      <c r="I5" s="28" t="s">
        <v>2402</v>
      </c>
      <c r="J5" s="30" t="s">
        <v>11</v>
      </c>
      <c r="K5" s="28" t="s">
        <v>2402</v>
      </c>
      <c r="L5" s="28" t="s">
        <v>2402</v>
      </c>
      <c r="M5" s="30" t="s">
        <v>11</v>
      </c>
      <c r="N5" s="28" t="s">
        <v>2402</v>
      </c>
      <c r="O5" s="30" t="s">
        <v>11</v>
      </c>
      <c r="P5" s="28" t="s">
        <v>2402</v>
      </c>
      <c r="Q5" s="28" t="s">
        <v>2402</v>
      </c>
      <c r="R5" s="28" t="s">
        <v>2402</v>
      </c>
      <c r="S5" s="28" t="s">
        <v>2402</v>
      </c>
      <c r="T5" s="28" t="s">
        <v>2402</v>
      </c>
      <c r="U5" s="28" t="s">
        <v>2402</v>
      </c>
      <c r="V5" s="28" t="s">
        <v>2402</v>
      </c>
      <c r="W5" s="28" t="s">
        <v>2402</v>
      </c>
      <c r="X5" s="28" t="s">
        <v>2402</v>
      </c>
      <c r="Y5" s="28" t="s">
        <v>2402</v>
      </c>
      <c r="Z5" s="31" t="s">
        <v>11</v>
      </c>
      <c r="AA5" s="28" t="s">
        <v>2402</v>
      </c>
      <c r="AB5" s="28" t="s">
        <v>2402</v>
      </c>
      <c r="AC5" s="28" t="s">
        <v>2402</v>
      </c>
      <c r="AD5" s="28" t="s">
        <v>2402</v>
      </c>
      <c r="AE5" s="28" t="s">
        <v>2402</v>
      </c>
      <c r="AF5" s="31" t="s">
        <v>11</v>
      </c>
      <c r="AG5" s="28" t="s">
        <v>2401</v>
      </c>
    </row>
    <row r="6" spans="1:33" x14ac:dyDescent="0.3">
      <c r="A6" s="28" t="s">
        <v>172</v>
      </c>
      <c r="B6" s="34" t="s">
        <v>59</v>
      </c>
      <c r="C6" s="30" t="s">
        <v>11</v>
      </c>
      <c r="D6" s="28" t="s">
        <v>8</v>
      </c>
      <c r="E6" s="28">
        <v>200</v>
      </c>
      <c r="F6" s="30" t="s">
        <v>11</v>
      </c>
      <c r="G6" s="28" t="s">
        <v>173</v>
      </c>
      <c r="H6" s="30" t="s">
        <v>11</v>
      </c>
      <c r="I6" s="28" t="s">
        <v>2401</v>
      </c>
      <c r="J6" s="30" t="s">
        <v>11</v>
      </c>
      <c r="K6" s="28" t="s">
        <v>174</v>
      </c>
      <c r="L6" s="28" t="s">
        <v>177</v>
      </c>
      <c r="M6" s="30" t="s">
        <v>11</v>
      </c>
      <c r="N6" s="28" t="s">
        <v>172</v>
      </c>
      <c r="O6" s="30" t="s">
        <v>11</v>
      </c>
      <c r="P6" s="28" t="s">
        <v>176</v>
      </c>
      <c r="Q6" s="28" t="s">
        <v>149</v>
      </c>
      <c r="R6" s="28" t="s">
        <v>153</v>
      </c>
      <c r="S6" s="28" t="s">
        <v>150</v>
      </c>
      <c r="T6" s="28" t="s">
        <v>154</v>
      </c>
      <c r="U6" s="28" t="s">
        <v>155</v>
      </c>
      <c r="V6" s="28" t="s">
        <v>172</v>
      </c>
      <c r="W6" s="28" t="s">
        <v>176</v>
      </c>
      <c r="X6" s="28" t="s">
        <v>149</v>
      </c>
      <c r="Y6" s="28" t="s">
        <v>156</v>
      </c>
      <c r="Z6" s="31" t="str">
        <f>IF(AND(J2="Pass", H2="Pass"), "Pass", "Not")</f>
        <v>Pass</v>
      </c>
      <c r="AA6" s="28" t="s">
        <v>2276</v>
      </c>
      <c r="AB6" s="28" t="s">
        <v>2401</v>
      </c>
      <c r="AC6" s="28" t="s">
        <v>2401</v>
      </c>
      <c r="AD6" s="28" t="s">
        <v>2401</v>
      </c>
      <c r="AE6" s="28" t="s">
        <v>2401</v>
      </c>
      <c r="AF6" s="30" t="s">
        <v>11</v>
      </c>
      <c r="AG6" s="28" t="s">
        <v>2401</v>
      </c>
    </row>
    <row r="7" spans="1:33" x14ac:dyDescent="0.3">
      <c r="A7" s="28" t="s">
        <v>167</v>
      </c>
      <c r="B7" s="34" t="s">
        <v>59</v>
      </c>
      <c r="C7" s="30" t="s">
        <v>11</v>
      </c>
      <c r="D7" s="28" t="s">
        <v>8</v>
      </c>
      <c r="E7" s="28">
        <v>200</v>
      </c>
      <c r="F7" s="30" t="s">
        <v>11</v>
      </c>
      <c r="G7" s="28" t="s">
        <v>173</v>
      </c>
      <c r="H7" s="30" t="s">
        <v>11</v>
      </c>
      <c r="I7" s="28" t="s">
        <v>2401</v>
      </c>
      <c r="J7" s="30" t="s">
        <v>11</v>
      </c>
      <c r="K7" s="28" t="s">
        <v>174</v>
      </c>
      <c r="L7" s="28" t="s">
        <v>177</v>
      </c>
      <c r="M7" s="30" t="s">
        <v>11</v>
      </c>
      <c r="N7" s="28" t="s">
        <v>172</v>
      </c>
      <c r="O7" s="30" t="s">
        <v>11</v>
      </c>
      <c r="P7" s="28" t="s">
        <v>176</v>
      </c>
      <c r="Q7" s="28" t="s">
        <v>149</v>
      </c>
      <c r="R7" s="28" t="s">
        <v>153</v>
      </c>
      <c r="S7" s="28" t="s">
        <v>150</v>
      </c>
      <c r="T7" s="28" t="s">
        <v>154</v>
      </c>
      <c r="U7" s="28" t="s">
        <v>155</v>
      </c>
      <c r="V7" s="28" t="s">
        <v>172</v>
      </c>
      <c r="W7" s="28" t="s">
        <v>176</v>
      </c>
      <c r="X7" s="28" t="s">
        <v>149</v>
      </c>
      <c r="Y7" s="28" t="s">
        <v>156</v>
      </c>
      <c r="Z7" s="31" t="s">
        <v>11</v>
      </c>
      <c r="AA7" s="28" t="s">
        <v>2276</v>
      </c>
      <c r="AB7" s="28" t="s">
        <v>2401</v>
      </c>
      <c r="AC7" s="28" t="s">
        <v>2401</v>
      </c>
      <c r="AD7" s="28" t="s">
        <v>2401</v>
      </c>
      <c r="AE7" s="28" t="s">
        <v>2401</v>
      </c>
      <c r="AF7" s="30" t="s">
        <v>11</v>
      </c>
      <c r="AG7" s="28" t="s">
        <v>2401</v>
      </c>
    </row>
    <row r="8" spans="1:33" x14ac:dyDescent="0.3">
      <c r="A8" s="28" t="s">
        <v>171</v>
      </c>
      <c r="B8" s="34" t="s">
        <v>59</v>
      </c>
      <c r="C8" s="30" t="s">
        <v>11</v>
      </c>
      <c r="D8" s="28" t="s">
        <v>8</v>
      </c>
      <c r="E8" s="28">
        <v>200</v>
      </c>
      <c r="F8" s="30" t="s">
        <v>11</v>
      </c>
      <c r="G8" s="28" t="s">
        <v>173</v>
      </c>
      <c r="H8" s="30" t="s">
        <v>11</v>
      </c>
      <c r="I8" s="28" t="s">
        <v>2401</v>
      </c>
      <c r="J8" s="30" t="s">
        <v>11</v>
      </c>
      <c r="K8" s="28" t="s">
        <v>174</v>
      </c>
      <c r="L8" s="28" t="s">
        <v>177</v>
      </c>
      <c r="M8" s="30" t="s">
        <v>11</v>
      </c>
      <c r="N8" s="28" t="s">
        <v>172</v>
      </c>
      <c r="O8" s="30" t="s">
        <v>11</v>
      </c>
      <c r="P8" s="28" t="s">
        <v>176</v>
      </c>
      <c r="Q8" s="28" t="s">
        <v>149</v>
      </c>
      <c r="R8" s="28" t="s">
        <v>153</v>
      </c>
      <c r="S8" s="28" t="s">
        <v>150</v>
      </c>
      <c r="T8" s="28" t="s">
        <v>154</v>
      </c>
      <c r="U8" s="28" t="s">
        <v>155</v>
      </c>
      <c r="V8" s="28" t="s">
        <v>172</v>
      </c>
      <c r="W8" s="28" t="s">
        <v>176</v>
      </c>
      <c r="X8" s="28" t="s">
        <v>149</v>
      </c>
      <c r="Y8" s="28" t="s">
        <v>156</v>
      </c>
      <c r="Z8" s="31" t="str">
        <f t="shared" ref="Z8" si="0">IF(AND(J4="Pass", H4="Pass"), "Pass", "Not")</f>
        <v>Pass</v>
      </c>
      <c r="AA8" s="28" t="s">
        <v>2276</v>
      </c>
      <c r="AB8" s="28" t="s">
        <v>2401</v>
      </c>
      <c r="AC8" s="28" t="s">
        <v>2401</v>
      </c>
      <c r="AD8" s="28" t="s">
        <v>2401</v>
      </c>
      <c r="AE8" s="28" t="s">
        <v>2401</v>
      </c>
      <c r="AF8" s="30" t="s">
        <v>11</v>
      </c>
      <c r="AG8" s="28" t="s">
        <v>2401</v>
      </c>
    </row>
    <row r="9" spans="1:33" x14ac:dyDescent="0.3">
      <c r="A9" s="28" t="s">
        <v>181</v>
      </c>
      <c r="B9" s="34" t="s">
        <v>59</v>
      </c>
      <c r="C9" s="30" t="s">
        <v>11</v>
      </c>
      <c r="D9" s="28" t="s">
        <v>8</v>
      </c>
      <c r="E9" s="28">
        <v>200</v>
      </c>
      <c r="F9" s="30" t="s">
        <v>11</v>
      </c>
      <c r="G9" s="28" t="s">
        <v>182</v>
      </c>
      <c r="H9" s="30" t="s">
        <v>11</v>
      </c>
      <c r="I9" s="28" t="s">
        <v>2401</v>
      </c>
      <c r="J9" s="30" t="s">
        <v>11</v>
      </c>
      <c r="K9" s="28" t="s">
        <v>183</v>
      </c>
      <c r="L9" s="28" t="s">
        <v>157</v>
      </c>
      <c r="M9" s="30" t="s">
        <v>11</v>
      </c>
      <c r="N9" s="28" t="s">
        <v>181</v>
      </c>
      <c r="O9" s="30" t="s">
        <v>11</v>
      </c>
      <c r="P9" s="28" t="s">
        <v>184</v>
      </c>
      <c r="Q9" s="28" t="s">
        <v>149</v>
      </c>
      <c r="R9" s="28" t="s">
        <v>153</v>
      </c>
      <c r="S9" s="28" t="s">
        <v>150</v>
      </c>
      <c r="T9" s="28" t="s">
        <v>154</v>
      </c>
      <c r="U9" s="28" t="s">
        <v>155</v>
      </c>
      <c r="V9" s="28" t="s">
        <v>181</v>
      </c>
      <c r="W9" s="28" t="s">
        <v>184</v>
      </c>
      <c r="X9" s="28" t="s">
        <v>149</v>
      </c>
      <c r="Y9" s="28" t="s">
        <v>156</v>
      </c>
      <c r="Z9" s="30" t="s">
        <v>11</v>
      </c>
      <c r="AA9" s="28" t="s">
        <v>2276</v>
      </c>
      <c r="AB9" s="28" t="s">
        <v>2401</v>
      </c>
      <c r="AC9" s="28" t="s">
        <v>2401</v>
      </c>
      <c r="AD9" s="28" t="s">
        <v>2401</v>
      </c>
      <c r="AE9" s="28" t="s">
        <v>2401</v>
      </c>
      <c r="AF9" s="30" t="s">
        <v>11</v>
      </c>
      <c r="AG9" s="28" t="s">
        <v>2401</v>
      </c>
    </row>
    <row r="10" spans="1:33" x14ac:dyDescent="0.3">
      <c r="A10" s="28" t="s">
        <v>186</v>
      </c>
      <c r="B10" s="34"/>
      <c r="C10" s="30" t="s">
        <v>11</v>
      </c>
      <c r="D10" s="28" t="s">
        <v>7</v>
      </c>
      <c r="E10" s="28">
        <v>200</v>
      </c>
      <c r="F10" s="30" t="s">
        <v>11</v>
      </c>
      <c r="G10" s="28" t="s">
        <v>187</v>
      </c>
      <c r="H10" s="30" t="s">
        <v>11</v>
      </c>
      <c r="I10" s="28" t="s">
        <v>2401</v>
      </c>
      <c r="J10" s="30" t="s">
        <v>2382</v>
      </c>
      <c r="K10" s="28" t="s">
        <v>188</v>
      </c>
      <c r="L10" s="28" t="s">
        <v>157</v>
      </c>
      <c r="M10" s="30" t="s">
        <v>2404</v>
      </c>
      <c r="N10" s="28" t="s">
        <v>186</v>
      </c>
      <c r="O10" s="30" t="s">
        <v>11</v>
      </c>
      <c r="P10" s="28" t="s">
        <v>189</v>
      </c>
      <c r="Q10" s="28" t="s">
        <v>149</v>
      </c>
      <c r="R10" s="28" t="s">
        <v>153</v>
      </c>
      <c r="S10" s="28" t="s">
        <v>150</v>
      </c>
      <c r="T10" s="28" t="s">
        <v>154</v>
      </c>
      <c r="U10" s="28" t="s">
        <v>155</v>
      </c>
      <c r="V10" s="28" t="s">
        <v>186</v>
      </c>
      <c r="W10" s="28" t="s">
        <v>189</v>
      </c>
      <c r="X10" s="28" t="s">
        <v>149</v>
      </c>
      <c r="Y10" s="28" t="s">
        <v>156</v>
      </c>
      <c r="Z10" s="31" t="str">
        <f>IF(AND(J6="Pass", H6="Pass"), "Pass", "Not")</f>
        <v>Pass</v>
      </c>
      <c r="AA10" s="28" t="s">
        <v>2276</v>
      </c>
      <c r="AB10" s="28" t="s">
        <v>2401</v>
      </c>
      <c r="AC10" s="28" t="s">
        <v>2401</v>
      </c>
      <c r="AD10" s="28" t="s">
        <v>2401</v>
      </c>
      <c r="AE10" s="28" t="s">
        <v>2401</v>
      </c>
      <c r="AF10" s="30" t="s">
        <v>2492</v>
      </c>
      <c r="AG10" s="28" t="s">
        <v>2401</v>
      </c>
    </row>
    <row r="11" spans="1:33" x14ac:dyDescent="0.3">
      <c r="A11" s="28" t="s">
        <v>191</v>
      </c>
      <c r="B11" s="34"/>
      <c r="C11" s="36" t="s">
        <v>2379</v>
      </c>
      <c r="D11" s="28" t="s">
        <v>7</v>
      </c>
      <c r="E11" s="28">
        <v>200</v>
      </c>
      <c r="F11" s="30" t="s">
        <v>11</v>
      </c>
      <c r="G11" s="28" t="s">
        <v>192</v>
      </c>
      <c r="H11" s="30" t="s">
        <v>11</v>
      </c>
      <c r="I11" s="28" t="s">
        <v>2401</v>
      </c>
      <c r="J11" s="30" t="s">
        <v>2382</v>
      </c>
      <c r="K11" s="28" t="s">
        <v>193</v>
      </c>
      <c r="L11" s="28" t="s">
        <v>157</v>
      </c>
      <c r="M11" s="30" t="s">
        <v>11</v>
      </c>
      <c r="N11" s="28" t="s">
        <v>191</v>
      </c>
      <c r="O11" s="30" t="s">
        <v>11</v>
      </c>
      <c r="P11" s="28" t="s">
        <v>194</v>
      </c>
      <c r="Q11" s="28" t="s">
        <v>149</v>
      </c>
      <c r="R11" s="28" t="s">
        <v>195</v>
      </c>
      <c r="S11" s="28" t="s">
        <v>150</v>
      </c>
      <c r="T11" s="28" t="s">
        <v>196</v>
      </c>
      <c r="U11" s="28" t="s">
        <v>197</v>
      </c>
      <c r="V11" s="28" t="s">
        <v>191</v>
      </c>
      <c r="W11" s="28" t="s">
        <v>194</v>
      </c>
      <c r="X11" s="28" t="s">
        <v>149</v>
      </c>
      <c r="Y11" s="28" t="s">
        <v>156</v>
      </c>
      <c r="Z11" s="30" t="s">
        <v>11</v>
      </c>
      <c r="AA11" s="28" t="s">
        <v>2280</v>
      </c>
      <c r="AB11" s="28" t="s">
        <v>2276</v>
      </c>
      <c r="AC11" s="28" t="s">
        <v>2281</v>
      </c>
      <c r="AD11" s="28" t="s">
        <v>2282</v>
      </c>
      <c r="AE11" s="28" t="s">
        <v>2401</v>
      </c>
      <c r="AF11" s="31" t="s">
        <v>11</v>
      </c>
      <c r="AG11" s="28" t="s">
        <v>2401</v>
      </c>
    </row>
    <row r="12" spans="1:33" x14ac:dyDescent="0.3">
      <c r="A12" s="28" t="s">
        <v>199</v>
      </c>
      <c r="B12" s="34"/>
      <c r="C12" s="30" t="s">
        <v>11</v>
      </c>
      <c r="D12" s="28" t="s">
        <v>7</v>
      </c>
      <c r="E12" s="28">
        <v>200</v>
      </c>
      <c r="F12" s="30" t="s">
        <v>11</v>
      </c>
      <c r="G12" s="28" t="s">
        <v>200</v>
      </c>
      <c r="H12" s="30" t="s">
        <v>11</v>
      </c>
      <c r="I12" s="28" t="s">
        <v>2401</v>
      </c>
      <c r="J12" s="30" t="s">
        <v>2382</v>
      </c>
      <c r="K12" s="28" t="s">
        <v>201</v>
      </c>
      <c r="L12" s="28" t="s">
        <v>157</v>
      </c>
      <c r="M12" s="30" t="s">
        <v>11</v>
      </c>
      <c r="N12" s="28" t="s">
        <v>199</v>
      </c>
      <c r="O12" s="30" t="s">
        <v>11</v>
      </c>
      <c r="P12" s="28" t="s">
        <v>202</v>
      </c>
      <c r="Q12" s="28" t="s">
        <v>149</v>
      </c>
      <c r="R12" s="28" t="s">
        <v>195</v>
      </c>
      <c r="S12" s="28" t="s">
        <v>150</v>
      </c>
      <c r="T12" s="28" t="s">
        <v>203</v>
      </c>
      <c r="U12" s="28" t="s">
        <v>204</v>
      </c>
      <c r="V12" s="28" t="s">
        <v>199</v>
      </c>
      <c r="W12" s="28" t="s">
        <v>202</v>
      </c>
      <c r="X12" s="28" t="s">
        <v>149</v>
      </c>
      <c r="Y12" s="28" t="s">
        <v>156</v>
      </c>
      <c r="Z12" s="30" t="s">
        <v>11</v>
      </c>
      <c r="AA12" s="28" t="s">
        <v>2280</v>
      </c>
      <c r="AB12" s="28" t="s">
        <v>2276</v>
      </c>
      <c r="AC12" s="28" t="s">
        <v>2281</v>
      </c>
      <c r="AD12" s="28" t="s">
        <v>2282</v>
      </c>
      <c r="AE12" s="28" t="s">
        <v>2401</v>
      </c>
      <c r="AF12" s="31" t="s">
        <v>11</v>
      </c>
      <c r="AG12" s="28" t="s">
        <v>2401</v>
      </c>
    </row>
    <row r="13" spans="1:33" x14ac:dyDescent="0.3">
      <c r="A13" s="28" t="s">
        <v>206</v>
      </c>
      <c r="B13" s="34"/>
      <c r="C13" s="30" t="s">
        <v>11</v>
      </c>
      <c r="D13" s="28" t="s">
        <v>7</v>
      </c>
      <c r="E13" s="28">
        <v>200</v>
      </c>
      <c r="F13" s="30" t="s">
        <v>11</v>
      </c>
      <c r="G13" s="28" t="s">
        <v>207</v>
      </c>
      <c r="H13" s="30" t="s">
        <v>11</v>
      </c>
      <c r="I13" s="28" t="s">
        <v>2401</v>
      </c>
      <c r="J13" s="30" t="s">
        <v>2382</v>
      </c>
      <c r="K13" s="28" t="s">
        <v>208</v>
      </c>
      <c r="L13" s="28" t="s">
        <v>157</v>
      </c>
      <c r="M13" s="30" t="s">
        <v>11</v>
      </c>
      <c r="N13" s="28" t="s">
        <v>206</v>
      </c>
      <c r="O13" s="30" t="s">
        <v>11</v>
      </c>
      <c r="P13" s="28" t="s">
        <v>209</v>
      </c>
      <c r="Q13" s="28" t="s">
        <v>149</v>
      </c>
      <c r="R13" s="28" t="s">
        <v>195</v>
      </c>
      <c r="S13" s="28" t="s">
        <v>150</v>
      </c>
      <c r="T13" s="28" t="s">
        <v>210</v>
      </c>
      <c r="U13" s="28" t="s">
        <v>211</v>
      </c>
      <c r="V13" s="28" t="s">
        <v>206</v>
      </c>
      <c r="W13" s="28" t="s">
        <v>209</v>
      </c>
      <c r="X13" s="28" t="s">
        <v>149</v>
      </c>
      <c r="Y13" s="28" t="s">
        <v>156</v>
      </c>
      <c r="Z13" s="30" t="s">
        <v>11</v>
      </c>
      <c r="AA13" s="28" t="s">
        <v>2280</v>
      </c>
      <c r="AB13" s="28" t="s">
        <v>2276</v>
      </c>
      <c r="AC13" s="28" t="s">
        <v>2281</v>
      </c>
      <c r="AD13" s="28" t="s">
        <v>2282</v>
      </c>
      <c r="AE13" s="28" t="s">
        <v>2401</v>
      </c>
      <c r="AF13" s="31" t="s">
        <v>11</v>
      </c>
      <c r="AG13" s="28" t="s">
        <v>2401</v>
      </c>
    </row>
    <row r="14" spans="1:33" x14ac:dyDescent="0.3">
      <c r="A14" s="28" t="s">
        <v>213</v>
      </c>
      <c r="B14" s="34"/>
      <c r="C14" s="30" t="s">
        <v>11</v>
      </c>
      <c r="D14" s="28" t="s">
        <v>7</v>
      </c>
      <c r="E14" s="28">
        <v>200</v>
      </c>
      <c r="F14" s="30" t="s">
        <v>11</v>
      </c>
      <c r="G14" s="28" t="s">
        <v>214</v>
      </c>
      <c r="H14" s="30" t="s">
        <v>11</v>
      </c>
      <c r="I14" s="28" t="s">
        <v>2401</v>
      </c>
      <c r="J14" s="30" t="s">
        <v>2382</v>
      </c>
      <c r="K14" s="28" t="s">
        <v>215</v>
      </c>
      <c r="L14" s="28" t="s">
        <v>157</v>
      </c>
      <c r="M14" s="30" t="s">
        <v>11</v>
      </c>
      <c r="N14" s="28" t="s">
        <v>213</v>
      </c>
      <c r="O14" s="30" t="s">
        <v>11</v>
      </c>
      <c r="P14" s="28" t="s">
        <v>216</v>
      </c>
      <c r="Q14" s="28" t="s">
        <v>149</v>
      </c>
      <c r="R14" s="28" t="s">
        <v>195</v>
      </c>
      <c r="S14" s="28" t="s">
        <v>150</v>
      </c>
      <c r="T14" s="28" t="s">
        <v>217</v>
      </c>
      <c r="U14" s="28" t="s">
        <v>218</v>
      </c>
      <c r="V14" s="28" t="s">
        <v>213</v>
      </c>
      <c r="W14" s="28" t="s">
        <v>216</v>
      </c>
      <c r="X14" s="28" t="s">
        <v>149</v>
      </c>
      <c r="Y14" s="28" t="s">
        <v>156</v>
      </c>
      <c r="Z14" s="30" t="s">
        <v>11</v>
      </c>
      <c r="AA14" s="28" t="s">
        <v>2280</v>
      </c>
      <c r="AB14" s="28" t="s">
        <v>2276</v>
      </c>
      <c r="AC14" s="28" t="s">
        <v>2281</v>
      </c>
      <c r="AD14" s="28" t="s">
        <v>2282</v>
      </c>
      <c r="AE14" s="28" t="s">
        <v>2401</v>
      </c>
      <c r="AF14" s="31" t="s">
        <v>11</v>
      </c>
      <c r="AG14" s="28" t="s">
        <v>2401</v>
      </c>
    </row>
    <row r="15" spans="1:33" x14ac:dyDescent="0.3">
      <c r="A15" s="28" t="s">
        <v>220</v>
      </c>
      <c r="B15" s="34"/>
      <c r="C15" s="30" t="s">
        <v>11</v>
      </c>
      <c r="D15" s="28" t="s">
        <v>7</v>
      </c>
      <c r="E15" s="28">
        <v>200</v>
      </c>
      <c r="F15" s="30" t="s">
        <v>11</v>
      </c>
      <c r="G15" s="28" t="s">
        <v>221</v>
      </c>
      <c r="H15" s="30" t="s">
        <v>11</v>
      </c>
      <c r="I15" s="28" t="s">
        <v>2401</v>
      </c>
      <c r="J15" s="30" t="s">
        <v>2382</v>
      </c>
      <c r="K15" s="28" t="s">
        <v>188</v>
      </c>
      <c r="L15" s="28" t="s">
        <v>157</v>
      </c>
      <c r="M15" s="30" t="s">
        <v>2404</v>
      </c>
      <c r="N15" s="28" t="s">
        <v>220</v>
      </c>
      <c r="O15" s="30" t="s">
        <v>11</v>
      </c>
      <c r="P15" s="28" t="s">
        <v>189</v>
      </c>
      <c r="Q15" s="28" t="s">
        <v>149</v>
      </c>
      <c r="R15" s="28" t="s">
        <v>153</v>
      </c>
      <c r="S15" s="28" t="s">
        <v>150</v>
      </c>
      <c r="T15" s="28" t="s">
        <v>154</v>
      </c>
      <c r="U15" s="28" t="s">
        <v>155</v>
      </c>
      <c r="V15" s="28" t="s">
        <v>220</v>
      </c>
      <c r="W15" s="28" t="s">
        <v>189</v>
      </c>
      <c r="X15" s="28" t="s">
        <v>149</v>
      </c>
      <c r="Y15" s="28" t="s">
        <v>156</v>
      </c>
      <c r="Z15" s="31" t="str">
        <f t="shared" ref="Z15:Z16" si="1">IF(AND(J11="Pass", H11="Pass"), "Pass", "Not")</f>
        <v>Not</v>
      </c>
      <c r="AA15" s="28" t="s">
        <v>2276</v>
      </c>
      <c r="AB15" s="28" t="s">
        <v>2401</v>
      </c>
      <c r="AC15" s="28" t="s">
        <v>2401</v>
      </c>
      <c r="AD15" s="28" t="s">
        <v>2401</v>
      </c>
      <c r="AE15" s="28" t="s">
        <v>2401</v>
      </c>
      <c r="AF15" s="30" t="s">
        <v>2492</v>
      </c>
      <c r="AG15" s="28" t="s">
        <v>2401</v>
      </c>
    </row>
    <row r="16" spans="1:33" x14ac:dyDescent="0.3">
      <c r="A16" s="28" t="s">
        <v>223</v>
      </c>
      <c r="B16" s="34"/>
      <c r="C16" s="30" t="s">
        <v>11</v>
      </c>
      <c r="D16" s="28" t="s">
        <v>7</v>
      </c>
      <c r="E16" s="28">
        <v>200</v>
      </c>
      <c r="F16" s="30" t="s">
        <v>11</v>
      </c>
      <c r="G16" s="28" t="s">
        <v>224</v>
      </c>
      <c r="H16" s="30" t="s">
        <v>11</v>
      </c>
      <c r="I16" s="28" t="s">
        <v>2401</v>
      </c>
      <c r="J16" s="30" t="s">
        <v>2382</v>
      </c>
      <c r="K16" s="28" t="s">
        <v>188</v>
      </c>
      <c r="L16" s="28" t="s">
        <v>157</v>
      </c>
      <c r="M16" s="30" t="s">
        <v>2404</v>
      </c>
      <c r="N16" s="28" t="s">
        <v>223</v>
      </c>
      <c r="O16" s="30" t="s">
        <v>11</v>
      </c>
      <c r="P16" s="28" t="s">
        <v>189</v>
      </c>
      <c r="Q16" s="28" t="s">
        <v>149</v>
      </c>
      <c r="R16" s="28" t="s">
        <v>153</v>
      </c>
      <c r="S16" s="28" t="s">
        <v>150</v>
      </c>
      <c r="T16" s="28" t="s">
        <v>154</v>
      </c>
      <c r="U16" s="28" t="s">
        <v>155</v>
      </c>
      <c r="V16" s="28" t="s">
        <v>223</v>
      </c>
      <c r="W16" s="28" t="s">
        <v>189</v>
      </c>
      <c r="X16" s="28" t="s">
        <v>149</v>
      </c>
      <c r="Y16" s="28" t="s">
        <v>156</v>
      </c>
      <c r="Z16" s="31" t="str">
        <f t="shared" si="1"/>
        <v>Not</v>
      </c>
      <c r="AA16" s="28" t="s">
        <v>2276</v>
      </c>
      <c r="AB16" s="28" t="s">
        <v>2401</v>
      </c>
      <c r="AC16" s="28" t="s">
        <v>2401</v>
      </c>
      <c r="AD16" s="28" t="s">
        <v>2401</v>
      </c>
      <c r="AE16" s="28" t="s">
        <v>2401</v>
      </c>
      <c r="AF16" s="30" t="s">
        <v>2492</v>
      </c>
      <c r="AG16" s="28" t="s">
        <v>2401</v>
      </c>
    </row>
    <row r="17" spans="1:33" x14ac:dyDescent="0.3">
      <c r="A17" s="28" t="s">
        <v>225</v>
      </c>
      <c r="B17" s="34" t="s">
        <v>65</v>
      </c>
      <c r="C17" s="30" t="s">
        <v>11</v>
      </c>
      <c r="D17" s="28" t="s">
        <v>7</v>
      </c>
      <c r="E17" s="28">
        <v>200</v>
      </c>
      <c r="F17" s="30" t="s">
        <v>11</v>
      </c>
      <c r="G17" s="28" t="s">
        <v>224</v>
      </c>
      <c r="H17" s="30" t="s">
        <v>11</v>
      </c>
      <c r="I17" s="28" t="s">
        <v>2401</v>
      </c>
      <c r="J17" s="30" t="s">
        <v>11</v>
      </c>
      <c r="K17" s="28" t="s">
        <v>188</v>
      </c>
      <c r="L17" s="28" t="s">
        <v>157</v>
      </c>
      <c r="M17" s="30" t="s">
        <v>11</v>
      </c>
      <c r="N17" s="28" t="s">
        <v>223</v>
      </c>
      <c r="O17" s="30" t="s">
        <v>11</v>
      </c>
      <c r="P17" s="28" t="s">
        <v>189</v>
      </c>
      <c r="Q17" s="28" t="s">
        <v>149</v>
      </c>
      <c r="R17" s="28" t="s">
        <v>153</v>
      </c>
      <c r="S17" s="28" t="s">
        <v>150</v>
      </c>
      <c r="T17" s="28" t="s">
        <v>154</v>
      </c>
      <c r="U17" s="28" t="s">
        <v>155</v>
      </c>
      <c r="V17" s="28" t="s">
        <v>223</v>
      </c>
      <c r="W17" s="28" t="s">
        <v>189</v>
      </c>
      <c r="X17" s="28" t="s">
        <v>149</v>
      </c>
      <c r="Y17" s="28" t="s">
        <v>156</v>
      </c>
      <c r="Z17" s="30" t="s">
        <v>11</v>
      </c>
      <c r="AA17" s="28" t="s">
        <v>2276</v>
      </c>
      <c r="AB17" s="28" t="s">
        <v>2401</v>
      </c>
      <c r="AC17" s="28" t="s">
        <v>2401</v>
      </c>
      <c r="AD17" s="28" t="s">
        <v>2401</v>
      </c>
      <c r="AE17" s="28" t="s">
        <v>2401</v>
      </c>
      <c r="AF17" s="30" t="s">
        <v>2492</v>
      </c>
      <c r="AG17" s="28" t="s">
        <v>2401</v>
      </c>
    </row>
    <row r="18" spans="1:33" x14ac:dyDescent="0.3">
      <c r="A18" s="28" t="s">
        <v>228</v>
      </c>
      <c r="B18" s="34" t="s">
        <v>65</v>
      </c>
      <c r="C18" s="30" t="s">
        <v>11</v>
      </c>
      <c r="D18" s="28" t="s">
        <v>7</v>
      </c>
      <c r="E18" s="28">
        <v>200</v>
      </c>
      <c r="F18" s="30" t="s">
        <v>11</v>
      </c>
      <c r="G18" s="28" t="s">
        <v>229</v>
      </c>
      <c r="H18" s="30" t="s">
        <v>11</v>
      </c>
      <c r="I18" s="28" t="s">
        <v>2401</v>
      </c>
      <c r="J18" s="30" t="s">
        <v>11</v>
      </c>
      <c r="K18" s="28" t="s">
        <v>188</v>
      </c>
      <c r="L18" s="28" t="s">
        <v>157</v>
      </c>
      <c r="M18" s="30" t="s">
        <v>11</v>
      </c>
      <c r="N18" s="28" t="s">
        <v>228</v>
      </c>
      <c r="O18" s="30" t="s">
        <v>11</v>
      </c>
      <c r="P18" s="28" t="s">
        <v>189</v>
      </c>
      <c r="Q18" s="28" t="s">
        <v>149</v>
      </c>
      <c r="R18" s="28" t="s">
        <v>153</v>
      </c>
      <c r="S18" s="28" t="s">
        <v>150</v>
      </c>
      <c r="T18" s="28" t="s">
        <v>154</v>
      </c>
      <c r="U18" s="28" t="s">
        <v>155</v>
      </c>
      <c r="V18" s="28" t="s">
        <v>228</v>
      </c>
      <c r="W18" s="28" t="s">
        <v>189</v>
      </c>
      <c r="X18" s="28" t="s">
        <v>149</v>
      </c>
      <c r="Y18" s="28" t="s">
        <v>156</v>
      </c>
      <c r="Z18" s="30" t="s">
        <v>11</v>
      </c>
      <c r="AA18" s="28" t="s">
        <v>2276</v>
      </c>
      <c r="AB18" s="28" t="s">
        <v>2401</v>
      </c>
      <c r="AC18" s="28" t="s">
        <v>2401</v>
      </c>
      <c r="AD18" s="28" t="s">
        <v>2401</v>
      </c>
      <c r="AE18" s="28" t="s">
        <v>2401</v>
      </c>
      <c r="AF18" s="30" t="s">
        <v>2492</v>
      </c>
      <c r="AG18" s="28" t="s">
        <v>2401</v>
      </c>
    </row>
    <row r="19" spans="1:33" x14ac:dyDescent="0.3">
      <c r="A19" s="28" t="s">
        <v>231</v>
      </c>
      <c r="B19" s="34" t="s">
        <v>65</v>
      </c>
      <c r="C19" s="30" t="s">
        <v>11</v>
      </c>
      <c r="D19" s="28" t="s">
        <v>7</v>
      </c>
      <c r="E19" s="28">
        <v>200</v>
      </c>
      <c r="F19" s="30" t="s">
        <v>11</v>
      </c>
      <c r="G19" s="28" t="s">
        <v>232</v>
      </c>
      <c r="H19" s="30" t="s">
        <v>11</v>
      </c>
      <c r="I19" s="28" t="s">
        <v>2401</v>
      </c>
      <c r="J19" s="30" t="s">
        <v>11</v>
      </c>
      <c r="K19" s="28" t="s">
        <v>188</v>
      </c>
      <c r="L19" s="28" t="s">
        <v>157</v>
      </c>
      <c r="M19" s="30" t="s">
        <v>11</v>
      </c>
      <c r="N19" s="28" t="s">
        <v>231</v>
      </c>
      <c r="O19" s="30" t="s">
        <v>11</v>
      </c>
      <c r="P19" s="28" t="s">
        <v>189</v>
      </c>
      <c r="Q19" s="28" t="s">
        <v>149</v>
      </c>
      <c r="R19" s="28" t="s">
        <v>153</v>
      </c>
      <c r="S19" s="28" t="s">
        <v>150</v>
      </c>
      <c r="T19" s="28" t="s">
        <v>154</v>
      </c>
      <c r="U19" s="28" t="s">
        <v>155</v>
      </c>
      <c r="V19" s="28" t="s">
        <v>231</v>
      </c>
      <c r="W19" s="28" t="s">
        <v>189</v>
      </c>
      <c r="X19" s="28" t="s">
        <v>149</v>
      </c>
      <c r="Y19" s="28" t="s">
        <v>156</v>
      </c>
      <c r="Z19" s="30" t="s">
        <v>11</v>
      </c>
      <c r="AA19" s="28" t="s">
        <v>2276</v>
      </c>
      <c r="AB19" s="28" t="s">
        <v>2401</v>
      </c>
      <c r="AC19" s="28" t="s">
        <v>2401</v>
      </c>
      <c r="AD19" s="28" t="s">
        <v>2401</v>
      </c>
      <c r="AE19" s="28" t="s">
        <v>2401</v>
      </c>
      <c r="AF19" s="30" t="s">
        <v>2492</v>
      </c>
      <c r="AG19" s="28" t="s">
        <v>2401</v>
      </c>
    </row>
    <row r="20" spans="1:33" x14ac:dyDescent="0.3">
      <c r="A20" s="28" t="s">
        <v>233</v>
      </c>
      <c r="B20" s="34" t="s">
        <v>65</v>
      </c>
      <c r="C20" s="30" t="s">
        <v>11</v>
      </c>
      <c r="D20" s="28" t="s">
        <v>7</v>
      </c>
      <c r="E20" s="28">
        <v>200</v>
      </c>
      <c r="F20" s="30" t="s">
        <v>11</v>
      </c>
      <c r="G20" s="28" t="s">
        <v>234</v>
      </c>
      <c r="H20" s="30" t="s">
        <v>11</v>
      </c>
      <c r="I20" s="28" t="s">
        <v>2401</v>
      </c>
      <c r="J20" s="30" t="s">
        <v>11</v>
      </c>
      <c r="K20" s="28" t="s">
        <v>188</v>
      </c>
      <c r="L20" s="28" t="s">
        <v>157</v>
      </c>
      <c r="M20" s="30" t="s">
        <v>11</v>
      </c>
      <c r="N20" s="28" t="s">
        <v>233</v>
      </c>
      <c r="O20" s="30" t="s">
        <v>11</v>
      </c>
      <c r="P20" s="28" t="s">
        <v>189</v>
      </c>
      <c r="Q20" s="28" t="s">
        <v>149</v>
      </c>
      <c r="R20" s="28" t="s">
        <v>153</v>
      </c>
      <c r="S20" s="28" t="s">
        <v>150</v>
      </c>
      <c r="T20" s="28" t="s">
        <v>154</v>
      </c>
      <c r="U20" s="28" t="s">
        <v>155</v>
      </c>
      <c r="V20" s="28" t="s">
        <v>233</v>
      </c>
      <c r="W20" s="28" t="s">
        <v>189</v>
      </c>
      <c r="X20" s="28" t="s">
        <v>149</v>
      </c>
      <c r="Y20" s="28" t="s">
        <v>156</v>
      </c>
      <c r="Z20" s="30" t="s">
        <v>11</v>
      </c>
      <c r="AA20" s="28" t="s">
        <v>2276</v>
      </c>
      <c r="AB20" s="28" t="s">
        <v>2401</v>
      </c>
      <c r="AC20" s="28" t="s">
        <v>2401</v>
      </c>
      <c r="AD20" s="28" t="s">
        <v>2401</v>
      </c>
      <c r="AE20" s="28" t="s">
        <v>2401</v>
      </c>
      <c r="AF20" s="30" t="s">
        <v>2492</v>
      </c>
      <c r="AG20" s="28" t="s">
        <v>2401</v>
      </c>
    </row>
    <row r="21" spans="1:33" x14ac:dyDescent="0.3">
      <c r="A21" s="28" t="s">
        <v>235</v>
      </c>
      <c r="B21" s="34"/>
      <c r="C21" s="30" t="s">
        <v>11</v>
      </c>
      <c r="D21" s="28" t="s">
        <v>7</v>
      </c>
      <c r="E21" s="28">
        <v>200</v>
      </c>
      <c r="F21" s="30" t="s">
        <v>11</v>
      </c>
      <c r="G21" s="28" t="s">
        <v>236</v>
      </c>
      <c r="H21" s="30" t="s">
        <v>11</v>
      </c>
      <c r="I21" s="28" t="s">
        <v>2401</v>
      </c>
      <c r="J21" s="30" t="s">
        <v>2382</v>
      </c>
      <c r="K21" s="28" t="s">
        <v>237</v>
      </c>
      <c r="L21" s="28" t="s">
        <v>157</v>
      </c>
      <c r="M21" s="30" t="s">
        <v>11</v>
      </c>
      <c r="N21" s="28" t="s">
        <v>235</v>
      </c>
      <c r="O21" s="30" t="s">
        <v>11</v>
      </c>
      <c r="P21" s="28" t="s">
        <v>238</v>
      </c>
      <c r="Q21" s="28" t="s">
        <v>149</v>
      </c>
      <c r="R21" s="28" t="s">
        <v>195</v>
      </c>
      <c r="S21" s="28" t="s">
        <v>150</v>
      </c>
      <c r="T21" s="28" t="s">
        <v>239</v>
      </c>
      <c r="U21" s="28" t="s">
        <v>240</v>
      </c>
      <c r="V21" s="28" t="s">
        <v>235</v>
      </c>
      <c r="W21" s="28" t="s">
        <v>238</v>
      </c>
      <c r="X21" s="28" t="s">
        <v>149</v>
      </c>
      <c r="Y21" s="28" t="s">
        <v>156</v>
      </c>
      <c r="Z21" s="30" t="s">
        <v>11</v>
      </c>
      <c r="AA21" s="28" t="s">
        <v>2280</v>
      </c>
      <c r="AB21" s="28" t="s">
        <v>2276</v>
      </c>
      <c r="AC21" s="28" t="s">
        <v>2281</v>
      </c>
      <c r="AD21" s="28" t="s">
        <v>2282</v>
      </c>
      <c r="AE21" s="28" t="s">
        <v>2401</v>
      </c>
      <c r="AF21" s="31" t="s">
        <v>11</v>
      </c>
      <c r="AG21" s="28" t="s">
        <v>2401</v>
      </c>
    </row>
    <row r="22" spans="1:33" x14ac:dyDescent="0.3">
      <c r="A22" s="28" t="s">
        <v>242</v>
      </c>
      <c r="B22" s="34"/>
      <c r="C22" s="30" t="s">
        <v>11</v>
      </c>
      <c r="D22" s="28" t="s">
        <v>7</v>
      </c>
      <c r="E22" s="28">
        <v>200</v>
      </c>
      <c r="F22" s="30" t="s">
        <v>11</v>
      </c>
      <c r="G22" s="28" t="s">
        <v>243</v>
      </c>
      <c r="H22" s="30" t="s">
        <v>11</v>
      </c>
      <c r="I22" s="28" t="s">
        <v>2401</v>
      </c>
      <c r="J22" s="30" t="s">
        <v>2382</v>
      </c>
      <c r="K22" s="28" t="s">
        <v>244</v>
      </c>
      <c r="L22" s="28" t="s">
        <v>157</v>
      </c>
      <c r="M22" s="30" t="s">
        <v>11</v>
      </c>
      <c r="N22" s="28" t="s">
        <v>242</v>
      </c>
      <c r="O22" s="30" t="s">
        <v>11</v>
      </c>
      <c r="P22" s="28" t="s">
        <v>245</v>
      </c>
      <c r="Q22" s="28" t="s">
        <v>149</v>
      </c>
      <c r="R22" s="28" t="s">
        <v>195</v>
      </c>
      <c r="S22" s="28" t="s">
        <v>150</v>
      </c>
      <c r="T22" s="28" t="s">
        <v>246</v>
      </c>
      <c r="U22" s="28" t="s">
        <v>247</v>
      </c>
      <c r="V22" s="28" t="s">
        <v>242</v>
      </c>
      <c r="W22" s="28" t="s">
        <v>245</v>
      </c>
      <c r="X22" s="28" t="s">
        <v>149</v>
      </c>
      <c r="Y22" s="28" t="s">
        <v>156</v>
      </c>
      <c r="Z22" s="30" t="s">
        <v>11</v>
      </c>
      <c r="AA22" s="28" t="s">
        <v>2280</v>
      </c>
      <c r="AB22" s="28" t="s">
        <v>2276</v>
      </c>
      <c r="AC22" s="28" t="s">
        <v>2281</v>
      </c>
      <c r="AD22" s="28" t="s">
        <v>2282</v>
      </c>
      <c r="AE22" s="28" t="s">
        <v>2401</v>
      </c>
      <c r="AF22" s="31" t="s">
        <v>11</v>
      </c>
      <c r="AG22" s="28" t="s">
        <v>2401</v>
      </c>
    </row>
    <row r="23" spans="1:33" x14ac:dyDescent="0.3">
      <c r="A23" s="28" t="s">
        <v>248</v>
      </c>
      <c r="B23" s="34" t="s">
        <v>58</v>
      </c>
      <c r="C23" s="30"/>
      <c r="D23" s="30"/>
      <c r="E23" s="28">
        <v>404</v>
      </c>
      <c r="F23" s="30" t="s">
        <v>2403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 spans="1:33" x14ac:dyDescent="0.3">
      <c r="A24" s="28" t="s">
        <v>251</v>
      </c>
      <c r="B24" s="34" t="s">
        <v>65</v>
      </c>
      <c r="C24" s="30" t="s">
        <v>11</v>
      </c>
      <c r="D24" s="28" t="s">
        <v>7</v>
      </c>
      <c r="E24" s="28">
        <v>200</v>
      </c>
      <c r="F24" s="30" t="s">
        <v>11</v>
      </c>
      <c r="G24" s="28" t="s">
        <v>187</v>
      </c>
      <c r="H24" s="30" t="s">
        <v>11</v>
      </c>
      <c r="I24" s="28" t="s">
        <v>2401</v>
      </c>
      <c r="J24" s="30" t="s">
        <v>11</v>
      </c>
      <c r="K24" s="28" t="s">
        <v>188</v>
      </c>
      <c r="L24" s="28" t="s">
        <v>157</v>
      </c>
      <c r="M24" s="30" t="s">
        <v>11</v>
      </c>
      <c r="N24" s="28" t="s">
        <v>186</v>
      </c>
      <c r="O24" s="30" t="s">
        <v>11</v>
      </c>
      <c r="P24" s="28" t="s">
        <v>189</v>
      </c>
      <c r="Q24" s="28" t="s">
        <v>149</v>
      </c>
      <c r="R24" s="28" t="s">
        <v>153</v>
      </c>
      <c r="S24" s="28" t="s">
        <v>150</v>
      </c>
      <c r="T24" s="28" t="s">
        <v>154</v>
      </c>
      <c r="U24" s="28" t="s">
        <v>155</v>
      </c>
      <c r="V24" s="28" t="s">
        <v>186</v>
      </c>
      <c r="W24" s="28" t="s">
        <v>189</v>
      </c>
      <c r="X24" s="28" t="s">
        <v>149</v>
      </c>
      <c r="Y24" s="28" t="s">
        <v>156</v>
      </c>
      <c r="Z24" s="30" t="s">
        <v>11</v>
      </c>
      <c r="AA24" s="28" t="s">
        <v>2276</v>
      </c>
      <c r="AB24" s="28" t="s">
        <v>2401</v>
      </c>
      <c r="AC24" s="28" t="s">
        <v>2401</v>
      </c>
      <c r="AD24" s="28" t="s">
        <v>2401</v>
      </c>
      <c r="AE24" s="28" t="s">
        <v>2401</v>
      </c>
      <c r="AF24" s="30" t="s">
        <v>2492</v>
      </c>
      <c r="AG24" s="28" t="s">
        <v>2491</v>
      </c>
    </row>
    <row r="25" spans="1:33" x14ac:dyDescent="0.3">
      <c r="A25" s="28" t="s">
        <v>252</v>
      </c>
      <c r="B25" s="34" t="s">
        <v>65</v>
      </c>
      <c r="C25" s="30" t="s">
        <v>11</v>
      </c>
      <c r="D25" s="28" t="s">
        <v>7</v>
      </c>
      <c r="E25" s="28">
        <v>200</v>
      </c>
      <c r="F25" s="30" t="s">
        <v>11</v>
      </c>
      <c r="G25" s="28" t="s">
        <v>253</v>
      </c>
      <c r="H25" s="30" t="s">
        <v>11</v>
      </c>
      <c r="I25" s="28" t="s">
        <v>2401</v>
      </c>
      <c r="J25" s="30" t="s">
        <v>11</v>
      </c>
      <c r="K25" s="28" t="s">
        <v>188</v>
      </c>
      <c r="L25" s="28" t="s">
        <v>157</v>
      </c>
      <c r="M25" s="30" t="s">
        <v>11</v>
      </c>
      <c r="N25" s="28" t="s">
        <v>252</v>
      </c>
      <c r="O25" s="30" t="s">
        <v>11</v>
      </c>
      <c r="P25" s="28" t="s">
        <v>189</v>
      </c>
      <c r="Q25" s="28" t="s">
        <v>149</v>
      </c>
      <c r="R25" s="28" t="s">
        <v>153</v>
      </c>
      <c r="S25" s="28" t="s">
        <v>150</v>
      </c>
      <c r="T25" s="28" t="s">
        <v>154</v>
      </c>
      <c r="U25" s="28" t="s">
        <v>155</v>
      </c>
      <c r="V25" s="28" t="s">
        <v>252</v>
      </c>
      <c r="W25" s="28" t="s">
        <v>189</v>
      </c>
      <c r="X25" s="28" t="s">
        <v>149</v>
      </c>
      <c r="Y25" s="28" t="s">
        <v>156</v>
      </c>
      <c r="Z25" s="30" t="s">
        <v>11</v>
      </c>
      <c r="AA25" s="28" t="s">
        <v>2276</v>
      </c>
      <c r="AB25" s="28" t="s">
        <v>2401</v>
      </c>
      <c r="AC25" s="28" t="s">
        <v>2401</v>
      </c>
      <c r="AD25" s="28" t="s">
        <v>2401</v>
      </c>
      <c r="AE25" s="28" t="s">
        <v>2401</v>
      </c>
      <c r="AF25" s="30" t="s">
        <v>2492</v>
      </c>
      <c r="AG25" s="28" t="s">
        <v>2491</v>
      </c>
    </row>
    <row r="26" spans="1:33" x14ac:dyDescent="0.3">
      <c r="A26" s="28" t="s">
        <v>254</v>
      </c>
      <c r="B26" s="34" t="s">
        <v>65</v>
      </c>
      <c r="C26" s="30" t="s">
        <v>11</v>
      </c>
      <c r="D26" s="28" t="s">
        <v>7</v>
      </c>
      <c r="E26" s="28">
        <v>200</v>
      </c>
      <c r="F26" s="30" t="s">
        <v>11</v>
      </c>
      <c r="G26" s="28" t="s">
        <v>255</v>
      </c>
      <c r="H26" s="30" t="s">
        <v>11</v>
      </c>
      <c r="I26" s="28" t="s">
        <v>2401</v>
      </c>
      <c r="J26" s="30" t="s">
        <v>11</v>
      </c>
      <c r="K26" s="28" t="s">
        <v>188</v>
      </c>
      <c r="L26" s="28" t="s">
        <v>157</v>
      </c>
      <c r="M26" s="30" t="s">
        <v>11</v>
      </c>
      <c r="N26" s="28" t="s">
        <v>254</v>
      </c>
      <c r="O26" s="30" t="s">
        <v>11</v>
      </c>
      <c r="P26" s="28" t="s">
        <v>189</v>
      </c>
      <c r="Q26" s="28" t="s">
        <v>149</v>
      </c>
      <c r="R26" s="28" t="s">
        <v>153</v>
      </c>
      <c r="S26" s="28" t="s">
        <v>150</v>
      </c>
      <c r="T26" s="28" t="s">
        <v>154</v>
      </c>
      <c r="U26" s="28" t="s">
        <v>155</v>
      </c>
      <c r="V26" s="28" t="s">
        <v>254</v>
      </c>
      <c r="W26" s="28" t="s">
        <v>189</v>
      </c>
      <c r="X26" s="28" t="s">
        <v>149</v>
      </c>
      <c r="Y26" s="28" t="s">
        <v>156</v>
      </c>
      <c r="Z26" s="30" t="s">
        <v>11</v>
      </c>
      <c r="AA26" s="28" t="s">
        <v>2276</v>
      </c>
      <c r="AB26" s="28" t="s">
        <v>2401</v>
      </c>
      <c r="AC26" s="28" t="s">
        <v>2401</v>
      </c>
      <c r="AD26" s="28" t="s">
        <v>2401</v>
      </c>
      <c r="AE26" s="28" t="s">
        <v>2401</v>
      </c>
      <c r="AF26" s="30" t="s">
        <v>2492</v>
      </c>
      <c r="AG26" s="28" t="s">
        <v>2491</v>
      </c>
    </row>
    <row r="27" spans="1:33" x14ac:dyDescent="0.3">
      <c r="A27" s="28" t="s">
        <v>257</v>
      </c>
      <c r="B27" s="34" t="s">
        <v>65</v>
      </c>
      <c r="C27" s="30" t="s">
        <v>11</v>
      </c>
      <c r="D27" s="28" t="s">
        <v>7</v>
      </c>
      <c r="E27" s="28">
        <v>200</v>
      </c>
      <c r="F27" s="30" t="s">
        <v>11</v>
      </c>
      <c r="G27" s="28" t="s">
        <v>258</v>
      </c>
      <c r="H27" s="30" t="s">
        <v>11</v>
      </c>
      <c r="I27" s="28" t="s">
        <v>2401</v>
      </c>
      <c r="J27" s="30" t="s">
        <v>11</v>
      </c>
      <c r="K27" s="28" t="s">
        <v>188</v>
      </c>
      <c r="L27" s="28" t="s">
        <v>157</v>
      </c>
      <c r="M27" s="30" t="s">
        <v>11</v>
      </c>
      <c r="N27" s="28" t="s">
        <v>257</v>
      </c>
      <c r="O27" s="30" t="s">
        <v>11</v>
      </c>
      <c r="P27" s="28" t="s">
        <v>189</v>
      </c>
      <c r="Q27" s="28" t="s">
        <v>149</v>
      </c>
      <c r="R27" s="28" t="s">
        <v>153</v>
      </c>
      <c r="S27" s="28" t="s">
        <v>150</v>
      </c>
      <c r="T27" s="28" t="s">
        <v>154</v>
      </c>
      <c r="U27" s="28" t="s">
        <v>155</v>
      </c>
      <c r="V27" s="28" t="s">
        <v>257</v>
      </c>
      <c r="W27" s="28" t="s">
        <v>189</v>
      </c>
      <c r="X27" s="28" t="s">
        <v>149</v>
      </c>
      <c r="Y27" s="28" t="s">
        <v>156</v>
      </c>
      <c r="Z27" s="30" t="s">
        <v>11</v>
      </c>
      <c r="AA27" s="28" t="s">
        <v>2276</v>
      </c>
      <c r="AB27" s="28" t="s">
        <v>2401</v>
      </c>
      <c r="AC27" s="28" t="s">
        <v>2401</v>
      </c>
      <c r="AD27" s="28" t="s">
        <v>2401</v>
      </c>
      <c r="AE27" s="28" t="s">
        <v>2401</v>
      </c>
      <c r="AF27" s="30" t="s">
        <v>2492</v>
      </c>
      <c r="AG27" s="28" t="s">
        <v>2491</v>
      </c>
    </row>
    <row r="28" spans="1:33" x14ac:dyDescent="0.3">
      <c r="A28" s="28" t="s">
        <v>260</v>
      </c>
      <c r="B28" s="34" t="s">
        <v>65</v>
      </c>
      <c r="C28" s="30" t="s">
        <v>11</v>
      </c>
      <c r="D28" s="28" t="s">
        <v>7</v>
      </c>
      <c r="E28" s="28">
        <v>200</v>
      </c>
      <c r="F28" s="30" t="s">
        <v>11</v>
      </c>
      <c r="G28" s="28" t="s">
        <v>261</v>
      </c>
      <c r="H28" s="30" t="s">
        <v>11</v>
      </c>
      <c r="I28" s="28" t="s">
        <v>2401</v>
      </c>
      <c r="J28" s="30" t="s">
        <v>11</v>
      </c>
      <c r="K28" s="28" t="s">
        <v>188</v>
      </c>
      <c r="L28" s="28" t="s">
        <v>157</v>
      </c>
      <c r="M28" s="30" t="s">
        <v>11</v>
      </c>
      <c r="N28" s="28" t="s">
        <v>260</v>
      </c>
      <c r="O28" s="30" t="s">
        <v>11</v>
      </c>
      <c r="P28" s="28" t="s">
        <v>189</v>
      </c>
      <c r="Q28" s="28" t="s">
        <v>149</v>
      </c>
      <c r="R28" s="28" t="s">
        <v>153</v>
      </c>
      <c r="S28" s="28" t="s">
        <v>150</v>
      </c>
      <c r="T28" s="28" t="s">
        <v>154</v>
      </c>
      <c r="U28" s="28" t="s">
        <v>155</v>
      </c>
      <c r="V28" s="28" t="s">
        <v>260</v>
      </c>
      <c r="W28" s="28" t="s">
        <v>189</v>
      </c>
      <c r="X28" s="28" t="s">
        <v>149</v>
      </c>
      <c r="Y28" s="28" t="s">
        <v>156</v>
      </c>
      <c r="Z28" s="30" t="s">
        <v>11</v>
      </c>
      <c r="AA28" s="28" t="s">
        <v>2276</v>
      </c>
      <c r="AB28" s="28" t="s">
        <v>2401</v>
      </c>
      <c r="AC28" s="28" t="s">
        <v>2401</v>
      </c>
      <c r="AD28" s="28" t="s">
        <v>2401</v>
      </c>
      <c r="AE28" s="28" t="s">
        <v>2401</v>
      </c>
      <c r="AF28" s="30" t="s">
        <v>2492</v>
      </c>
      <c r="AG28" s="28" t="s">
        <v>2491</v>
      </c>
    </row>
    <row r="29" spans="1:33" x14ac:dyDescent="0.3">
      <c r="A29" s="28" t="s">
        <v>262</v>
      </c>
      <c r="B29" s="34"/>
      <c r="C29" s="30" t="s">
        <v>11</v>
      </c>
      <c r="D29" s="28" t="s">
        <v>7</v>
      </c>
      <c r="E29" s="28">
        <v>200</v>
      </c>
      <c r="F29" s="30" t="s">
        <v>11</v>
      </c>
      <c r="G29" s="28" t="s">
        <v>263</v>
      </c>
      <c r="H29" s="30" t="s">
        <v>11</v>
      </c>
      <c r="I29" s="28" t="s">
        <v>2401</v>
      </c>
      <c r="J29" s="30" t="s">
        <v>2382</v>
      </c>
      <c r="K29" s="28" t="s">
        <v>264</v>
      </c>
      <c r="L29" s="28" t="s">
        <v>157</v>
      </c>
      <c r="M29" s="30" t="s">
        <v>2404</v>
      </c>
      <c r="N29" s="28" t="s">
        <v>262</v>
      </c>
      <c r="O29" s="30" t="s">
        <v>11</v>
      </c>
      <c r="P29" s="28" t="s">
        <v>265</v>
      </c>
      <c r="Q29" s="28" t="s">
        <v>149</v>
      </c>
      <c r="R29" s="28" t="s">
        <v>153</v>
      </c>
      <c r="S29" s="28" t="s">
        <v>150</v>
      </c>
      <c r="T29" s="28" t="s">
        <v>154</v>
      </c>
      <c r="U29" s="28" t="s">
        <v>155</v>
      </c>
      <c r="V29" s="28" t="s">
        <v>262</v>
      </c>
      <c r="W29" s="28" t="s">
        <v>265</v>
      </c>
      <c r="X29" s="28" t="s">
        <v>149</v>
      </c>
      <c r="Y29" s="28" t="s">
        <v>156</v>
      </c>
      <c r="Z29" s="31" t="str">
        <f t="shared" ref="Z29" si="2">IF(AND(J25="Pass", H25="Pass"), "Pass", "Not")</f>
        <v>Pass</v>
      </c>
      <c r="AA29" s="28" t="s">
        <v>2276</v>
      </c>
      <c r="AB29" s="28" t="s">
        <v>2401</v>
      </c>
      <c r="AC29" s="28" t="s">
        <v>2401</v>
      </c>
      <c r="AD29" s="28" t="s">
        <v>2401</v>
      </c>
      <c r="AE29" s="28" t="s">
        <v>2401</v>
      </c>
      <c r="AF29" s="30" t="s">
        <v>2492</v>
      </c>
      <c r="AG29" s="28" t="s">
        <v>2491</v>
      </c>
    </row>
    <row r="30" spans="1:33" x14ac:dyDescent="0.3">
      <c r="A30" s="28" t="s">
        <v>267</v>
      </c>
      <c r="B30" s="34"/>
      <c r="C30" s="30" t="s">
        <v>11</v>
      </c>
      <c r="D30" s="28" t="s">
        <v>7</v>
      </c>
      <c r="E30" s="28">
        <v>200</v>
      </c>
      <c r="F30" s="30" t="s">
        <v>11</v>
      </c>
      <c r="G30" s="28" t="s">
        <v>268</v>
      </c>
      <c r="H30" s="30" t="s">
        <v>11</v>
      </c>
      <c r="I30" s="28" t="s">
        <v>269</v>
      </c>
      <c r="J30" s="30" t="s">
        <v>11</v>
      </c>
      <c r="K30" s="28" t="s">
        <v>270</v>
      </c>
      <c r="L30" s="28" t="s">
        <v>157</v>
      </c>
      <c r="M30" s="30" t="s">
        <v>11</v>
      </c>
      <c r="N30" s="28" t="s">
        <v>267</v>
      </c>
      <c r="O30" s="30" t="s">
        <v>11</v>
      </c>
      <c r="P30" s="28" t="s">
        <v>271</v>
      </c>
      <c r="Q30" s="28" t="s">
        <v>269</v>
      </c>
      <c r="R30" s="28" t="s">
        <v>195</v>
      </c>
      <c r="S30" s="28" t="s">
        <v>150</v>
      </c>
      <c r="T30" s="28" t="s">
        <v>272</v>
      </c>
      <c r="U30" s="28" t="s">
        <v>273</v>
      </c>
      <c r="V30" s="28" t="s">
        <v>267</v>
      </c>
      <c r="W30" s="28" t="s">
        <v>271</v>
      </c>
      <c r="X30" s="28" t="s">
        <v>269</v>
      </c>
      <c r="Y30" s="28" t="s">
        <v>156</v>
      </c>
      <c r="Z30" s="30" t="s">
        <v>11</v>
      </c>
      <c r="AA30" s="28" t="s">
        <v>2280</v>
      </c>
      <c r="AB30" s="28" t="s">
        <v>2276</v>
      </c>
      <c r="AC30" s="28" t="s">
        <v>2281</v>
      </c>
      <c r="AD30" s="28" t="s">
        <v>2282</v>
      </c>
      <c r="AE30" s="28" t="s">
        <v>2401</v>
      </c>
      <c r="AF30" s="31" t="s">
        <v>11</v>
      </c>
      <c r="AG30" s="28" t="s">
        <v>2401</v>
      </c>
    </row>
    <row r="31" spans="1:33" x14ac:dyDescent="0.3">
      <c r="A31" s="28" t="s">
        <v>275</v>
      </c>
      <c r="B31" s="34"/>
      <c r="C31" s="30" t="s">
        <v>11</v>
      </c>
      <c r="D31" s="28" t="s">
        <v>7</v>
      </c>
      <c r="E31" s="28">
        <v>200</v>
      </c>
      <c r="F31" s="30" t="s">
        <v>11</v>
      </c>
      <c r="G31" s="28" t="s">
        <v>276</v>
      </c>
      <c r="H31" s="30" t="s">
        <v>11</v>
      </c>
      <c r="I31" s="28" t="s">
        <v>277</v>
      </c>
      <c r="J31" s="30" t="s">
        <v>11</v>
      </c>
      <c r="K31" s="28" t="s">
        <v>278</v>
      </c>
      <c r="L31" s="28" t="s">
        <v>157</v>
      </c>
      <c r="M31" s="30" t="s">
        <v>11</v>
      </c>
      <c r="N31" s="28" t="s">
        <v>275</v>
      </c>
      <c r="O31" s="30" t="s">
        <v>11</v>
      </c>
      <c r="P31" s="28" t="s">
        <v>279</v>
      </c>
      <c r="Q31" s="28" t="s">
        <v>277</v>
      </c>
      <c r="R31" s="28" t="s">
        <v>195</v>
      </c>
      <c r="S31" s="28" t="s">
        <v>150</v>
      </c>
      <c r="T31" s="28" t="s">
        <v>280</v>
      </c>
      <c r="U31" s="28" t="s">
        <v>281</v>
      </c>
      <c r="V31" s="28" t="s">
        <v>275</v>
      </c>
      <c r="W31" s="28" t="s">
        <v>279</v>
      </c>
      <c r="X31" s="28" t="s">
        <v>277</v>
      </c>
      <c r="Y31" s="28" t="s">
        <v>156</v>
      </c>
      <c r="Z31" s="30" t="s">
        <v>11</v>
      </c>
      <c r="AA31" s="28" t="s">
        <v>2280</v>
      </c>
      <c r="AB31" s="28" t="s">
        <v>2276</v>
      </c>
      <c r="AC31" s="28" t="s">
        <v>2281</v>
      </c>
      <c r="AD31" s="28" t="s">
        <v>2282</v>
      </c>
      <c r="AE31" s="28" t="s">
        <v>2401</v>
      </c>
      <c r="AF31" s="31" t="s">
        <v>11</v>
      </c>
      <c r="AG31" s="28" t="s">
        <v>2401</v>
      </c>
    </row>
    <row r="32" spans="1:33" x14ac:dyDescent="0.3">
      <c r="A32" s="28" t="s">
        <v>283</v>
      </c>
      <c r="B32" s="34"/>
      <c r="C32" s="30" t="s">
        <v>11</v>
      </c>
      <c r="D32" s="28" t="s">
        <v>7</v>
      </c>
      <c r="E32" s="28">
        <v>200</v>
      </c>
      <c r="F32" s="30" t="s">
        <v>11</v>
      </c>
      <c r="G32" s="28" t="s">
        <v>284</v>
      </c>
      <c r="H32" s="30" t="s">
        <v>11</v>
      </c>
      <c r="I32" s="28" t="s">
        <v>285</v>
      </c>
      <c r="J32" s="30" t="s">
        <v>11</v>
      </c>
      <c r="K32" s="28" t="s">
        <v>286</v>
      </c>
      <c r="L32" s="28" t="s">
        <v>157</v>
      </c>
      <c r="M32" s="30" t="s">
        <v>11</v>
      </c>
      <c r="N32" s="28" t="s">
        <v>283</v>
      </c>
      <c r="O32" s="30" t="s">
        <v>11</v>
      </c>
      <c r="P32" s="28" t="s">
        <v>287</v>
      </c>
      <c r="Q32" s="28" t="s">
        <v>285</v>
      </c>
      <c r="R32" s="28" t="s">
        <v>195</v>
      </c>
      <c r="S32" s="28" t="s">
        <v>150</v>
      </c>
      <c r="T32" s="28" t="s">
        <v>288</v>
      </c>
      <c r="U32" s="28" t="s">
        <v>289</v>
      </c>
      <c r="V32" s="28" t="s">
        <v>283</v>
      </c>
      <c r="W32" s="28" t="s">
        <v>287</v>
      </c>
      <c r="X32" s="28" t="s">
        <v>285</v>
      </c>
      <c r="Y32" s="28" t="s">
        <v>156</v>
      </c>
      <c r="Z32" s="30" t="s">
        <v>11</v>
      </c>
      <c r="AA32" s="28" t="s">
        <v>2280</v>
      </c>
      <c r="AB32" s="28" t="s">
        <v>2276</v>
      </c>
      <c r="AC32" s="28" t="s">
        <v>2281</v>
      </c>
      <c r="AD32" s="28" t="s">
        <v>2282</v>
      </c>
      <c r="AE32" s="28" t="s">
        <v>2401</v>
      </c>
      <c r="AF32" s="31" t="s">
        <v>11</v>
      </c>
      <c r="AG32" s="28" t="s">
        <v>2401</v>
      </c>
    </row>
    <row r="33" spans="1:33" x14ac:dyDescent="0.3">
      <c r="A33" s="28" t="s">
        <v>291</v>
      </c>
      <c r="B33" s="34"/>
      <c r="C33" s="30" t="s">
        <v>11</v>
      </c>
      <c r="D33" s="28" t="s">
        <v>7</v>
      </c>
      <c r="E33" s="28">
        <v>200</v>
      </c>
      <c r="F33" s="30" t="s">
        <v>11</v>
      </c>
      <c r="G33" s="28" t="s">
        <v>292</v>
      </c>
      <c r="H33" s="30" t="s">
        <v>11</v>
      </c>
      <c r="I33" s="28" t="s">
        <v>293</v>
      </c>
      <c r="J33" s="30" t="s">
        <v>11</v>
      </c>
      <c r="K33" s="28" t="s">
        <v>294</v>
      </c>
      <c r="L33" s="28" t="s">
        <v>157</v>
      </c>
      <c r="M33" s="30" t="s">
        <v>11</v>
      </c>
      <c r="N33" s="28" t="s">
        <v>291</v>
      </c>
      <c r="O33" s="30" t="s">
        <v>11</v>
      </c>
      <c r="P33" s="28" t="s">
        <v>295</v>
      </c>
      <c r="Q33" s="28" t="s">
        <v>293</v>
      </c>
      <c r="R33" s="28" t="s">
        <v>195</v>
      </c>
      <c r="S33" s="28" t="s">
        <v>150</v>
      </c>
      <c r="T33" s="28" t="s">
        <v>296</v>
      </c>
      <c r="U33" s="28" t="s">
        <v>297</v>
      </c>
      <c r="V33" s="28" t="s">
        <v>291</v>
      </c>
      <c r="W33" s="28" t="s">
        <v>295</v>
      </c>
      <c r="X33" s="28" t="s">
        <v>293</v>
      </c>
      <c r="Y33" s="28" t="s">
        <v>156</v>
      </c>
      <c r="Z33" s="30" t="s">
        <v>11</v>
      </c>
      <c r="AA33" s="28" t="s">
        <v>2280</v>
      </c>
      <c r="AB33" s="28" t="s">
        <v>2276</v>
      </c>
      <c r="AC33" s="28" t="s">
        <v>2281</v>
      </c>
      <c r="AD33" s="28" t="s">
        <v>2282</v>
      </c>
      <c r="AE33" s="28" t="s">
        <v>2401</v>
      </c>
      <c r="AF33" s="31" t="s">
        <v>11</v>
      </c>
      <c r="AG33" s="28" t="s">
        <v>2401</v>
      </c>
    </row>
    <row r="34" spans="1:33" x14ac:dyDescent="0.3">
      <c r="A34" s="28" t="s">
        <v>299</v>
      </c>
      <c r="C34" s="30" t="s">
        <v>11</v>
      </c>
      <c r="D34" s="28" t="s">
        <v>7</v>
      </c>
      <c r="E34" s="28">
        <v>200</v>
      </c>
      <c r="F34" s="30" t="s">
        <v>11</v>
      </c>
      <c r="G34" s="28" t="s">
        <v>300</v>
      </c>
      <c r="H34" s="30" t="s">
        <v>11</v>
      </c>
      <c r="I34" s="28" t="s">
        <v>301</v>
      </c>
      <c r="J34" s="30" t="s">
        <v>11</v>
      </c>
      <c r="K34" s="28" t="s">
        <v>302</v>
      </c>
      <c r="L34" s="28" t="s">
        <v>157</v>
      </c>
      <c r="M34" s="30" t="s">
        <v>11</v>
      </c>
      <c r="N34" s="28" t="s">
        <v>299</v>
      </c>
      <c r="O34" s="30" t="s">
        <v>11</v>
      </c>
      <c r="P34" s="28" t="s">
        <v>303</v>
      </c>
      <c r="Q34" s="28" t="s">
        <v>301</v>
      </c>
      <c r="R34" s="28" t="s">
        <v>195</v>
      </c>
      <c r="S34" s="28" t="s">
        <v>150</v>
      </c>
      <c r="T34" s="28" t="s">
        <v>304</v>
      </c>
      <c r="U34" s="28" t="s">
        <v>305</v>
      </c>
      <c r="V34" s="28" t="s">
        <v>299</v>
      </c>
      <c r="W34" s="28" t="s">
        <v>303</v>
      </c>
      <c r="X34" s="28" t="s">
        <v>301</v>
      </c>
      <c r="Y34" s="28" t="s">
        <v>156</v>
      </c>
      <c r="Z34" s="30" t="s">
        <v>11</v>
      </c>
      <c r="AA34" s="28" t="s">
        <v>2280</v>
      </c>
      <c r="AB34" s="28" t="s">
        <v>2276</v>
      </c>
      <c r="AC34" s="28" t="s">
        <v>2281</v>
      </c>
      <c r="AD34" s="28" t="s">
        <v>2282</v>
      </c>
      <c r="AE34" s="28" t="s">
        <v>2401</v>
      </c>
      <c r="AF34" s="31" t="s">
        <v>11</v>
      </c>
      <c r="AG34" s="28" t="s">
        <v>2401</v>
      </c>
    </row>
    <row r="35" spans="1:33" x14ac:dyDescent="0.3">
      <c r="A35" s="28" t="s">
        <v>307</v>
      </c>
      <c r="B35" s="52" t="s">
        <v>2405</v>
      </c>
      <c r="C35" s="30" t="s">
        <v>11</v>
      </c>
      <c r="D35" s="28" t="s">
        <v>7</v>
      </c>
      <c r="E35" s="28">
        <v>200</v>
      </c>
      <c r="F35" s="30" t="s">
        <v>11</v>
      </c>
      <c r="G35" s="28" t="s">
        <v>308</v>
      </c>
      <c r="H35" s="30" t="s">
        <v>11</v>
      </c>
      <c r="I35" s="28" t="s">
        <v>309</v>
      </c>
      <c r="J35" s="30" t="s">
        <v>11</v>
      </c>
      <c r="K35" s="28" t="s">
        <v>310</v>
      </c>
      <c r="L35" s="28">
        <v>1</v>
      </c>
      <c r="M35" s="30" t="s">
        <v>11</v>
      </c>
      <c r="N35" s="28" t="s">
        <v>307</v>
      </c>
      <c r="O35" s="30" t="s">
        <v>11</v>
      </c>
      <c r="P35" s="28" t="s">
        <v>311</v>
      </c>
      <c r="Q35" s="28" t="s">
        <v>311</v>
      </c>
      <c r="R35" s="28" t="s">
        <v>311</v>
      </c>
      <c r="S35" s="28" t="s">
        <v>311</v>
      </c>
      <c r="T35" s="28" t="s">
        <v>311</v>
      </c>
      <c r="U35" s="28" t="s">
        <v>2401</v>
      </c>
      <c r="V35" s="28" t="s">
        <v>311</v>
      </c>
      <c r="W35" s="28" t="s">
        <v>311</v>
      </c>
      <c r="X35" s="28" t="s">
        <v>311</v>
      </c>
      <c r="Y35" s="28" t="s">
        <v>311</v>
      </c>
      <c r="Z35" s="30" t="s">
        <v>11</v>
      </c>
      <c r="AA35" s="28" t="s">
        <v>2280</v>
      </c>
      <c r="AB35" s="28" t="s">
        <v>2276</v>
      </c>
      <c r="AC35" s="28" t="s">
        <v>2281</v>
      </c>
      <c r="AD35" s="28" t="s">
        <v>2282</v>
      </c>
      <c r="AE35" s="28" t="s">
        <v>2401</v>
      </c>
      <c r="AF35" s="31" t="s">
        <v>11</v>
      </c>
      <c r="AG35" s="28" t="s">
        <v>2401</v>
      </c>
    </row>
    <row r="36" spans="1:33" x14ac:dyDescent="0.3">
      <c r="A36" s="28" t="s">
        <v>312</v>
      </c>
      <c r="B36" s="34"/>
      <c r="C36" s="30" t="s">
        <v>11</v>
      </c>
      <c r="D36" s="28" t="s">
        <v>7</v>
      </c>
      <c r="E36" s="28">
        <v>200</v>
      </c>
      <c r="F36" s="30" t="s">
        <v>11</v>
      </c>
      <c r="G36" s="28" t="s">
        <v>313</v>
      </c>
      <c r="H36" s="30" t="s">
        <v>11</v>
      </c>
      <c r="I36" s="28" t="s">
        <v>314</v>
      </c>
      <c r="J36" s="30" t="s">
        <v>11</v>
      </c>
      <c r="K36" s="28" t="s">
        <v>315</v>
      </c>
      <c r="L36" s="28" t="s">
        <v>157</v>
      </c>
      <c r="M36" s="30" t="s">
        <v>11</v>
      </c>
      <c r="N36" s="28" t="s">
        <v>312</v>
      </c>
      <c r="O36" s="30" t="s">
        <v>11</v>
      </c>
      <c r="P36" s="28" t="s">
        <v>316</v>
      </c>
      <c r="Q36" s="28" t="s">
        <v>314</v>
      </c>
      <c r="R36" s="28" t="s">
        <v>195</v>
      </c>
      <c r="S36" s="28" t="s">
        <v>150</v>
      </c>
      <c r="T36" s="28" t="s">
        <v>317</v>
      </c>
      <c r="U36" s="28" t="s">
        <v>318</v>
      </c>
      <c r="V36" s="28" t="s">
        <v>312</v>
      </c>
      <c r="W36" s="28" t="s">
        <v>316</v>
      </c>
      <c r="X36" s="28" t="s">
        <v>314</v>
      </c>
      <c r="Y36" s="28" t="s">
        <v>156</v>
      </c>
      <c r="Z36" s="30" t="s">
        <v>11</v>
      </c>
      <c r="AA36" s="28" t="s">
        <v>2280</v>
      </c>
      <c r="AB36" s="28" t="s">
        <v>2276</v>
      </c>
      <c r="AC36" s="28" t="s">
        <v>2281</v>
      </c>
      <c r="AD36" s="28" t="s">
        <v>2282</v>
      </c>
      <c r="AE36" s="28" t="s">
        <v>2401</v>
      </c>
      <c r="AF36" s="31" t="s">
        <v>11</v>
      </c>
      <c r="AG36" s="28" t="s">
        <v>2401</v>
      </c>
    </row>
    <row r="37" spans="1:33" x14ac:dyDescent="0.3">
      <c r="A37" s="28" t="s">
        <v>320</v>
      </c>
      <c r="B37" s="34"/>
      <c r="C37" s="30" t="s">
        <v>11</v>
      </c>
      <c r="D37" s="28" t="s">
        <v>7</v>
      </c>
      <c r="E37" s="28">
        <v>200</v>
      </c>
      <c r="F37" s="30" t="s">
        <v>11</v>
      </c>
      <c r="G37" s="28" t="s">
        <v>321</v>
      </c>
      <c r="H37" s="30" t="s">
        <v>11</v>
      </c>
      <c r="I37" s="28" t="s">
        <v>322</v>
      </c>
      <c r="J37" s="30" t="s">
        <v>11</v>
      </c>
      <c r="K37" s="28" t="s">
        <v>323</v>
      </c>
      <c r="L37" s="28" t="s">
        <v>157</v>
      </c>
      <c r="M37" s="30" t="s">
        <v>11</v>
      </c>
      <c r="N37" s="28" t="s">
        <v>320</v>
      </c>
      <c r="O37" s="30" t="s">
        <v>11</v>
      </c>
      <c r="P37" s="28" t="s">
        <v>324</v>
      </c>
      <c r="Q37" s="28" t="s">
        <v>322</v>
      </c>
      <c r="R37" s="28" t="s">
        <v>195</v>
      </c>
      <c r="S37" s="28" t="s">
        <v>150</v>
      </c>
      <c r="T37" s="28" t="s">
        <v>325</v>
      </c>
      <c r="U37" s="28" t="s">
        <v>326</v>
      </c>
      <c r="V37" s="28" t="s">
        <v>320</v>
      </c>
      <c r="W37" s="28" t="s">
        <v>324</v>
      </c>
      <c r="X37" s="28" t="s">
        <v>322</v>
      </c>
      <c r="Y37" s="28" t="s">
        <v>156</v>
      </c>
      <c r="Z37" s="30" t="s">
        <v>11</v>
      </c>
      <c r="AA37" s="28" t="s">
        <v>2280</v>
      </c>
      <c r="AB37" s="28" t="s">
        <v>2276</v>
      </c>
      <c r="AC37" s="28" t="s">
        <v>2281</v>
      </c>
      <c r="AD37" s="28" t="s">
        <v>2282</v>
      </c>
      <c r="AE37" s="28" t="s">
        <v>2401</v>
      </c>
      <c r="AF37" s="31" t="s">
        <v>11</v>
      </c>
      <c r="AG37" s="28" t="s">
        <v>2401</v>
      </c>
    </row>
    <row r="38" spans="1:33" x14ac:dyDescent="0.3">
      <c r="A38" s="28" t="s">
        <v>327</v>
      </c>
      <c r="B38" s="34"/>
      <c r="C38" s="30" t="s">
        <v>11</v>
      </c>
      <c r="D38" s="28" t="s">
        <v>7</v>
      </c>
      <c r="E38" s="28">
        <v>200</v>
      </c>
      <c r="F38" s="30" t="s">
        <v>11</v>
      </c>
      <c r="G38" s="28" t="s">
        <v>328</v>
      </c>
      <c r="H38" s="30" t="s">
        <v>11</v>
      </c>
      <c r="I38" s="28" t="s">
        <v>329</v>
      </c>
      <c r="J38" s="30" t="s">
        <v>11</v>
      </c>
      <c r="K38" s="28" t="s">
        <v>330</v>
      </c>
      <c r="L38" s="28" t="s">
        <v>157</v>
      </c>
      <c r="M38" s="30" t="s">
        <v>11</v>
      </c>
      <c r="N38" s="28" t="s">
        <v>327</v>
      </c>
      <c r="O38" s="30" t="s">
        <v>11</v>
      </c>
      <c r="P38" s="28" t="s">
        <v>331</v>
      </c>
      <c r="Q38" s="28" t="s">
        <v>329</v>
      </c>
      <c r="R38" s="28" t="s">
        <v>195</v>
      </c>
      <c r="S38" s="28" t="s">
        <v>150</v>
      </c>
      <c r="T38" s="28" t="s">
        <v>332</v>
      </c>
      <c r="U38" s="28" t="s">
        <v>333</v>
      </c>
      <c r="V38" s="28" t="s">
        <v>327</v>
      </c>
      <c r="W38" s="28" t="s">
        <v>331</v>
      </c>
      <c r="X38" s="28" t="s">
        <v>329</v>
      </c>
      <c r="Y38" s="28" t="s">
        <v>156</v>
      </c>
      <c r="Z38" s="30" t="s">
        <v>11</v>
      </c>
      <c r="AA38" s="28" t="s">
        <v>2280</v>
      </c>
      <c r="AB38" s="28" t="s">
        <v>2276</v>
      </c>
      <c r="AC38" s="28" t="s">
        <v>2281</v>
      </c>
      <c r="AD38" s="28" t="s">
        <v>2282</v>
      </c>
      <c r="AE38" s="28" t="s">
        <v>2401</v>
      </c>
      <c r="AF38" s="31" t="s">
        <v>11</v>
      </c>
      <c r="AG38" s="28" t="s">
        <v>2401</v>
      </c>
    </row>
    <row r="39" spans="1:33" x14ac:dyDescent="0.3">
      <c r="A39" s="28" t="s">
        <v>334</v>
      </c>
      <c r="B39" s="34"/>
      <c r="C39" s="30" t="s">
        <v>11</v>
      </c>
      <c r="D39" s="28" t="s">
        <v>7</v>
      </c>
      <c r="E39" s="28">
        <v>200</v>
      </c>
      <c r="F39" s="30" t="s">
        <v>11</v>
      </c>
      <c r="G39" s="28" t="s">
        <v>335</v>
      </c>
      <c r="H39" s="30" t="s">
        <v>11</v>
      </c>
      <c r="I39" s="28" t="s">
        <v>336</v>
      </c>
      <c r="J39" s="30" t="s">
        <v>11</v>
      </c>
      <c r="K39" s="28" t="s">
        <v>337</v>
      </c>
      <c r="L39" s="28" t="s">
        <v>157</v>
      </c>
      <c r="M39" s="30" t="s">
        <v>11</v>
      </c>
      <c r="N39" s="28" t="s">
        <v>334</v>
      </c>
      <c r="O39" s="30" t="s">
        <v>11</v>
      </c>
      <c r="P39" s="28" t="s">
        <v>338</v>
      </c>
      <c r="Q39" s="28" t="s">
        <v>336</v>
      </c>
      <c r="R39" s="28" t="s">
        <v>195</v>
      </c>
      <c r="S39" s="28" t="s">
        <v>150</v>
      </c>
      <c r="T39" s="28" t="s">
        <v>339</v>
      </c>
      <c r="U39" s="28" t="s">
        <v>340</v>
      </c>
      <c r="V39" s="28" t="s">
        <v>334</v>
      </c>
      <c r="W39" s="28" t="s">
        <v>338</v>
      </c>
      <c r="X39" s="28" t="s">
        <v>336</v>
      </c>
      <c r="Y39" s="28" t="s">
        <v>156</v>
      </c>
      <c r="Z39" s="30" t="s">
        <v>11</v>
      </c>
      <c r="AA39" s="28" t="s">
        <v>2280</v>
      </c>
      <c r="AB39" s="28" t="s">
        <v>2276</v>
      </c>
      <c r="AC39" s="28" t="s">
        <v>2281</v>
      </c>
      <c r="AD39" s="28" t="s">
        <v>2282</v>
      </c>
      <c r="AE39" s="28" t="s">
        <v>2401</v>
      </c>
      <c r="AF39" s="31" t="s">
        <v>11</v>
      </c>
      <c r="AG39" s="28" t="s">
        <v>2401</v>
      </c>
    </row>
    <row r="40" spans="1:33" x14ac:dyDescent="0.3">
      <c r="A40" s="28" t="s">
        <v>342</v>
      </c>
      <c r="B40" s="34"/>
      <c r="C40" s="30" t="s">
        <v>11</v>
      </c>
      <c r="D40" s="28" t="s">
        <v>7</v>
      </c>
      <c r="E40" s="28">
        <v>200</v>
      </c>
      <c r="F40" s="30" t="s">
        <v>11</v>
      </c>
      <c r="G40" s="28" t="s">
        <v>343</v>
      </c>
      <c r="H40" s="30" t="s">
        <v>11</v>
      </c>
      <c r="I40" s="28" t="s">
        <v>344</v>
      </c>
      <c r="J40" s="30" t="s">
        <v>11</v>
      </c>
      <c r="K40" s="28" t="s">
        <v>345</v>
      </c>
      <c r="L40" s="28" t="s">
        <v>157</v>
      </c>
      <c r="M40" s="30" t="s">
        <v>11</v>
      </c>
      <c r="N40" s="28" t="s">
        <v>342</v>
      </c>
      <c r="O40" s="30" t="s">
        <v>11</v>
      </c>
      <c r="P40" s="28" t="s">
        <v>346</v>
      </c>
      <c r="Q40" s="28" t="s">
        <v>344</v>
      </c>
      <c r="R40" s="28" t="s">
        <v>195</v>
      </c>
      <c r="S40" s="28" t="s">
        <v>150</v>
      </c>
      <c r="T40" s="28" t="s">
        <v>347</v>
      </c>
      <c r="U40" s="28" t="s">
        <v>348</v>
      </c>
      <c r="V40" s="28" t="s">
        <v>342</v>
      </c>
      <c r="W40" s="28" t="s">
        <v>346</v>
      </c>
      <c r="X40" s="28" t="s">
        <v>344</v>
      </c>
      <c r="Y40" s="28" t="s">
        <v>156</v>
      </c>
      <c r="Z40" s="30" t="s">
        <v>11</v>
      </c>
      <c r="AA40" s="28" t="s">
        <v>2280</v>
      </c>
      <c r="AB40" s="28" t="s">
        <v>2276</v>
      </c>
      <c r="AC40" s="28" t="s">
        <v>2281</v>
      </c>
      <c r="AD40" s="28" t="s">
        <v>2282</v>
      </c>
      <c r="AE40" s="28" t="s">
        <v>2401</v>
      </c>
      <c r="AF40" s="31" t="s">
        <v>11</v>
      </c>
      <c r="AG40" s="28" t="s">
        <v>2401</v>
      </c>
    </row>
    <row r="41" spans="1:33" x14ac:dyDescent="0.3">
      <c r="A41" s="28" t="s">
        <v>349</v>
      </c>
      <c r="B41" s="34"/>
      <c r="C41" s="30" t="s">
        <v>11</v>
      </c>
      <c r="D41" s="28" t="s">
        <v>7</v>
      </c>
      <c r="E41" s="28">
        <v>200</v>
      </c>
      <c r="F41" s="30" t="s">
        <v>11</v>
      </c>
      <c r="G41" s="28" t="s">
        <v>350</v>
      </c>
      <c r="H41" s="30" t="s">
        <v>11</v>
      </c>
      <c r="I41" s="28" t="s">
        <v>351</v>
      </c>
      <c r="J41" s="30" t="s">
        <v>11</v>
      </c>
      <c r="K41" s="28" t="s">
        <v>352</v>
      </c>
      <c r="L41" s="28" t="s">
        <v>157</v>
      </c>
      <c r="M41" s="30" t="s">
        <v>11</v>
      </c>
      <c r="N41" s="28" t="s">
        <v>349</v>
      </c>
      <c r="O41" s="30" t="s">
        <v>11</v>
      </c>
      <c r="P41" s="28" t="s">
        <v>353</v>
      </c>
      <c r="Q41" s="28" t="s">
        <v>351</v>
      </c>
      <c r="R41" s="28" t="s">
        <v>195</v>
      </c>
      <c r="S41" s="28" t="s">
        <v>150</v>
      </c>
      <c r="T41" s="28" t="s">
        <v>354</v>
      </c>
      <c r="U41" s="28" t="s">
        <v>355</v>
      </c>
      <c r="V41" s="28" t="s">
        <v>349</v>
      </c>
      <c r="W41" s="28" t="s">
        <v>353</v>
      </c>
      <c r="X41" s="28" t="s">
        <v>351</v>
      </c>
      <c r="Y41" s="28" t="s">
        <v>156</v>
      </c>
      <c r="Z41" s="31" t="s">
        <v>11</v>
      </c>
      <c r="AA41" s="28" t="s">
        <v>2280</v>
      </c>
      <c r="AB41" s="28" t="s">
        <v>2276</v>
      </c>
      <c r="AC41" s="28" t="s">
        <v>2281</v>
      </c>
      <c r="AD41" s="28" t="s">
        <v>2282</v>
      </c>
      <c r="AE41" s="28" t="s">
        <v>2401</v>
      </c>
      <c r="AF41" s="31" t="s">
        <v>11</v>
      </c>
      <c r="AG41" s="28" t="s">
        <v>2401</v>
      </c>
    </row>
    <row r="42" spans="1:33" x14ac:dyDescent="0.3">
      <c r="A42" s="28" t="s">
        <v>356</v>
      </c>
      <c r="B42" s="34"/>
      <c r="C42" s="30" t="s">
        <v>11</v>
      </c>
      <c r="D42" s="28" t="s">
        <v>7</v>
      </c>
      <c r="E42" s="28">
        <v>200</v>
      </c>
      <c r="F42" s="30" t="s">
        <v>11</v>
      </c>
      <c r="G42" s="28" t="s">
        <v>357</v>
      </c>
      <c r="H42" s="30" t="s">
        <v>11</v>
      </c>
      <c r="I42" s="28" t="s">
        <v>358</v>
      </c>
      <c r="J42" s="30" t="s">
        <v>11</v>
      </c>
      <c r="K42" s="28" t="s">
        <v>359</v>
      </c>
      <c r="L42" s="28" t="s">
        <v>157</v>
      </c>
      <c r="M42" s="30" t="s">
        <v>11</v>
      </c>
      <c r="N42" s="28" t="s">
        <v>356</v>
      </c>
      <c r="O42" s="30" t="s">
        <v>11</v>
      </c>
      <c r="P42" s="28" t="s">
        <v>360</v>
      </c>
      <c r="Q42" s="28" t="s">
        <v>358</v>
      </c>
      <c r="R42" s="28" t="s">
        <v>195</v>
      </c>
      <c r="S42" s="28" t="s">
        <v>150</v>
      </c>
      <c r="T42" s="28" t="s">
        <v>361</v>
      </c>
      <c r="U42" s="28" t="s">
        <v>362</v>
      </c>
      <c r="V42" s="28" t="s">
        <v>356</v>
      </c>
      <c r="W42" s="28" t="s">
        <v>360</v>
      </c>
      <c r="X42" s="28" t="s">
        <v>358</v>
      </c>
      <c r="Y42" s="28" t="s">
        <v>156</v>
      </c>
      <c r="Z42" s="31" t="s">
        <v>11</v>
      </c>
      <c r="AA42" s="28" t="s">
        <v>2280</v>
      </c>
      <c r="AB42" s="28" t="s">
        <v>2276</v>
      </c>
      <c r="AC42" s="28" t="s">
        <v>2281</v>
      </c>
      <c r="AD42" s="28" t="s">
        <v>2282</v>
      </c>
      <c r="AE42" s="28" t="s">
        <v>2401</v>
      </c>
      <c r="AF42" s="31" t="s">
        <v>11</v>
      </c>
      <c r="AG42" s="28" t="s">
        <v>2401</v>
      </c>
    </row>
    <row r="43" spans="1:33" x14ac:dyDescent="0.3">
      <c r="A43" s="28" t="s">
        <v>363</v>
      </c>
      <c r="B43" s="34"/>
      <c r="C43" s="30" t="s">
        <v>11</v>
      </c>
      <c r="D43" s="28" t="s">
        <v>7</v>
      </c>
      <c r="E43" s="28">
        <v>200</v>
      </c>
      <c r="F43" s="30" t="s">
        <v>11</v>
      </c>
      <c r="G43" s="28" t="s">
        <v>364</v>
      </c>
      <c r="H43" s="30" t="s">
        <v>11</v>
      </c>
      <c r="I43" s="28" t="s">
        <v>365</v>
      </c>
      <c r="J43" s="30" t="s">
        <v>11</v>
      </c>
      <c r="K43" s="28" t="s">
        <v>366</v>
      </c>
      <c r="L43" s="28" t="s">
        <v>157</v>
      </c>
      <c r="M43" s="30" t="s">
        <v>11</v>
      </c>
      <c r="N43" s="28" t="s">
        <v>363</v>
      </c>
      <c r="O43" s="30" t="s">
        <v>11</v>
      </c>
      <c r="P43" s="28" t="s">
        <v>367</v>
      </c>
      <c r="Q43" s="28" t="s">
        <v>365</v>
      </c>
      <c r="R43" s="28" t="s">
        <v>195</v>
      </c>
      <c r="S43" s="28" t="s">
        <v>150</v>
      </c>
      <c r="T43" s="28" t="s">
        <v>368</v>
      </c>
      <c r="U43" s="28" t="s">
        <v>369</v>
      </c>
      <c r="V43" s="28" t="s">
        <v>363</v>
      </c>
      <c r="W43" s="28" t="s">
        <v>367</v>
      </c>
      <c r="X43" s="28" t="s">
        <v>365</v>
      </c>
      <c r="Y43" s="28" t="s">
        <v>156</v>
      </c>
      <c r="Z43" s="31" t="s">
        <v>11</v>
      </c>
      <c r="AA43" s="28" t="s">
        <v>2280</v>
      </c>
      <c r="AB43" s="28" t="s">
        <v>2276</v>
      </c>
      <c r="AC43" s="28" t="s">
        <v>2281</v>
      </c>
      <c r="AD43" s="28" t="s">
        <v>2282</v>
      </c>
      <c r="AE43" s="28" t="s">
        <v>2401</v>
      </c>
      <c r="AF43" s="31" t="s">
        <v>11</v>
      </c>
      <c r="AG43" s="28" t="s">
        <v>2401</v>
      </c>
    </row>
    <row r="44" spans="1:33" x14ac:dyDescent="0.3">
      <c r="A44" s="28" t="s">
        <v>370</v>
      </c>
      <c r="B44" s="34"/>
      <c r="C44" s="30" t="s">
        <v>11</v>
      </c>
      <c r="D44" s="28" t="s">
        <v>7</v>
      </c>
      <c r="E44" s="28">
        <v>200</v>
      </c>
      <c r="F44" s="30" t="s">
        <v>11</v>
      </c>
      <c r="G44" s="28" t="s">
        <v>371</v>
      </c>
      <c r="H44" s="30" t="s">
        <v>11</v>
      </c>
      <c r="I44" s="28" t="s">
        <v>372</v>
      </c>
      <c r="J44" s="30" t="s">
        <v>11</v>
      </c>
      <c r="K44" s="28" t="s">
        <v>373</v>
      </c>
      <c r="L44" s="28" t="s">
        <v>157</v>
      </c>
      <c r="M44" s="30" t="s">
        <v>11</v>
      </c>
      <c r="N44" s="28" t="s">
        <v>370</v>
      </c>
      <c r="O44" s="30" t="s">
        <v>11</v>
      </c>
      <c r="P44" s="28" t="s">
        <v>374</v>
      </c>
      <c r="Q44" s="28" t="s">
        <v>372</v>
      </c>
      <c r="R44" s="28" t="s">
        <v>195</v>
      </c>
      <c r="S44" s="28" t="s">
        <v>150</v>
      </c>
      <c r="T44" s="28" t="s">
        <v>375</v>
      </c>
      <c r="U44" s="28" t="s">
        <v>376</v>
      </c>
      <c r="V44" s="28" t="s">
        <v>370</v>
      </c>
      <c r="W44" s="28" t="s">
        <v>374</v>
      </c>
      <c r="X44" s="28" t="s">
        <v>372</v>
      </c>
      <c r="Y44" s="28" t="s">
        <v>156</v>
      </c>
      <c r="Z44" s="31" t="s">
        <v>11</v>
      </c>
      <c r="AA44" s="28" t="s">
        <v>2280</v>
      </c>
      <c r="AB44" s="28" t="s">
        <v>2276</v>
      </c>
      <c r="AC44" s="28" t="s">
        <v>2281</v>
      </c>
      <c r="AD44" s="28" t="s">
        <v>2282</v>
      </c>
      <c r="AE44" s="28" t="s">
        <v>2401</v>
      </c>
      <c r="AF44" s="31" t="s">
        <v>11</v>
      </c>
      <c r="AG44" s="28" t="s">
        <v>2401</v>
      </c>
    </row>
    <row r="45" spans="1:33" x14ac:dyDescent="0.3">
      <c r="A45" s="28" t="s">
        <v>378</v>
      </c>
      <c r="B45" s="34"/>
      <c r="C45" s="30" t="s">
        <v>11</v>
      </c>
      <c r="D45" s="28" t="s">
        <v>7</v>
      </c>
      <c r="E45" s="28">
        <v>200</v>
      </c>
      <c r="F45" s="30" t="s">
        <v>11</v>
      </c>
      <c r="G45" s="28" t="s">
        <v>379</v>
      </c>
      <c r="H45" s="30" t="s">
        <v>11</v>
      </c>
      <c r="I45" s="28" t="s">
        <v>380</v>
      </c>
      <c r="J45" s="30" t="s">
        <v>11</v>
      </c>
      <c r="K45" s="28" t="s">
        <v>381</v>
      </c>
      <c r="L45" s="28" t="s">
        <v>157</v>
      </c>
      <c r="M45" s="30" t="s">
        <v>11</v>
      </c>
      <c r="N45" s="28" t="s">
        <v>378</v>
      </c>
      <c r="O45" s="30" t="s">
        <v>11</v>
      </c>
      <c r="P45" s="28" t="s">
        <v>382</v>
      </c>
      <c r="Q45" s="28" t="s">
        <v>380</v>
      </c>
      <c r="R45" s="28" t="s">
        <v>195</v>
      </c>
      <c r="S45" s="28" t="s">
        <v>150</v>
      </c>
      <c r="T45" s="28" t="s">
        <v>383</v>
      </c>
      <c r="U45" s="28" t="s">
        <v>384</v>
      </c>
      <c r="V45" s="28" t="s">
        <v>378</v>
      </c>
      <c r="W45" s="28" t="s">
        <v>382</v>
      </c>
      <c r="X45" s="28" t="s">
        <v>380</v>
      </c>
      <c r="Y45" s="28" t="s">
        <v>156</v>
      </c>
      <c r="Z45" s="31" t="s">
        <v>11</v>
      </c>
      <c r="AA45" s="28" t="s">
        <v>2280</v>
      </c>
      <c r="AB45" s="28" t="s">
        <v>2276</v>
      </c>
      <c r="AC45" s="28" t="s">
        <v>2281</v>
      </c>
      <c r="AD45" s="28" t="s">
        <v>2282</v>
      </c>
      <c r="AE45" s="28" t="s">
        <v>2401</v>
      </c>
      <c r="AF45" s="31" t="s">
        <v>11</v>
      </c>
      <c r="AG45" s="28" t="s">
        <v>2401</v>
      </c>
    </row>
    <row r="46" spans="1:33" x14ac:dyDescent="0.3">
      <c r="A46" s="28" t="s">
        <v>386</v>
      </c>
      <c r="B46" s="34"/>
      <c r="C46" s="30" t="s">
        <v>11</v>
      </c>
      <c r="D46" s="28" t="s">
        <v>7</v>
      </c>
      <c r="E46" s="28">
        <v>200</v>
      </c>
      <c r="F46" s="30" t="s">
        <v>11</v>
      </c>
      <c r="G46" s="28" t="s">
        <v>387</v>
      </c>
      <c r="H46" s="30" t="s">
        <v>11</v>
      </c>
      <c r="I46" s="28" t="s">
        <v>388</v>
      </c>
      <c r="J46" s="30" t="s">
        <v>11</v>
      </c>
      <c r="K46" s="28" t="s">
        <v>389</v>
      </c>
      <c r="L46" s="28" t="s">
        <v>157</v>
      </c>
      <c r="M46" s="30" t="s">
        <v>11</v>
      </c>
      <c r="N46" s="28" t="s">
        <v>386</v>
      </c>
      <c r="O46" s="30" t="s">
        <v>11</v>
      </c>
      <c r="P46" s="28" t="s">
        <v>390</v>
      </c>
      <c r="Q46" s="28" t="s">
        <v>388</v>
      </c>
      <c r="R46" s="28" t="s">
        <v>195</v>
      </c>
      <c r="S46" s="28" t="s">
        <v>150</v>
      </c>
      <c r="T46" s="28" t="s">
        <v>391</v>
      </c>
      <c r="U46" s="28" t="s">
        <v>392</v>
      </c>
      <c r="V46" s="28" t="s">
        <v>386</v>
      </c>
      <c r="W46" s="28" t="s">
        <v>390</v>
      </c>
      <c r="X46" s="28" t="s">
        <v>388</v>
      </c>
      <c r="Y46" s="28" t="s">
        <v>156</v>
      </c>
      <c r="Z46" s="31" t="s">
        <v>11</v>
      </c>
      <c r="AA46" s="28" t="s">
        <v>2280</v>
      </c>
      <c r="AB46" s="28" t="s">
        <v>2276</v>
      </c>
      <c r="AC46" s="28" t="s">
        <v>2281</v>
      </c>
      <c r="AD46" s="28" t="s">
        <v>2282</v>
      </c>
      <c r="AE46" s="28" t="s">
        <v>2401</v>
      </c>
      <c r="AF46" s="31" t="s">
        <v>11</v>
      </c>
      <c r="AG46" s="28" t="s">
        <v>2401</v>
      </c>
    </row>
    <row r="47" spans="1:33" x14ac:dyDescent="0.3">
      <c r="A47" s="28" t="s">
        <v>393</v>
      </c>
      <c r="B47" s="34"/>
      <c r="C47" s="30" t="s">
        <v>11</v>
      </c>
      <c r="D47" s="28" t="s">
        <v>7</v>
      </c>
      <c r="E47" s="28">
        <v>200</v>
      </c>
      <c r="F47" s="30" t="s">
        <v>11</v>
      </c>
      <c r="G47" s="28" t="s">
        <v>394</v>
      </c>
      <c r="H47" s="30" t="s">
        <v>11</v>
      </c>
      <c r="I47" s="28" t="s">
        <v>395</v>
      </c>
      <c r="J47" s="30" t="s">
        <v>11</v>
      </c>
      <c r="K47" s="28" t="s">
        <v>396</v>
      </c>
      <c r="L47" s="28" t="s">
        <v>157</v>
      </c>
      <c r="M47" s="30" t="s">
        <v>11</v>
      </c>
      <c r="N47" s="28" t="s">
        <v>393</v>
      </c>
      <c r="O47" s="30" t="s">
        <v>11</v>
      </c>
      <c r="P47" s="28" t="s">
        <v>397</v>
      </c>
      <c r="Q47" s="28" t="s">
        <v>395</v>
      </c>
      <c r="R47" s="28" t="s">
        <v>195</v>
      </c>
      <c r="S47" s="28" t="s">
        <v>150</v>
      </c>
      <c r="T47" s="28" t="s">
        <v>398</v>
      </c>
      <c r="U47" s="28" t="s">
        <v>399</v>
      </c>
      <c r="V47" s="28" t="s">
        <v>393</v>
      </c>
      <c r="W47" s="28" t="s">
        <v>397</v>
      </c>
      <c r="X47" s="28" t="s">
        <v>395</v>
      </c>
      <c r="Y47" s="28" t="s">
        <v>156</v>
      </c>
      <c r="Z47" s="31" t="s">
        <v>11</v>
      </c>
      <c r="AA47" s="28" t="s">
        <v>2280</v>
      </c>
      <c r="AB47" s="28" t="s">
        <v>2276</v>
      </c>
      <c r="AC47" s="28" t="s">
        <v>2281</v>
      </c>
      <c r="AD47" s="28" t="s">
        <v>2282</v>
      </c>
      <c r="AE47" s="28" t="s">
        <v>2401</v>
      </c>
      <c r="AF47" s="31" t="s">
        <v>11</v>
      </c>
      <c r="AG47" s="28" t="s">
        <v>2401</v>
      </c>
    </row>
    <row r="48" spans="1:33" x14ac:dyDescent="0.3">
      <c r="A48" s="28" t="s">
        <v>400</v>
      </c>
      <c r="B48" s="34"/>
      <c r="C48" s="30" t="s">
        <v>11</v>
      </c>
      <c r="D48" s="28" t="s">
        <v>7</v>
      </c>
      <c r="E48" s="28">
        <v>200</v>
      </c>
      <c r="F48" s="30" t="s">
        <v>11</v>
      </c>
      <c r="G48" s="28" t="s">
        <v>401</v>
      </c>
      <c r="H48" s="30" t="s">
        <v>11</v>
      </c>
      <c r="I48" s="28" t="s">
        <v>2401</v>
      </c>
      <c r="J48" s="30" t="s">
        <v>2382</v>
      </c>
      <c r="K48" s="28" t="s">
        <v>264</v>
      </c>
      <c r="L48" s="28" t="s">
        <v>157</v>
      </c>
      <c r="M48" s="30" t="s">
        <v>2404</v>
      </c>
      <c r="N48" s="28" t="s">
        <v>400</v>
      </c>
      <c r="O48" s="30" t="s">
        <v>11</v>
      </c>
      <c r="P48" s="28" t="s">
        <v>265</v>
      </c>
      <c r="Q48" s="28" t="s">
        <v>149</v>
      </c>
      <c r="R48" s="28" t="s">
        <v>153</v>
      </c>
      <c r="S48" s="28" t="s">
        <v>150</v>
      </c>
      <c r="T48" s="28" t="s">
        <v>154</v>
      </c>
      <c r="U48" s="28" t="s">
        <v>155</v>
      </c>
      <c r="V48" s="28" t="s">
        <v>400</v>
      </c>
      <c r="W48" s="28" t="s">
        <v>265</v>
      </c>
      <c r="X48" s="28" t="s">
        <v>149</v>
      </c>
      <c r="Y48" s="28" t="s">
        <v>156</v>
      </c>
      <c r="Z48" s="31" t="str">
        <f t="shared" ref="Z48:Z50" si="3">IF(AND(J44="Pass", H44="Pass"), "Pass", "Not")</f>
        <v>Pass</v>
      </c>
      <c r="AA48" s="28" t="s">
        <v>2276</v>
      </c>
      <c r="AB48" s="28" t="s">
        <v>2401</v>
      </c>
      <c r="AC48" s="28" t="s">
        <v>2401</v>
      </c>
      <c r="AD48" s="28" t="s">
        <v>2401</v>
      </c>
      <c r="AE48" s="28" t="s">
        <v>2401</v>
      </c>
      <c r="AF48" s="30" t="s">
        <v>2492</v>
      </c>
      <c r="AG48" s="28" t="s">
        <v>2491</v>
      </c>
    </row>
    <row r="49" spans="1:33" x14ac:dyDescent="0.3">
      <c r="A49" s="28" t="s">
        <v>403</v>
      </c>
      <c r="B49" s="34"/>
      <c r="C49" s="30" t="s">
        <v>11</v>
      </c>
      <c r="D49" s="28" t="s">
        <v>7</v>
      </c>
      <c r="E49" s="28">
        <v>200</v>
      </c>
      <c r="F49" s="30" t="s">
        <v>11</v>
      </c>
      <c r="G49" s="28" t="s">
        <v>404</v>
      </c>
      <c r="H49" s="30" t="s">
        <v>11</v>
      </c>
      <c r="I49" s="28" t="s">
        <v>2401</v>
      </c>
      <c r="J49" s="30" t="s">
        <v>2382</v>
      </c>
      <c r="K49" s="28" t="s">
        <v>264</v>
      </c>
      <c r="L49" s="28" t="s">
        <v>157</v>
      </c>
      <c r="M49" s="30" t="s">
        <v>2404</v>
      </c>
      <c r="N49" s="28" t="s">
        <v>403</v>
      </c>
      <c r="O49" s="30" t="s">
        <v>11</v>
      </c>
      <c r="P49" s="28" t="s">
        <v>265</v>
      </c>
      <c r="Q49" s="28" t="s">
        <v>149</v>
      </c>
      <c r="R49" s="28" t="s">
        <v>153</v>
      </c>
      <c r="S49" s="28" t="s">
        <v>150</v>
      </c>
      <c r="T49" s="28" t="s">
        <v>154</v>
      </c>
      <c r="U49" s="28" t="s">
        <v>155</v>
      </c>
      <c r="V49" s="28" t="s">
        <v>403</v>
      </c>
      <c r="W49" s="28" t="s">
        <v>265</v>
      </c>
      <c r="X49" s="28" t="s">
        <v>149</v>
      </c>
      <c r="Y49" s="28" t="s">
        <v>156</v>
      </c>
      <c r="Z49" s="31" t="str">
        <f t="shared" si="3"/>
        <v>Pass</v>
      </c>
      <c r="AA49" s="28" t="s">
        <v>2276</v>
      </c>
      <c r="AB49" s="28" t="s">
        <v>2401</v>
      </c>
      <c r="AC49" s="28" t="s">
        <v>2401</v>
      </c>
      <c r="AD49" s="28" t="s">
        <v>2401</v>
      </c>
      <c r="AE49" s="28" t="s">
        <v>2401</v>
      </c>
      <c r="AF49" s="30" t="s">
        <v>2492</v>
      </c>
      <c r="AG49" s="28" t="s">
        <v>2491</v>
      </c>
    </row>
    <row r="50" spans="1:33" x14ac:dyDescent="0.3">
      <c r="A50" s="28" t="s">
        <v>405</v>
      </c>
      <c r="B50" s="34"/>
      <c r="C50" s="30" t="s">
        <v>11</v>
      </c>
      <c r="D50" s="28" t="s">
        <v>7</v>
      </c>
      <c r="E50" s="28">
        <v>200</v>
      </c>
      <c r="F50" s="30" t="s">
        <v>11</v>
      </c>
      <c r="G50" s="28" t="s">
        <v>406</v>
      </c>
      <c r="H50" s="30" t="s">
        <v>11</v>
      </c>
      <c r="I50" s="28" t="s">
        <v>2401</v>
      </c>
      <c r="J50" s="30" t="s">
        <v>2382</v>
      </c>
      <c r="K50" s="28" t="s">
        <v>264</v>
      </c>
      <c r="L50" s="28" t="s">
        <v>157</v>
      </c>
      <c r="M50" s="30" t="s">
        <v>2404</v>
      </c>
      <c r="N50" s="28" t="s">
        <v>405</v>
      </c>
      <c r="O50" s="30" t="s">
        <v>11</v>
      </c>
      <c r="P50" s="28" t="s">
        <v>265</v>
      </c>
      <c r="Q50" s="28" t="s">
        <v>149</v>
      </c>
      <c r="R50" s="28" t="s">
        <v>153</v>
      </c>
      <c r="S50" s="28" t="s">
        <v>150</v>
      </c>
      <c r="T50" s="28" t="s">
        <v>154</v>
      </c>
      <c r="U50" s="28" t="s">
        <v>155</v>
      </c>
      <c r="V50" s="28" t="s">
        <v>405</v>
      </c>
      <c r="W50" s="28" t="s">
        <v>265</v>
      </c>
      <c r="X50" s="28" t="s">
        <v>149</v>
      </c>
      <c r="Y50" s="28" t="s">
        <v>156</v>
      </c>
      <c r="Z50" s="31" t="str">
        <f t="shared" si="3"/>
        <v>Pass</v>
      </c>
      <c r="AA50" s="28" t="s">
        <v>2276</v>
      </c>
      <c r="AB50" s="28" t="s">
        <v>2401</v>
      </c>
      <c r="AC50" s="28" t="s">
        <v>2401</v>
      </c>
      <c r="AD50" s="28" t="s">
        <v>2401</v>
      </c>
      <c r="AE50" s="28" t="s">
        <v>2401</v>
      </c>
      <c r="AF50" s="30" t="s">
        <v>2492</v>
      </c>
      <c r="AG50" s="28" t="s">
        <v>2491</v>
      </c>
    </row>
    <row r="51" spans="1:33" x14ac:dyDescent="0.3">
      <c r="A51" s="28" t="s">
        <v>408</v>
      </c>
      <c r="B51" s="34" t="s">
        <v>65</v>
      </c>
      <c r="C51" s="30" t="s">
        <v>11</v>
      </c>
      <c r="D51" s="28" t="s">
        <v>7</v>
      </c>
      <c r="E51" s="28">
        <v>200</v>
      </c>
      <c r="F51" s="30" t="s">
        <v>11</v>
      </c>
      <c r="G51" s="28" t="s">
        <v>406</v>
      </c>
      <c r="H51" s="30" t="s">
        <v>11</v>
      </c>
      <c r="I51" s="28" t="s">
        <v>2401</v>
      </c>
      <c r="J51" s="30" t="s">
        <v>11</v>
      </c>
      <c r="K51" s="28" t="s">
        <v>264</v>
      </c>
      <c r="L51" s="28" t="s">
        <v>157</v>
      </c>
      <c r="M51" s="30" t="s">
        <v>11</v>
      </c>
      <c r="N51" s="28" t="s">
        <v>405</v>
      </c>
      <c r="O51" s="30" t="s">
        <v>11</v>
      </c>
      <c r="P51" s="28" t="s">
        <v>265</v>
      </c>
      <c r="Q51" s="28" t="s">
        <v>149</v>
      </c>
      <c r="R51" s="28" t="s">
        <v>153</v>
      </c>
      <c r="S51" s="28" t="s">
        <v>150</v>
      </c>
      <c r="T51" s="28" t="s">
        <v>154</v>
      </c>
      <c r="U51" s="28" t="s">
        <v>155</v>
      </c>
      <c r="V51" s="28" t="s">
        <v>405</v>
      </c>
      <c r="W51" s="28" t="s">
        <v>265</v>
      </c>
      <c r="X51" s="28" t="s">
        <v>149</v>
      </c>
      <c r="Y51" s="28" t="s">
        <v>156</v>
      </c>
      <c r="Z51" s="30" t="s">
        <v>11</v>
      </c>
      <c r="AA51" s="28" t="s">
        <v>2276</v>
      </c>
      <c r="AB51" s="28" t="s">
        <v>2401</v>
      </c>
      <c r="AC51" s="28" t="s">
        <v>2401</v>
      </c>
      <c r="AD51" s="28" t="s">
        <v>2401</v>
      </c>
      <c r="AE51" s="28" t="s">
        <v>2401</v>
      </c>
      <c r="AF51" s="30" t="s">
        <v>2492</v>
      </c>
      <c r="AG51" s="28" t="s">
        <v>2491</v>
      </c>
    </row>
    <row r="52" spans="1:33" x14ac:dyDescent="0.3">
      <c r="A52" s="28" t="s">
        <v>410</v>
      </c>
      <c r="B52" s="34" t="s">
        <v>65</v>
      </c>
      <c r="C52" s="30" t="s">
        <v>11</v>
      </c>
      <c r="D52" s="28" t="s">
        <v>7</v>
      </c>
      <c r="E52" s="28">
        <v>200</v>
      </c>
      <c r="F52" s="30" t="s">
        <v>11</v>
      </c>
      <c r="G52" s="28" t="s">
        <v>411</v>
      </c>
      <c r="H52" s="30" t="s">
        <v>11</v>
      </c>
      <c r="I52" s="28" t="s">
        <v>2401</v>
      </c>
      <c r="J52" s="30" t="s">
        <v>11</v>
      </c>
      <c r="K52" s="28" t="s">
        <v>264</v>
      </c>
      <c r="L52" s="28" t="s">
        <v>157</v>
      </c>
      <c r="M52" s="30" t="s">
        <v>11</v>
      </c>
      <c r="N52" s="28" t="s">
        <v>410</v>
      </c>
      <c r="O52" s="30" t="s">
        <v>11</v>
      </c>
      <c r="P52" s="28" t="s">
        <v>265</v>
      </c>
      <c r="Q52" s="28" t="s">
        <v>149</v>
      </c>
      <c r="R52" s="28" t="s">
        <v>153</v>
      </c>
      <c r="S52" s="28" t="s">
        <v>150</v>
      </c>
      <c r="T52" s="28" t="s">
        <v>154</v>
      </c>
      <c r="U52" s="28" t="s">
        <v>155</v>
      </c>
      <c r="V52" s="28" t="s">
        <v>410</v>
      </c>
      <c r="W52" s="28" t="s">
        <v>265</v>
      </c>
      <c r="X52" s="28" t="s">
        <v>149</v>
      </c>
      <c r="Y52" s="28" t="s">
        <v>156</v>
      </c>
      <c r="Z52" s="30" t="s">
        <v>11</v>
      </c>
      <c r="AA52" s="28" t="s">
        <v>2276</v>
      </c>
      <c r="AB52" s="28" t="s">
        <v>2401</v>
      </c>
      <c r="AC52" s="28" t="s">
        <v>2401</v>
      </c>
      <c r="AD52" s="28" t="s">
        <v>2401</v>
      </c>
      <c r="AE52" s="28" t="s">
        <v>2401</v>
      </c>
      <c r="AF52" s="30" t="s">
        <v>2492</v>
      </c>
      <c r="AG52" s="28" t="s">
        <v>2491</v>
      </c>
    </row>
    <row r="53" spans="1:33" x14ac:dyDescent="0.3">
      <c r="A53" s="28" t="s">
        <v>413</v>
      </c>
      <c r="B53" s="34" t="s">
        <v>58</v>
      </c>
      <c r="C53" s="30"/>
      <c r="D53" s="30"/>
      <c r="E53" s="28">
        <v>404</v>
      </c>
      <c r="F53" s="30" t="s">
        <v>2403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 spans="1:33" x14ac:dyDescent="0.3">
      <c r="A54" s="28" t="s">
        <v>417</v>
      </c>
      <c r="B54" s="34" t="s">
        <v>58</v>
      </c>
      <c r="C54" s="30"/>
      <c r="D54" s="30"/>
      <c r="E54" s="28">
        <v>404</v>
      </c>
      <c r="F54" s="30" t="s">
        <v>2403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</row>
    <row r="55" spans="1:33" x14ac:dyDescent="0.3">
      <c r="A55" s="28" t="s">
        <v>420</v>
      </c>
      <c r="B55" s="34" t="s">
        <v>58</v>
      </c>
      <c r="C55" s="30"/>
      <c r="D55" s="30"/>
      <c r="E55" s="28">
        <v>404</v>
      </c>
      <c r="F55" s="30" t="s">
        <v>2403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 spans="1:33" x14ac:dyDescent="0.3">
      <c r="A56" s="28" t="s">
        <v>423</v>
      </c>
      <c r="B56" s="34" t="s">
        <v>58</v>
      </c>
      <c r="C56" s="30"/>
      <c r="D56" s="30"/>
      <c r="E56" s="28">
        <v>404</v>
      </c>
      <c r="F56" s="30" t="s">
        <v>2403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</row>
    <row r="57" spans="1:33" x14ac:dyDescent="0.3">
      <c r="A57" s="28" t="s">
        <v>426</v>
      </c>
      <c r="B57" s="34" t="s">
        <v>58</v>
      </c>
      <c r="C57" s="30"/>
      <c r="D57" s="30"/>
      <c r="E57" s="28">
        <v>404</v>
      </c>
      <c r="F57" s="30" t="s">
        <v>2403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</row>
    <row r="58" spans="1:33" x14ac:dyDescent="0.3">
      <c r="A58" s="28" t="s">
        <v>429</v>
      </c>
      <c r="B58" s="34" t="s">
        <v>58</v>
      </c>
      <c r="C58" s="30"/>
      <c r="D58" s="30"/>
      <c r="E58" s="28">
        <v>404</v>
      </c>
      <c r="F58" s="30" t="s">
        <v>2403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</row>
    <row r="59" spans="1:33" x14ac:dyDescent="0.3">
      <c r="A59" s="28" t="s">
        <v>431</v>
      </c>
      <c r="B59" s="34" t="s">
        <v>58</v>
      </c>
      <c r="C59" s="30"/>
      <c r="D59" s="30"/>
      <c r="E59" s="28">
        <v>404</v>
      </c>
      <c r="F59" s="30" t="s">
        <v>2403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</row>
    <row r="60" spans="1:33" x14ac:dyDescent="0.3">
      <c r="A60" s="28" t="s">
        <v>433</v>
      </c>
      <c r="B60" s="34" t="s">
        <v>58</v>
      </c>
      <c r="C60" s="30"/>
      <c r="D60" s="30"/>
      <c r="E60" s="28">
        <v>404</v>
      </c>
      <c r="F60" s="30" t="s">
        <v>2403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</row>
    <row r="61" spans="1:33" x14ac:dyDescent="0.3">
      <c r="A61" s="28" t="s">
        <v>436</v>
      </c>
      <c r="B61" s="34" t="s">
        <v>58</v>
      </c>
      <c r="C61" s="30"/>
      <c r="D61" s="30"/>
      <c r="E61" s="28">
        <v>404</v>
      </c>
      <c r="F61" s="30" t="s">
        <v>2403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</row>
    <row r="62" spans="1:33" x14ac:dyDescent="0.3">
      <c r="A62" s="28" t="s">
        <v>438</v>
      </c>
      <c r="B62" s="34" t="s">
        <v>58</v>
      </c>
      <c r="C62" s="30"/>
      <c r="D62" s="30"/>
      <c r="E62" s="28">
        <v>404</v>
      </c>
      <c r="F62" s="30" t="s">
        <v>2403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</row>
    <row r="63" spans="1:33" x14ac:dyDescent="0.3">
      <c r="A63" s="28" t="s">
        <v>440</v>
      </c>
      <c r="B63" s="34" t="s">
        <v>58</v>
      </c>
      <c r="C63" s="30"/>
      <c r="D63" s="30"/>
      <c r="E63" s="28">
        <v>404</v>
      </c>
      <c r="F63" s="30" t="s">
        <v>2403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</row>
    <row r="64" spans="1:33" x14ac:dyDescent="0.3">
      <c r="A64" s="28" t="s">
        <v>442</v>
      </c>
      <c r="B64" s="34" t="s">
        <v>58</v>
      </c>
      <c r="C64" s="30"/>
      <c r="D64" s="30"/>
      <c r="E64" s="28">
        <v>404</v>
      </c>
      <c r="F64" s="30" t="s">
        <v>2403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</row>
    <row r="65" spans="1:33" x14ac:dyDescent="0.3">
      <c r="A65" s="28" t="s">
        <v>445</v>
      </c>
      <c r="B65" s="34" t="s">
        <v>58</v>
      </c>
      <c r="C65" s="30"/>
      <c r="D65" s="30"/>
      <c r="E65" s="28">
        <v>404</v>
      </c>
      <c r="F65" s="30" t="s">
        <v>2403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</row>
    <row r="66" spans="1:33" x14ac:dyDescent="0.3">
      <c r="A66" s="28" t="s">
        <v>447</v>
      </c>
      <c r="B66" s="34" t="s">
        <v>65</v>
      </c>
      <c r="C66" s="30" t="s">
        <v>11</v>
      </c>
      <c r="D66" s="28" t="s">
        <v>7</v>
      </c>
      <c r="E66" s="28">
        <v>200</v>
      </c>
      <c r="F66" s="30" t="s">
        <v>11</v>
      </c>
      <c r="G66" s="28" t="s">
        <v>263</v>
      </c>
      <c r="H66" s="30" t="s">
        <v>11</v>
      </c>
      <c r="I66" s="28" t="s">
        <v>2401</v>
      </c>
      <c r="J66" s="30" t="s">
        <v>11</v>
      </c>
      <c r="K66" s="28" t="s">
        <v>264</v>
      </c>
      <c r="L66" s="28" t="s">
        <v>157</v>
      </c>
      <c r="M66" s="30" t="s">
        <v>11</v>
      </c>
      <c r="N66" s="28" t="s">
        <v>262</v>
      </c>
      <c r="O66" s="30" t="s">
        <v>11</v>
      </c>
      <c r="P66" s="28" t="s">
        <v>265</v>
      </c>
      <c r="Q66" s="28" t="s">
        <v>149</v>
      </c>
      <c r="R66" s="28" t="s">
        <v>153</v>
      </c>
      <c r="S66" s="28" t="s">
        <v>150</v>
      </c>
      <c r="T66" s="28" t="s">
        <v>154</v>
      </c>
      <c r="U66" s="28" t="s">
        <v>155</v>
      </c>
      <c r="V66" s="28" t="s">
        <v>262</v>
      </c>
      <c r="W66" s="28" t="s">
        <v>265</v>
      </c>
      <c r="X66" s="28" t="s">
        <v>149</v>
      </c>
      <c r="Y66" s="28" t="s">
        <v>156</v>
      </c>
      <c r="Z66" s="30" t="s">
        <v>11</v>
      </c>
      <c r="AA66" s="28" t="s">
        <v>2276</v>
      </c>
      <c r="AB66" s="28" t="s">
        <v>2401</v>
      </c>
      <c r="AC66" s="28" t="s">
        <v>2401</v>
      </c>
      <c r="AD66" s="28" t="s">
        <v>2401</v>
      </c>
      <c r="AE66" s="28" t="s">
        <v>2401</v>
      </c>
      <c r="AF66" s="30" t="s">
        <v>2492</v>
      </c>
      <c r="AG66" s="28" t="s">
        <v>2491</v>
      </c>
    </row>
    <row r="67" spans="1:33" x14ac:dyDescent="0.3">
      <c r="A67" s="28" t="s">
        <v>448</v>
      </c>
      <c r="B67" s="34" t="s">
        <v>65</v>
      </c>
      <c r="C67" s="30" t="s">
        <v>11</v>
      </c>
      <c r="D67" s="28" t="s">
        <v>7</v>
      </c>
      <c r="E67" s="28">
        <v>200</v>
      </c>
      <c r="F67" s="30" t="s">
        <v>11</v>
      </c>
      <c r="G67" s="28" t="s">
        <v>449</v>
      </c>
      <c r="H67" s="30" t="s">
        <v>11</v>
      </c>
      <c r="I67" s="28" t="s">
        <v>2401</v>
      </c>
      <c r="J67" s="30" t="s">
        <v>11</v>
      </c>
      <c r="K67" s="28" t="s">
        <v>264</v>
      </c>
      <c r="L67" s="28" t="s">
        <v>157</v>
      </c>
      <c r="M67" s="30" t="s">
        <v>11</v>
      </c>
      <c r="N67" s="28" t="s">
        <v>448</v>
      </c>
      <c r="O67" s="30" t="s">
        <v>11</v>
      </c>
      <c r="P67" s="28" t="s">
        <v>265</v>
      </c>
      <c r="Q67" s="28" t="s">
        <v>149</v>
      </c>
      <c r="R67" s="28" t="s">
        <v>153</v>
      </c>
      <c r="S67" s="28" t="s">
        <v>150</v>
      </c>
      <c r="T67" s="28" t="s">
        <v>154</v>
      </c>
      <c r="U67" s="28" t="s">
        <v>155</v>
      </c>
      <c r="V67" s="28" t="s">
        <v>448</v>
      </c>
      <c r="W67" s="28" t="s">
        <v>265</v>
      </c>
      <c r="X67" s="28" t="s">
        <v>149</v>
      </c>
      <c r="Y67" s="28" t="s">
        <v>156</v>
      </c>
      <c r="Z67" s="30" t="s">
        <v>11</v>
      </c>
      <c r="AA67" s="28" t="s">
        <v>2276</v>
      </c>
      <c r="AB67" s="28" t="s">
        <v>2401</v>
      </c>
      <c r="AC67" s="28" t="s">
        <v>2401</v>
      </c>
      <c r="AD67" s="28" t="s">
        <v>2401</v>
      </c>
      <c r="AE67" s="28" t="s">
        <v>2401</v>
      </c>
      <c r="AF67" s="30" t="s">
        <v>2492</v>
      </c>
      <c r="AG67" s="28" t="s">
        <v>2491</v>
      </c>
    </row>
    <row r="68" spans="1:33" x14ac:dyDescent="0.3">
      <c r="A68" s="28" t="s">
        <v>450</v>
      </c>
      <c r="B68" s="34" t="s">
        <v>65</v>
      </c>
      <c r="C68" s="30" t="s">
        <v>11</v>
      </c>
      <c r="D68" s="28" t="s">
        <v>7</v>
      </c>
      <c r="E68" s="28">
        <v>200</v>
      </c>
      <c r="F68" s="30" t="s">
        <v>11</v>
      </c>
      <c r="G68" s="28" t="s">
        <v>451</v>
      </c>
      <c r="H68" s="30" t="s">
        <v>11</v>
      </c>
      <c r="I68" s="28" t="s">
        <v>2401</v>
      </c>
      <c r="J68" s="30" t="s">
        <v>11</v>
      </c>
      <c r="K68" s="28" t="s">
        <v>264</v>
      </c>
      <c r="L68" s="28" t="s">
        <v>157</v>
      </c>
      <c r="M68" s="30" t="s">
        <v>11</v>
      </c>
      <c r="N68" s="28" t="s">
        <v>450</v>
      </c>
      <c r="O68" s="30" t="s">
        <v>11</v>
      </c>
      <c r="P68" s="28" t="s">
        <v>265</v>
      </c>
      <c r="Q68" s="28" t="s">
        <v>149</v>
      </c>
      <c r="R68" s="28" t="s">
        <v>153</v>
      </c>
      <c r="S68" s="28" t="s">
        <v>150</v>
      </c>
      <c r="T68" s="28" t="s">
        <v>154</v>
      </c>
      <c r="U68" s="28" t="s">
        <v>155</v>
      </c>
      <c r="V68" s="28" t="s">
        <v>450</v>
      </c>
      <c r="W68" s="28" t="s">
        <v>265</v>
      </c>
      <c r="X68" s="28" t="s">
        <v>149</v>
      </c>
      <c r="Y68" s="28" t="s">
        <v>156</v>
      </c>
      <c r="Z68" s="30" t="s">
        <v>11</v>
      </c>
      <c r="AA68" s="28" t="s">
        <v>2276</v>
      </c>
      <c r="AB68" s="28" t="s">
        <v>2401</v>
      </c>
      <c r="AC68" s="28" t="s">
        <v>2401</v>
      </c>
      <c r="AD68" s="28" t="s">
        <v>2401</v>
      </c>
      <c r="AE68" s="28" t="s">
        <v>2401</v>
      </c>
      <c r="AF68" s="30" t="s">
        <v>2492</v>
      </c>
      <c r="AG68" s="28" t="s">
        <v>2491</v>
      </c>
    </row>
    <row r="69" spans="1:33" x14ac:dyDescent="0.3">
      <c r="A69" s="28" t="s">
        <v>452</v>
      </c>
      <c r="B69" s="34"/>
      <c r="C69" s="30" t="s">
        <v>11</v>
      </c>
      <c r="D69" s="28" t="s">
        <v>7</v>
      </c>
      <c r="E69" s="28">
        <v>200</v>
      </c>
      <c r="F69" s="30" t="s">
        <v>11</v>
      </c>
      <c r="G69" s="28" t="s">
        <v>453</v>
      </c>
      <c r="H69" s="30" t="s">
        <v>11</v>
      </c>
      <c r="I69" s="28" t="s">
        <v>2401</v>
      </c>
      <c r="J69" s="30" t="s">
        <v>2382</v>
      </c>
      <c r="K69" s="28" t="s">
        <v>454</v>
      </c>
      <c r="L69" s="28" t="s">
        <v>157</v>
      </c>
      <c r="M69" s="30" t="s">
        <v>11</v>
      </c>
      <c r="N69" s="28" t="s">
        <v>452</v>
      </c>
      <c r="O69" s="30" t="s">
        <v>11</v>
      </c>
      <c r="P69" s="28" t="s">
        <v>455</v>
      </c>
      <c r="Q69" s="28" t="s">
        <v>149</v>
      </c>
      <c r="R69" s="28" t="s">
        <v>153</v>
      </c>
      <c r="S69" s="28" t="s">
        <v>150</v>
      </c>
      <c r="T69" s="28" t="s">
        <v>154</v>
      </c>
      <c r="U69" s="28" t="s">
        <v>155</v>
      </c>
      <c r="V69" s="28" t="s">
        <v>452</v>
      </c>
      <c r="W69" s="28" t="s">
        <v>455</v>
      </c>
      <c r="X69" s="28" t="s">
        <v>149</v>
      </c>
      <c r="Y69" s="28" t="s">
        <v>156</v>
      </c>
      <c r="Z69" s="30" t="s">
        <v>11</v>
      </c>
      <c r="AA69" s="28" t="s">
        <v>2276</v>
      </c>
      <c r="AB69" s="28" t="s">
        <v>2401</v>
      </c>
      <c r="AC69" s="28" t="s">
        <v>2401</v>
      </c>
      <c r="AD69" s="28" t="s">
        <v>2401</v>
      </c>
      <c r="AE69" s="28" t="s">
        <v>2401</v>
      </c>
      <c r="AF69" s="30" t="s">
        <v>2492</v>
      </c>
      <c r="AG69" s="28" t="s">
        <v>2491</v>
      </c>
    </row>
    <row r="70" spans="1:33" x14ac:dyDescent="0.3">
      <c r="A70" s="28" t="s">
        <v>457</v>
      </c>
      <c r="B70" s="34" t="s">
        <v>59</v>
      </c>
      <c r="C70" s="30" t="s">
        <v>11</v>
      </c>
      <c r="D70" s="28" t="s">
        <v>8</v>
      </c>
      <c r="E70" s="28">
        <v>200</v>
      </c>
      <c r="F70" s="30" t="s">
        <v>11</v>
      </c>
      <c r="G70" s="28" t="s">
        <v>458</v>
      </c>
      <c r="H70" s="30" t="s">
        <v>11</v>
      </c>
      <c r="I70" s="28" t="s">
        <v>2401</v>
      </c>
      <c r="J70" s="30" t="s">
        <v>11</v>
      </c>
      <c r="K70" s="28" t="s">
        <v>459</v>
      </c>
      <c r="L70" s="28" t="s">
        <v>177</v>
      </c>
      <c r="M70" s="30" t="s">
        <v>11</v>
      </c>
      <c r="N70" s="28" t="s">
        <v>457</v>
      </c>
      <c r="O70" s="30" t="s">
        <v>11</v>
      </c>
      <c r="P70" s="28" t="s">
        <v>461</v>
      </c>
      <c r="Q70" s="28" t="s">
        <v>149</v>
      </c>
      <c r="R70" s="28" t="s">
        <v>153</v>
      </c>
      <c r="S70" s="28" t="s">
        <v>150</v>
      </c>
      <c r="T70" s="28" t="s">
        <v>154</v>
      </c>
      <c r="U70" s="28" t="s">
        <v>155</v>
      </c>
      <c r="V70" s="28" t="s">
        <v>457</v>
      </c>
      <c r="W70" s="28" t="s">
        <v>461</v>
      </c>
      <c r="X70" s="28" t="s">
        <v>149</v>
      </c>
      <c r="Y70" s="28" t="s">
        <v>156</v>
      </c>
      <c r="Z70" s="30" t="s">
        <v>11</v>
      </c>
      <c r="AA70" s="28" t="s">
        <v>2276</v>
      </c>
      <c r="AB70" s="28" t="s">
        <v>2401</v>
      </c>
      <c r="AC70" s="28" t="s">
        <v>2401</v>
      </c>
      <c r="AD70" s="28" t="s">
        <v>2401</v>
      </c>
      <c r="AE70" s="28" t="s">
        <v>2401</v>
      </c>
      <c r="AF70" s="30" t="s">
        <v>11</v>
      </c>
      <c r="AG70" s="28" t="s">
        <v>2401</v>
      </c>
    </row>
    <row r="71" spans="1:33" x14ac:dyDescent="0.3">
      <c r="A71" s="28" t="s">
        <v>463</v>
      </c>
      <c r="B71" s="34"/>
      <c r="C71" s="30" t="s">
        <v>11</v>
      </c>
      <c r="D71" s="28" t="s">
        <v>6</v>
      </c>
      <c r="E71" s="28">
        <v>200</v>
      </c>
      <c r="F71" s="30" t="s">
        <v>11</v>
      </c>
      <c r="G71" s="28" t="s">
        <v>464</v>
      </c>
      <c r="H71" s="30" t="s">
        <v>11</v>
      </c>
      <c r="I71" s="28" t="s">
        <v>2401</v>
      </c>
      <c r="J71" s="30" t="s">
        <v>2382</v>
      </c>
      <c r="K71" s="28" t="s">
        <v>465</v>
      </c>
      <c r="L71" s="28" t="s">
        <v>157</v>
      </c>
      <c r="M71" s="30" t="s">
        <v>11</v>
      </c>
      <c r="N71" s="28" t="s">
        <v>463</v>
      </c>
      <c r="O71" s="30" t="s">
        <v>11</v>
      </c>
      <c r="P71" s="28" t="s">
        <v>466</v>
      </c>
      <c r="Q71" s="28" t="s">
        <v>149</v>
      </c>
      <c r="R71" s="28" t="s">
        <v>153</v>
      </c>
      <c r="S71" s="28" t="s">
        <v>150</v>
      </c>
      <c r="T71" s="28" t="s">
        <v>154</v>
      </c>
      <c r="U71" s="28" t="s">
        <v>155</v>
      </c>
      <c r="V71" s="28" t="s">
        <v>463</v>
      </c>
      <c r="W71" s="28" t="s">
        <v>466</v>
      </c>
      <c r="X71" s="28" t="s">
        <v>149</v>
      </c>
      <c r="Y71" s="28" t="s">
        <v>156</v>
      </c>
      <c r="Z71" s="31" t="str">
        <f t="shared" ref="Z71:Z75" si="4">IF(AND(J67="Pass", H67="Pass"), "Pass", "Not")</f>
        <v>Pass</v>
      </c>
      <c r="AA71" s="28" t="s">
        <v>2276</v>
      </c>
      <c r="AB71" s="28" t="s">
        <v>2401</v>
      </c>
      <c r="AC71" s="28" t="s">
        <v>2401</v>
      </c>
      <c r="AD71" s="28" t="s">
        <v>2401</v>
      </c>
      <c r="AE71" s="28" t="s">
        <v>2401</v>
      </c>
      <c r="AF71" s="30" t="s">
        <v>11</v>
      </c>
      <c r="AG71" s="28" t="s">
        <v>2401</v>
      </c>
    </row>
    <row r="72" spans="1:33" x14ac:dyDescent="0.3">
      <c r="A72" s="28" t="s">
        <v>468</v>
      </c>
      <c r="B72" s="34" t="s">
        <v>65</v>
      </c>
      <c r="C72" s="30" t="s">
        <v>11</v>
      </c>
      <c r="D72" s="28" t="s">
        <v>6</v>
      </c>
      <c r="E72" s="28">
        <v>200</v>
      </c>
      <c r="F72" s="30" t="s">
        <v>11</v>
      </c>
      <c r="G72" s="28" t="s">
        <v>464</v>
      </c>
      <c r="H72" s="30" t="s">
        <v>11</v>
      </c>
      <c r="I72" s="28" t="s">
        <v>2401</v>
      </c>
      <c r="J72" s="30" t="s">
        <v>11</v>
      </c>
      <c r="K72" s="28" t="s">
        <v>465</v>
      </c>
      <c r="L72" s="28" t="s">
        <v>157</v>
      </c>
      <c r="M72" s="30" t="s">
        <v>11</v>
      </c>
      <c r="N72" s="28" t="s">
        <v>463</v>
      </c>
      <c r="O72" s="30" t="s">
        <v>11</v>
      </c>
      <c r="P72" s="28" t="s">
        <v>466</v>
      </c>
      <c r="Q72" s="28" t="s">
        <v>149</v>
      </c>
      <c r="R72" s="28" t="s">
        <v>153</v>
      </c>
      <c r="S72" s="28" t="s">
        <v>150</v>
      </c>
      <c r="T72" s="28" t="s">
        <v>154</v>
      </c>
      <c r="U72" s="28" t="s">
        <v>155</v>
      </c>
      <c r="V72" s="28" t="s">
        <v>463</v>
      </c>
      <c r="W72" s="28" t="s">
        <v>466</v>
      </c>
      <c r="X72" s="28" t="s">
        <v>149</v>
      </c>
      <c r="Y72" s="28" t="s">
        <v>156</v>
      </c>
      <c r="Z72" s="30" t="s">
        <v>11</v>
      </c>
      <c r="AA72" s="28" t="s">
        <v>2276</v>
      </c>
      <c r="AB72" s="28" t="s">
        <v>2401</v>
      </c>
      <c r="AC72" s="28" t="s">
        <v>2401</v>
      </c>
      <c r="AD72" s="28" t="s">
        <v>2401</v>
      </c>
      <c r="AE72" s="28" t="s">
        <v>2401</v>
      </c>
      <c r="AF72" s="30" t="s">
        <v>11</v>
      </c>
      <c r="AG72" s="28" t="s">
        <v>2401</v>
      </c>
    </row>
    <row r="73" spans="1:33" x14ac:dyDescent="0.3">
      <c r="A73" s="28" t="s">
        <v>469</v>
      </c>
      <c r="B73" s="34" t="s">
        <v>65</v>
      </c>
      <c r="C73" s="30" t="s">
        <v>11</v>
      </c>
      <c r="D73" s="28" t="s">
        <v>6</v>
      </c>
      <c r="E73" s="28">
        <v>200</v>
      </c>
      <c r="F73" s="30" t="s">
        <v>11</v>
      </c>
      <c r="G73" s="28" t="s">
        <v>470</v>
      </c>
      <c r="H73" s="30" t="s">
        <v>11</v>
      </c>
      <c r="I73" s="28" t="s">
        <v>2401</v>
      </c>
      <c r="J73" s="30" t="s">
        <v>11</v>
      </c>
      <c r="K73" s="28" t="s">
        <v>465</v>
      </c>
      <c r="L73" s="28" t="s">
        <v>157</v>
      </c>
      <c r="M73" s="30" t="s">
        <v>11</v>
      </c>
      <c r="N73" s="28" t="s">
        <v>469</v>
      </c>
      <c r="O73" s="30" t="s">
        <v>11</v>
      </c>
      <c r="P73" s="28" t="s">
        <v>466</v>
      </c>
      <c r="Q73" s="28" t="s">
        <v>149</v>
      </c>
      <c r="R73" s="28" t="s">
        <v>153</v>
      </c>
      <c r="S73" s="28" t="s">
        <v>150</v>
      </c>
      <c r="T73" s="28" t="s">
        <v>154</v>
      </c>
      <c r="U73" s="28" t="s">
        <v>155</v>
      </c>
      <c r="V73" s="28" t="s">
        <v>469</v>
      </c>
      <c r="W73" s="28" t="s">
        <v>466</v>
      </c>
      <c r="X73" s="28" t="s">
        <v>149</v>
      </c>
      <c r="Y73" s="28" t="s">
        <v>156</v>
      </c>
      <c r="Z73" s="30" t="s">
        <v>11</v>
      </c>
      <c r="AA73" s="28" t="s">
        <v>2276</v>
      </c>
      <c r="AB73" s="28" t="s">
        <v>2401</v>
      </c>
      <c r="AC73" s="28" t="s">
        <v>2401</v>
      </c>
      <c r="AD73" s="28" t="s">
        <v>2401</v>
      </c>
      <c r="AE73" s="28" t="s">
        <v>2401</v>
      </c>
      <c r="AF73" s="30" t="s">
        <v>11</v>
      </c>
      <c r="AG73" s="28" t="s">
        <v>2401</v>
      </c>
    </row>
    <row r="74" spans="1:33" x14ac:dyDescent="0.3">
      <c r="A74" s="28" t="s">
        <v>472</v>
      </c>
      <c r="B74" s="34" t="s">
        <v>65</v>
      </c>
      <c r="C74" s="30" t="s">
        <v>11</v>
      </c>
      <c r="D74" s="28" t="s">
        <v>6</v>
      </c>
      <c r="E74" s="28">
        <v>200</v>
      </c>
      <c r="F74" s="30" t="s">
        <v>11</v>
      </c>
      <c r="G74" s="28" t="s">
        <v>473</v>
      </c>
      <c r="H74" s="30" t="s">
        <v>11</v>
      </c>
      <c r="I74" s="28" t="s">
        <v>2401</v>
      </c>
      <c r="J74" s="30" t="s">
        <v>11</v>
      </c>
      <c r="K74" s="28" t="s">
        <v>465</v>
      </c>
      <c r="L74" s="28" t="s">
        <v>157</v>
      </c>
      <c r="M74" s="30" t="s">
        <v>11</v>
      </c>
      <c r="N74" s="28" t="s">
        <v>472</v>
      </c>
      <c r="O74" s="30" t="s">
        <v>11</v>
      </c>
      <c r="P74" s="28" t="s">
        <v>466</v>
      </c>
      <c r="Q74" s="28" t="s">
        <v>149</v>
      </c>
      <c r="R74" s="28" t="s">
        <v>153</v>
      </c>
      <c r="S74" s="28" t="s">
        <v>150</v>
      </c>
      <c r="T74" s="28" t="s">
        <v>154</v>
      </c>
      <c r="U74" s="28" t="s">
        <v>155</v>
      </c>
      <c r="V74" s="28" t="s">
        <v>472</v>
      </c>
      <c r="W74" s="28" t="s">
        <v>466</v>
      </c>
      <c r="X74" s="28" t="s">
        <v>149</v>
      </c>
      <c r="Y74" s="28" t="s">
        <v>156</v>
      </c>
      <c r="Z74" s="30" t="s">
        <v>11</v>
      </c>
      <c r="AA74" s="28" t="s">
        <v>2276</v>
      </c>
      <c r="AB74" s="28" t="s">
        <v>2401</v>
      </c>
      <c r="AC74" s="28" t="s">
        <v>2401</v>
      </c>
      <c r="AD74" s="28" t="s">
        <v>2401</v>
      </c>
      <c r="AE74" s="28" t="s">
        <v>2401</v>
      </c>
      <c r="AF74" s="30" t="s">
        <v>11</v>
      </c>
      <c r="AG74" s="28" t="s">
        <v>2401</v>
      </c>
    </row>
    <row r="75" spans="1:33" x14ac:dyDescent="0.3">
      <c r="A75" s="28" t="s">
        <v>474</v>
      </c>
      <c r="B75" s="34"/>
      <c r="C75" s="30" t="s">
        <v>11</v>
      </c>
      <c r="D75" s="28" t="s">
        <v>6</v>
      </c>
      <c r="E75" s="28">
        <v>200</v>
      </c>
      <c r="F75" s="30" t="s">
        <v>11</v>
      </c>
      <c r="G75" s="28" t="s">
        <v>475</v>
      </c>
      <c r="H75" s="30" t="s">
        <v>11</v>
      </c>
      <c r="I75" s="28" t="s">
        <v>2401</v>
      </c>
      <c r="J75" s="30" t="s">
        <v>2382</v>
      </c>
      <c r="K75" s="28" t="s">
        <v>476</v>
      </c>
      <c r="L75" s="28" t="s">
        <v>157</v>
      </c>
      <c r="M75" s="30" t="s">
        <v>11</v>
      </c>
      <c r="N75" s="28" t="s">
        <v>474</v>
      </c>
      <c r="O75" s="30" t="s">
        <v>11</v>
      </c>
      <c r="P75" s="28" t="s">
        <v>477</v>
      </c>
      <c r="Q75" s="28" t="s">
        <v>149</v>
      </c>
      <c r="R75" s="28" t="s">
        <v>153</v>
      </c>
      <c r="S75" s="28" t="s">
        <v>150</v>
      </c>
      <c r="T75" s="28" t="s">
        <v>154</v>
      </c>
      <c r="U75" s="28" t="s">
        <v>155</v>
      </c>
      <c r="V75" s="28" t="s">
        <v>474</v>
      </c>
      <c r="W75" s="28" t="s">
        <v>477</v>
      </c>
      <c r="X75" s="28" t="s">
        <v>149</v>
      </c>
      <c r="Y75" s="28" t="s">
        <v>156</v>
      </c>
      <c r="Z75" s="31" t="str">
        <f t="shared" si="4"/>
        <v>Not</v>
      </c>
      <c r="AA75" s="28" t="s">
        <v>2276</v>
      </c>
      <c r="AB75" s="28" t="s">
        <v>2401</v>
      </c>
      <c r="AC75" s="28" t="s">
        <v>2401</v>
      </c>
      <c r="AD75" s="28" t="s">
        <v>2401</v>
      </c>
      <c r="AE75" s="28" t="s">
        <v>2401</v>
      </c>
      <c r="AF75" s="30" t="s">
        <v>11</v>
      </c>
      <c r="AG75" s="28" t="s">
        <v>2401</v>
      </c>
    </row>
    <row r="76" spans="1:33" x14ac:dyDescent="0.3">
      <c r="A76" s="28" t="s">
        <v>479</v>
      </c>
      <c r="B76" s="34" t="s">
        <v>65</v>
      </c>
      <c r="C76" s="30" t="s">
        <v>11</v>
      </c>
      <c r="D76" s="28" t="s">
        <v>6</v>
      </c>
      <c r="E76" s="28">
        <v>200</v>
      </c>
      <c r="F76" s="30" t="s">
        <v>11</v>
      </c>
      <c r="G76" s="28" t="s">
        <v>475</v>
      </c>
      <c r="H76" s="30" t="s">
        <v>11</v>
      </c>
      <c r="I76" s="28" t="s">
        <v>2401</v>
      </c>
      <c r="J76" s="30" t="s">
        <v>11</v>
      </c>
      <c r="K76" s="28" t="s">
        <v>476</v>
      </c>
      <c r="L76" s="28" t="s">
        <v>157</v>
      </c>
      <c r="M76" s="30" t="s">
        <v>11</v>
      </c>
      <c r="N76" s="28" t="s">
        <v>474</v>
      </c>
      <c r="O76" s="30" t="s">
        <v>11</v>
      </c>
      <c r="P76" s="28" t="s">
        <v>477</v>
      </c>
      <c r="Q76" s="28" t="s">
        <v>149</v>
      </c>
      <c r="R76" s="28" t="s">
        <v>153</v>
      </c>
      <c r="S76" s="28" t="s">
        <v>150</v>
      </c>
      <c r="T76" s="28" t="s">
        <v>154</v>
      </c>
      <c r="U76" s="28" t="s">
        <v>155</v>
      </c>
      <c r="V76" s="28" t="s">
        <v>474</v>
      </c>
      <c r="W76" s="28" t="s">
        <v>477</v>
      </c>
      <c r="X76" s="28" t="s">
        <v>149</v>
      </c>
      <c r="Y76" s="28" t="s">
        <v>156</v>
      </c>
      <c r="Z76" s="30" t="s">
        <v>11</v>
      </c>
      <c r="AA76" s="28" t="s">
        <v>2276</v>
      </c>
      <c r="AB76" s="28" t="s">
        <v>2401</v>
      </c>
      <c r="AC76" s="28" t="s">
        <v>2401</v>
      </c>
      <c r="AD76" s="28" t="s">
        <v>2401</v>
      </c>
      <c r="AE76" s="28" t="s">
        <v>2401</v>
      </c>
      <c r="AF76" s="30" t="s">
        <v>11</v>
      </c>
      <c r="AG76" s="28" t="s">
        <v>2401</v>
      </c>
    </row>
    <row r="77" spans="1:33" x14ac:dyDescent="0.3">
      <c r="A77" s="28" t="s">
        <v>481</v>
      </c>
      <c r="B77" s="34" t="s">
        <v>65</v>
      </c>
      <c r="C77" s="30" t="s">
        <v>11</v>
      </c>
      <c r="D77" s="28" t="s">
        <v>6</v>
      </c>
      <c r="E77" s="28">
        <v>200</v>
      </c>
      <c r="F77" s="30" t="s">
        <v>11</v>
      </c>
      <c r="G77" s="28" t="s">
        <v>482</v>
      </c>
      <c r="H77" s="30" t="s">
        <v>11</v>
      </c>
      <c r="I77" s="28" t="s">
        <v>2401</v>
      </c>
      <c r="J77" s="30" t="s">
        <v>11</v>
      </c>
      <c r="K77" s="28" t="s">
        <v>476</v>
      </c>
      <c r="L77" s="28" t="s">
        <v>157</v>
      </c>
      <c r="M77" s="30" t="s">
        <v>11</v>
      </c>
      <c r="N77" s="28" t="s">
        <v>481</v>
      </c>
      <c r="O77" s="30" t="s">
        <v>11</v>
      </c>
      <c r="P77" s="28" t="s">
        <v>477</v>
      </c>
      <c r="Q77" s="28" t="s">
        <v>149</v>
      </c>
      <c r="R77" s="28" t="s">
        <v>153</v>
      </c>
      <c r="S77" s="28" t="s">
        <v>150</v>
      </c>
      <c r="T77" s="28" t="s">
        <v>154</v>
      </c>
      <c r="U77" s="28" t="s">
        <v>155</v>
      </c>
      <c r="V77" s="28" t="s">
        <v>481</v>
      </c>
      <c r="W77" s="28" t="s">
        <v>477</v>
      </c>
      <c r="X77" s="28" t="s">
        <v>149</v>
      </c>
      <c r="Y77" s="28" t="s">
        <v>156</v>
      </c>
      <c r="Z77" s="30" t="s">
        <v>11</v>
      </c>
      <c r="AA77" s="28" t="s">
        <v>2276</v>
      </c>
      <c r="AB77" s="28" t="s">
        <v>2401</v>
      </c>
      <c r="AC77" s="28" t="s">
        <v>2401</v>
      </c>
      <c r="AD77" s="28" t="s">
        <v>2401</v>
      </c>
      <c r="AE77" s="28" t="s">
        <v>2401</v>
      </c>
      <c r="AF77" s="30" t="s">
        <v>11</v>
      </c>
      <c r="AG77" s="28" t="s">
        <v>2401</v>
      </c>
    </row>
    <row r="78" spans="1:33" x14ac:dyDescent="0.3">
      <c r="A78" s="28" t="s">
        <v>484</v>
      </c>
      <c r="B78" s="34" t="s">
        <v>65</v>
      </c>
      <c r="C78" s="30" t="s">
        <v>11</v>
      </c>
      <c r="D78" s="28" t="s">
        <v>6</v>
      </c>
      <c r="E78" s="28">
        <v>200</v>
      </c>
      <c r="F78" s="30" t="s">
        <v>11</v>
      </c>
      <c r="G78" s="28" t="s">
        <v>485</v>
      </c>
      <c r="H78" s="30" t="s">
        <v>11</v>
      </c>
      <c r="I78" s="28" t="s">
        <v>2401</v>
      </c>
      <c r="J78" s="30" t="s">
        <v>11</v>
      </c>
      <c r="K78" s="28" t="s">
        <v>476</v>
      </c>
      <c r="L78" s="28" t="s">
        <v>157</v>
      </c>
      <c r="M78" s="30" t="s">
        <v>11</v>
      </c>
      <c r="N78" s="28" t="s">
        <v>484</v>
      </c>
      <c r="O78" s="30" t="s">
        <v>11</v>
      </c>
      <c r="P78" s="28" t="s">
        <v>477</v>
      </c>
      <c r="Q78" s="28" t="s">
        <v>149</v>
      </c>
      <c r="R78" s="28" t="s">
        <v>153</v>
      </c>
      <c r="S78" s="28" t="s">
        <v>150</v>
      </c>
      <c r="T78" s="28" t="s">
        <v>154</v>
      </c>
      <c r="U78" s="28" t="s">
        <v>155</v>
      </c>
      <c r="V78" s="28" t="s">
        <v>484</v>
      </c>
      <c r="W78" s="28" t="s">
        <v>477</v>
      </c>
      <c r="X78" s="28" t="s">
        <v>149</v>
      </c>
      <c r="Y78" s="28" t="s">
        <v>156</v>
      </c>
      <c r="Z78" s="30" t="s">
        <v>11</v>
      </c>
      <c r="AA78" s="28" t="s">
        <v>2276</v>
      </c>
      <c r="AB78" s="28" t="s">
        <v>2401</v>
      </c>
      <c r="AC78" s="28" t="s">
        <v>2401</v>
      </c>
      <c r="AD78" s="28" t="s">
        <v>2401</v>
      </c>
      <c r="AE78" s="28" t="s">
        <v>2401</v>
      </c>
      <c r="AF78" s="30" t="s">
        <v>11</v>
      </c>
      <c r="AG78" s="28" t="s">
        <v>2401</v>
      </c>
    </row>
    <row r="79" spans="1:33" x14ac:dyDescent="0.3">
      <c r="A79" s="28" t="s">
        <v>486</v>
      </c>
      <c r="B79" s="34" t="s">
        <v>65</v>
      </c>
      <c r="C79" s="30" t="s">
        <v>11</v>
      </c>
      <c r="D79" s="28" t="s">
        <v>6</v>
      </c>
      <c r="E79" s="28">
        <v>200</v>
      </c>
      <c r="F79" s="30" t="s">
        <v>11</v>
      </c>
      <c r="G79" s="28" t="s">
        <v>487</v>
      </c>
      <c r="H79" s="30" t="s">
        <v>11</v>
      </c>
      <c r="I79" s="28" t="s">
        <v>2401</v>
      </c>
      <c r="J79" s="30" t="s">
        <v>11</v>
      </c>
      <c r="K79" s="28" t="s">
        <v>476</v>
      </c>
      <c r="L79" s="28" t="s">
        <v>157</v>
      </c>
      <c r="M79" s="30" t="s">
        <v>11</v>
      </c>
      <c r="N79" s="28" t="s">
        <v>486</v>
      </c>
      <c r="O79" s="30" t="s">
        <v>11</v>
      </c>
      <c r="P79" s="28" t="s">
        <v>477</v>
      </c>
      <c r="Q79" s="28" t="s">
        <v>149</v>
      </c>
      <c r="R79" s="28" t="s">
        <v>153</v>
      </c>
      <c r="S79" s="28" t="s">
        <v>150</v>
      </c>
      <c r="T79" s="28" t="s">
        <v>154</v>
      </c>
      <c r="U79" s="28" t="s">
        <v>155</v>
      </c>
      <c r="V79" s="28" t="s">
        <v>486</v>
      </c>
      <c r="W79" s="28" t="s">
        <v>477</v>
      </c>
      <c r="X79" s="28" t="s">
        <v>149</v>
      </c>
      <c r="Y79" s="28" t="s">
        <v>156</v>
      </c>
      <c r="Z79" s="30" t="s">
        <v>11</v>
      </c>
      <c r="AA79" s="28" t="s">
        <v>2276</v>
      </c>
      <c r="AB79" s="28" t="s">
        <v>2401</v>
      </c>
      <c r="AC79" s="28" t="s">
        <v>2401</v>
      </c>
      <c r="AD79" s="28" t="s">
        <v>2401</v>
      </c>
      <c r="AE79" s="28" t="s">
        <v>2401</v>
      </c>
      <c r="AF79" s="30" t="s">
        <v>11</v>
      </c>
      <c r="AG79" s="28" t="s">
        <v>2401</v>
      </c>
    </row>
    <row r="80" spans="1:33" x14ac:dyDescent="0.3">
      <c r="A80" s="28" t="s">
        <v>489</v>
      </c>
      <c r="B80" s="34" t="s">
        <v>65</v>
      </c>
      <c r="C80" s="30" t="s">
        <v>11</v>
      </c>
      <c r="D80" s="28" t="s">
        <v>6</v>
      </c>
      <c r="E80" s="28">
        <v>200</v>
      </c>
      <c r="F80" s="30" t="s">
        <v>11</v>
      </c>
      <c r="G80" s="28" t="s">
        <v>490</v>
      </c>
      <c r="H80" s="30" t="s">
        <v>11</v>
      </c>
      <c r="I80" s="28" t="s">
        <v>2401</v>
      </c>
      <c r="J80" s="30" t="s">
        <v>11</v>
      </c>
      <c r="K80" s="28" t="s">
        <v>476</v>
      </c>
      <c r="L80" s="28" t="s">
        <v>157</v>
      </c>
      <c r="M80" s="30" t="s">
        <v>11</v>
      </c>
      <c r="N80" s="28" t="s">
        <v>489</v>
      </c>
      <c r="O80" s="30" t="s">
        <v>11</v>
      </c>
      <c r="P80" s="28" t="s">
        <v>477</v>
      </c>
      <c r="Q80" s="28" t="s">
        <v>149</v>
      </c>
      <c r="R80" s="28" t="s">
        <v>153</v>
      </c>
      <c r="S80" s="28" t="s">
        <v>150</v>
      </c>
      <c r="T80" s="28" t="s">
        <v>154</v>
      </c>
      <c r="U80" s="28" t="s">
        <v>155</v>
      </c>
      <c r="V80" s="28" t="s">
        <v>489</v>
      </c>
      <c r="W80" s="28" t="s">
        <v>477</v>
      </c>
      <c r="X80" s="28" t="s">
        <v>149</v>
      </c>
      <c r="Y80" s="28" t="s">
        <v>156</v>
      </c>
      <c r="Z80" s="30" t="s">
        <v>11</v>
      </c>
      <c r="AA80" s="28" t="s">
        <v>2276</v>
      </c>
      <c r="AB80" s="28" t="s">
        <v>2401</v>
      </c>
      <c r="AC80" s="28" t="s">
        <v>2401</v>
      </c>
      <c r="AD80" s="28" t="s">
        <v>2401</v>
      </c>
      <c r="AE80" s="28" t="s">
        <v>2401</v>
      </c>
      <c r="AF80" s="30" t="s">
        <v>11</v>
      </c>
      <c r="AG80" s="28" t="s">
        <v>2401</v>
      </c>
    </row>
    <row r="81" spans="1:33" x14ac:dyDescent="0.3">
      <c r="A81" s="28" t="s">
        <v>491</v>
      </c>
      <c r="B81" s="34" t="s">
        <v>65</v>
      </c>
      <c r="C81" s="30" t="s">
        <v>11</v>
      </c>
      <c r="D81" s="28" t="s">
        <v>6</v>
      </c>
      <c r="E81" s="28">
        <v>200</v>
      </c>
      <c r="F81" s="30" t="s">
        <v>11</v>
      </c>
      <c r="G81" s="28" t="s">
        <v>492</v>
      </c>
      <c r="H81" s="30" t="s">
        <v>11</v>
      </c>
      <c r="I81" s="28" t="s">
        <v>2401</v>
      </c>
      <c r="J81" s="30" t="s">
        <v>11</v>
      </c>
      <c r="K81" s="28" t="s">
        <v>476</v>
      </c>
      <c r="L81" s="28" t="s">
        <v>157</v>
      </c>
      <c r="M81" s="30" t="s">
        <v>11</v>
      </c>
      <c r="N81" s="28" t="s">
        <v>491</v>
      </c>
      <c r="O81" s="30" t="s">
        <v>11</v>
      </c>
      <c r="P81" s="28" t="s">
        <v>477</v>
      </c>
      <c r="Q81" s="28" t="s">
        <v>149</v>
      </c>
      <c r="R81" s="28" t="s">
        <v>153</v>
      </c>
      <c r="S81" s="28" t="s">
        <v>150</v>
      </c>
      <c r="T81" s="28" t="s">
        <v>154</v>
      </c>
      <c r="U81" s="28" t="s">
        <v>155</v>
      </c>
      <c r="V81" s="28" t="s">
        <v>491</v>
      </c>
      <c r="W81" s="28" t="s">
        <v>477</v>
      </c>
      <c r="X81" s="28" t="s">
        <v>149</v>
      </c>
      <c r="Y81" s="28" t="s">
        <v>156</v>
      </c>
      <c r="Z81" s="30" t="s">
        <v>11</v>
      </c>
      <c r="AA81" s="28" t="s">
        <v>2276</v>
      </c>
      <c r="AB81" s="28" t="s">
        <v>2401</v>
      </c>
      <c r="AC81" s="28" t="s">
        <v>2401</v>
      </c>
      <c r="AD81" s="28" t="s">
        <v>2401</v>
      </c>
      <c r="AE81" s="28" t="s">
        <v>2401</v>
      </c>
      <c r="AF81" s="30" t="s">
        <v>11</v>
      </c>
      <c r="AG81" s="28" t="s">
        <v>2401</v>
      </c>
    </row>
    <row r="82" spans="1:33" x14ac:dyDescent="0.3">
      <c r="A82" s="28" t="s">
        <v>494</v>
      </c>
      <c r="B82" s="34" t="s">
        <v>65</v>
      </c>
      <c r="C82" s="30" t="s">
        <v>11</v>
      </c>
      <c r="D82" s="28" t="s">
        <v>6</v>
      </c>
      <c r="E82" s="28">
        <v>200</v>
      </c>
      <c r="F82" s="30" t="s">
        <v>11</v>
      </c>
      <c r="G82" s="28" t="s">
        <v>495</v>
      </c>
      <c r="H82" s="30" t="s">
        <v>11</v>
      </c>
      <c r="I82" s="28" t="s">
        <v>2401</v>
      </c>
      <c r="J82" s="30" t="s">
        <v>11</v>
      </c>
      <c r="K82" s="28" t="s">
        <v>476</v>
      </c>
      <c r="L82" s="28" t="s">
        <v>157</v>
      </c>
      <c r="M82" s="30" t="s">
        <v>11</v>
      </c>
      <c r="N82" s="28" t="s">
        <v>494</v>
      </c>
      <c r="O82" s="30" t="s">
        <v>11</v>
      </c>
      <c r="P82" s="28" t="s">
        <v>477</v>
      </c>
      <c r="Q82" s="28" t="s">
        <v>149</v>
      </c>
      <c r="R82" s="28" t="s">
        <v>153</v>
      </c>
      <c r="S82" s="28" t="s">
        <v>150</v>
      </c>
      <c r="T82" s="28" t="s">
        <v>154</v>
      </c>
      <c r="U82" s="28" t="s">
        <v>155</v>
      </c>
      <c r="V82" s="28" t="s">
        <v>494</v>
      </c>
      <c r="W82" s="28" t="s">
        <v>477</v>
      </c>
      <c r="X82" s="28" t="s">
        <v>149</v>
      </c>
      <c r="Y82" s="28" t="s">
        <v>156</v>
      </c>
      <c r="Z82" s="30" t="s">
        <v>11</v>
      </c>
      <c r="AA82" s="28" t="s">
        <v>2276</v>
      </c>
      <c r="AB82" s="28" t="s">
        <v>2401</v>
      </c>
      <c r="AC82" s="28" t="s">
        <v>2401</v>
      </c>
      <c r="AD82" s="28" t="s">
        <v>2401</v>
      </c>
      <c r="AE82" s="28" t="s">
        <v>2401</v>
      </c>
      <c r="AF82" s="30" t="s">
        <v>11</v>
      </c>
      <c r="AG82" s="28" t="s">
        <v>2401</v>
      </c>
    </row>
    <row r="83" spans="1:33" x14ac:dyDescent="0.3">
      <c r="A83" s="28" t="s">
        <v>497</v>
      </c>
      <c r="B83" s="34" t="s">
        <v>65</v>
      </c>
      <c r="C83" s="30" t="s">
        <v>11</v>
      </c>
      <c r="D83" s="28" t="s">
        <v>6</v>
      </c>
      <c r="E83" s="28">
        <v>200</v>
      </c>
      <c r="F83" s="30" t="s">
        <v>11</v>
      </c>
      <c r="G83" s="28" t="s">
        <v>498</v>
      </c>
      <c r="H83" s="30" t="s">
        <v>11</v>
      </c>
      <c r="I83" s="28" t="s">
        <v>2401</v>
      </c>
      <c r="J83" s="30" t="s">
        <v>11</v>
      </c>
      <c r="K83" s="28" t="s">
        <v>476</v>
      </c>
      <c r="L83" s="28" t="s">
        <v>157</v>
      </c>
      <c r="M83" s="30" t="s">
        <v>11</v>
      </c>
      <c r="N83" s="28" t="s">
        <v>497</v>
      </c>
      <c r="O83" s="30" t="s">
        <v>11</v>
      </c>
      <c r="P83" s="28" t="s">
        <v>477</v>
      </c>
      <c r="Q83" s="28" t="s">
        <v>149</v>
      </c>
      <c r="R83" s="28" t="s">
        <v>153</v>
      </c>
      <c r="S83" s="28" t="s">
        <v>150</v>
      </c>
      <c r="T83" s="28" t="s">
        <v>154</v>
      </c>
      <c r="U83" s="28" t="s">
        <v>155</v>
      </c>
      <c r="V83" s="28" t="s">
        <v>497</v>
      </c>
      <c r="W83" s="28" t="s">
        <v>477</v>
      </c>
      <c r="X83" s="28" t="s">
        <v>149</v>
      </c>
      <c r="Y83" s="28" t="s">
        <v>156</v>
      </c>
      <c r="Z83" s="30" t="s">
        <v>11</v>
      </c>
      <c r="AA83" s="28" t="s">
        <v>2276</v>
      </c>
      <c r="AB83" s="28" t="s">
        <v>2401</v>
      </c>
      <c r="AC83" s="28" t="s">
        <v>2401</v>
      </c>
      <c r="AD83" s="28" t="s">
        <v>2401</v>
      </c>
      <c r="AE83" s="28" t="s">
        <v>2401</v>
      </c>
      <c r="AF83" s="30" t="s">
        <v>11</v>
      </c>
      <c r="AG83" s="28" t="s">
        <v>2401</v>
      </c>
    </row>
    <row r="84" spans="1:33" x14ac:dyDescent="0.3">
      <c r="A84" s="28" t="s">
        <v>500</v>
      </c>
      <c r="B84" s="34" t="s">
        <v>65</v>
      </c>
      <c r="C84" s="30" t="s">
        <v>11</v>
      </c>
      <c r="D84" s="28" t="s">
        <v>6</v>
      </c>
      <c r="E84" s="28">
        <v>200</v>
      </c>
      <c r="F84" s="30" t="s">
        <v>11</v>
      </c>
      <c r="G84" s="28" t="s">
        <v>501</v>
      </c>
      <c r="H84" s="30" t="s">
        <v>11</v>
      </c>
      <c r="I84" s="28" t="s">
        <v>2401</v>
      </c>
      <c r="J84" s="30" t="s">
        <v>11</v>
      </c>
      <c r="K84" s="28" t="s">
        <v>476</v>
      </c>
      <c r="L84" s="28" t="s">
        <v>157</v>
      </c>
      <c r="M84" s="30" t="s">
        <v>11</v>
      </c>
      <c r="N84" s="28" t="s">
        <v>500</v>
      </c>
      <c r="O84" s="30" t="s">
        <v>11</v>
      </c>
      <c r="P84" s="28" t="s">
        <v>477</v>
      </c>
      <c r="Q84" s="28" t="s">
        <v>149</v>
      </c>
      <c r="R84" s="28" t="s">
        <v>153</v>
      </c>
      <c r="S84" s="28" t="s">
        <v>150</v>
      </c>
      <c r="T84" s="28" t="s">
        <v>154</v>
      </c>
      <c r="U84" s="28" t="s">
        <v>155</v>
      </c>
      <c r="V84" s="28" t="s">
        <v>500</v>
      </c>
      <c r="W84" s="28" t="s">
        <v>477</v>
      </c>
      <c r="X84" s="28" t="s">
        <v>149</v>
      </c>
      <c r="Y84" s="28" t="s">
        <v>156</v>
      </c>
      <c r="Z84" s="30" t="s">
        <v>11</v>
      </c>
      <c r="AA84" s="28" t="s">
        <v>2276</v>
      </c>
      <c r="AB84" s="28" t="s">
        <v>2401</v>
      </c>
      <c r="AC84" s="28" t="s">
        <v>2401</v>
      </c>
      <c r="AD84" s="28" t="s">
        <v>2401</v>
      </c>
      <c r="AE84" s="28" t="s">
        <v>2401</v>
      </c>
      <c r="AF84" s="30" t="s">
        <v>11</v>
      </c>
      <c r="AG84" s="28" t="s">
        <v>2401</v>
      </c>
    </row>
    <row r="85" spans="1:33" x14ac:dyDescent="0.3">
      <c r="A85" s="28" t="s">
        <v>503</v>
      </c>
      <c r="B85" s="34" t="s">
        <v>65</v>
      </c>
      <c r="C85" s="30" t="s">
        <v>11</v>
      </c>
      <c r="D85" s="28" t="s">
        <v>6</v>
      </c>
      <c r="E85" s="28">
        <v>200</v>
      </c>
      <c r="F85" s="30" t="s">
        <v>11</v>
      </c>
      <c r="G85" s="28" t="s">
        <v>504</v>
      </c>
      <c r="H85" s="30" t="s">
        <v>11</v>
      </c>
      <c r="I85" s="28" t="s">
        <v>2401</v>
      </c>
      <c r="J85" s="30" t="s">
        <v>11</v>
      </c>
      <c r="K85" s="28" t="s">
        <v>476</v>
      </c>
      <c r="L85" s="28" t="s">
        <v>157</v>
      </c>
      <c r="M85" s="30" t="s">
        <v>11</v>
      </c>
      <c r="N85" s="28" t="s">
        <v>503</v>
      </c>
      <c r="O85" s="30" t="s">
        <v>11</v>
      </c>
      <c r="P85" s="28" t="s">
        <v>477</v>
      </c>
      <c r="Q85" s="28" t="s">
        <v>149</v>
      </c>
      <c r="R85" s="28" t="s">
        <v>153</v>
      </c>
      <c r="S85" s="28" t="s">
        <v>150</v>
      </c>
      <c r="T85" s="28" t="s">
        <v>154</v>
      </c>
      <c r="U85" s="28" t="s">
        <v>155</v>
      </c>
      <c r="V85" s="28" t="s">
        <v>503</v>
      </c>
      <c r="W85" s="28" t="s">
        <v>477</v>
      </c>
      <c r="X85" s="28" t="s">
        <v>149</v>
      </c>
      <c r="Y85" s="28" t="s">
        <v>156</v>
      </c>
      <c r="Z85" s="30" t="s">
        <v>11</v>
      </c>
      <c r="AA85" s="28" t="s">
        <v>2276</v>
      </c>
      <c r="AB85" s="28" t="s">
        <v>2401</v>
      </c>
      <c r="AC85" s="28" t="s">
        <v>2401</v>
      </c>
      <c r="AD85" s="28" t="s">
        <v>2401</v>
      </c>
      <c r="AE85" s="28" t="s">
        <v>2401</v>
      </c>
      <c r="AF85" s="30" t="s">
        <v>11</v>
      </c>
      <c r="AG85" s="28" t="s">
        <v>2401</v>
      </c>
    </row>
    <row r="86" spans="1:33" x14ac:dyDescent="0.3">
      <c r="A86" s="28" t="s">
        <v>505</v>
      </c>
      <c r="B86" s="34" t="s">
        <v>65</v>
      </c>
      <c r="C86" s="30" t="s">
        <v>11</v>
      </c>
      <c r="D86" s="28" t="s">
        <v>6</v>
      </c>
      <c r="E86" s="28">
        <v>200</v>
      </c>
      <c r="F86" s="30" t="s">
        <v>11</v>
      </c>
      <c r="G86" s="28" t="s">
        <v>506</v>
      </c>
      <c r="H86" s="30" t="s">
        <v>11</v>
      </c>
      <c r="I86" s="28" t="s">
        <v>2401</v>
      </c>
      <c r="J86" s="30" t="s">
        <v>11</v>
      </c>
      <c r="K86" s="28" t="s">
        <v>476</v>
      </c>
      <c r="L86" s="28" t="s">
        <v>157</v>
      </c>
      <c r="M86" s="30" t="s">
        <v>11</v>
      </c>
      <c r="N86" s="28" t="s">
        <v>505</v>
      </c>
      <c r="O86" s="30" t="s">
        <v>11</v>
      </c>
      <c r="P86" s="28" t="s">
        <v>477</v>
      </c>
      <c r="Q86" s="28" t="s">
        <v>149</v>
      </c>
      <c r="R86" s="28" t="s">
        <v>153</v>
      </c>
      <c r="S86" s="28" t="s">
        <v>150</v>
      </c>
      <c r="T86" s="28" t="s">
        <v>154</v>
      </c>
      <c r="U86" s="28" t="s">
        <v>155</v>
      </c>
      <c r="V86" s="28" t="s">
        <v>505</v>
      </c>
      <c r="W86" s="28" t="s">
        <v>477</v>
      </c>
      <c r="X86" s="28" t="s">
        <v>149</v>
      </c>
      <c r="Y86" s="28" t="s">
        <v>156</v>
      </c>
      <c r="Z86" s="30" t="s">
        <v>11</v>
      </c>
      <c r="AA86" s="28" t="s">
        <v>2276</v>
      </c>
      <c r="AB86" s="28" t="s">
        <v>2401</v>
      </c>
      <c r="AC86" s="28" t="s">
        <v>2401</v>
      </c>
      <c r="AD86" s="28" t="s">
        <v>2401</v>
      </c>
      <c r="AE86" s="28" t="s">
        <v>2401</v>
      </c>
      <c r="AF86" s="30" t="s">
        <v>11</v>
      </c>
      <c r="AG86" s="28" t="s">
        <v>2401</v>
      </c>
    </row>
    <row r="87" spans="1:33" x14ac:dyDescent="0.3">
      <c r="A87" s="28" t="s">
        <v>507</v>
      </c>
      <c r="B87" s="34" t="s">
        <v>65</v>
      </c>
      <c r="C87" s="30" t="s">
        <v>11</v>
      </c>
      <c r="D87" s="28" t="s">
        <v>6</v>
      </c>
      <c r="E87" s="28">
        <v>200</v>
      </c>
      <c r="F87" s="30" t="s">
        <v>11</v>
      </c>
      <c r="G87" s="28" t="s">
        <v>508</v>
      </c>
      <c r="H87" s="30" t="s">
        <v>11</v>
      </c>
      <c r="I87" s="28" t="s">
        <v>2401</v>
      </c>
      <c r="J87" s="30" t="s">
        <v>11</v>
      </c>
      <c r="K87" s="28" t="s">
        <v>476</v>
      </c>
      <c r="L87" s="28" t="s">
        <v>157</v>
      </c>
      <c r="M87" s="30" t="s">
        <v>11</v>
      </c>
      <c r="N87" s="28" t="s">
        <v>507</v>
      </c>
      <c r="O87" s="30" t="s">
        <v>11</v>
      </c>
      <c r="P87" s="28" t="s">
        <v>477</v>
      </c>
      <c r="Q87" s="28" t="s">
        <v>149</v>
      </c>
      <c r="R87" s="28" t="s">
        <v>153</v>
      </c>
      <c r="S87" s="28" t="s">
        <v>150</v>
      </c>
      <c r="T87" s="28" t="s">
        <v>154</v>
      </c>
      <c r="U87" s="28" t="s">
        <v>155</v>
      </c>
      <c r="V87" s="28" t="s">
        <v>507</v>
      </c>
      <c r="W87" s="28" t="s">
        <v>477</v>
      </c>
      <c r="X87" s="28" t="s">
        <v>149</v>
      </c>
      <c r="Y87" s="28" t="s">
        <v>156</v>
      </c>
      <c r="Z87" s="30" t="s">
        <v>11</v>
      </c>
      <c r="AA87" s="28" t="s">
        <v>2276</v>
      </c>
      <c r="AB87" s="28" t="s">
        <v>2401</v>
      </c>
      <c r="AC87" s="28" t="s">
        <v>2401</v>
      </c>
      <c r="AD87" s="28" t="s">
        <v>2401</v>
      </c>
      <c r="AE87" s="28" t="s">
        <v>2401</v>
      </c>
      <c r="AF87" s="30" t="s">
        <v>11</v>
      </c>
      <c r="AG87" s="28" t="s">
        <v>2401</v>
      </c>
    </row>
    <row r="88" spans="1:33" x14ac:dyDescent="0.3">
      <c r="A88" s="28" t="s">
        <v>510</v>
      </c>
      <c r="B88" s="34" t="s">
        <v>65</v>
      </c>
      <c r="C88" s="30" t="s">
        <v>11</v>
      </c>
      <c r="D88" s="28" t="s">
        <v>6</v>
      </c>
      <c r="E88" s="28">
        <v>200</v>
      </c>
      <c r="F88" s="30" t="s">
        <v>11</v>
      </c>
      <c r="G88" s="28" t="s">
        <v>511</v>
      </c>
      <c r="H88" s="30" t="s">
        <v>11</v>
      </c>
      <c r="I88" s="28" t="s">
        <v>2401</v>
      </c>
      <c r="J88" s="30" t="s">
        <v>11</v>
      </c>
      <c r="K88" s="28" t="s">
        <v>476</v>
      </c>
      <c r="L88" s="28" t="s">
        <v>157</v>
      </c>
      <c r="M88" s="30" t="s">
        <v>11</v>
      </c>
      <c r="N88" s="28" t="s">
        <v>510</v>
      </c>
      <c r="O88" s="30" t="s">
        <v>11</v>
      </c>
      <c r="P88" s="28" t="s">
        <v>477</v>
      </c>
      <c r="Q88" s="28" t="s">
        <v>149</v>
      </c>
      <c r="R88" s="28" t="s">
        <v>153</v>
      </c>
      <c r="S88" s="28" t="s">
        <v>150</v>
      </c>
      <c r="T88" s="28" t="s">
        <v>154</v>
      </c>
      <c r="U88" s="28" t="s">
        <v>155</v>
      </c>
      <c r="V88" s="28" t="s">
        <v>510</v>
      </c>
      <c r="W88" s="28" t="s">
        <v>477</v>
      </c>
      <c r="X88" s="28" t="s">
        <v>149</v>
      </c>
      <c r="Y88" s="28" t="s">
        <v>156</v>
      </c>
      <c r="Z88" s="30" t="s">
        <v>11</v>
      </c>
      <c r="AA88" s="28" t="s">
        <v>2276</v>
      </c>
      <c r="AB88" s="28" t="s">
        <v>2401</v>
      </c>
      <c r="AC88" s="28" t="s">
        <v>2401</v>
      </c>
      <c r="AD88" s="28" t="s">
        <v>2401</v>
      </c>
      <c r="AE88" s="28" t="s">
        <v>2401</v>
      </c>
      <c r="AF88" s="30" t="s">
        <v>11</v>
      </c>
      <c r="AG88" s="28" t="s">
        <v>2401</v>
      </c>
    </row>
    <row r="89" spans="1:33" x14ac:dyDescent="0.3">
      <c r="A89" s="28" t="s">
        <v>513</v>
      </c>
      <c r="B89" s="34" t="s">
        <v>65</v>
      </c>
      <c r="C89" s="30" t="s">
        <v>11</v>
      </c>
      <c r="D89" s="28" t="s">
        <v>6</v>
      </c>
      <c r="E89" s="28">
        <v>200</v>
      </c>
      <c r="F89" s="30" t="s">
        <v>11</v>
      </c>
      <c r="G89" s="28" t="s">
        <v>514</v>
      </c>
      <c r="H89" s="30" t="s">
        <v>11</v>
      </c>
      <c r="I89" s="28" t="s">
        <v>2401</v>
      </c>
      <c r="J89" s="30" t="s">
        <v>11</v>
      </c>
      <c r="K89" s="28" t="s">
        <v>476</v>
      </c>
      <c r="L89" s="28" t="s">
        <v>157</v>
      </c>
      <c r="M89" s="30" t="s">
        <v>11</v>
      </c>
      <c r="N89" s="28" t="s">
        <v>513</v>
      </c>
      <c r="O89" s="30" t="s">
        <v>11</v>
      </c>
      <c r="P89" s="28" t="s">
        <v>477</v>
      </c>
      <c r="Q89" s="28" t="s">
        <v>149</v>
      </c>
      <c r="R89" s="28" t="s">
        <v>153</v>
      </c>
      <c r="S89" s="28" t="s">
        <v>150</v>
      </c>
      <c r="T89" s="28" t="s">
        <v>154</v>
      </c>
      <c r="U89" s="28" t="s">
        <v>155</v>
      </c>
      <c r="V89" s="28" t="s">
        <v>513</v>
      </c>
      <c r="W89" s="28" t="s">
        <v>477</v>
      </c>
      <c r="X89" s="28" t="s">
        <v>149</v>
      </c>
      <c r="Y89" s="28" t="s">
        <v>156</v>
      </c>
      <c r="Z89" s="30" t="s">
        <v>11</v>
      </c>
      <c r="AA89" s="28" t="s">
        <v>2276</v>
      </c>
      <c r="AB89" s="28" t="s">
        <v>2401</v>
      </c>
      <c r="AC89" s="28" t="s">
        <v>2401</v>
      </c>
      <c r="AD89" s="28" t="s">
        <v>2401</v>
      </c>
      <c r="AE89" s="28" t="s">
        <v>2401</v>
      </c>
      <c r="AF89" s="30" t="s">
        <v>11</v>
      </c>
      <c r="AG89" s="28" t="s">
        <v>2401</v>
      </c>
    </row>
    <row r="90" spans="1:33" x14ac:dyDescent="0.3">
      <c r="A90" s="28" t="s">
        <v>516</v>
      </c>
      <c r="B90" s="34" t="s">
        <v>65</v>
      </c>
      <c r="C90" s="30" t="s">
        <v>11</v>
      </c>
      <c r="D90" s="28" t="s">
        <v>6</v>
      </c>
      <c r="E90" s="28">
        <v>200</v>
      </c>
      <c r="F90" s="30" t="s">
        <v>11</v>
      </c>
      <c r="G90" s="28" t="s">
        <v>517</v>
      </c>
      <c r="H90" s="30" t="s">
        <v>11</v>
      </c>
      <c r="I90" s="28" t="s">
        <v>2401</v>
      </c>
      <c r="J90" s="30" t="s">
        <v>11</v>
      </c>
      <c r="K90" s="28" t="s">
        <v>476</v>
      </c>
      <c r="L90" s="28" t="s">
        <v>157</v>
      </c>
      <c r="M90" s="30" t="s">
        <v>11</v>
      </c>
      <c r="N90" s="28" t="s">
        <v>516</v>
      </c>
      <c r="O90" s="30" t="s">
        <v>11</v>
      </c>
      <c r="P90" s="28" t="s">
        <v>477</v>
      </c>
      <c r="Q90" s="28" t="s">
        <v>149</v>
      </c>
      <c r="R90" s="28" t="s">
        <v>153</v>
      </c>
      <c r="S90" s="28" t="s">
        <v>150</v>
      </c>
      <c r="T90" s="28" t="s">
        <v>154</v>
      </c>
      <c r="U90" s="28" t="s">
        <v>155</v>
      </c>
      <c r="V90" s="28" t="s">
        <v>516</v>
      </c>
      <c r="W90" s="28" t="s">
        <v>477</v>
      </c>
      <c r="X90" s="28" t="s">
        <v>149</v>
      </c>
      <c r="Y90" s="28" t="s">
        <v>156</v>
      </c>
      <c r="Z90" s="30" t="s">
        <v>11</v>
      </c>
      <c r="AA90" s="28" t="s">
        <v>2276</v>
      </c>
      <c r="AB90" s="28" t="s">
        <v>2401</v>
      </c>
      <c r="AC90" s="28" t="s">
        <v>2401</v>
      </c>
      <c r="AD90" s="28" t="s">
        <v>2401</v>
      </c>
      <c r="AE90" s="28" t="s">
        <v>2401</v>
      </c>
      <c r="AF90" s="30" t="s">
        <v>11</v>
      </c>
      <c r="AG90" s="28" t="s">
        <v>2401</v>
      </c>
    </row>
    <row r="91" spans="1:33" x14ac:dyDescent="0.3">
      <c r="A91" s="28" t="s">
        <v>519</v>
      </c>
      <c r="B91" s="34" t="s">
        <v>65</v>
      </c>
      <c r="C91" s="30" t="s">
        <v>11</v>
      </c>
      <c r="D91" s="28" t="s">
        <v>6</v>
      </c>
      <c r="E91" s="28">
        <v>200</v>
      </c>
      <c r="F91" s="30" t="s">
        <v>11</v>
      </c>
      <c r="G91" s="28" t="s">
        <v>520</v>
      </c>
      <c r="H91" s="30" t="s">
        <v>11</v>
      </c>
      <c r="I91" s="28" t="s">
        <v>2401</v>
      </c>
      <c r="J91" s="30" t="s">
        <v>11</v>
      </c>
      <c r="K91" s="28" t="s">
        <v>476</v>
      </c>
      <c r="L91" s="28" t="s">
        <v>157</v>
      </c>
      <c r="M91" s="30" t="s">
        <v>11</v>
      </c>
      <c r="N91" s="28" t="s">
        <v>519</v>
      </c>
      <c r="O91" s="30" t="s">
        <v>11</v>
      </c>
      <c r="P91" s="28" t="s">
        <v>477</v>
      </c>
      <c r="Q91" s="28" t="s">
        <v>149</v>
      </c>
      <c r="R91" s="28" t="s">
        <v>153</v>
      </c>
      <c r="S91" s="28" t="s">
        <v>150</v>
      </c>
      <c r="T91" s="28" t="s">
        <v>154</v>
      </c>
      <c r="U91" s="28" t="s">
        <v>155</v>
      </c>
      <c r="V91" s="28" t="s">
        <v>519</v>
      </c>
      <c r="W91" s="28" t="s">
        <v>477</v>
      </c>
      <c r="X91" s="28" t="s">
        <v>149</v>
      </c>
      <c r="Y91" s="28" t="s">
        <v>156</v>
      </c>
      <c r="Z91" s="30" t="s">
        <v>11</v>
      </c>
      <c r="AA91" s="28" t="s">
        <v>2276</v>
      </c>
      <c r="AB91" s="28" t="s">
        <v>2401</v>
      </c>
      <c r="AC91" s="28" t="s">
        <v>2401</v>
      </c>
      <c r="AD91" s="28" t="s">
        <v>2401</v>
      </c>
      <c r="AE91" s="28" t="s">
        <v>2401</v>
      </c>
      <c r="AF91" s="30" t="s">
        <v>11</v>
      </c>
      <c r="AG91" s="28" t="s">
        <v>2401</v>
      </c>
    </row>
    <row r="92" spans="1:33" x14ac:dyDescent="0.3">
      <c r="A92" s="28" t="s">
        <v>522</v>
      </c>
      <c r="B92" s="34"/>
      <c r="C92" s="30" t="s">
        <v>11</v>
      </c>
      <c r="D92" s="28" t="s">
        <v>6</v>
      </c>
      <c r="E92" s="28">
        <v>200</v>
      </c>
      <c r="F92" s="30" t="s">
        <v>11</v>
      </c>
      <c r="G92" s="28" t="s">
        <v>523</v>
      </c>
      <c r="H92" s="30" t="s">
        <v>11</v>
      </c>
      <c r="I92" s="28" t="s">
        <v>2401</v>
      </c>
      <c r="J92" s="30" t="s">
        <v>2382</v>
      </c>
      <c r="K92" s="28" t="s">
        <v>524</v>
      </c>
      <c r="L92" s="28" t="s">
        <v>157</v>
      </c>
      <c r="M92" s="30" t="s">
        <v>11</v>
      </c>
      <c r="N92" s="28" t="s">
        <v>522</v>
      </c>
      <c r="O92" s="30" t="s">
        <v>11</v>
      </c>
      <c r="P92" s="28" t="s">
        <v>525</v>
      </c>
      <c r="Q92" s="28" t="s">
        <v>149</v>
      </c>
      <c r="R92" s="28" t="s">
        <v>153</v>
      </c>
      <c r="S92" s="28" t="s">
        <v>150</v>
      </c>
      <c r="T92" s="28" t="s">
        <v>154</v>
      </c>
      <c r="U92" s="28" t="s">
        <v>155</v>
      </c>
      <c r="V92" s="28" t="s">
        <v>522</v>
      </c>
      <c r="W92" s="28" t="s">
        <v>525</v>
      </c>
      <c r="X92" s="28" t="s">
        <v>149</v>
      </c>
      <c r="Y92" s="28" t="s">
        <v>156</v>
      </c>
      <c r="Z92" s="30" t="s">
        <v>11</v>
      </c>
      <c r="AA92" s="28" t="s">
        <v>2276</v>
      </c>
      <c r="AB92" s="28" t="s">
        <v>2401</v>
      </c>
      <c r="AC92" s="28" t="s">
        <v>2401</v>
      </c>
      <c r="AD92" s="28" t="s">
        <v>2401</v>
      </c>
      <c r="AE92" s="28" t="s">
        <v>2401</v>
      </c>
      <c r="AF92" s="30" t="s">
        <v>11</v>
      </c>
      <c r="AG92" s="28" t="s">
        <v>2401</v>
      </c>
    </row>
    <row r="93" spans="1:33" x14ac:dyDescent="0.3">
      <c r="A93" s="28" t="s">
        <v>527</v>
      </c>
      <c r="B93" s="34"/>
      <c r="C93" s="30" t="s">
        <v>11</v>
      </c>
      <c r="D93" s="28" t="s">
        <v>6</v>
      </c>
      <c r="E93" s="28">
        <v>200</v>
      </c>
      <c r="F93" s="30" t="s">
        <v>11</v>
      </c>
      <c r="G93" s="28" t="s">
        <v>528</v>
      </c>
      <c r="H93" s="30" t="s">
        <v>11</v>
      </c>
      <c r="I93" s="28" t="s">
        <v>2401</v>
      </c>
      <c r="J93" s="30" t="s">
        <v>2382</v>
      </c>
      <c r="K93" s="28" t="s">
        <v>529</v>
      </c>
      <c r="L93" s="28" t="s">
        <v>157</v>
      </c>
      <c r="M93" s="30" t="s">
        <v>11</v>
      </c>
      <c r="N93" s="28" t="s">
        <v>527</v>
      </c>
      <c r="O93" s="30" t="s">
        <v>11</v>
      </c>
      <c r="P93" s="28" t="s">
        <v>530</v>
      </c>
      <c r="Q93" s="28" t="s">
        <v>149</v>
      </c>
      <c r="R93" s="28" t="s">
        <v>153</v>
      </c>
      <c r="S93" s="28" t="s">
        <v>150</v>
      </c>
      <c r="T93" s="28" t="s">
        <v>154</v>
      </c>
      <c r="U93" s="28" t="s">
        <v>155</v>
      </c>
      <c r="V93" s="28" t="s">
        <v>527</v>
      </c>
      <c r="W93" s="28" t="s">
        <v>530</v>
      </c>
      <c r="X93" s="28" t="s">
        <v>149</v>
      </c>
      <c r="Y93" s="28" t="s">
        <v>156</v>
      </c>
      <c r="Z93" s="31" t="str">
        <f t="shared" ref="Z93" si="5">IF(AND(J89="Pass", H89="Pass"), "Pass", "Not")</f>
        <v>Pass</v>
      </c>
      <c r="AA93" s="28" t="s">
        <v>2276</v>
      </c>
      <c r="AB93" s="28" t="s">
        <v>2401</v>
      </c>
      <c r="AC93" s="28" t="s">
        <v>2401</v>
      </c>
      <c r="AD93" s="28" t="s">
        <v>2401</v>
      </c>
      <c r="AE93" s="28" t="s">
        <v>2401</v>
      </c>
      <c r="AF93" s="30" t="s">
        <v>11</v>
      </c>
      <c r="AG93" s="28" t="s">
        <v>2401</v>
      </c>
    </row>
    <row r="94" spans="1:33" x14ac:dyDescent="0.3">
      <c r="A94" s="28" t="s">
        <v>532</v>
      </c>
      <c r="B94" s="34" t="s">
        <v>65</v>
      </c>
      <c r="C94" s="30" t="s">
        <v>11</v>
      </c>
      <c r="D94" s="28" t="s">
        <v>6</v>
      </c>
      <c r="E94" s="28">
        <v>200</v>
      </c>
      <c r="F94" s="30" t="s">
        <v>11</v>
      </c>
      <c r="G94" s="28" t="s">
        <v>528</v>
      </c>
      <c r="H94" s="30" t="s">
        <v>11</v>
      </c>
      <c r="I94" s="28" t="s">
        <v>2401</v>
      </c>
      <c r="J94" s="30" t="s">
        <v>11</v>
      </c>
      <c r="K94" s="28" t="s">
        <v>529</v>
      </c>
      <c r="L94" s="28" t="s">
        <v>157</v>
      </c>
      <c r="M94" s="30" t="s">
        <v>11</v>
      </c>
      <c r="N94" s="28" t="s">
        <v>527</v>
      </c>
      <c r="O94" s="30" t="s">
        <v>11</v>
      </c>
      <c r="P94" s="28" t="s">
        <v>530</v>
      </c>
      <c r="Q94" s="28" t="s">
        <v>149</v>
      </c>
      <c r="R94" s="28" t="s">
        <v>153</v>
      </c>
      <c r="S94" s="28" t="s">
        <v>150</v>
      </c>
      <c r="T94" s="28" t="s">
        <v>154</v>
      </c>
      <c r="U94" s="28" t="s">
        <v>155</v>
      </c>
      <c r="V94" s="28" t="s">
        <v>527</v>
      </c>
      <c r="W94" s="28" t="s">
        <v>530</v>
      </c>
      <c r="X94" s="28" t="s">
        <v>149</v>
      </c>
      <c r="Y94" s="28" t="s">
        <v>156</v>
      </c>
      <c r="Z94" s="30" t="s">
        <v>11</v>
      </c>
      <c r="AA94" s="28" t="s">
        <v>2276</v>
      </c>
      <c r="AB94" s="28" t="s">
        <v>2401</v>
      </c>
      <c r="AC94" s="28" t="s">
        <v>2401</v>
      </c>
      <c r="AD94" s="28" t="s">
        <v>2401</v>
      </c>
      <c r="AE94" s="28" t="s">
        <v>2401</v>
      </c>
      <c r="AF94" s="30" t="s">
        <v>11</v>
      </c>
      <c r="AG94" s="28" t="s">
        <v>2401</v>
      </c>
    </row>
    <row r="95" spans="1:33" x14ac:dyDescent="0.3">
      <c r="A95" s="28" t="s">
        <v>534</v>
      </c>
      <c r="B95" s="34" t="s">
        <v>65</v>
      </c>
      <c r="C95" s="30" t="s">
        <v>11</v>
      </c>
      <c r="D95" s="28" t="s">
        <v>6</v>
      </c>
      <c r="E95" s="28">
        <v>200</v>
      </c>
      <c r="F95" s="30" t="s">
        <v>11</v>
      </c>
      <c r="G95" s="28" t="s">
        <v>535</v>
      </c>
      <c r="H95" s="30" t="s">
        <v>11</v>
      </c>
      <c r="I95" s="28" t="s">
        <v>2401</v>
      </c>
      <c r="J95" s="30" t="s">
        <v>11</v>
      </c>
      <c r="K95" s="28" t="s">
        <v>529</v>
      </c>
      <c r="L95" s="28" t="s">
        <v>157</v>
      </c>
      <c r="M95" s="30" t="s">
        <v>11</v>
      </c>
      <c r="N95" s="28" t="s">
        <v>534</v>
      </c>
      <c r="O95" s="30" t="s">
        <v>11</v>
      </c>
      <c r="P95" s="28" t="s">
        <v>530</v>
      </c>
      <c r="Q95" s="28" t="s">
        <v>149</v>
      </c>
      <c r="R95" s="28" t="s">
        <v>153</v>
      </c>
      <c r="S95" s="28" t="s">
        <v>150</v>
      </c>
      <c r="T95" s="28" t="s">
        <v>154</v>
      </c>
      <c r="U95" s="28" t="s">
        <v>155</v>
      </c>
      <c r="V95" s="28" t="s">
        <v>534</v>
      </c>
      <c r="W95" s="28" t="s">
        <v>530</v>
      </c>
      <c r="X95" s="28" t="s">
        <v>149</v>
      </c>
      <c r="Y95" s="28" t="s">
        <v>156</v>
      </c>
      <c r="Z95" s="30" t="s">
        <v>11</v>
      </c>
      <c r="AA95" s="28" t="s">
        <v>2276</v>
      </c>
      <c r="AB95" s="28" t="s">
        <v>2401</v>
      </c>
      <c r="AC95" s="28" t="s">
        <v>2401</v>
      </c>
      <c r="AD95" s="28" t="s">
        <v>2401</v>
      </c>
      <c r="AE95" s="28" t="s">
        <v>2401</v>
      </c>
      <c r="AF95" s="30" t="s">
        <v>11</v>
      </c>
      <c r="AG95" s="28" t="s">
        <v>2401</v>
      </c>
    </row>
    <row r="96" spans="1:33" x14ac:dyDescent="0.3">
      <c r="A96" s="28" t="s">
        <v>537</v>
      </c>
      <c r="B96" s="34"/>
      <c r="C96" s="30" t="s">
        <v>11</v>
      </c>
      <c r="D96" s="28" t="s">
        <v>6</v>
      </c>
      <c r="E96" s="28">
        <v>200</v>
      </c>
      <c r="F96" s="30" t="s">
        <v>11</v>
      </c>
      <c r="G96" s="28" t="s">
        <v>538</v>
      </c>
      <c r="H96" s="30" t="s">
        <v>11</v>
      </c>
      <c r="I96" s="28" t="s">
        <v>2401</v>
      </c>
      <c r="J96" s="30" t="s">
        <v>2382</v>
      </c>
      <c r="K96" s="28" t="s">
        <v>539</v>
      </c>
      <c r="L96" s="28" t="s">
        <v>157</v>
      </c>
      <c r="M96" s="30" t="s">
        <v>11</v>
      </c>
      <c r="N96" s="28" t="s">
        <v>537</v>
      </c>
      <c r="O96" s="30" t="s">
        <v>11</v>
      </c>
      <c r="P96" s="28" t="s">
        <v>540</v>
      </c>
      <c r="Q96" s="28" t="s">
        <v>149</v>
      </c>
      <c r="R96" s="28" t="s">
        <v>153</v>
      </c>
      <c r="S96" s="28" t="s">
        <v>150</v>
      </c>
      <c r="T96" s="28" t="s">
        <v>154</v>
      </c>
      <c r="U96" s="28" t="s">
        <v>155</v>
      </c>
      <c r="V96" s="28" t="s">
        <v>537</v>
      </c>
      <c r="W96" s="28" t="s">
        <v>540</v>
      </c>
      <c r="X96" s="28" t="s">
        <v>149</v>
      </c>
      <c r="Y96" s="28" t="s">
        <v>156</v>
      </c>
      <c r="Z96" s="30" t="s">
        <v>11</v>
      </c>
      <c r="AA96" s="28" t="s">
        <v>2276</v>
      </c>
      <c r="AB96" s="28" t="s">
        <v>2401</v>
      </c>
      <c r="AC96" s="28" t="s">
        <v>2401</v>
      </c>
      <c r="AD96" s="28" t="s">
        <v>2401</v>
      </c>
      <c r="AE96" s="28" t="s">
        <v>2401</v>
      </c>
      <c r="AF96" s="30" t="s">
        <v>11</v>
      </c>
      <c r="AG96" s="28" t="s">
        <v>2401</v>
      </c>
    </row>
    <row r="97" spans="1:33" x14ac:dyDescent="0.3">
      <c r="A97" s="28" t="s">
        <v>542</v>
      </c>
      <c r="B97" s="34"/>
      <c r="C97" s="30" t="s">
        <v>11</v>
      </c>
      <c r="D97" s="28" t="s">
        <v>6</v>
      </c>
      <c r="E97" s="28">
        <v>200</v>
      </c>
      <c r="F97" s="30" t="s">
        <v>11</v>
      </c>
      <c r="G97" s="28" t="s">
        <v>543</v>
      </c>
      <c r="H97" s="30" t="s">
        <v>11</v>
      </c>
      <c r="I97" s="28" t="s">
        <v>2401</v>
      </c>
      <c r="J97" s="30" t="s">
        <v>2382</v>
      </c>
      <c r="K97" s="28" t="s">
        <v>544</v>
      </c>
      <c r="L97" s="28" t="s">
        <v>157</v>
      </c>
      <c r="M97" s="30" t="s">
        <v>11</v>
      </c>
      <c r="N97" s="28" t="s">
        <v>542</v>
      </c>
      <c r="O97" s="30" t="s">
        <v>11</v>
      </c>
      <c r="P97" s="28" t="s">
        <v>545</v>
      </c>
      <c r="Q97" s="28" t="s">
        <v>149</v>
      </c>
      <c r="R97" s="28" t="s">
        <v>153</v>
      </c>
      <c r="S97" s="28" t="s">
        <v>150</v>
      </c>
      <c r="T97" s="28" t="s">
        <v>154</v>
      </c>
      <c r="U97" s="28" t="s">
        <v>155</v>
      </c>
      <c r="V97" s="28" t="s">
        <v>542</v>
      </c>
      <c r="W97" s="28" t="s">
        <v>545</v>
      </c>
      <c r="X97" s="28" t="s">
        <v>149</v>
      </c>
      <c r="Y97" s="28" t="s">
        <v>156</v>
      </c>
      <c r="Z97" s="30" t="s">
        <v>11</v>
      </c>
      <c r="AA97" s="28" t="s">
        <v>2276</v>
      </c>
      <c r="AB97" s="28" t="s">
        <v>2401</v>
      </c>
      <c r="AC97" s="28" t="s">
        <v>2401</v>
      </c>
      <c r="AD97" s="28" t="s">
        <v>2401</v>
      </c>
      <c r="AE97" s="28" t="s">
        <v>2401</v>
      </c>
      <c r="AF97" s="30" t="s">
        <v>11</v>
      </c>
      <c r="AG97" s="28" t="s">
        <v>2401</v>
      </c>
    </row>
    <row r="98" spans="1:33" x14ac:dyDescent="0.3">
      <c r="A98" s="28" t="s">
        <v>547</v>
      </c>
      <c r="B98" s="34"/>
      <c r="C98" s="30" t="s">
        <v>11</v>
      </c>
      <c r="D98" s="28" t="s">
        <v>6</v>
      </c>
      <c r="E98" s="28">
        <v>200</v>
      </c>
      <c r="F98" s="30" t="s">
        <v>11</v>
      </c>
      <c r="G98" s="28" t="s">
        <v>548</v>
      </c>
      <c r="H98" s="30" t="s">
        <v>11</v>
      </c>
      <c r="I98" s="28" t="s">
        <v>2401</v>
      </c>
      <c r="J98" s="30" t="s">
        <v>2382</v>
      </c>
      <c r="K98" s="28" t="s">
        <v>549</v>
      </c>
      <c r="L98" s="28" t="s">
        <v>157</v>
      </c>
      <c r="M98" s="30" t="s">
        <v>11</v>
      </c>
      <c r="N98" s="28" t="s">
        <v>547</v>
      </c>
      <c r="O98" s="30" t="s">
        <v>11</v>
      </c>
      <c r="P98" s="28" t="s">
        <v>550</v>
      </c>
      <c r="Q98" s="28" t="s">
        <v>149</v>
      </c>
      <c r="R98" s="28" t="s">
        <v>153</v>
      </c>
      <c r="S98" s="28" t="s">
        <v>150</v>
      </c>
      <c r="T98" s="28" t="s">
        <v>154</v>
      </c>
      <c r="U98" s="28" t="s">
        <v>155</v>
      </c>
      <c r="V98" s="28" t="s">
        <v>547</v>
      </c>
      <c r="W98" s="28" t="s">
        <v>550</v>
      </c>
      <c r="X98" s="28" t="s">
        <v>149</v>
      </c>
      <c r="Y98" s="28" t="s">
        <v>156</v>
      </c>
      <c r="Z98" s="31" t="str">
        <f t="shared" ref="Z98:Z101" si="6">IF(AND(J94="Pass", H94="Pass"), "Pass", "Not")</f>
        <v>Pass</v>
      </c>
      <c r="AA98" s="28" t="s">
        <v>2276</v>
      </c>
      <c r="AB98" s="28" t="s">
        <v>2401</v>
      </c>
      <c r="AC98" s="28" t="s">
        <v>2401</v>
      </c>
      <c r="AD98" s="28" t="s">
        <v>2401</v>
      </c>
      <c r="AE98" s="28" t="s">
        <v>2401</v>
      </c>
      <c r="AF98" s="30" t="s">
        <v>11</v>
      </c>
      <c r="AG98" s="28" t="s">
        <v>2401</v>
      </c>
    </row>
    <row r="99" spans="1:33" x14ac:dyDescent="0.3">
      <c r="A99" s="28" t="s">
        <v>551</v>
      </c>
      <c r="B99" s="34" t="s">
        <v>65</v>
      </c>
      <c r="C99" s="30" t="s">
        <v>11</v>
      </c>
      <c r="D99" s="28" t="s">
        <v>6</v>
      </c>
      <c r="E99" s="28">
        <v>200</v>
      </c>
      <c r="F99" s="30" t="s">
        <v>11</v>
      </c>
      <c r="G99" s="28" t="s">
        <v>548</v>
      </c>
      <c r="H99" s="30" t="s">
        <v>11</v>
      </c>
      <c r="I99" s="28" t="s">
        <v>2401</v>
      </c>
      <c r="J99" s="30" t="s">
        <v>11</v>
      </c>
      <c r="K99" s="28" t="s">
        <v>549</v>
      </c>
      <c r="L99" s="28" t="s">
        <v>157</v>
      </c>
      <c r="M99" s="30" t="s">
        <v>11</v>
      </c>
      <c r="N99" s="28" t="s">
        <v>547</v>
      </c>
      <c r="O99" s="30" t="s">
        <v>11</v>
      </c>
      <c r="P99" s="28" t="s">
        <v>550</v>
      </c>
      <c r="Q99" s="28" t="s">
        <v>149</v>
      </c>
      <c r="R99" s="28" t="s">
        <v>153</v>
      </c>
      <c r="S99" s="28" t="s">
        <v>150</v>
      </c>
      <c r="T99" s="28" t="s">
        <v>154</v>
      </c>
      <c r="U99" s="28" t="s">
        <v>155</v>
      </c>
      <c r="V99" s="28" t="s">
        <v>547</v>
      </c>
      <c r="W99" s="28" t="s">
        <v>550</v>
      </c>
      <c r="X99" s="28" t="s">
        <v>149</v>
      </c>
      <c r="Y99" s="28" t="s">
        <v>156</v>
      </c>
      <c r="Z99" s="30" t="s">
        <v>11</v>
      </c>
      <c r="AA99" s="28" t="s">
        <v>2276</v>
      </c>
      <c r="AB99" s="28" t="s">
        <v>2401</v>
      </c>
      <c r="AC99" s="28" t="s">
        <v>2401</v>
      </c>
      <c r="AD99" s="28" t="s">
        <v>2401</v>
      </c>
      <c r="AE99" s="28" t="s">
        <v>2401</v>
      </c>
      <c r="AF99" s="30" t="s">
        <v>11</v>
      </c>
      <c r="AG99" s="28" t="s">
        <v>2401</v>
      </c>
    </row>
    <row r="100" spans="1:33" x14ac:dyDescent="0.3">
      <c r="A100" s="28" t="s">
        <v>553</v>
      </c>
      <c r="B100" s="34" t="s">
        <v>65</v>
      </c>
      <c r="C100" s="30" t="s">
        <v>11</v>
      </c>
      <c r="D100" s="28" t="s">
        <v>6</v>
      </c>
      <c r="E100" s="28">
        <v>200</v>
      </c>
      <c r="F100" s="30" t="s">
        <v>11</v>
      </c>
      <c r="G100" s="28" t="s">
        <v>554</v>
      </c>
      <c r="H100" s="30" t="s">
        <v>11</v>
      </c>
      <c r="I100" s="28" t="s">
        <v>2401</v>
      </c>
      <c r="J100" s="30" t="s">
        <v>11</v>
      </c>
      <c r="K100" s="28" t="s">
        <v>549</v>
      </c>
      <c r="L100" s="28" t="s">
        <v>157</v>
      </c>
      <c r="M100" s="30" t="s">
        <v>11</v>
      </c>
      <c r="N100" s="28" t="s">
        <v>553</v>
      </c>
      <c r="O100" s="30" t="s">
        <v>11</v>
      </c>
      <c r="P100" s="28" t="s">
        <v>550</v>
      </c>
      <c r="Q100" s="28" t="s">
        <v>149</v>
      </c>
      <c r="R100" s="28" t="s">
        <v>153</v>
      </c>
      <c r="S100" s="28" t="s">
        <v>150</v>
      </c>
      <c r="T100" s="28" t="s">
        <v>154</v>
      </c>
      <c r="U100" s="28" t="s">
        <v>155</v>
      </c>
      <c r="V100" s="28" t="s">
        <v>553</v>
      </c>
      <c r="W100" s="28" t="s">
        <v>550</v>
      </c>
      <c r="X100" s="28" t="s">
        <v>149</v>
      </c>
      <c r="Y100" s="28" t="s">
        <v>156</v>
      </c>
      <c r="Z100" s="30" t="s">
        <v>11</v>
      </c>
      <c r="AA100" s="28" t="s">
        <v>2276</v>
      </c>
      <c r="AB100" s="28" t="s">
        <v>2401</v>
      </c>
      <c r="AC100" s="28" t="s">
        <v>2401</v>
      </c>
      <c r="AD100" s="28" t="s">
        <v>2401</v>
      </c>
      <c r="AE100" s="28" t="s">
        <v>2401</v>
      </c>
      <c r="AF100" s="30" t="s">
        <v>11</v>
      </c>
      <c r="AG100" s="28" t="s">
        <v>2401</v>
      </c>
    </row>
    <row r="101" spans="1:33" x14ac:dyDescent="0.3">
      <c r="A101" s="28" t="s">
        <v>556</v>
      </c>
      <c r="B101" s="34"/>
      <c r="C101" s="30" t="s">
        <v>11</v>
      </c>
      <c r="D101" s="28" t="s">
        <v>6</v>
      </c>
      <c r="E101" s="28">
        <v>200</v>
      </c>
      <c r="F101" s="30" t="s">
        <v>11</v>
      </c>
      <c r="G101" s="28" t="s">
        <v>557</v>
      </c>
      <c r="H101" s="30" t="s">
        <v>11</v>
      </c>
      <c r="I101" s="28" t="s">
        <v>2401</v>
      </c>
      <c r="J101" s="30" t="s">
        <v>2382</v>
      </c>
      <c r="K101" s="28" t="s">
        <v>558</v>
      </c>
      <c r="L101" s="28" t="s">
        <v>157</v>
      </c>
      <c r="M101" s="30" t="s">
        <v>11</v>
      </c>
      <c r="N101" s="28" t="s">
        <v>556</v>
      </c>
      <c r="O101" s="30" t="s">
        <v>11</v>
      </c>
      <c r="P101" s="28" t="s">
        <v>559</v>
      </c>
      <c r="Q101" s="28" t="s">
        <v>149</v>
      </c>
      <c r="R101" s="28" t="s">
        <v>153</v>
      </c>
      <c r="S101" s="28" t="s">
        <v>150</v>
      </c>
      <c r="T101" s="28" t="s">
        <v>154</v>
      </c>
      <c r="U101" s="28" t="s">
        <v>155</v>
      </c>
      <c r="V101" s="28" t="s">
        <v>556</v>
      </c>
      <c r="W101" s="28" t="s">
        <v>559</v>
      </c>
      <c r="X101" s="28" t="s">
        <v>149</v>
      </c>
      <c r="Y101" s="28" t="s">
        <v>156</v>
      </c>
      <c r="Z101" s="31" t="str">
        <f t="shared" si="6"/>
        <v>Not</v>
      </c>
      <c r="AA101" s="28" t="s">
        <v>2276</v>
      </c>
      <c r="AB101" s="28" t="s">
        <v>2401</v>
      </c>
      <c r="AC101" s="28" t="s">
        <v>2401</v>
      </c>
      <c r="AD101" s="28" t="s">
        <v>2401</v>
      </c>
      <c r="AE101" s="28" t="s">
        <v>2401</v>
      </c>
      <c r="AF101" s="30" t="s">
        <v>11</v>
      </c>
      <c r="AG101" s="28" t="s">
        <v>2401</v>
      </c>
    </row>
    <row r="102" spans="1:33" x14ac:dyDescent="0.3">
      <c r="A102" s="28" t="s">
        <v>560</v>
      </c>
      <c r="B102" s="34" t="s">
        <v>65</v>
      </c>
      <c r="C102" s="30" t="s">
        <v>11</v>
      </c>
      <c r="D102" s="28" t="s">
        <v>6</v>
      </c>
      <c r="E102" s="28">
        <v>200</v>
      </c>
      <c r="F102" s="30" t="s">
        <v>11</v>
      </c>
      <c r="G102" s="28" t="s">
        <v>557</v>
      </c>
      <c r="H102" s="30" t="s">
        <v>11</v>
      </c>
      <c r="I102" s="28" t="s">
        <v>2401</v>
      </c>
      <c r="J102" s="30" t="s">
        <v>11</v>
      </c>
      <c r="K102" s="28" t="s">
        <v>558</v>
      </c>
      <c r="L102" s="28" t="s">
        <v>157</v>
      </c>
      <c r="M102" s="30" t="s">
        <v>11</v>
      </c>
      <c r="N102" s="28" t="s">
        <v>556</v>
      </c>
      <c r="O102" s="30" t="s">
        <v>11</v>
      </c>
      <c r="P102" s="28" t="s">
        <v>559</v>
      </c>
      <c r="Q102" s="28" t="s">
        <v>149</v>
      </c>
      <c r="R102" s="28" t="s">
        <v>153</v>
      </c>
      <c r="S102" s="28" t="s">
        <v>150</v>
      </c>
      <c r="T102" s="28" t="s">
        <v>154</v>
      </c>
      <c r="U102" s="28" t="s">
        <v>155</v>
      </c>
      <c r="V102" s="28" t="s">
        <v>556</v>
      </c>
      <c r="W102" s="28" t="s">
        <v>559</v>
      </c>
      <c r="X102" s="28" t="s">
        <v>149</v>
      </c>
      <c r="Y102" s="28" t="s">
        <v>156</v>
      </c>
      <c r="Z102" s="30" t="s">
        <v>11</v>
      </c>
      <c r="AA102" s="28" t="s">
        <v>2276</v>
      </c>
      <c r="AB102" s="28" t="s">
        <v>2401</v>
      </c>
      <c r="AC102" s="28" t="s">
        <v>2401</v>
      </c>
      <c r="AD102" s="28" t="s">
        <v>2401</v>
      </c>
      <c r="AE102" s="28" t="s">
        <v>2401</v>
      </c>
      <c r="AF102" s="30" t="s">
        <v>11</v>
      </c>
      <c r="AG102" s="28" t="s">
        <v>2401</v>
      </c>
    </row>
    <row r="103" spans="1:33" x14ac:dyDescent="0.3">
      <c r="A103" s="28" t="s">
        <v>561</v>
      </c>
      <c r="B103" s="34" t="s">
        <v>65</v>
      </c>
      <c r="C103" s="30" t="s">
        <v>11</v>
      </c>
      <c r="D103" s="28" t="s">
        <v>6</v>
      </c>
      <c r="E103" s="28">
        <v>200</v>
      </c>
      <c r="F103" s="30" t="s">
        <v>11</v>
      </c>
      <c r="G103" s="28" t="s">
        <v>562</v>
      </c>
      <c r="H103" s="30" t="s">
        <v>11</v>
      </c>
      <c r="I103" s="28" t="s">
        <v>2401</v>
      </c>
      <c r="J103" s="30" t="s">
        <v>11</v>
      </c>
      <c r="K103" s="28" t="s">
        <v>558</v>
      </c>
      <c r="L103" s="28" t="s">
        <v>157</v>
      </c>
      <c r="M103" s="30" t="s">
        <v>11</v>
      </c>
      <c r="N103" s="28" t="s">
        <v>561</v>
      </c>
      <c r="O103" s="30" t="s">
        <v>11</v>
      </c>
      <c r="P103" s="28" t="s">
        <v>559</v>
      </c>
      <c r="Q103" s="28" t="s">
        <v>149</v>
      </c>
      <c r="R103" s="28" t="s">
        <v>153</v>
      </c>
      <c r="S103" s="28" t="s">
        <v>150</v>
      </c>
      <c r="T103" s="28" t="s">
        <v>154</v>
      </c>
      <c r="U103" s="28" t="s">
        <v>155</v>
      </c>
      <c r="V103" s="28" t="s">
        <v>561</v>
      </c>
      <c r="W103" s="28" t="s">
        <v>559</v>
      </c>
      <c r="X103" s="28" t="s">
        <v>149</v>
      </c>
      <c r="Y103" s="28" t="s">
        <v>156</v>
      </c>
      <c r="Z103" s="30" t="s">
        <v>11</v>
      </c>
      <c r="AA103" s="28" t="s">
        <v>2276</v>
      </c>
      <c r="AB103" s="28" t="s">
        <v>2401</v>
      </c>
      <c r="AC103" s="28" t="s">
        <v>2401</v>
      </c>
      <c r="AD103" s="28" t="s">
        <v>2401</v>
      </c>
      <c r="AE103" s="28" t="s">
        <v>2401</v>
      </c>
      <c r="AF103" s="30" t="s">
        <v>11</v>
      </c>
      <c r="AG103" s="28" t="s">
        <v>2401</v>
      </c>
    </row>
    <row r="104" spans="1:33" x14ac:dyDescent="0.3">
      <c r="A104" s="28" t="s">
        <v>564</v>
      </c>
      <c r="B104" s="34"/>
      <c r="C104" s="30" t="s">
        <v>11</v>
      </c>
      <c r="D104" s="28" t="s">
        <v>6</v>
      </c>
      <c r="E104" s="28">
        <v>200</v>
      </c>
      <c r="F104" s="30" t="s">
        <v>11</v>
      </c>
      <c r="G104" s="28" t="s">
        <v>565</v>
      </c>
      <c r="H104" s="30" t="s">
        <v>11</v>
      </c>
      <c r="I104" s="28" t="s">
        <v>2401</v>
      </c>
      <c r="J104" s="30" t="s">
        <v>2382</v>
      </c>
      <c r="K104" s="28" t="s">
        <v>566</v>
      </c>
      <c r="L104" s="28" t="s">
        <v>157</v>
      </c>
      <c r="M104" s="30" t="s">
        <v>11</v>
      </c>
      <c r="N104" s="28" t="s">
        <v>564</v>
      </c>
      <c r="O104" s="30" t="s">
        <v>11</v>
      </c>
      <c r="P104" s="28" t="s">
        <v>567</v>
      </c>
      <c r="Q104" s="28" t="s">
        <v>149</v>
      </c>
      <c r="R104" s="28" t="s">
        <v>153</v>
      </c>
      <c r="S104" s="28" t="s">
        <v>150</v>
      </c>
      <c r="T104" s="28" t="s">
        <v>154</v>
      </c>
      <c r="U104" s="28" t="s">
        <v>155</v>
      </c>
      <c r="V104" s="28" t="s">
        <v>564</v>
      </c>
      <c r="W104" s="28" t="s">
        <v>567</v>
      </c>
      <c r="X104" s="28" t="s">
        <v>149</v>
      </c>
      <c r="Y104" s="28" t="s">
        <v>156</v>
      </c>
      <c r="Z104" s="30" t="s">
        <v>11</v>
      </c>
      <c r="AA104" s="28" t="s">
        <v>2276</v>
      </c>
      <c r="AB104" s="28" t="s">
        <v>2401</v>
      </c>
      <c r="AC104" s="28" t="s">
        <v>2401</v>
      </c>
      <c r="AD104" s="28" t="s">
        <v>2401</v>
      </c>
      <c r="AE104" s="28" t="s">
        <v>2401</v>
      </c>
      <c r="AF104" s="30" t="s">
        <v>11</v>
      </c>
      <c r="AG104" s="28" t="s">
        <v>2401</v>
      </c>
    </row>
    <row r="105" spans="1:33" x14ac:dyDescent="0.3">
      <c r="A105" s="28" t="s">
        <v>569</v>
      </c>
      <c r="B105" s="34"/>
      <c r="C105" s="30" t="s">
        <v>11</v>
      </c>
      <c r="D105" s="28" t="s">
        <v>6</v>
      </c>
      <c r="E105" s="28">
        <v>200</v>
      </c>
      <c r="F105" s="30" t="s">
        <v>11</v>
      </c>
      <c r="G105" s="28" t="s">
        <v>570</v>
      </c>
      <c r="H105" s="30" t="s">
        <v>11</v>
      </c>
      <c r="I105" s="28" t="s">
        <v>2401</v>
      </c>
      <c r="J105" s="30" t="s">
        <v>2382</v>
      </c>
      <c r="K105" s="28" t="s">
        <v>571</v>
      </c>
      <c r="L105" s="28" t="s">
        <v>157</v>
      </c>
      <c r="M105" s="30" t="s">
        <v>11</v>
      </c>
      <c r="N105" s="28" t="s">
        <v>569</v>
      </c>
      <c r="O105" s="30" t="s">
        <v>11</v>
      </c>
      <c r="P105" s="28" t="s">
        <v>572</v>
      </c>
      <c r="Q105" s="28" t="s">
        <v>149</v>
      </c>
      <c r="R105" s="28" t="s">
        <v>153</v>
      </c>
      <c r="S105" s="28" t="s">
        <v>150</v>
      </c>
      <c r="T105" s="28" t="s">
        <v>154</v>
      </c>
      <c r="U105" s="28" t="s">
        <v>155</v>
      </c>
      <c r="V105" s="28" t="s">
        <v>569</v>
      </c>
      <c r="W105" s="28" t="s">
        <v>572</v>
      </c>
      <c r="X105" s="28" t="s">
        <v>149</v>
      </c>
      <c r="Y105" s="28" t="s">
        <v>156</v>
      </c>
      <c r="Z105" s="30" t="s">
        <v>11</v>
      </c>
      <c r="AA105" s="28" t="s">
        <v>2276</v>
      </c>
      <c r="AB105" s="28" t="s">
        <v>2401</v>
      </c>
      <c r="AC105" s="28" t="s">
        <v>2401</v>
      </c>
      <c r="AD105" s="28" t="s">
        <v>2401</v>
      </c>
      <c r="AE105" s="28" t="s">
        <v>2401</v>
      </c>
      <c r="AF105" s="30" t="s">
        <v>11</v>
      </c>
      <c r="AG105" s="28" t="s">
        <v>2401</v>
      </c>
    </row>
    <row r="106" spans="1:33" x14ac:dyDescent="0.3">
      <c r="A106" s="28" t="s">
        <v>574</v>
      </c>
      <c r="B106" s="34"/>
      <c r="C106" s="30" t="s">
        <v>11</v>
      </c>
      <c r="D106" s="28" t="s">
        <v>6</v>
      </c>
      <c r="E106" s="28">
        <v>200</v>
      </c>
      <c r="F106" s="30" t="s">
        <v>11</v>
      </c>
      <c r="G106" s="28" t="s">
        <v>575</v>
      </c>
      <c r="H106" s="30" t="s">
        <v>11</v>
      </c>
      <c r="I106" s="28" t="s">
        <v>2401</v>
      </c>
      <c r="J106" s="30" t="s">
        <v>2382</v>
      </c>
      <c r="K106" s="28" t="s">
        <v>576</v>
      </c>
      <c r="L106" s="28" t="s">
        <v>157</v>
      </c>
      <c r="M106" s="30" t="s">
        <v>11</v>
      </c>
      <c r="N106" s="28" t="s">
        <v>574</v>
      </c>
      <c r="O106" s="30" t="s">
        <v>11</v>
      </c>
      <c r="P106" s="28" t="s">
        <v>577</v>
      </c>
      <c r="Q106" s="28" t="s">
        <v>149</v>
      </c>
      <c r="R106" s="28" t="s">
        <v>153</v>
      </c>
      <c r="S106" s="28" t="s">
        <v>150</v>
      </c>
      <c r="T106" s="28" t="s">
        <v>154</v>
      </c>
      <c r="U106" s="28" t="s">
        <v>155</v>
      </c>
      <c r="V106" s="28" t="s">
        <v>574</v>
      </c>
      <c r="W106" s="28" t="s">
        <v>577</v>
      </c>
      <c r="X106" s="28" t="s">
        <v>149</v>
      </c>
      <c r="Y106" s="28" t="s">
        <v>156</v>
      </c>
      <c r="Z106" s="30" t="s">
        <v>11</v>
      </c>
      <c r="AA106" s="28" t="s">
        <v>2276</v>
      </c>
      <c r="AB106" s="28" t="s">
        <v>2401</v>
      </c>
      <c r="AC106" s="28" t="s">
        <v>2401</v>
      </c>
      <c r="AD106" s="28" t="s">
        <v>2401</v>
      </c>
      <c r="AE106" s="28" t="s">
        <v>2401</v>
      </c>
      <c r="AF106" s="30" t="s">
        <v>11</v>
      </c>
      <c r="AG106" s="28" t="s">
        <v>2401</v>
      </c>
    </row>
    <row r="107" spans="1:33" x14ac:dyDescent="0.3">
      <c r="A107" s="28" t="s">
        <v>579</v>
      </c>
      <c r="B107" s="34"/>
      <c r="C107" s="30" t="s">
        <v>11</v>
      </c>
      <c r="D107" s="28" t="s">
        <v>6</v>
      </c>
      <c r="E107" s="28">
        <v>200</v>
      </c>
      <c r="F107" s="30" t="s">
        <v>11</v>
      </c>
      <c r="G107" s="28" t="s">
        <v>580</v>
      </c>
      <c r="H107" s="30" t="s">
        <v>11</v>
      </c>
      <c r="I107" s="28" t="s">
        <v>2401</v>
      </c>
      <c r="J107" s="30" t="s">
        <v>2382</v>
      </c>
      <c r="K107" s="28" t="s">
        <v>581</v>
      </c>
      <c r="L107" s="28" t="s">
        <v>157</v>
      </c>
      <c r="M107" s="30" t="s">
        <v>11</v>
      </c>
      <c r="N107" s="28" t="s">
        <v>579</v>
      </c>
      <c r="O107" s="30" t="s">
        <v>11</v>
      </c>
      <c r="P107" s="28" t="s">
        <v>582</v>
      </c>
      <c r="Q107" s="28" t="s">
        <v>149</v>
      </c>
      <c r="R107" s="28" t="s">
        <v>153</v>
      </c>
      <c r="S107" s="28" t="s">
        <v>150</v>
      </c>
      <c r="T107" s="28" t="s">
        <v>154</v>
      </c>
      <c r="U107" s="28" t="s">
        <v>155</v>
      </c>
      <c r="V107" s="28" t="s">
        <v>579</v>
      </c>
      <c r="W107" s="28" t="s">
        <v>582</v>
      </c>
      <c r="X107" s="28" t="s">
        <v>149</v>
      </c>
      <c r="Y107" s="28" t="s">
        <v>156</v>
      </c>
      <c r="Z107" s="31" t="str">
        <f t="shared" ref="Z107" si="7">IF(AND(J103="Pass", H103="Pass"), "Pass", "Not")</f>
        <v>Pass</v>
      </c>
      <c r="AA107" s="28" t="s">
        <v>2276</v>
      </c>
      <c r="AB107" s="28" t="s">
        <v>2401</v>
      </c>
      <c r="AC107" s="28" t="s">
        <v>2401</v>
      </c>
      <c r="AD107" s="28" t="s">
        <v>2401</v>
      </c>
      <c r="AE107" s="28" t="s">
        <v>2401</v>
      </c>
      <c r="AF107" s="30" t="s">
        <v>11</v>
      </c>
      <c r="AG107" s="28" t="s">
        <v>2401</v>
      </c>
    </row>
    <row r="108" spans="1:33" x14ac:dyDescent="0.3">
      <c r="A108" s="28" t="s">
        <v>583</v>
      </c>
      <c r="B108" s="34" t="s">
        <v>65</v>
      </c>
      <c r="C108" s="30" t="s">
        <v>11</v>
      </c>
      <c r="D108" s="28" t="s">
        <v>6</v>
      </c>
      <c r="E108" s="28">
        <v>200</v>
      </c>
      <c r="F108" s="30" t="s">
        <v>11</v>
      </c>
      <c r="G108" s="28" t="s">
        <v>580</v>
      </c>
      <c r="H108" s="30" t="s">
        <v>11</v>
      </c>
      <c r="I108" s="28" t="s">
        <v>2401</v>
      </c>
      <c r="J108" s="30" t="s">
        <v>11</v>
      </c>
      <c r="K108" s="28" t="s">
        <v>581</v>
      </c>
      <c r="L108" s="28" t="s">
        <v>157</v>
      </c>
      <c r="M108" s="30" t="s">
        <v>11</v>
      </c>
      <c r="N108" s="28" t="s">
        <v>579</v>
      </c>
      <c r="O108" s="30" t="s">
        <v>11</v>
      </c>
      <c r="P108" s="28" t="s">
        <v>582</v>
      </c>
      <c r="Q108" s="28" t="s">
        <v>149</v>
      </c>
      <c r="R108" s="28" t="s">
        <v>153</v>
      </c>
      <c r="S108" s="28" t="s">
        <v>150</v>
      </c>
      <c r="T108" s="28" t="s">
        <v>154</v>
      </c>
      <c r="U108" s="28" t="s">
        <v>155</v>
      </c>
      <c r="V108" s="28" t="s">
        <v>579</v>
      </c>
      <c r="W108" s="28" t="s">
        <v>582</v>
      </c>
      <c r="X108" s="28" t="s">
        <v>149</v>
      </c>
      <c r="Y108" s="28" t="s">
        <v>156</v>
      </c>
      <c r="Z108" s="30" t="s">
        <v>11</v>
      </c>
      <c r="AA108" s="28" t="s">
        <v>2276</v>
      </c>
      <c r="AB108" s="28" t="s">
        <v>2401</v>
      </c>
      <c r="AC108" s="28" t="s">
        <v>2401</v>
      </c>
      <c r="AD108" s="28" t="s">
        <v>2401</v>
      </c>
      <c r="AE108" s="28" t="s">
        <v>2401</v>
      </c>
      <c r="AF108" s="30" t="s">
        <v>11</v>
      </c>
      <c r="AG108" s="28" t="s">
        <v>2401</v>
      </c>
    </row>
    <row r="109" spans="1:33" x14ac:dyDescent="0.3">
      <c r="A109" s="28" t="s">
        <v>584</v>
      </c>
      <c r="B109" s="34" t="s">
        <v>65</v>
      </c>
      <c r="C109" s="30" t="s">
        <v>11</v>
      </c>
      <c r="D109" s="28" t="s">
        <v>6</v>
      </c>
      <c r="E109" s="28">
        <v>200</v>
      </c>
      <c r="F109" s="30" t="s">
        <v>11</v>
      </c>
      <c r="G109" s="28" t="s">
        <v>585</v>
      </c>
      <c r="H109" s="30" t="s">
        <v>11</v>
      </c>
      <c r="I109" s="28" t="s">
        <v>2401</v>
      </c>
      <c r="J109" s="30" t="s">
        <v>11</v>
      </c>
      <c r="K109" s="28" t="s">
        <v>581</v>
      </c>
      <c r="L109" s="28" t="s">
        <v>157</v>
      </c>
      <c r="M109" s="30" t="s">
        <v>11</v>
      </c>
      <c r="N109" s="28" t="s">
        <v>584</v>
      </c>
      <c r="O109" s="30" t="s">
        <v>11</v>
      </c>
      <c r="P109" s="28" t="s">
        <v>582</v>
      </c>
      <c r="Q109" s="28" t="s">
        <v>149</v>
      </c>
      <c r="R109" s="28" t="s">
        <v>153</v>
      </c>
      <c r="S109" s="28" t="s">
        <v>150</v>
      </c>
      <c r="T109" s="28" t="s">
        <v>154</v>
      </c>
      <c r="U109" s="28" t="s">
        <v>155</v>
      </c>
      <c r="V109" s="28" t="s">
        <v>584</v>
      </c>
      <c r="W109" s="28" t="s">
        <v>582</v>
      </c>
      <c r="X109" s="28" t="s">
        <v>149</v>
      </c>
      <c r="Y109" s="28" t="s">
        <v>156</v>
      </c>
      <c r="Z109" s="30" t="s">
        <v>11</v>
      </c>
      <c r="AA109" s="28" t="s">
        <v>2276</v>
      </c>
      <c r="AB109" s="28" t="s">
        <v>2401</v>
      </c>
      <c r="AC109" s="28" t="s">
        <v>2401</v>
      </c>
      <c r="AD109" s="28" t="s">
        <v>2401</v>
      </c>
      <c r="AE109" s="28" t="s">
        <v>2401</v>
      </c>
      <c r="AF109" s="30" t="s">
        <v>11</v>
      </c>
      <c r="AG109" s="28" t="s">
        <v>2401</v>
      </c>
    </row>
    <row r="110" spans="1:33" x14ac:dyDescent="0.3">
      <c r="A110" s="28" t="s">
        <v>587</v>
      </c>
      <c r="B110" s="34" t="s">
        <v>65</v>
      </c>
      <c r="C110" s="30" t="s">
        <v>11</v>
      </c>
      <c r="D110" s="28" t="s">
        <v>6</v>
      </c>
      <c r="E110" s="28">
        <v>200</v>
      </c>
      <c r="F110" s="30" t="s">
        <v>11</v>
      </c>
      <c r="G110" s="28" t="s">
        <v>588</v>
      </c>
      <c r="H110" s="30" t="s">
        <v>11</v>
      </c>
      <c r="I110" s="28" t="s">
        <v>2401</v>
      </c>
      <c r="J110" s="30" t="s">
        <v>11</v>
      </c>
      <c r="K110" s="28" t="s">
        <v>581</v>
      </c>
      <c r="L110" s="28" t="s">
        <v>157</v>
      </c>
      <c r="M110" s="30" t="s">
        <v>11</v>
      </c>
      <c r="N110" s="28" t="s">
        <v>587</v>
      </c>
      <c r="O110" s="30" t="s">
        <v>11</v>
      </c>
      <c r="P110" s="28" t="s">
        <v>582</v>
      </c>
      <c r="Q110" s="28" t="s">
        <v>149</v>
      </c>
      <c r="R110" s="28" t="s">
        <v>153</v>
      </c>
      <c r="S110" s="28" t="s">
        <v>150</v>
      </c>
      <c r="T110" s="28" t="s">
        <v>154</v>
      </c>
      <c r="U110" s="28" t="s">
        <v>155</v>
      </c>
      <c r="V110" s="28" t="s">
        <v>587</v>
      </c>
      <c r="W110" s="28" t="s">
        <v>582</v>
      </c>
      <c r="X110" s="28" t="s">
        <v>149</v>
      </c>
      <c r="Y110" s="28" t="s">
        <v>156</v>
      </c>
      <c r="Z110" s="30" t="s">
        <v>11</v>
      </c>
      <c r="AA110" s="28" t="s">
        <v>2276</v>
      </c>
      <c r="AB110" s="28" t="s">
        <v>2401</v>
      </c>
      <c r="AC110" s="28" t="s">
        <v>2401</v>
      </c>
      <c r="AD110" s="28" t="s">
        <v>2401</v>
      </c>
      <c r="AE110" s="28" t="s">
        <v>2401</v>
      </c>
      <c r="AF110" s="30" t="s">
        <v>11</v>
      </c>
      <c r="AG110" s="28" t="s">
        <v>2401</v>
      </c>
    </row>
    <row r="111" spans="1:33" x14ac:dyDescent="0.3">
      <c r="A111" s="28" t="s">
        <v>589</v>
      </c>
      <c r="B111" s="34" t="s">
        <v>58</v>
      </c>
      <c r="C111" s="30"/>
      <c r="D111" s="30"/>
      <c r="E111" s="28">
        <v>404</v>
      </c>
      <c r="F111" s="30" t="s">
        <v>2403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</row>
    <row r="112" spans="1:33" x14ac:dyDescent="0.3">
      <c r="A112" s="28" t="s">
        <v>591</v>
      </c>
      <c r="B112" s="34"/>
      <c r="C112" s="30" t="s">
        <v>11</v>
      </c>
      <c r="D112" s="28" t="s">
        <v>6</v>
      </c>
      <c r="E112" s="28">
        <v>200</v>
      </c>
      <c r="F112" s="30" t="s">
        <v>11</v>
      </c>
      <c r="G112" s="28" t="s">
        <v>592</v>
      </c>
      <c r="H112" s="30" t="s">
        <v>11</v>
      </c>
      <c r="I112" s="28" t="s">
        <v>2401</v>
      </c>
      <c r="J112" s="30" t="s">
        <v>2382</v>
      </c>
      <c r="K112" s="28" t="s">
        <v>593</v>
      </c>
      <c r="L112" s="28" t="s">
        <v>157</v>
      </c>
      <c r="M112" s="30" t="s">
        <v>11</v>
      </c>
      <c r="N112" s="28" t="s">
        <v>591</v>
      </c>
      <c r="O112" s="30" t="s">
        <v>11</v>
      </c>
      <c r="P112" s="28" t="s">
        <v>594</v>
      </c>
      <c r="Q112" s="28" t="s">
        <v>149</v>
      </c>
      <c r="R112" s="28" t="s">
        <v>153</v>
      </c>
      <c r="S112" s="28" t="s">
        <v>150</v>
      </c>
      <c r="T112" s="28" t="s">
        <v>154</v>
      </c>
      <c r="U112" s="28" t="s">
        <v>155</v>
      </c>
      <c r="V112" s="28" t="s">
        <v>591</v>
      </c>
      <c r="W112" s="28" t="s">
        <v>594</v>
      </c>
      <c r="X112" s="28" t="s">
        <v>149</v>
      </c>
      <c r="Y112" s="28" t="s">
        <v>156</v>
      </c>
      <c r="Z112" s="30" t="s">
        <v>11</v>
      </c>
      <c r="AA112" s="28" t="s">
        <v>2276</v>
      </c>
      <c r="AB112" s="28" t="s">
        <v>2401</v>
      </c>
      <c r="AC112" s="28" t="s">
        <v>2401</v>
      </c>
      <c r="AD112" s="28" t="s">
        <v>2401</v>
      </c>
      <c r="AE112" s="28" t="s">
        <v>2401</v>
      </c>
      <c r="AF112" s="30" t="s">
        <v>11</v>
      </c>
      <c r="AG112" s="28" t="s">
        <v>2401</v>
      </c>
    </row>
    <row r="113" spans="1:33" x14ac:dyDescent="0.3">
      <c r="A113" s="28" t="s">
        <v>596</v>
      </c>
      <c r="B113" s="34"/>
      <c r="C113" s="30" t="s">
        <v>11</v>
      </c>
      <c r="D113" s="28" t="s">
        <v>6</v>
      </c>
      <c r="E113" s="28">
        <v>200</v>
      </c>
      <c r="F113" s="30" t="s">
        <v>11</v>
      </c>
      <c r="G113" s="28" t="s">
        <v>597</v>
      </c>
      <c r="H113" s="30" t="s">
        <v>11</v>
      </c>
      <c r="I113" s="28" t="s">
        <v>2401</v>
      </c>
      <c r="J113" s="30" t="s">
        <v>2382</v>
      </c>
      <c r="K113" s="28" t="s">
        <v>598</v>
      </c>
      <c r="L113" s="28" t="s">
        <v>157</v>
      </c>
      <c r="M113" s="30" t="s">
        <v>11</v>
      </c>
      <c r="N113" s="28" t="s">
        <v>596</v>
      </c>
      <c r="O113" s="30" t="s">
        <v>11</v>
      </c>
      <c r="P113" s="28" t="s">
        <v>599</v>
      </c>
      <c r="Q113" s="28" t="s">
        <v>149</v>
      </c>
      <c r="R113" s="28" t="s">
        <v>153</v>
      </c>
      <c r="S113" s="28" t="s">
        <v>150</v>
      </c>
      <c r="T113" s="28" t="s">
        <v>154</v>
      </c>
      <c r="U113" s="28" t="s">
        <v>155</v>
      </c>
      <c r="V113" s="28" t="s">
        <v>596</v>
      </c>
      <c r="W113" s="28" t="s">
        <v>599</v>
      </c>
      <c r="X113" s="28" t="s">
        <v>149</v>
      </c>
      <c r="Y113" s="28" t="s">
        <v>156</v>
      </c>
      <c r="Z113" s="30" t="s">
        <v>11</v>
      </c>
      <c r="AA113" s="28" t="s">
        <v>2276</v>
      </c>
      <c r="AB113" s="28" t="s">
        <v>2401</v>
      </c>
      <c r="AC113" s="28" t="s">
        <v>2401</v>
      </c>
      <c r="AD113" s="28" t="s">
        <v>2401</v>
      </c>
      <c r="AE113" s="28" t="s">
        <v>2401</v>
      </c>
      <c r="AF113" s="30" t="s">
        <v>11</v>
      </c>
      <c r="AG113" s="28" t="s">
        <v>2401</v>
      </c>
    </row>
    <row r="114" spans="1:33" x14ac:dyDescent="0.3">
      <c r="A114" s="28" t="s">
        <v>601</v>
      </c>
      <c r="B114" s="34"/>
      <c r="C114" s="30" t="s">
        <v>11</v>
      </c>
      <c r="D114" s="28" t="s">
        <v>6</v>
      </c>
      <c r="E114" s="28">
        <v>200</v>
      </c>
      <c r="F114" s="30" t="s">
        <v>11</v>
      </c>
      <c r="G114" s="28" t="s">
        <v>602</v>
      </c>
      <c r="H114" s="30" t="s">
        <v>11</v>
      </c>
      <c r="I114" s="28" t="s">
        <v>2401</v>
      </c>
      <c r="J114" s="30" t="s">
        <v>2382</v>
      </c>
      <c r="K114" s="28" t="s">
        <v>603</v>
      </c>
      <c r="L114" s="28" t="s">
        <v>157</v>
      </c>
      <c r="M114" s="30" t="s">
        <v>11</v>
      </c>
      <c r="N114" s="28" t="s">
        <v>601</v>
      </c>
      <c r="O114" s="30" t="s">
        <v>11</v>
      </c>
      <c r="P114" s="28" t="s">
        <v>604</v>
      </c>
      <c r="Q114" s="28" t="s">
        <v>149</v>
      </c>
      <c r="R114" s="28" t="s">
        <v>153</v>
      </c>
      <c r="S114" s="28" t="s">
        <v>150</v>
      </c>
      <c r="T114" s="28" t="s">
        <v>154</v>
      </c>
      <c r="U114" s="28" t="s">
        <v>155</v>
      </c>
      <c r="V114" s="28" t="s">
        <v>601</v>
      </c>
      <c r="W114" s="28" t="s">
        <v>604</v>
      </c>
      <c r="X114" s="28" t="s">
        <v>149</v>
      </c>
      <c r="Y114" s="28" t="s">
        <v>156</v>
      </c>
      <c r="Z114" s="31" t="str">
        <f t="shared" ref="Z114:Z120" si="8">IF(AND(J110="Pass", H110="Pass"), "Pass", "Not")</f>
        <v>Pass</v>
      </c>
      <c r="AA114" s="28" t="s">
        <v>2276</v>
      </c>
      <c r="AB114" s="28" t="s">
        <v>2401</v>
      </c>
      <c r="AC114" s="28" t="s">
        <v>2401</v>
      </c>
      <c r="AD114" s="28" t="s">
        <v>2401</v>
      </c>
      <c r="AE114" s="28" t="s">
        <v>2401</v>
      </c>
      <c r="AF114" s="30" t="s">
        <v>11</v>
      </c>
      <c r="AG114" s="28" t="s">
        <v>2401</v>
      </c>
    </row>
    <row r="115" spans="1:33" x14ac:dyDescent="0.3">
      <c r="A115" s="28" t="s">
        <v>605</v>
      </c>
      <c r="B115" s="34" t="s">
        <v>65</v>
      </c>
      <c r="C115" s="30" t="s">
        <v>11</v>
      </c>
      <c r="D115" s="28" t="s">
        <v>6</v>
      </c>
      <c r="E115" s="28">
        <v>200</v>
      </c>
      <c r="F115" s="30" t="s">
        <v>11</v>
      </c>
      <c r="G115" s="28" t="s">
        <v>602</v>
      </c>
      <c r="H115" s="30" t="s">
        <v>11</v>
      </c>
      <c r="I115" s="28" t="s">
        <v>2401</v>
      </c>
      <c r="J115" s="30" t="s">
        <v>11</v>
      </c>
      <c r="K115" s="28" t="s">
        <v>603</v>
      </c>
      <c r="L115" s="28" t="s">
        <v>157</v>
      </c>
      <c r="M115" s="30" t="s">
        <v>11</v>
      </c>
      <c r="N115" s="28" t="s">
        <v>601</v>
      </c>
      <c r="O115" s="30" t="s">
        <v>11</v>
      </c>
      <c r="P115" s="28" t="s">
        <v>604</v>
      </c>
      <c r="Q115" s="28" t="s">
        <v>149</v>
      </c>
      <c r="R115" s="28" t="s">
        <v>153</v>
      </c>
      <c r="S115" s="28" t="s">
        <v>150</v>
      </c>
      <c r="T115" s="28" t="s">
        <v>154</v>
      </c>
      <c r="U115" s="28" t="s">
        <v>155</v>
      </c>
      <c r="V115" s="28" t="s">
        <v>601</v>
      </c>
      <c r="W115" s="28" t="s">
        <v>604</v>
      </c>
      <c r="X115" s="28" t="s">
        <v>149</v>
      </c>
      <c r="Y115" s="28" t="s">
        <v>156</v>
      </c>
      <c r="Z115" s="30" t="s">
        <v>11</v>
      </c>
      <c r="AA115" s="28" t="s">
        <v>2276</v>
      </c>
      <c r="AB115" s="28" t="s">
        <v>2401</v>
      </c>
      <c r="AC115" s="28" t="s">
        <v>2401</v>
      </c>
      <c r="AD115" s="28" t="s">
        <v>2401</v>
      </c>
      <c r="AE115" s="28" t="s">
        <v>2401</v>
      </c>
      <c r="AF115" s="30" t="s">
        <v>11</v>
      </c>
      <c r="AG115" s="28" t="s">
        <v>2401</v>
      </c>
    </row>
    <row r="116" spans="1:33" x14ac:dyDescent="0.3">
      <c r="A116" s="28" t="s">
        <v>607</v>
      </c>
      <c r="B116" s="34" t="s">
        <v>65</v>
      </c>
      <c r="C116" s="30" t="s">
        <v>11</v>
      </c>
      <c r="D116" s="28" t="s">
        <v>6</v>
      </c>
      <c r="E116" s="28">
        <v>200</v>
      </c>
      <c r="F116" s="30" t="s">
        <v>11</v>
      </c>
      <c r="G116" s="28" t="s">
        <v>608</v>
      </c>
      <c r="H116" s="30" t="s">
        <v>11</v>
      </c>
      <c r="I116" s="28" t="s">
        <v>2401</v>
      </c>
      <c r="J116" s="30" t="s">
        <v>11</v>
      </c>
      <c r="K116" s="28" t="s">
        <v>603</v>
      </c>
      <c r="L116" s="28" t="s">
        <v>157</v>
      </c>
      <c r="M116" s="30" t="s">
        <v>11</v>
      </c>
      <c r="N116" s="28" t="s">
        <v>607</v>
      </c>
      <c r="O116" s="30" t="s">
        <v>11</v>
      </c>
      <c r="P116" s="28" t="s">
        <v>604</v>
      </c>
      <c r="Q116" s="28" t="s">
        <v>149</v>
      </c>
      <c r="R116" s="28" t="s">
        <v>153</v>
      </c>
      <c r="S116" s="28" t="s">
        <v>150</v>
      </c>
      <c r="T116" s="28" t="s">
        <v>154</v>
      </c>
      <c r="U116" s="28" t="s">
        <v>155</v>
      </c>
      <c r="V116" s="28" t="s">
        <v>607</v>
      </c>
      <c r="W116" s="28" t="s">
        <v>604</v>
      </c>
      <c r="X116" s="28" t="s">
        <v>149</v>
      </c>
      <c r="Y116" s="28" t="s">
        <v>156</v>
      </c>
      <c r="Z116" s="30" t="s">
        <v>11</v>
      </c>
      <c r="AA116" s="28" t="s">
        <v>2276</v>
      </c>
      <c r="AB116" s="28" t="s">
        <v>2401</v>
      </c>
      <c r="AC116" s="28" t="s">
        <v>2401</v>
      </c>
      <c r="AD116" s="28" t="s">
        <v>2401</v>
      </c>
      <c r="AE116" s="28" t="s">
        <v>2401</v>
      </c>
      <c r="AF116" s="30" t="s">
        <v>11</v>
      </c>
      <c r="AG116" s="28" t="s">
        <v>2401</v>
      </c>
    </row>
    <row r="117" spans="1:33" x14ac:dyDescent="0.3">
      <c r="A117" s="28" t="s">
        <v>610</v>
      </c>
      <c r="B117" s="34"/>
      <c r="C117" s="30" t="s">
        <v>11</v>
      </c>
      <c r="D117" s="28" t="s">
        <v>6</v>
      </c>
      <c r="E117" s="28">
        <v>200</v>
      </c>
      <c r="F117" s="30" t="s">
        <v>11</v>
      </c>
      <c r="G117" s="28" t="s">
        <v>611</v>
      </c>
      <c r="H117" s="30" t="s">
        <v>11</v>
      </c>
      <c r="I117" s="28" t="s">
        <v>2401</v>
      </c>
      <c r="J117" s="30" t="s">
        <v>2382</v>
      </c>
      <c r="K117" s="28" t="s">
        <v>612</v>
      </c>
      <c r="L117" s="28" t="s">
        <v>157</v>
      </c>
      <c r="M117" s="30" t="s">
        <v>11</v>
      </c>
      <c r="N117" s="28" t="s">
        <v>610</v>
      </c>
      <c r="O117" s="30" t="s">
        <v>11</v>
      </c>
      <c r="P117" s="28" t="s">
        <v>613</v>
      </c>
      <c r="Q117" s="28" t="s">
        <v>149</v>
      </c>
      <c r="R117" s="28" t="s">
        <v>153</v>
      </c>
      <c r="S117" s="28" t="s">
        <v>150</v>
      </c>
      <c r="T117" s="28" t="s">
        <v>154</v>
      </c>
      <c r="U117" s="28" t="s">
        <v>155</v>
      </c>
      <c r="V117" s="28" t="s">
        <v>610</v>
      </c>
      <c r="W117" s="28" t="s">
        <v>613</v>
      </c>
      <c r="X117" s="28" t="s">
        <v>149</v>
      </c>
      <c r="Y117" s="28" t="s">
        <v>156</v>
      </c>
      <c r="Z117" s="31" t="str">
        <f t="shared" si="8"/>
        <v>Not</v>
      </c>
      <c r="AA117" s="28" t="s">
        <v>2276</v>
      </c>
      <c r="AB117" s="28" t="s">
        <v>2401</v>
      </c>
      <c r="AC117" s="28" t="s">
        <v>2401</v>
      </c>
      <c r="AD117" s="28" t="s">
        <v>2401</v>
      </c>
      <c r="AE117" s="28" t="s">
        <v>2401</v>
      </c>
      <c r="AF117" s="30" t="s">
        <v>11</v>
      </c>
      <c r="AG117" s="28" t="s">
        <v>2401</v>
      </c>
    </row>
    <row r="118" spans="1:33" x14ac:dyDescent="0.3">
      <c r="A118" s="28" t="s">
        <v>615</v>
      </c>
      <c r="B118" s="34" t="s">
        <v>65</v>
      </c>
      <c r="C118" s="30" t="s">
        <v>11</v>
      </c>
      <c r="D118" s="28" t="s">
        <v>6</v>
      </c>
      <c r="E118" s="28">
        <v>200</v>
      </c>
      <c r="F118" s="30" t="s">
        <v>11</v>
      </c>
      <c r="G118" s="28" t="s">
        <v>611</v>
      </c>
      <c r="H118" s="30" t="s">
        <v>11</v>
      </c>
      <c r="I118" s="28" t="s">
        <v>2401</v>
      </c>
      <c r="J118" s="30" t="s">
        <v>11</v>
      </c>
      <c r="K118" s="28" t="s">
        <v>612</v>
      </c>
      <c r="L118" s="28" t="s">
        <v>157</v>
      </c>
      <c r="M118" s="30" t="s">
        <v>11</v>
      </c>
      <c r="N118" s="28" t="s">
        <v>610</v>
      </c>
      <c r="O118" s="30" t="s">
        <v>11</v>
      </c>
      <c r="P118" s="28" t="s">
        <v>613</v>
      </c>
      <c r="Q118" s="28" t="s">
        <v>149</v>
      </c>
      <c r="R118" s="28" t="s">
        <v>153</v>
      </c>
      <c r="S118" s="28" t="s">
        <v>150</v>
      </c>
      <c r="T118" s="28" t="s">
        <v>154</v>
      </c>
      <c r="U118" s="28" t="s">
        <v>155</v>
      </c>
      <c r="V118" s="28" t="s">
        <v>610</v>
      </c>
      <c r="W118" s="28" t="s">
        <v>613</v>
      </c>
      <c r="X118" s="28" t="s">
        <v>149</v>
      </c>
      <c r="Y118" s="28" t="s">
        <v>156</v>
      </c>
      <c r="Z118" s="30" t="s">
        <v>11</v>
      </c>
      <c r="AA118" s="28" t="s">
        <v>2276</v>
      </c>
      <c r="AB118" s="28" t="s">
        <v>2401</v>
      </c>
      <c r="AC118" s="28" t="s">
        <v>2401</v>
      </c>
      <c r="AD118" s="28" t="s">
        <v>2401</v>
      </c>
      <c r="AE118" s="28" t="s">
        <v>2401</v>
      </c>
      <c r="AF118" s="30" t="s">
        <v>11</v>
      </c>
      <c r="AG118" s="28" t="s">
        <v>2401</v>
      </c>
    </row>
    <row r="119" spans="1:33" x14ac:dyDescent="0.3">
      <c r="A119" s="28" t="s">
        <v>617</v>
      </c>
      <c r="B119" s="34" t="s">
        <v>65</v>
      </c>
      <c r="C119" s="30" t="s">
        <v>11</v>
      </c>
      <c r="D119" s="28" t="s">
        <v>6</v>
      </c>
      <c r="E119" s="28">
        <v>200</v>
      </c>
      <c r="F119" s="30" t="s">
        <v>11</v>
      </c>
      <c r="G119" s="28" t="s">
        <v>618</v>
      </c>
      <c r="H119" s="30" t="s">
        <v>11</v>
      </c>
      <c r="I119" s="28" t="s">
        <v>2401</v>
      </c>
      <c r="J119" s="30" t="s">
        <v>11</v>
      </c>
      <c r="K119" s="28" t="s">
        <v>612</v>
      </c>
      <c r="L119" s="28" t="s">
        <v>157</v>
      </c>
      <c r="M119" s="30" t="s">
        <v>11</v>
      </c>
      <c r="N119" s="28" t="s">
        <v>617</v>
      </c>
      <c r="O119" s="30" t="s">
        <v>11</v>
      </c>
      <c r="P119" s="28" t="s">
        <v>613</v>
      </c>
      <c r="Q119" s="28" t="s">
        <v>149</v>
      </c>
      <c r="R119" s="28" t="s">
        <v>153</v>
      </c>
      <c r="S119" s="28" t="s">
        <v>150</v>
      </c>
      <c r="T119" s="28" t="s">
        <v>154</v>
      </c>
      <c r="U119" s="28" t="s">
        <v>155</v>
      </c>
      <c r="V119" s="28" t="s">
        <v>617</v>
      </c>
      <c r="W119" s="28" t="s">
        <v>613</v>
      </c>
      <c r="X119" s="28" t="s">
        <v>149</v>
      </c>
      <c r="Y119" s="28" t="s">
        <v>156</v>
      </c>
      <c r="Z119" s="30" t="s">
        <v>11</v>
      </c>
      <c r="AA119" s="28" t="s">
        <v>2276</v>
      </c>
      <c r="AB119" s="28" t="s">
        <v>2401</v>
      </c>
      <c r="AC119" s="28" t="s">
        <v>2401</v>
      </c>
      <c r="AD119" s="28" t="s">
        <v>2401</v>
      </c>
      <c r="AE119" s="28" t="s">
        <v>2401</v>
      </c>
      <c r="AF119" s="30" t="s">
        <v>11</v>
      </c>
      <c r="AG119" s="28" t="s">
        <v>2401</v>
      </c>
    </row>
    <row r="120" spans="1:33" x14ac:dyDescent="0.3">
      <c r="A120" s="28" t="s">
        <v>620</v>
      </c>
      <c r="B120" s="34"/>
      <c r="C120" s="30" t="s">
        <v>11</v>
      </c>
      <c r="D120" s="28" t="s">
        <v>6</v>
      </c>
      <c r="E120" s="28">
        <v>200</v>
      </c>
      <c r="F120" s="30" t="s">
        <v>11</v>
      </c>
      <c r="G120" s="28" t="s">
        <v>621</v>
      </c>
      <c r="H120" s="30" t="s">
        <v>11</v>
      </c>
      <c r="I120" s="28" t="s">
        <v>2401</v>
      </c>
      <c r="J120" s="30" t="s">
        <v>2382</v>
      </c>
      <c r="K120" s="28" t="s">
        <v>622</v>
      </c>
      <c r="L120" s="28" t="s">
        <v>157</v>
      </c>
      <c r="M120" s="30" t="s">
        <v>11</v>
      </c>
      <c r="N120" s="28" t="s">
        <v>620</v>
      </c>
      <c r="O120" s="30" t="s">
        <v>11</v>
      </c>
      <c r="P120" s="28" t="s">
        <v>623</v>
      </c>
      <c r="Q120" s="28" t="s">
        <v>149</v>
      </c>
      <c r="R120" s="28" t="s">
        <v>153</v>
      </c>
      <c r="S120" s="28" t="s">
        <v>150</v>
      </c>
      <c r="T120" s="28" t="s">
        <v>154</v>
      </c>
      <c r="U120" s="28" t="s">
        <v>155</v>
      </c>
      <c r="V120" s="28" t="s">
        <v>620</v>
      </c>
      <c r="W120" s="28" t="s">
        <v>623</v>
      </c>
      <c r="X120" s="28" t="s">
        <v>149</v>
      </c>
      <c r="Y120" s="28" t="s">
        <v>156</v>
      </c>
      <c r="Z120" s="31" t="str">
        <f t="shared" si="8"/>
        <v>Pass</v>
      </c>
      <c r="AA120" s="28" t="s">
        <v>2276</v>
      </c>
      <c r="AB120" s="28" t="s">
        <v>2401</v>
      </c>
      <c r="AC120" s="28" t="s">
        <v>2401</v>
      </c>
      <c r="AD120" s="28" t="s">
        <v>2401</v>
      </c>
      <c r="AE120" s="28" t="s">
        <v>2401</v>
      </c>
      <c r="AF120" s="30" t="s">
        <v>11</v>
      </c>
      <c r="AG120" s="28" t="s">
        <v>2401</v>
      </c>
    </row>
    <row r="121" spans="1:33" x14ac:dyDescent="0.3">
      <c r="A121" s="28" t="s">
        <v>624</v>
      </c>
      <c r="B121" s="34" t="s">
        <v>65</v>
      </c>
      <c r="C121" s="30" t="s">
        <v>11</v>
      </c>
      <c r="D121" s="28" t="s">
        <v>6</v>
      </c>
      <c r="E121" s="28">
        <v>200</v>
      </c>
      <c r="F121" s="30" t="s">
        <v>11</v>
      </c>
      <c r="G121" s="28" t="s">
        <v>621</v>
      </c>
      <c r="H121" s="30" t="s">
        <v>11</v>
      </c>
      <c r="I121" s="28" t="s">
        <v>2401</v>
      </c>
      <c r="J121" s="30" t="s">
        <v>11</v>
      </c>
      <c r="K121" s="28" t="s">
        <v>622</v>
      </c>
      <c r="L121" s="28" t="s">
        <v>157</v>
      </c>
      <c r="M121" s="30" t="s">
        <v>11</v>
      </c>
      <c r="N121" s="28" t="s">
        <v>620</v>
      </c>
      <c r="O121" s="30" t="s">
        <v>11</v>
      </c>
      <c r="P121" s="28" t="s">
        <v>623</v>
      </c>
      <c r="Q121" s="28" t="s">
        <v>149</v>
      </c>
      <c r="R121" s="28" t="s">
        <v>153</v>
      </c>
      <c r="S121" s="28" t="s">
        <v>150</v>
      </c>
      <c r="T121" s="28" t="s">
        <v>154</v>
      </c>
      <c r="U121" s="28" t="s">
        <v>155</v>
      </c>
      <c r="V121" s="28" t="s">
        <v>620</v>
      </c>
      <c r="W121" s="28" t="s">
        <v>623</v>
      </c>
      <c r="X121" s="28" t="s">
        <v>149</v>
      </c>
      <c r="Y121" s="28" t="s">
        <v>156</v>
      </c>
      <c r="Z121" s="30" t="s">
        <v>11</v>
      </c>
      <c r="AA121" s="28" t="s">
        <v>2276</v>
      </c>
      <c r="AB121" s="28" t="s">
        <v>2401</v>
      </c>
      <c r="AC121" s="28" t="s">
        <v>2401</v>
      </c>
      <c r="AD121" s="28" t="s">
        <v>2401</v>
      </c>
      <c r="AE121" s="28" t="s">
        <v>2401</v>
      </c>
      <c r="AF121" s="30" t="s">
        <v>11</v>
      </c>
      <c r="AG121" s="28" t="s">
        <v>2401</v>
      </c>
    </row>
    <row r="122" spans="1:33" x14ac:dyDescent="0.3">
      <c r="A122" s="28" t="s">
        <v>626</v>
      </c>
      <c r="B122" s="34" t="s">
        <v>65</v>
      </c>
      <c r="C122" s="30" t="s">
        <v>11</v>
      </c>
      <c r="D122" s="28" t="s">
        <v>6</v>
      </c>
      <c r="E122" s="28">
        <v>200</v>
      </c>
      <c r="F122" s="30" t="s">
        <v>11</v>
      </c>
      <c r="G122" s="28" t="s">
        <v>627</v>
      </c>
      <c r="H122" s="30" t="s">
        <v>11</v>
      </c>
      <c r="I122" s="28" t="s">
        <v>2401</v>
      </c>
      <c r="J122" s="30" t="s">
        <v>11</v>
      </c>
      <c r="K122" s="28" t="s">
        <v>622</v>
      </c>
      <c r="L122" s="28" t="s">
        <v>157</v>
      </c>
      <c r="M122" s="30" t="s">
        <v>11</v>
      </c>
      <c r="N122" s="28" t="s">
        <v>626</v>
      </c>
      <c r="O122" s="30" t="s">
        <v>11</v>
      </c>
      <c r="P122" s="28" t="s">
        <v>623</v>
      </c>
      <c r="Q122" s="28" t="s">
        <v>149</v>
      </c>
      <c r="R122" s="28" t="s">
        <v>153</v>
      </c>
      <c r="S122" s="28" t="s">
        <v>150</v>
      </c>
      <c r="T122" s="28" t="s">
        <v>154</v>
      </c>
      <c r="U122" s="28" t="s">
        <v>155</v>
      </c>
      <c r="V122" s="28" t="s">
        <v>626</v>
      </c>
      <c r="W122" s="28" t="s">
        <v>623</v>
      </c>
      <c r="X122" s="28" t="s">
        <v>149</v>
      </c>
      <c r="Y122" s="28" t="s">
        <v>156</v>
      </c>
      <c r="Z122" s="30" t="s">
        <v>11</v>
      </c>
      <c r="AA122" s="28" t="s">
        <v>2276</v>
      </c>
      <c r="AB122" s="28" t="s">
        <v>2401</v>
      </c>
      <c r="AC122" s="28" t="s">
        <v>2401</v>
      </c>
      <c r="AD122" s="28" t="s">
        <v>2401</v>
      </c>
      <c r="AE122" s="28" t="s">
        <v>2401</v>
      </c>
      <c r="AF122" s="30" t="s">
        <v>11</v>
      </c>
      <c r="AG122" s="28" t="s">
        <v>2401</v>
      </c>
    </row>
    <row r="123" spans="1:33" x14ac:dyDescent="0.3">
      <c r="A123" s="28" t="s">
        <v>628</v>
      </c>
      <c r="B123" s="34" t="s">
        <v>65</v>
      </c>
      <c r="C123" s="30" t="s">
        <v>11</v>
      </c>
      <c r="D123" s="28" t="s">
        <v>6</v>
      </c>
      <c r="E123" s="28">
        <v>200</v>
      </c>
      <c r="F123" s="30" t="s">
        <v>11</v>
      </c>
      <c r="G123" s="28" t="s">
        <v>629</v>
      </c>
      <c r="H123" s="30" t="s">
        <v>11</v>
      </c>
      <c r="I123" s="28" t="s">
        <v>2401</v>
      </c>
      <c r="J123" s="30" t="s">
        <v>11</v>
      </c>
      <c r="K123" s="28" t="s">
        <v>622</v>
      </c>
      <c r="L123" s="28" t="s">
        <v>157</v>
      </c>
      <c r="M123" s="30" t="s">
        <v>11</v>
      </c>
      <c r="N123" s="28" t="s">
        <v>628</v>
      </c>
      <c r="O123" s="30" t="s">
        <v>11</v>
      </c>
      <c r="P123" s="28" t="s">
        <v>623</v>
      </c>
      <c r="Q123" s="28" t="s">
        <v>149</v>
      </c>
      <c r="R123" s="28" t="s">
        <v>153</v>
      </c>
      <c r="S123" s="28" t="s">
        <v>150</v>
      </c>
      <c r="T123" s="28" t="s">
        <v>154</v>
      </c>
      <c r="U123" s="28" t="s">
        <v>155</v>
      </c>
      <c r="V123" s="28" t="s">
        <v>628</v>
      </c>
      <c r="W123" s="28" t="s">
        <v>623</v>
      </c>
      <c r="X123" s="28" t="s">
        <v>149</v>
      </c>
      <c r="Y123" s="28" t="s">
        <v>156</v>
      </c>
      <c r="Z123" s="30" t="s">
        <v>11</v>
      </c>
      <c r="AA123" s="28" t="s">
        <v>2276</v>
      </c>
      <c r="AB123" s="28" t="s">
        <v>2401</v>
      </c>
      <c r="AC123" s="28" t="s">
        <v>2401</v>
      </c>
      <c r="AD123" s="28" t="s">
        <v>2401</v>
      </c>
      <c r="AE123" s="28" t="s">
        <v>2401</v>
      </c>
      <c r="AF123" s="30" t="s">
        <v>11</v>
      </c>
      <c r="AG123" s="28" t="s">
        <v>2401</v>
      </c>
    </row>
    <row r="124" spans="1:33" x14ac:dyDescent="0.3">
      <c r="A124" s="28" t="s">
        <v>630</v>
      </c>
      <c r="B124" s="34" t="s">
        <v>65</v>
      </c>
      <c r="C124" s="30" t="s">
        <v>11</v>
      </c>
      <c r="D124" s="28" t="s">
        <v>6</v>
      </c>
      <c r="E124" s="28">
        <v>200</v>
      </c>
      <c r="F124" s="30" t="s">
        <v>11</v>
      </c>
      <c r="G124" s="28" t="s">
        <v>631</v>
      </c>
      <c r="H124" s="30" t="s">
        <v>11</v>
      </c>
      <c r="I124" s="28" t="s">
        <v>2401</v>
      </c>
      <c r="J124" s="30" t="s">
        <v>11</v>
      </c>
      <c r="K124" s="28" t="s">
        <v>622</v>
      </c>
      <c r="L124" s="28" t="s">
        <v>157</v>
      </c>
      <c r="M124" s="30" t="s">
        <v>11</v>
      </c>
      <c r="N124" s="28" t="s">
        <v>630</v>
      </c>
      <c r="O124" s="30" t="s">
        <v>11</v>
      </c>
      <c r="P124" s="28" t="s">
        <v>623</v>
      </c>
      <c r="Q124" s="28" t="s">
        <v>149</v>
      </c>
      <c r="R124" s="28" t="s">
        <v>153</v>
      </c>
      <c r="S124" s="28" t="s">
        <v>150</v>
      </c>
      <c r="T124" s="28" t="s">
        <v>154</v>
      </c>
      <c r="U124" s="28" t="s">
        <v>155</v>
      </c>
      <c r="V124" s="28" t="s">
        <v>630</v>
      </c>
      <c r="W124" s="28" t="s">
        <v>623</v>
      </c>
      <c r="X124" s="28" t="s">
        <v>149</v>
      </c>
      <c r="Y124" s="28" t="s">
        <v>156</v>
      </c>
      <c r="Z124" s="30" t="s">
        <v>11</v>
      </c>
      <c r="AA124" s="28" t="s">
        <v>2276</v>
      </c>
      <c r="AB124" s="28" t="s">
        <v>2401</v>
      </c>
      <c r="AC124" s="28" t="s">
        <v>2401</v>
      </c>
      <c r="AD124" s="28" t="s">
        <v>2401</v>
      </c>
      <c r="AE124" s="28" t="s">
        <v>2401</v>
      </c>
      <c r="AF124" s="30" t="s">
        <v>11</v>
      </c>
      <c r="AG124" s="28" t="s">
        <v>2401</v>
      </c>
    </row>
    <row r="125" spans="1:33" x14ac:dyDescent="0.3">
      <c r="A125" s="28" t="s">
        <v>632</v>
      </c>
      <c r="B125" s="34" t="s">
        <v>65</v>
      </c>
      <c r="C125" s="30" t="s">
        <v>11</v>
      </c>
      <c r="D125" s="28" t="s">
        <v>6</v>
      </c>
      <c r="E125" s="28">
        <v>200</v>
      </c>
      <c r="F125" s="30" t="s">
        <v>11</v>
      </c>
      <c r="G125" s="28" t="s">
        <v>633</v>
      </c>
      <c r="H125" s="30" t="s">
        <v>11</v>
      </c>
      <c r="I125" s="28" t="s">
        <v>2401</v>
      </c>
      <c r="J125" s="30" t="s">
        <v>11</v>
      </c>
      <c r="K125" s="28" t="s">
        <v>622</v>
      </c>
      <c r="L125" s="28" t="s">
        <v>157</v>
      </c>
      <c r="M125" s="30" t="s">
        <v>11</v>
      </c>
      <c r="N125" s="28" t="s">
        <v>632</v>
      </c>
      <c r="O125" s="30" t="s">
        <v>11</v>
      </c>
      <c r="P125" s="28" t="s">
        <v>623</v>
      </c>
      <c r="Q125" s="28" t="s">
        <v>149</v>
      </c>
      <c r="R125" s="28" t="s">
        <v>153</v>
      </c>
      <c r="S125" s="28" t="s">
        <v>150</v>
      </c>
      <c r="T125" s="28" t="s">
        <v>154</v>
      </c>
      <c r="U125" s="28" t="s">
        <v>155</v>
      </c>
      <c r="V125" s="28" t="s">
        <v>632</v>
      </c>
      <c r="W125" s="28" t="s">
        <v>623</v>
      </c>
      <c r="X125" s="28" t="s">
        <v>149</v>
      </c>
      <c r="Y125" s="28" t="s">
        <v>156</v>
      </c>
      <c r="Z125" s="30" t="s">
        <v>11</v>
      </c>
      <c r="AA125" s="28" t="s">
        <v>2276</v>
      </c>
      <c r="AB125" s="28" t="s">
        <v>2401</v>
      </c>
      <c r="AC125" s="28" t="s">
        <v>2401</v>
      </c>
      <c r="AD125" s="28" t="s">
        <v>2401</v>
      </c>
      <c r="AE125" s="28" t="s">
        <v>2401</v>
      </c>
      <c r="AF125" s="30" t="s">
        <v>11</v>
      </c>
      <c r="AG125" s="28" t="s">
        <v>2401</v>
      </c>
    </row>
    <row r="126" spans="1:33" x14ac:dyDescent="0.3">
      <c r="A126" s="28" t="s">
        <v>634</v>
      </c>
      <c r="B126" s="34" t="s">
        <v>65</v>
      </c>
      <c r="C126" s="30" t="s">
        <v>11</v>
      </c>
      <c r="D126" s="28" t="s">
        <v>6</v>
      </c>
      <c r="E126" s="28">
        <v>200</v>
      </c>
      <c r="F126" s="30" t="s">
        <v>11</v>
      </c>
      <c r="G126" s="28" t="s">
        <v>635</v>
      </c>
      <c r="H126" s="30" t="s">
        <v>11</v>
      </c>
      <c r="I126" s="28" t="s">
        <v>2401</v>
      </c>
      <c r="J126" s="30" t="s">
        <v>11</v>
      </c>
      <c r="K126" s="28" t="s">
        <v>622</v>
      </c>
      <c r="L126" s="28" t="s">
        <v>157</v>
      </c>
      <c r="M126" s="30" t="s">
        <v>11</v>
      </c>
      <c r="N126" s="28" t="s">
        <v>634</v>
      </c>
      <c r="O126" s="30" t="s">
        <v>11</v>
      </c>
      <c r="P126" s="28" t="s">
        <v>623</v>
      </c>
      <c r="Q126" s="28" t="s">
        <v>149</v>
      </c>
      <c r="R126" s="28" t="s">
        <v>153</v>
      </c>
      <c r="S126" s="28" t="s">
        <v>150</v>
      </c>
      <c r="T126" s="28" t="s">
        <v>154</v>
      </c>
      <c r="U126" s="28" t="s">
        <v>155</v>
      </c>
      <c r="V126" s="28" t="s">
        <v>634</v>
      </c>
      <c r="W126" s="28" t="s">
        <v>623</v>
      </c>
      <c r="X126" s="28" t="s">
        <v>149</v>
      </c>
      <c r="Y126" s="28" t="s">
        <v>156</v>
      </c>
      <c r="Z126" s="30" t="s">
        <v>11</v>
      </c>
      <c r="AA126" s="28" t="s">
        <v>2276</v>
      </c>
      <c r="AB126" s="28" t="s">
        <v>2401</v>
      </c>
      <c r="AC126" s="28" t="s">
        <v>2401</v>
      </c>
      <c r="AD126" s="28" t="s">
        <v>2401</v>
      </c>
      <c r="AE126" s="28" t="s">
        <v>2401</v>
      </c>
      <c r="AF126" s="30" t="s">
        <v>11</v>
      </c>
      <c r="AG126" s="28" t="s">
        <v>2401</v>
      </c>
    </row>
    <row r="127" spans="1:33" x14ac:dyDescent="0.3">
      <c r="A127" s="28" t="s">
        <v>636</v>
      </c>
      <c r="B127" s="34" t="s">
        <v>65</v>
      </c>
      <c r="C127" s="30" t="s">
        <v>11</v>
      </c>
      <c r="D127" s="28" t="s">
        <v>6</v>
      </c>
      <c r="E127" s="28">
        <v>200</v>
      </c>
      <c r="F127" s="30" t="s">
        <v>11</v>
      </c>
      <c r="G127" s="28" t="s">
        <v>637</v>
      </c>
      <c r="H127" s="30" t="s">
        <v>11</v>
      </c>
      <c r="I127" s="28" t="s">
        <v>2401</v>
      </c>
      <c r="J127" s="30" t="s">
        <v>11</v>
      </c>
      <c r="K127" s="28" t="s">
        <v>622</v>
      </c>
      <c r="L127" s="28" t="s">
        <v>157</v>
      </c>
      <c r="M127" s="30" t="s">
        <v>11</v>
      </c>
      <c r="N127" s="28" t="s">
        <v>636</v>
      </c>
      <c r="O127" s="30" t="s">
        <v>11</v>
      </c>
      <c r="P127" s="28" t="s">
        <v>623</v>
      </c>
      <c r="Q127" s="28" t="s">
        <v>149</v>
      </c>
      <c r="R127" s="28" t="s">
        <v>153</v>
      </c>
      <c r="S127" s="28" t="s">
        <v>150</v>
      </c>
      <c r="T127" s="28" t="s">
        <v>154</v>
      </c>
      <c r="U127" s="28" t="s">
        <v>155</v>
      </c>
      <c r="V127" s="28" t="s">
        <v>636</v>
      </c>
      <c r="W127" s="28" t="s">
        <v>623</v>
      </c>
      <c r="X127" s="28" t="s">
        <v>149</v>
      </c>
      <c r="Y127" s="28" t="s">
        <v>156</v>
      </c>
      <c r="Z127" s="30" t="s">
        <v>11</v>
      </c>
      <c r="AA127" s="28" t="s">
        <v>2276</v>
      </c>
      <c r="AB127" s="28" t="s">
        <v>2401</v>
      </c>
      <c r="AC127" s="28" t="s">
        <v>2401</v>
      </c>
      <c r="AD127" s="28" t="s">
        <v>2401</v>
      </c>
      <c r="AE127" s="28" t="s">
        <v>2401</v>
      </c>
      <c r="AF127" s="30" t="s">
        <v>11</v>
      </c>
      <c r="AG127" s="28" t="s">
        <v>2401</v>
      </c>
    </row>
    <row r="128" spans="1:33" x14ac:dyDescent="0.3">
      <c r="A128" s="28" t="s">
        <v>638</v>
      </c>
      <c r="B128" s="34" t="s">
        <v>65</v>
      </c>
      <c r="C128" s="30" t="s">
        <v>11</v>
      </c>
      <c r="D128" s="28" t="s">
        <v>6</v>
      </c>
      <c r="E128" s="28">
        <v>200</v>
      </c>
      <c r="F128" s="30" t="s">
        <v>11</v>
      </c>
      <c r="G128" s="28" t="s">
        <v>639</v>
      </c>
      <c r="H128" s="30" t="s">
        <v>11</v>
      </c>
      <c r="I128" s="28" t="s">
        <v>2401</v>
      </c>
      <c r="J128" s="30" t="s">
        <v>11</v>
      </c>
      <c r="K128" s="28" t="s">
        <v>622</v>
      </c>
      <c r="L128" s="28" t="s">
        <v>157</v>
      </c>
      <c r="M128" s="30" t="s">
        <v>11</v>
      </c>
      <c r="N128" s="28" t="s">
        <v>638</v>
      </c>
      <c r="O128" s="30" t="s">
        <v>11</v>
      </c>
      <c r="P128" s="28" t="s">
        <v>623</v>
      </c>
      <c r="Q128" s="28" t="s">
        <v>149</v>
      </c>
      <c r="R128" s="28" t="s">
        <v>153</v>
      </c>
      <c r="S128" s="28" t="s">
        <v>150</v>
      </c>
      <c r="T128" s="28" t="s">
        <v>154</v>
      </c>
      <c r="U128" s="28" t="s">
        <v>155</v>
      </c>
      <c r="V128" s="28" t="s">
        <v>638</v>
      </c>
      <c r="W128" s="28" t="s">
        <v>623</v>
      </c>
      <c r="X128" s="28" t="s">
        <v>149</v>
      </c>
      <c r="Y128" s="28" t="s">
        <v>156</v>
      </c>
      <c r="Z128" s="30" t="s">
        <v>11</v>
      </c>
      <c r="AA128" s="28" t="s">
        <v>2276</v>
      </c>
      <c r="AB128" s="28" t="s">
        <v>2401</v>
      </c>
      <c r="AC128" s="28" t="s">
        <v>2401</v>
      </c>
      <c r="AD128" s="28" t="s">
        <v>2401</v>
      </c>
      <c r="AE128" s="28" t="s">
        <v>2401</v>
      </c>
      <c r="AF128" s="30" t="s">
        <v>11</v>
      </c>
      <c r="AG128" s="28" t="s">
        <v>2401</v>
      </c>
    </row>
    <row r="129" spans="1:33" x14ac:dyDescent="0.3">
      <c r="A129" s="28" t="s">
        <v>640</v>
      </c>
      <c r="B129" s="34" t="s">
        <v>65</v>
      </c>
      <c r="C129" s="30" t="s">
        <v>11</v>
      </c>
      <c r="D129" s="28" t="s">
        <v>6</v>
      </c>
      <c r="E129" s="28">
        <v>200</v>
      </c>
      <c r="F129" s="30" t="s">
        <v>11</v>
      </c>
      <c r="G129" s="28" t="s">
        <v>641</v>
      </c>
      <c r="H129" s="30" t="s">
        <v>11</v>
      </c>
      <c r="I129" s="28" t="s">
        <v>2401</v>
      </c>
      <c r="J129" s="30" t="s">
        <v>11</v>
      </c>
      <c r="K129" s="28" t="s">
        <v>622</v>
      </c>
      <c r="L129" s="28" t="s">
        <v>157</v>
      </c>
      <c r="M129" s="30" t="s">
        <v>11</v>
      </c>
      <c r="N129" s="28" t="s">
        <v>640</v>
      </c>
      <c r="O129" s="30" t="s">
        <v>11</v>
      </c>
      <c r="P129" s="28" t="s">
        <v>623</v>
      </c>
      <c r="Q129" s="28" t="s">
        <v>149</v>
      </c>
      <c r="R129" s="28" t="s">
        <v>153</v>
      </c>
      <c r="S129" s="28" t="s">
        <v>150</v>
      </c>
      <c r="T129" s="28" t="s">
        <v>154</v>
      </c>
      <c r="U129" s="28" t="s">
        <v>155</v>
      </c>
      <c r="V129" s="28" t="s">
        <v>640</v>
      </c>
      <c r="W129" s="28" t="s">
        <v>623</v>
      </c>
      <c r="X129" s="28" t="s">
        <v>149</v>
      </c>
      <c r="Y129" s="28" t="s">
        <v>156</v>
      </c>
      <c r="Z129" s="30" t="s">
        <v>11</v>
      </c>
      <c r="AA129" s="28" t="s">
        <v>2276</v>
      </c>
      <c r="AB129" s="28" t="s">
        <v>2401</v>
      </c>
      <c r="AC129" s="28" t="s">
        <v>2401</v>
      </c>
      <c r="AD129" s="28" t="s">
        <v>2401</v>
      </c>
      <c r="AE129" s="28" t="s">
        <v>2401</v>
      </c>
      <c r="AF129" s="30" t="s">
        <v>11</v>
      </c>
      <c r="AG129" s="28" t="s">
        <v>2401</v>
      </c>
    </row>
    <row r="130" spans="1:33" x14ac:dyDescent="0.3">
      <c r="A130" s="28" t="s">
        <v>642</v>
      </c>
      <c r="B130" s="34" t="s">
        <v>65</v>
      </c>
      <c r="C130" s="30" t="s">
        <v>11</v>
      </c>
      <c r="D130" s="28" t="s">
        <v>6</v>
      </c>
      <c r="E130" s="28">
        <v>200</v>
      </c>
      <c r="F130" s="30" t="s">
        <v>11</v>
      </c>
      <c r="G130" s="28" t="s">
        <v>643</v>
      </c>
      <c r="H130" s="30" t="s">
        <v>11</v>
      </c>
      <c r="I130" s="28" t="s">
        <v>2401</v>
      </c>
      <c r="J130" s="30" t="s">
        <v>11</v>
      </c>
      <c r="K130" s="28" t="s">
        <v>622</v>
      </c>
      <c r="L130" s="28" t="s">
        <v>157</v>
      </c>
      <c r="M130" s="30" t="s">
        <v>11</v>
      </c>
      <c r="N130" s="28" t="s">
        <v>642</v>
      </c>
      <c r="O130" s="30" t="s">
        <v>11</v>
      </c>
      <c r="P130" s="28" t="s">
        <v>623</v>
      </c>
      <c r="Q130" s="28" t="s">
        <v>149</v>
      </c>
      <c r="R130" s="28" t="s">
        <v>153</v>
      </c>
      <c r="S130" s="28" t="s">
        <v>150</v>
      </c>
      <c r="T130" s="28" t="s">
        <v>154</v>
      </c>
      <c r="U130" s="28" t="s">
        <v>155</v>
      </c>
      <c r="V130" s="28" t="s">
        <v>642</v>
      </c>
      <c r="W130" s="28" t="s">
        <v>623</v>
      </c>
      <c r="X130" s="28" t="s">
        <v>149</v>
      </c>
      <c r="Y130" s="28" t="s">
        <v>156</v>
      </c>
      <c r="Z130" s="30" t="s">
        <v>11</v>
      </c>
      <c r="AA130" s="28" t="s">
        <v>2276</v>
      </c>
      <c r="AB130" s="28" t="s">
        <v>2401</v>
      </c>
      <c r="AC130" s="28" t="s">
        <v>2401</v>
      </c>
      <c r="AD130" s="28" t="s">
        <v>2401</v>
      </c>
      <c r="AE130" s="28" t="s">
        <v>2401</v>
      </c>
      <c r="AF130" s="30" t="s">
        <v>11</v>
      </c>
      <c r="AG130" s="28" t="s">
        <v>2401</v>
      </c>
    </row>
    <row r="131" spans="1:33" x14ac:dyDescent="0.3">
      <c r="A131" s="28" t="s">
        <v>645</v>
      </c>
      <c r="B131" s="34"/>
      <c r="C131" s="30" t="s">
        <v>11</v>
      </c>
      <c r="D131" s="28" t="s">
        <v>6</v>
      </c>
      <c r="E131" s="28">
        <v>200</v>
      </c>
      <c r="F131" s="30" t="s">
        <v>11</v>
      </c>
      <c r="G131" s="28" t="s">
        <v>646</v>
      </c>
      <c r="H131" s="30" t="s">
        <v>11</v>
      </c>
      <c r="I131" s="28" t="s">
        <v>2401</v>
      </c>
      <c r="J131" s="30" t="s">
        <v>2382</v>
      </c>
      <c r="K131" s="28" t="s">
        <v>647</v>
      </c>
      <c r="L131" s="28" t="s">
        <v>157</v>
      </c>
      <c r="M131" s="30" t="s">
        <v>11</v>
      </c>
      <c r="N131" s="28" t="s">
        <v>645</v>
      </c>
      <c r="O131" s="30" t="s">
        <v>11</v>
      </c>
      <c r="P131" s="28" t="s">
        <v>648</v>
      </c>
      <c r="Q131" s="28" t="s">
        <v>149</v>
      </c>
      <c r="R131" s="28" t="s">
        <v>153</v>
      </c>
      <c r="S131" s="28" t="s">
        <v>150</v>
      </c>
      <c r="T131" s="28" t="s">
        <v>154</v>
      </c>
      <c r="U131" s="28" t="s">
        <v>155</v>
      </c>
      <c r="V131" s="28" t="s">
        <v>645</v>
      </c>
      <c r="W131" s="28" t="s">
        <v>648</v>
      </c>
      <c r="X131" s="28" t="s">
        <v>149</v>
      </c>
      <c r="Y131" s="28" t="s">
        <v>156</v>
      </c>
      <c r="Z131" s="30" t="s">
        <v>11</v>
      </c>
      <c r="AA131" s="28" t="s">
        <v>2276</v>
      </c>
      <c r="AB131" s="28" t="s">
        <v>2401</v>
      </c>
      <c r="AC131" s="28" t="s">
        <v>2401</v>
      </c>
      <c r="AD131" s="28" t="s">
        <v>2401</v>
      </c>
      <c r="AE131" s="28" t="s">
        <v>2401</v>
      </c>
      <c r="AF131" s="30" t="s">
        <v>11</v>
      </c>
      <c r="AG131" s="28" t="s">
        <v>2401</v>
      </c>
    </row>
    <row r="132" spans="1:33" x14ac:dyDescent="0.3">
      <c r="A132" s="28" t="s">
        <v>649</v>
      </c>
      <c r="B132" s="34"/>
      <c r="C132" s="30" t="s">
        <v>11</v>
      </c>
      <c r="D132" s="28" t="s">
        <v>6</v>
      </c>
      <c r="E132" s="28">
        <v>200</v>
      </c>
      <c r="F132" s="30" t="s">
        <v>11</v>
      </c>
      <c r="G132" s="28" t="s">
        <v>650</v>
      </c>
      <c r="H132" s="30" t="s">
        <v>11</v>
      </c>
      <c r="I132" s="28" t="s">
        <v>2401</v>
      </c>
      <c r="J132" s="30" t="s">
        <v>2382</v>
      </c>
      <c r="K132" s="28" t="s">
        <v>651</v>
      </c>
      <c r="L132" s="28" t="s">
        <v>157</v>
      </c>
      <c r="M132" s="30" t="s">
        <v>11</v>
      </c>
      <c r="N132" s="28" t="s">
        <v>649</v>
      </c>
      <c r="O132" s="30" t="s">
        <v>11</v>
      </c>
      <c r="P132" s="28" t="s">
        <v>652</v>
      </c>
      <c r="Q132" s="28" t="s">
        <v>149</v>
      </c>
      <c r="R132" s="28" t="s">
        <v>153</v>
      </c>
      <c r="S132" s="28" t="s">
        <v>150</v>
      </c>
      <c r="T132" s="28" t="s">
        <v>154</v>
      </c>
      <c r="U132" s="28" t="s">
        <v>155</v>
      </c>
      <c r="V132" s="28" t="s">
        <v>649</v>
      </c>
      <c r="W132" s="28" t="s">
        <v>652</v>
      </c>
      <c r="X132" s="28" t="s">
        <v>149</v>
      </c>
      <c r="Y132" s="28" t="s">
        <v>156</v>
      </c>
      <c r="Z132" s="30" t="s">
        <v>11</v>
      </c>
      <c r="AA132" s="28" t="s">
        <v>2276</v>
      </c>
      <c r="AB132" s="28" t="s">
        <v>2401</v>
      </c>
      <c r="AC132" s="28" t="s">
        <v>2401</v>
      </c>
      <c r="AD132" s="28" t="s">
        <v>2401</v>
      </c>
      <c r="AE132" s="28" t="s">
        <v>2401</v>
      </c>
      <c r="AF132" s="30" t="s">
        <v>11</v>
      </c>
      <c r="AG132" s="28" t="s">
        <v>2401</v>
      </c>
    </row>
    <row r="133" spans="1:33" x14ac:dyDescent="0.3">
      <c r="A133" s="28" t="s">
        <v>654</v>
      </c>
      <c r="B133" s="34"/>
      <c r="C133" s="30" t="s">
        <v>11</v>
      </c>
      <c r="D133" s="28" t="s">
        <v>6</v>
      </c>
      <c r="E133" s="28">
        <v>200</v>
      </c>
      <c r="F133" s="30" t="s">
        <v>11</v>
      </c>
      <c r="G133" s="28" t="s">
        <v>655</v>
      </c>
      <c r="H133" s="30" t="s">
        <v>11</v>
      </c>
      <c r="I133" s="28" t="s">
        <v>2401</v>
      </c>
      <c r="J133" s="30" t="s">
        <v>2382</v>
      </c>
      <c r="K133" s="28" t="s">
        <v>656</v>
      </c>
      <c r="L133" s="28" t="s">
        <v>157</v>
      </c>
      <c r="M133" s="30" t="s">
        <v>11</v>
      </c>
      <c r="N133" s="28" t="s">
        <v>654</v>
      </c>
      <c r="O133" s="30" t="s">
        <v>11</v>
      </c>
      <c r="P133" s="28" t="s">
        <v>657</v>
      </c>
      <c r="Q133" s="28" t="s">
        <v>149</v>
      </c>
      <c r="R133" s="28" t="s">
        <v>153</v>
      </c>
      <c r="S133" s="28" t="s">
        <v>150</v>
      </c>
      <c r="T133" s="28" t="s">
        <v>154</v>
      </c>
      <c r="U133" s="28" t="s">
        <v>155</v>
      </c>
      <c r="V133" s="28" t="s">
        <v>654</v>
      </c>
      <c r="W133" s="28" t="s">
        <v>657</v>
      </c>
      <c r="X133" s="28" t="s">
        <v>149</v>
      </c>
      <c r="Y133" s="28" t="s">
        <v>156</v>
      </c>
      <c r="Z133" s="30" t="s">
        <v>11</v>
      </c>
      <c r="AA133" s="28" t="s">
        <v>2276</v>
      </c>
      <c r="AB133" s="28" t="s">
        <v>2401</v>
      </c>
      <c r="AC133" s="28" t="s">
        <v>2401</v>
      </c>
      <c r="AD133" s="28" t="s">
        <v>2401</v>
      </c>
      <c r="AE133" s="28" t="s">
        <v>2401</v>
      </c>
      <c r="AF133" s="30" t="s">
        <v>11</v>
      </c>
      <c r="AG133" s="28" t="s">
        <v>2401</v>
      </c>
    </row>
    <row r="134" spans="1:33" x14ac:dyDescent="0.3">
      <c r="A134" s="28" t="s">
        <v>659</v>
      </c>
      <c r="B134" s="34"/>
      <c r="C134" s="30" t="s">
        <v>11</v>
      </c>
      <c r="D134" s="28" t="s">
        <v>6</v>
      </c>
      <c r="E134" s="28">
        <v>200</v>
      </c>
      <c r="F134" s="30" t="s">
        <v>11</v>
      </c>
      <c r="G134" s="28" t="s">
        <v>660</v>
      </c>
      <c r="H134" s="30" t="s">
        <v>11</v>
      </c>
      <c r="I134" s="28" t="s">
        <v>2401</v>
      </c>
      <c r="J134" s="30" t="s">
        <v>2382</v>
      </c>
      <c r="K134" s="28" t="s">
        <v>661</v>
      </c>
      <c r="L134" s="28" t="s">
        <v>157</v>
      </c>
      <c r="M134" s="30" t="s">
        <v>11</v>
      </c>
      <c r="N134" s="28" t="s">
        <v>659</v>
      </c>
      <c r="O134" s="30" t="s">
        <v>11</v>
      </c>
      <c r="P134" s="28" t="s">
        <v>662</v>
      </c>
      <c r="Q134" s="28" t="s">
        <v>149</v>
      </c>
      <c r="R134" s="28" t="s">
        <v>153</v>
      </c>
      <c r="S134" s="28" t="s">
        <v>150</v>
      </c>
      <c r="T134" s="28" t="s">
        <v>154</v>
      </c>
      <c r="U134" s="28" t="s">
        <v>155</v>
      </c>
      <c r="V134" s="28" t="s">
        <v>659</v>
      </c>
      <c r="W134" s="28" t="s">
        <v>662</v>
      </c>
      <c r="X134" s="28" t="s">
        <v>149</v>
      </c>
      <c r="Y134" s="28" t="s">
        <v>156</v>
      </c>
      <c r="Z134" s="30" t="s">
        <v>11</v>
      </c>
      <c r="AA134" s="28" t="s">
        <v>2276</v>
      </c>
      <c r="AB134" s="28" t="s">
        <v>2401</v>
      </c>
      <c r="AC134" s="28" t="s">
        <v>2401</v>
      </c>
      <c r="AD134" s="28" t="s">
        <v>2401</v>
      </c>
      <c r="AE134" s="28" t="s">
        <v>2401</v>
      </c>
      <c r="AF134" s="30" t="s">
        <v>11</v>
      </c>
      <c r="AG134" s="28" t="s">
        <v>2401</v>
      </c>
    </row>
    <row r="135" spans="1:33" x14ac:dyDescent="0.3">
      <c r="A135" s="28" t="s">
        <v>664</v>
      </c>
      <c r="B135" s="34"/>
      <c r="C135" s="30" t="s">
        <v>11</v>
      </c>
      <c r="D135" s="28" t="s">
        <v>6</v>
      </c>
      <c r="E135" s="28">
        <v>200</v>
      </c>
      <c r="F135" s="30" t="s">
        <v>11</v>
      </c>
      <c r="G135" s="28" t="s">
        <v>665</v>
      </c>
      <c r="H135" s="30" t="s">
        <v>11</v>
      </c>
      <c r="I135" s="28" t="s">
        <v>2401</v>
      </c>
      <c r="J135" s="30" t="s">
        <v>2382</v>
      </c>
      <c r="K135" s="28" t="s">
        <v>666</v>
      </c>
      <c r="L135" s="28" t="s">
        <v>157</v>
      </c>
      <c r="M135" s="30" t="s">
        <v>11</v>
      </c>
      <c r="N135" s="28" t="s">
        <v>664</v>
      </c>
      <c r="O135" s="30" t="s">
        <v>11</v>
      </c>
      <c r="P135" s="28" t="s">
        <v>667</v>
      </c>
      <c r="Q135" s="28" t="s">
        <v>149</v>
      </c>
      <c r="R135" s="28" t="s">
        <v>153</v>
      </c>
      <c r="S135" s="28" t="s">
        <v>150</v>
      </c>
      <c r="T135" s="28" t="s">
        <v>154</v>
      </c>
      <c r="U135" s="28" t="s">
        <v>155</v>
      </c>
      <c r="V135" s="28" t="s">
        <v>664</v>
      </c>
      <c r="W135" s="28" t="s">
        <v>667</v>
      </c>
      <c r="X135" s="28" t="s">
        <v>149</v>
      </c>
      <c r="Y135" s="28" t="s">
        <v>156</v>
      </c>
      <c r="Z135" s="30" t="s">
        <v>11</v>
      </c>
      <c r="AA135" s="28" t="s">
        <v>2276</v>
      </c>
      <c r="AB135" s="28" t="s">
        <v>2401</v>
      </c>
      <c r="AC135" s="28" t="s">
        <v>2401</v>
      </c>
      <c r="AD135" s="28" t="s">
        <v>2401</v>
      </c>
      <c r="AE135" s="28" t="s">
        <v>2401</v>
      </c>
      <c r="AF135" s="30" t="s">
        <v>11</v>
      </c>
      <c r="AG135" s="28" t="s">
        <v>2401</v>
      </c>
    </row>
    <row r="136" spans="1:33" x14ac:dyDescent="0.3">
      <c r="A136" s="28" t="s">
        <v>668</v>
      </c>
      <c r="B136" s="34"/>
      <c r="C136" s="30" t="s">
        <v>11</v>
      </c>
      <c r="D136" s="28" t="s">
        <v>6</v>
      </c>
      <c r="E136" s="28">
        <v>200</v>
      </c>
      <c r="F136" s="30" t="s">
        <v>11</v>
      </c>
      <c r="G136" s="28" t="s">
        <v>669</v>
      </c>
      <c r="H136" s="30" t="s">
        <v>11</v>
      </c>
      <c r="I136" s="28" t="s">
        <v>2401</v>
      </c>
      <c r="J136" s="30" t="s">
        <v>2382</v>
      </c>
      <c r="K136" s="28" t="s">
        <v>670</v>
      </c>
      <c r="L136" s="28" t="s">
        <v>157</v>
      </c>
      <c r="M136" s="30" t="s">
        <v>11</v>
      </c>
      <c r="N136" s="28" t="s">
        <v>668</v>
      </c>
      <c r="O136" s="30" t="s">
        <v>11</v>
      </c>
      <c r="P136" s="28" t="s">
        <v>671</v>
      </c>
      <c r="Q136" s="28" t="s">
        <v>149</v>
      </c>
      <c r="R136" s="28" t="s">
        <v>153</v>
      </c>
      <c r="S136" s="28" t="s">
        <v>150</v>
      </c>
      <c r="T136" s="28" t="s">
        <v>154</v>
      </c>
      <c r="U136" s="28" t="s">
        <v>155</v>
      </c>
      <c r="V136" s="28" t="s">
        <v>668</v>
      </c>
      <c r="W136" s="28" t="s">
        <v>671</v>
      </c>
      <c r="X136" s="28" t="s">
        <v>149</v>
      </c>
      <c r="Y136" s="28" t="s">
        <v>156</v>
      </c>
      <c r="Z136" s="31" t="str">
        <f t="shared" ref="Z136" si="9">IF(AND(J132="Pass", H132="Pass"), "Pass", "Not")</f>
        <v>Not</v>
      </c>
      <c r="AA136" s="28" t="s">
        <v>2276</v>
      </c>
      <c r="AB136" s="28" t="s">
        <v>2401</v>
      </c>
      <c r="AC136" s="28" t="s">
        <v>2401</v>
      </c>
      <c r="AD136" s="28" t="s">
        <v>2401</v>
      </c>
      <c r="AE136" s="28" t="s">
        <v>2401</v>
      </c>
      <c r="AF136" s="30" t="s">
        <v>11</v>
      </c>
      <c r="AG136" s="28" t="s">
        <v>2401</v>
      </c>
    </row>
    <row r="137" spans="1:33" x14ac:dyDescent="0.3">
      <c r="A137" s="28" t="s">
        <v>672</v>
      </c>
      <c r="B137" s="34" t="s">
        <v>65</v>
      </c>
      <c r="C137" s="30" t="s">
        <v>11</v>
      </c>
      <c r="D137" s="28" t="s">
        <v>6</v>
      </c>
      <c r="E137" s="28">
        <v>200</v>
      </c>
      <c r="F137" s="30" t="s">
        <v>11</v>
      </c>
      <c r="G137" s="28" t="s">
        <v>669</v>
      </c>
      <c r="H137" s="30" t="s">
        <v>11</v>
      </c>
      <c r="I137" s="28" t="s">
        <v>2401</v>
      </c>
      <c r="J137" s="30" t="s">
        <v>11</v>
      </c>
      <c r="K137" s="28" t="s">
        <v>670</v>
      </c>
      <c r="L137" s="28" t="s">
        <v>157</v>
      </c>
      <c r="M137" s="30" t="s">
        <v>11</v>
      </c>
      <c r="N137" s="28" t="s">
        <v>668</v>
      </c>
      <c r="O137" s="30" t="s">
        <v>11</v>
      </c>
      <c r="P137" s="28" t="s">
        <v>671</v>
      </c>
      <c r="Q137" s="28" t="s">
        <v>149</v>
      </c>
      <c r="R137" s="28" t="s">
        <v>153</v>
      </c>
      <c r="S137" s="28" t="s">
        <v>150</v>
      </c>
      <c r="T137" s="28" t="s">
        <v>154</v>
      </c>
      <c r="U137" s="28" t="s">
        <v>155</v>
      </c>
      <c r="V137" s="28" t="s">
        <v>668</v>
      </c>
      <c r="W137" s="28" t="s">
        <v>671</v>
      </c>
      <c r="X137" s="28" t="s">
        <v>149</v>
      </c>
      <c r="Y137" s="28" t="s">
        <v>156</v>
      </c>
      <c r="Z137" s="30" t="s">
        <v>11</v>
      </c>
      <c r="AA137" s="28" t="s">
        <v>2276</v>
      </c>
      <c r="AB137" s="28" t="s">
        <v>2401</v>
      </c>
      <c r="AC137" s="28" t="s">
        <v>2401</v>
      </c>
      <c r="AD137" s="28" t="s">
        <v>2401</v>
      </c>
      <c r="AE137" s="28" t="s">
        <v>2401</v>
      </c>
      <c r="AF137" s="30" t="s">
        <v>11</v>
      </c>
      <c r="AG137" s="28" t="s">
        <v>2401</v>
      </c>
    </row>
    <row r="138" spans="1:33" x14ac:dyDescent="0.3">
      <c r="A138" s="28" t="s">
        <v>674</v>
      </c>
      <c r="B138" s="34" t="s">
        <v>65</v>
      </c>
      <c r="C138" s="30" t="s">
        <v>11</v>
      </c>
      <c r="D138" s="28" t="s">
        <v>6</v>
      </c>
      <c r="E138" s="28">
        <v>200</v>
      </c>
      <c r="F138" s="30" t="s">
        <v>11</v>
      </c>
      <c r="G138" s="28" t="s">
        <v>675</v>
      </c>
      <c r="H138" s="30" t="s">
        <v>11</v>
      </c>
      <c r="I138" s="28" t="s">
        <v>2401</v>
      </c>
      <c r="J138" s="30" t="s">
        <v>11</v>
      </c>
      <c r="K138" s="28" t="s">
        <v>670</v>
      </c>
      <c r="L138" s="28" t="s">
        <v>157</v>
      </c>
      <c r="M138" s="30" t="s">
        <v>11</v>
      </c>
      <c r="N138" s="28" t="s">
        <v>674</v>
      </c>
      <c r="O138" s="30" t="s">
        <v>11</v>
      </c>
      <c r="P138" s="28" t="s">
        <v>671</v>
      </c>
      <c r="Q138" s="28" t="s">
        <v>149</v>
      </c>
      <c r="R138" s="28" t="s">
        <v>153</v>
      </c>
      <c r="S138" s="28" t="s">
        <v>150</v>
      </c>
      <c r="T138" s="28" t="s">
        <v>154</v>
      </c>
      <c r="U138" s="28" t="s">
        <v>155</v>
      </c>
      <c r="V138" s="28" t="s">
        <v>674</v>
      </c>
      <c r="W138" s="28" t="s">
        <v>671</v>
      </c>
      <c r="X138" s="28" t="s">
        <v>149</v>
      </c>
      <c r="Y138" s="28" t="s">
        <v>156</v>
      </c>
      <c r="Z138" s="30" t="s">
        <v>11</v>
      </c>
      <c r="AA138" s="28" t="s">
        <v>2276</v>
      </c>
      <c r="AB138" s="28" t="s">
        <v>2401</v>
      </c>
      <c r="AC138" s="28" t="s">
        <v>2401</v>
      </c>
      <c r="AD138" s="28" t="s">
        <v>2401</v>
      </c>
      <c r="AE138" s="28" t="s">
        <v>2401</v>
      </c>
      <c r="AF138" s="30" t="s">
        <v>11</v>
      </c>
      <c r="AG138" s="28" t="s">
        <v>2401</v>
      </c>
    </row>
    <row r="139" spans="1:33" x14ac:dyDescent="0.3">
      <c r="A139" s="28" t="s">
        <v>677</v>
      </c>
      <c r="B139" s="34" t="s">
        <v>65</v>
      </c>
      <c r="C139" s="30" t="s">
        <v>11</v>
      </c>
      <c r="D139" s="28" t="s">
        <v>6</v>
      </c>
      <c r="E139" s="28">
        <v>200</v>
      </c>
      <c r="F139" s="30" t="s">
        <v>11</v>
      </c>
      <c r="G139" s="28" t="s">
        <v>678</v>
      </c>
      <c r="H139" s="30" t="s">
        <v>11</v>
      </c>
      <c r="I139" s="28" t="s">
        <v>2401</v>
      </c>
      <c r="J139" s="30" t="s">
        <v>11</v>
      </c>
      <c r="K139" s="28" t="s">
        <v>670</v>
      </c>
      <c r="L139" s="28" t="s">
        <v>157</v>
      </c>
      <c r="M139" s="30" t="s">
        <v>11</v>
      </c>
      <c r="N139" s="28" t="s">
        <v>677</v>
      </c>
      <c r="O139" s="30" t="s">
        <v>11</v>
      </c>
      <c r="P139" s="28" t="s">
        <v>671</v>
      </c>
      <c r="Q139" s="28" t="s">
        <v>149</v>
      </c>
      <c r="R139" s="28" t="s">
        <v>153</v>
      </c>
      <c r="S139" s="28" t="s">
        <v>150</v>
      </c>
      <c r="T139" s="28" t="s">
        <v>154</v>
      </c>
      <c r="U139" s="28" t="s">
        <v>155</v>
      </c>
      <c r="V139" s="28" t="s">
        <v>677</v>
      </c>
      <c r="W139" s="28" t="s">
        <v>671</v>
      </c>
      <c r="X139" s="28" t="s">
        <v>149</v>
      </c>
      <c r="Y139" s="28" t="s">
        <v>156</v>
      </c>
      <c r="Z139" s="30" t="s">
        <v>11</v>
      </c>
      <c r="AA139" s="28" t="s">
        <v>2276</v>
      </c>
      <c r="AB139" s="28" t="s">
        <v>2401</v>
      </c>
      <c r="AC139" s="28" t="s">
        <v>2401</v>
      </c>
      <c r="AD139" s="28" t="s">
        <v>2401</v>
      </c>
      <c r="AE139" s="28" t="s">
        <v>2401</v>
      </c>
      <c r="AF139" s="30" t="s">
        <v>11</v>
      </c>
      <c r="AG139" s="28" t="s">
        <v>2401</v>
      </c>
    </row>
    <row r="140" spans="1:33" x14ac:dyDescent="0.3">
      <c r="A140" s="28" t="s">
        <v>679</v>
      </c>
      <c r="B140" s="34"/>
      <c r="C140" s="30" t="s">
        <v>11</v>
      </c>
      <c r="D140" s="28" t="s">
        <v>6</v>
      </c>
      <c r="E140" s="28">
        <v>200</v>
      </c>
      <c r="F140" s="30" t="s">
        <v>11</v>
      </c>
      <c r="G140" s="28" t="s">
        <v>680</v>
      </c>
      <c r="H140" s="30" t="s">
        <v>11</v>
      </c>
      <c r="I140" s="28" t="s">
        <v>2401</v>
      </c>
      <c r="J140" s="30" t="s">
        <v>2382</v>
      </c>
      <c r="K140" s="28" t="s">
        <v>681</v>
      </c>
      <c r="L140" s="28" t="s">
        <v>157</v>
      </c>
      <c r="M140" s="30" t="s">
        <v>11</v>
      </c>
      <c r="N140" s="28" t="s">
        <v>679</v>
      </c>
      <c r="O140" s="30" t="s">
        <v>11</v>
      </c>
      <c r="P140" s="28" t="s">
        <v>682</v>
      </c>
      <c r="Q140" s="28" t="s">
        <v>149</v>
      </c>
      <c r="R140" s="28" t="s">
        <v>153</v>
      </c>
      <c r="S140" s="28" t="s">
        <v>150</v>
      </c>
      <c r="T140" s="28" t="s">
        <v>154</v>
      </c>
      <c r="U140" s="28" t="s">
        <v>155</v>
      </c>
      <c r="V140" s="28" t="s">
        <v>679</v>
      </c>
      <c r="W140" s="28" t="s">
        <v>682</v>
      </c>
      <c r="X140" s="28" t="s">
        <v>149</v>
      </c>
      <c r="Y140" s="28" t="s">
        <v>156</v>
      </c>
      <c r="Z140" s="30" t="s">
        <v>11</v>
      </c>
      <c r="AA140" s="28" t="s">
        <v>2276</v>
      </c>
      <c r="AB140" s="28" t="s">
        <v>2401</v>
      </c>
      <c r="AC140" s="28" t="s">
        <v>2401</v>
      </c>
      <c r="AD140" s="28" t="s">
        <v>2401</v>
      </c>
      <c r="AE140" s="28" t="s">
        <v>2401</v>
      </c>
      <c r="AF140" s="30" t="s">
        <v>11</v>
      </c>
      <c r="AG140" s="28" t="s">
        <v>2401</v>
      </c>
    </row>
    <row r="141" spans="1:33" x14ac:dyDescent="0.3">
      <c r="A141" s="28" t="s">
        <v>683</v>
      </c>
      <c r="B141" s="34"/>
      <c r="C141" s="30" t="s">
        <v>11</v>
      </c>
      <c r="D141" s="28" t="s">
        <v>6</v>
      </c>
      <c r="E141" s="28">
        <v>200</v>
      </c>
      <c r="F141" s="30" t="s">
        <v>11</v>
      </c>
      <c r="G141" s="28" t="s">
        <v>684</v>
      </c>
      <c r="H141" s="30" t="s">
        <v>11</v>
      </c>
      <c r="I141" s="28" t="s">
        <v>2401</v>
      </c>
      <c r="J141" s="30" t="s">
        <v>2382</v>
      </c>
      <c r="K141" s="28" t="s">
        <v>685</v>
      </c>
      <c r="L141" s="28" t="s">
        <v>157</v>
      </c>
      <c r="M141" s="30" t="s">
        <v>11</v>
      </c>
      <c r="N141" s="28" t="s">
        <v>683</v>
      </c>
      <c r="O141" s="30" t="s">
        <v>11</v>
      </c>
      <c r="P141" s="28" t="s">
        <v>686</v>
      </c>
      <c r="Q141" s="28" t="s">
        <v>149</v>
      </c>
      <c r="R141" s="28" t="s">
        <v>153</v>
      </c>
      <c r="S141" s="28" t="s">
        <v>150</v>
      </c>
      <c r="T141" s="28" t="s">
        <v>154</v>
      </c>
      <c r="U141" s="28" t="s">
        <v>155</v>
      </c>
      <c r="V141" s="28" t="s">
        <v>683</v>
      </c>
      <c r="W141" s="28" t="s">
        <v>686</v>
      </c>
      <c r="X141" s="28" t="s">
        <v>149</v>
      </c>
      <c r="Y141" s="28" t="s">
        <v>156</v>
      </c>
      <c r="Z141" s="30" t="s">
        <v>11</v>
      </c>
      <c r="AA141" s="28" t="s">
        <v>2276</v>
      </c>
      <c r="AB141" s="28" t="s">
        <v>2401</v>
      </c>
      <c r="AC141" s="28" t="s">
        <v>2401</v>
      </c>
      <c r="AD141" s="28" t="s">
        <v>2401</v>
      </c>
      <c r="AE141" s="28" t="s">
        <v>2401</v>
      </c>
      <c r="AF141" s="30" t="s">
        <v>11</v>
      </c>
      <c r="AG141" s="28" t="s">
        <v>2401</v>
      </c>
    </row>
    <row r="142" spans="1:33" x14ac:dyDescent="0.3">
      <c r="A142" s="28" t="s">
        <v>687</v>
      </c>
      <c r="B142" s="34"/>
      <c r="C142" s="30" t="s">
        <v>11</v>
      </c>
      <c r="D142" s="28" t="s">
        <v>6</v>
      </c>
      <c r="E142" s="28">
        <v>200</v>
      </c>
      <c r="F142" s="30" t="s">
        <v>11</v>
      </c>
      <c r="G142" s="28" t="s">
        <v>688</v>
      </c>
      <c r="H142" s="30" t="s">
        <v>11</v>
      </c>
      <c r="I142" s="28" t="s">
        <v>2401</v>
      </c>
      <c r="J142" s="30" t="s">
        <v>2382</v>
      </c>
      <c r="K142" s="28" t="s">
        <v>689</v>
      </c>
      <c r="L142" s="28" t="s">
        <v>157</v>
      </c>
      <c r="M142" s="30" t="s">
        <v>11</v>
      </c>
      <c r="N142" s="28" t="s">
        <v>687</v>
      </c>
      <c r="O142" s="30" t="s">
        <v>11</v>
      </c>
      <c r="P142" s="28" t="s">
        <v>690</v>
      </c>
      <c r="Q142" s="28" t="s">
        <v>149</v>
      </c>
      <c r="R142" s="28" t="s">
        <v>153</v>
      </c>
      <c r="S142" s="28" t="s">
        <v>150</v>
      </c>
      <c r="T142" s="28" t="s">
        <v>154</v>
      </c>
      <c r="U142" s="28" t="s">
        <v>155</v>
      </c>
      <c r="V142" s="28" t="s">
        <v>687</v>
      </c>
      <c r="W142" s="28" t="s">
        <v>690</v>
      </c>
      <c r="X142" s="28" t="s">
        <v>149</v>
      </c>
      <c r="Y142" s="28" t="s">
        <v>156</v>
      </c>
      <c r="Z142" s="31" t="str">
        <f t="shared" ref="Z142" si="10">IF(AND(J138="Pass", H138="Pass"), "Pass", "Not")</f>
        <v>Pass</v>
      </c>
      <c r="AA142" s="28" t="s">
        <v>2276</v>
      </c>
      <c r="AB142" s="28" t="s">
        <v>2401</v>
      </c>
      <c r="AC142" s="28" t="s">
        <v>2401</v>
      </c>
      <c r="AD142" s="28" t="s">
        <v>2401</v>
      </c>
      <c r="AE142" s="28" t="s">
        <v>2401</v>
      </c>
      <c r="AF142" s="30" t="s">
        <v>11</v>
      </c>
      <c r="AG142" s="28" t="s">
        <v>2401</v>
      </c>
    </row>
    <row r="143" spans="1:33" x14ac:dyDescent="0.3">
      <c r="A143" s="28" t="s">
        <v>691</v>
      </c>
      <c r="B143" s="34" t="s">
        <v>65</v>
      </c>
      <c r="C143" s="30" t="s">
        <v>11</v>
      </c>
      <c r="D143" s="28" t="s">
        <v>6</v>
      </c>
      <c r="E143" s="28">
        <v>200</v>
      </c>
      <c r="F143" s="30" t="s">
        <v>11</v>
      </c>
      <c r="G143" s="28" t="s">
        <v>688</v>
      </c>
      <c r="H143" s="30" t="s">
        <v>11</v>
      </c>
      <c r="I143" s="28" t="s">
        <v>2401</v>
      </c>
      <c r="J143" s="30" t="s">
        <v>11</v>
      </c>
      <c r="K143" s="28" t="s">
        <v>689</v>
      </c>
      <c r="L143" s="28" t="s">
        <v>157</v>
      </c>
      <c r="M143" s="30" t="s">
        <v>11</v>
      </c>
      <c r="N143" s="28" t="s">
        <v>687</v>
      </c>
      <c r="O143" s="30" t="s">
        <v>11</v>
      </c>
      <c r="P143" s="28" t="s">
        <v>690</v>
      </c>
      <c r="Q143" s="28" t="s">
        <v>149</v>
      </c>
      <c r="R143" s="28" t="s">
        <v>153</v>
      </c>
      <c r="S143" s="28" t="s">
        <v>150</v>
      </c>
      <c r="T143" s="28" t="s">
        <v>154</v>
      </c>
      <c r="U143" s="28" t="s">
        <v>155</v>
      </c>
      <c r="V143" s="28" t="s">
        <v>687</v>
      </c>
      <c r="W143" s="28" t="s">
        <v>690</v>
      </c>
      <c r="X143" s="28" t="s">
        <v>149</v>
      </c>
      <c r="Y143" s="28" t="s">
        <v>156</v>
      </c>
      <c r="Z143" s="30" t="s">
        <v>11</v>
      </c>
      <c r="AA143" s="28" t="s">
        <v>2276</v>
      </c>
      <c r="AB143" s="28" t="s">
        <v>2401</v>
      </c>
      <c r="AC143" s="28" t="s">
        <v>2401</v>
      </c>
      <c r="AD143" s="28" t="s">
        <v>2401</v>
      </c>
      <c r="AE143" s="28" t="s">
        <v>2401</v>
      </c>
      <c r="AF143" s="30" t="s">
        <v>11</v>
      </c>
      <c r="AG143" s="28" t="s">
        <v>2401</v>
      </c>
    </row>
    <row r="144" spans="1:33" x14ac:dyDescent="0.3">
      <c r="A144" s="28" t="s">
        <v>692</v>
      </c>
      <c r="B144" s="34" t="s">
        <v>65</v>
      </c>
      <c r="C144" s="30" t="s">
        <v>11</v>
      </c>
      <c r="D144" s="28" t="s">
        <v>6</v>
      </c>
      <c r="E144" s="28">
        <v>200</v>
      </c>
      <c r="F144" s="30" t="s">
        <v>11</v>
      </c>
      <c r="G144" s="28" t="s">
        <v>693</v>
      </c>
      <c r="H144" s="30" t="s">
        <v>11</v>
      </c>
      <c r="I144" s="28" t="s">
        <v>2401</v>
      </c>
      <c r="J144" s="30" t="s">
        <v>11</v>
      </c>
      <c r="K144" s="28" t="s">
        <v>689</v>
      </c>
      <c r="L144" s="28" t="s">
        <v>157</v>
      </c>
      <c r="M144" s="30" t="s">
        <v>11</v>
      </c>
      <c r="N144" s="28" t="s">
        <v>692</v>
      </c>
      <c r="O144" s="30" t="s">
        <v>11</v>
      </c>
      <c r="P144" s="28" t="s">
        <v>690</v>
      </c>
      <c r="Q144" s="28" t="s">
        <v>149</v>
      </c>
      <c r="R144" s="28" t="s">
        <v>153</v>
      </c>
      <c r="S144" s="28" t="s">
        <v>150</v>
      </c>
      <c r="T144" s="28" t="s">
        <v>154</v>
      </c>
      <c r="U144" s="28" t="s">
        <v>155</v>
      </c>
      <c r="V144" s="28" t="s">
        <v>692</v>
      </c>
      <c r="W144" s="28" t="s">
        <v>690</v>
      </c>
      <c r="X144" s="28" t="s">
        <v>149</v>
      </c>
      <c r="Y144" s="28" t="s">
        <v>156</v>
      </c>
      <c r="Z144" s="30" t="s">
        <v>11</v>
      </c>
      <c r="AA144" s="28" t="s">
        <v>2276</v>
      </c>
      <c r="AB144" s="28" t="s">
        <v>2401</v>
      </c>
      <c r="AC144" s="28" t="s">
        <v>2401</v>
      </c>
      <c r="AD144" s="28" t="s">
        <v>2401</v>
      </c>
      <c r="AE144" s="28" t="s">
        <v>2401</v>
      </c>
      <c r="AF144" s="30" t="s">
        <v>11</v>
      </c>
      <c r="AG144" s="28" t="s">
        <v>2401</v>
      </c>
    </row>
    <row r="145" spans="1:33" x14ac:dyDescent="0.3">
      <c r="A145" s="28" t="s">
        <v>694</v>
      </c>
      <c r="B145" s="34"/>
      <c r="C145" s="30" t="s">
        <v>11</v>
      </c>
      <c r="D145" s="28" t="s">
        <v>6</v>
      </c>
      <c r="E145" s="28">
        <v>200</v>
      </c>
      <c r="F145" s="30" t="s">
        <v>11</v>
      </c>
      <c r="G145" s="28" t="s">
        <v>695</v>
      </c>
      <c r="H145" s="30" t="s">
        <v>11</v>
      </c>
      <c r="I145" s="28" t="s">
        <v>2401</v>
      </c>
      <c r="J145" s="30" t="s">
        <v>2382</v>
      </c>
      <c r="K145" s="28" t="s">
        <v>696</v>
      </c>
      <c r="L145" s="28" t="s">
        <v>157</v>
      </c>
      <c r="M145" s="30" t="s">
        <v>11</v>
      </c>
      <c r="N145" s="28" t="s">
        <v>694</v>
      </c>
      <c r="O145" s="30" t="s">
        <v>11</v>
      </c>
      <c r="P145" s="28" t="s">
        <v>697</v>
      </c>
      <c r="Q145" s="28" t="s">
        <v>149</v>
      </c>
      <c r="R145" s="28" t="s">
        <v>153</v>
      </c>
      <c r="S145" s="28" t="s">
        <v>150</v>
      </c>
      <c r="T145" s="28" t="s">
        <v>154</v>
      </c>
      <c r="U145" s="28" t="s">
        <v>155</v>
      </c>
      <c r="V145" s="28" t="s">
        <v>694</v>
      </c>
      <c r="W145" s="28" t="s">
        <v>697</v>
      </c>
      <c r="X145" s="28" t="s">
        <v>149</v>
      </c>
      <c r="Y145" s="28" t="s">
        <v>156</v>
      </c>
      <c r="Z145" s="30" t="s">
        <v>11</v>
      </c>
      <c r="AA145" s="28" t="s">
        <v>2276</v>
      </c>
      <c r="AB145" s="28" t="s">
        <v>2401</v>
      </c>
      <c r="AC145" s="28" t="s">
        <v>2401</v>
      </c>
      <c r="AD145" s="28" t="s">
        <v>2401</v>
      </c>
      <c r="AE145" s="28" t="s">
        <v>2401</v>
      </c>
      <c r="AF145" s="30" t="s">
        <v>11</v>
      </c>
      <c r="AG145" s="28" t="s">
        <v>2401</v>
      </c>
    </row>
    <row r="146" spans="1:33" x14ac:dyDescent="0.3">
      <c r="A146" s="28" t="s">
        <v>698</v>
      </c>
      <c r="B146" s="34"/>
      <c r="C146" s="30" t="s">
        <v>11</v>
      </c>
      <c r="D146" s="28" t="s">
        <v>6</v>
      </c>
      <c r="E146" s="28">
        <v>200</v>
      </c>
      <c r="F146" s="30" t="s">
        <v>11</v>
      </c>
      <c r="G146" s="28" t="s">
        <v>699</v>
      </c>
      <c r="H146" s="30" t="s">
        <v>11</v>
      </c>
      <c r="I146" s="28" t="s">
        <v>2401</v>
      </c>
      <c r="J146" s="30" t="s">
        <v>2382</v>
      </c>
      <c r="K146" s="28" t="s">
        <v>700</v>
      </c>
      <c r="L146" s="28" t="s">
        <v>157</v>
      </c>
      <c r="M146" s="30" t="s">
        <v>11</v>
      </c>
      <c r="N146" s="28" t="s">
        <v>698</v>
      </c>
      <c r="O146" s="30" t="s">
        <v>11</v>
      </c>
      <c r="P146" s="28" t="s">
        <v>701</v>
      </c>
      <c r="Q146" s="28" t="s">
        <v>149</v>
      </c>
      <c r="R146" s="28" t="s">
        <v>153</v>
      </c>
      <c r="S146" s="28" t="s">
        <v>150</v>
      </c>
      <c r="T146" s="28" t="s">
        <v>154</v>
      </c>
      <c r="U146" s="28" t="s">
        <v>155</v>
      </c>
      <c r="V146" s="28" t="s">
        <v>698</v>
      </c>
      <c r="W146" s="28" t="s">
        <v>701</v>
      </c>
      <c r="X146" s="28" t="s">
        <v>149</v>
      </c>
      <c r="Y146" s="28" t="s">
        <v>156</v>
      </c>
      <c r="Z146" s="30" t="s">
        <v>11</v>
      </c>
      <c r="AA146" s="28" t="s">
        <v>2276</v>
      </c>
      <c r="AB146" s="28" t="s">
        <v>2401</v>
      </c>
      <c r="AC146" s="28" t="s">
        <v>2401</v>
      </c>
      <c r="AD146" s="28" t="s">
        <v>2401</v>
      </c>
      <c r="AE146" s="28" t="s">
        <v>2401</v>
      </c>
      <c r="AF146" s="30" t="s">
        <v>11</v>
      </c>
      <c r="AG146" s="28" t="s">
        <v>2401</v>
      </c>
    </row>
    <row r="147" spans="1:33" x14ac:dyDescent="0.3">
      <c r="A147" s="28" t="s">
        <v>702</v>
      </c>
      <c r="B147" s="34"/>
      <c r="C147" s="30" t="s">
        <v>11</v>
      </c>
      <c r="D147" s="28" t="s">
        <v>6</v>
      </c>
      <c r="E147" s="28">
        <v>200</v>
      </c>
      <c r="F147" s="30" t="s">
        <v>11</v>
      </c>
      <c r="G147" s="28" t="s">
        <v>703</v>
      </c>
      <c r="H147" s="30" t="s">
        <v>11</v>
      </c>
      <c r="I147" s="28" t="s">
        <v>2401</v>
      </c>
      <c r="J147" s="30" t="s">
        <v>2382</v>
      </c>
      <c r="K147" s="28" t="s">
        <v>704</v>
      </c>
      <c r="L147" s="28" t="s">
        <v>157</v>
      </c>
      <c r="M147" s="30" t="s">
        <v>11</v>
      </c>
      <c r="N147" s="28" t="s">
        <v>702</v>
      </c>
      <c r="O147" s="30" t="s">
        <v>11</v>
      </c>
      <c r="P147" s="28" t="s">
        <v>705</v>
      </c>
      <c r="Q147" s="28" t="s">
        <v>149</v>
      </c>
      <c r="R147" s="28" t="s">
        <v>153</v>
      </c>
      <c r="S147" s="28" t="s">
        <v>150</v>
      </c>
      <c r="T147" s="28" t="s">
        <v>154</v>
      </c>
      <c r="U147" s="28" t="s">
        <v>155</v>
      </c>
      <c r="V147" s="28" t="s">
        <v>702</v>
      </c>
      <c r="W147" s="28" t="s">
        <v>705</v>
      </c>
      <c r="X147" s="28" t="s">
        <v>149</v>
      </c>
      <c r="Y147" s="28" t="s">
        <v>156</v>
      </c>
      <c r="Z147" s="30" t="s">
        <v>11</v>
      </c>
      <c r="AA147" s="28" t="s">
        <v>2276</v>
      </c>
      <c r="AB147" s="28" t="s">
        <v>2401</v>
      </c>
      <c r="AC147" s="28" t="s">
        <v>2401</v>
      </c>
      <c r="AD147" s="28" t="s">
        <v>2401</v>
      </c>
      <c r="AE147" s="28" t="s">
        <v>2401</v>
      </c>
      <c r="AF147" s="30" t="s">
        <v>11</v>
      </c>
      <c r="AG147" s="28" t="s">
        <v>2401</v>
      </c>
    </row>
    <row r="148" spans="1:33" x14ac:dyDescent="0.3">
      <c r="A148" s="28" t="s">
        <v>706</v>
      </c>
      <c r="B148" s="34"/>
      <c r="C148" s="30" t="s">
        <v>11</v>
      </c>
      <c r="D148" s="28" t="s">
        <v>6</v>
      </c>
      <c r="E148" s="28">
        <v>200</v>
      </c>
      <c r="F148" s="30" t="s">
        <v>11</v>
      </c>
      <c r="G148" s="28" t="s">
        <v>707</v>
      </c>
      <c r="H148" s="30" t="s">
        <v>11</v>
      </c>
      <c r="I148" s="28" t="s">
        <v>2401</v>
      </c>
      <c r="J148" s="30" t="s">
        <v>2382</v>
      </c>
      <c r="K148" s="28" t="s">
        <v>708</v>
      </c>
      <c r="L148" s="28" t="s">
        <v>157</v>
      </c>
      <c r="M148" s="30" t="s">
        <v>11</v>
      </c>
      <c r="N148" s="28" t="s">
        <v>706</v>
      </c>
      <c r="O148" s="30" t="s">
        <v>11</v>
      </c>
      <c r="P148" s="28" t="s">
        <v>709</v>
      </c>
      <c r="Q148" s="28" t="s">
        <v>149</v>
      </c>
      <c r="R148" s="28" t="s">
        <v>153</v>
      </c>
      <c r="S148" s="28" t="s">
        <v>150</v>
      </c>
      <c r="T148" s="28" t="s">
        <v>154</v>
      </c>
      <c r="U148" s="28" t="s">
        <v>155</v>
      </c>
      <c r="V148" s="28" t="s">
        <v>706</v>
      </c>
      <c r="W148" s="28" t="s">
        <v>709</v>
      </c>
      <c r="X148" s="28" t="s">
        <v>149</v>
      </c>
      <c r="Y148" s="28" t="s">
        <v>156</v>
      </c>
      <c r="Z148" s="31" t="str">
        <f t="shared" ref="Z148:Z160" si="11">IF(AND(J144="Pass", H144="Pass"), "Pass", "Not")</f>
        <v>Pass</v>
      </c>
      <c r="AA148" s="28" t="s">
        <v>2276</v>
      </c>
      <c r="AB148" s="28" t="s">
        <v>2401</v>
      </c>
      <c r="AC148" s="28" t="s">
        <v>2401</v>
      </c>
      <c r="AD148" s="28" t="s">
        <v>2401</v>
      </c>
      <c r="AE148" s="28" t="s">
        <v>2401</v>
      </c>
      <c r="AF148" s="30" t="s">
        <v>11</v>
      </c>
      <c r="AG148" s="28" t="s">
        <v>2401</v>
      </c>
    </row>
    <row r="149" spans="1:33" x14ac:dyDescent="0.3">
      <c r="A149" s="28" t="s">
        <v>711</v>
      </c>
      <c r="B149" s="34" t="s">
        <v>65</v>
      </c>
      <c r="C149" s="30" t="s">
        <v>11</v>
      </c>
      <c r="D149" s="28" t="s">
        <v>6</v>
      </c>
      <c r="E149" s="28">
        <v>200</v>
      </c>
      <c r="F149" s="30" t="s">
        <v>11</v>
      </c>
      <c r="G149" s="28" t="s">
        <v>707</v>
      </c>
      <c r="H149" s="30" t="s">
        <v>11</v>
      </c>
      <c r="I149" s="28" t="s">
        <v>2401</v>
      </c>
      <c r="J149" s="30" t="s">
        <v>11</v>
      </c>
      <c r="K149" s="28" t="s">
        <v>708</v>
      </c>
      <c r="L149" s="28" t="s">
        <v>157</v>
      </c>
      <c r="M149" s="30" t="s">
        <v>11</v>
      </c>
      <c r="N149" s="28" t="s">
        <v>706</v>
      </c>
      <c r="O149" s="30" t="s">
        <v>11</v>
      </c>
      <c r="P149" s="28" t="s">
        <v>709</v>
      </c>
      <c r="Q149" s="28" t="s">
        <v>149</v>
      </c>
      <c r="R149" s="28" t="s">
        <v>153</v>
      </c>
      <c r="S149" s="28" t="s">
        <v>150</v>
      </c>
      <c r="T149" s="28" t="s">
        <v>154</v>
      </c>
      <c r="U149" s="28" t="s">
        <v>155</v>
      </c>
      <c r="V149" s="28" t="s">
        <v>706</v>
      </c>
      <c r="W149" s="28" t="s">
        <v>709</v>
      </c>
      <c r="X149" s="28" t="s">
        <v>149</v>
      </c>
      <c r="Y149" s="28" t="s">
        <v>156</v>
      </c>
      <c r="Z149" s="30" t="s">
        <v>11</v>
      </c>
      <c r="AA149" s="28" t="s">
        <v>2276</v>
      </c>
      <c r="AB149" s="28" t="s">
        <v>2401</v>
      </c>
      <c r="AC149" s="28" t="s">
        <v>2401</v>
      </c>
      <c r="AD149" s="28" t="s">
        <v>2401</v>
      </c>
      <c r="AE149" s="28" t="s">
        <v>2401</v>
      </c>
      <c r="AF149" s="30" t="s">
        <v>11</v>
      </c>
      <c r="AG149" s="28" t="s">
        <v>2401</v>
      </c>
    </row>
    <row r="150" spans="1:33" x14ac:dyDescent="0.3">
      <c r="A150" s="28" t="s">
        <v>712</v>
      </c>
      <c r="B150" s="34" t="s">
        <v>65</v>
      </c>
      <c r="C150" s="30" t="s">
        <v>11</v>
      </c>
      <c r="D150" s="28" t="s">
        <v>6</v>
      </c>
      <c r="E150" s="28">
        <v>200</v>
      </c>
      <c r="F150" s="30" t="s">
        <v>11</v>
      </c>
      <c r="G150" s="28" t="s">
        <v>713</v>
      </c>
      <c r="H150" s="30" t="s">
        <v>11</v>
      </c>
      <c r="I150" s="28" t="s">
        <v>2401</v>
      </c>
      <c r="J150" s="30" t="s">
        <v>11</v>
      </c>
      <c r="K150" s="28" t="s">
        <v>708</v>
      </c>
      <c r="L150" s="28" t="s">
        <v>157</v>
      </c>
      <c r="M150" s="30" t="s">
        <v>11</v>
      </c>
      <c r="N150" s="28" t="s">
        <v>712</v>
      </c>
      <c r="O150" s="30" t="s">
        <v>11</v>
      </c>
      <c r="P150" s="28" t="s">
        <v>709</v>
      </c>
      <c r="Q150" s="28" t="s">
        <v>149</v>
      </c>
      <c r="R150" s="28" t="s">
        <v>153</v>
      </c>
      <c r="S150" s="28" t="s">
        <v>150</v>
      </c>
      <c r="T150" s="28" t="s">
        <v>154</v>
      </c>
      <c r="U150" s="28" t="s">
        <v>155</v>
      </c>
      <c r="V150" s="28" t="s">
        <v>712</v>
      </c>
      <c r="W150" s="28" t="s">
        <v>709</v>
      </c>
      <c r="X150" s="28" t="s">
        <v>149</v>
      </c>
      <c r="Y150" s="28" t="s">
        <v>156</v>
      </c>
      <c r="Z150" s="30" t="s">
        <v>11</v>
      </c>
      <c r="AA150" s="28" t="s">
        <v>2276</v>
      </c>
      <c r="AB150" s="28" t="s">
        <v>2401</v>
      </c>
      <c r="AC150" s="28" t="s">
        <v>2401</v>
      </c>
      <c r="AD150" s="28" t="s">
        <v>2401</v>
      </c>
      <c r="AE150" s="28" t="s">
        <v>2401</v>
      </c>
      <c r="AF150" s="30" t="s">
        <v>11</v>
      </c>
      <c r="AG150" s="28" t="s">
        <v>2401</v>
      </c>
    </row>
    <row r="151" spans="1:33" x14ac:dyDescent="0.3">
      <c r="A151" s="28" t="s">
        <v>715</v>
      </c>
      <c r="B151" s="34"/>
      <c r="C151" s="30" t="s">
        <v>11</v>
      </c>
      <c r="D151" s="28" t="s">
        <v>6</v>
      </c>
      <c r="E151" s="28">
        <v>200</v>
      </c>
      <c r="F151" s="30" t="s">
        <v>11</v>
      </c>
      <c r="G151" s="28" t="s">
        <v>716</v>
      </c>
      <c r="H151" s="30" t="s">
        <v>11</v>
      </c>
      <c r="I151" s="28" t="s">
        <v>2401</v>
      </c>
      <c r="J151" s="30" t="s">
        <v>2382</v>
      </c>
      <c r="K151" s="28" t="s">
        <v>717</v>
      </c>
      <c r="L151" s="28" t="s">
        <v>157</v>
      </c>
      <c r="M151" s="30" t="s">
        <v>11</v>
      </c>
      <c r="N151" s="28" t="s">
        <v>715</v>
      </c>
      <c r="O151" s="30" t="s">
        <v>11</v>
      </c>
      <c r="P151" s="28" t="s">
        <v>718</v>
      </c>
      <c r="Q151" s="28" t="s">
        <v>149</v>
      </c>
      <c r="R151" s="28" t="s">
        <v>153</v>
      </c>
      <c r="S151" s="28" t="s">
        <v>150</v>
      </c>
      <c r="T151" s="28" t="s">
        <v>154</v>
      </c>
      <c r="U151" s="28" t="s">
        <v>155</v>
      </c>
      <c r="V151" s="28" t="s">
        <v>715</v>
      </c>
      <c r="W151" s="28" t="s">
        <v>718</v>
      </c>
      <c r="X151" s="28" t="s">
        <v>149</v>
      </c>
      <c r="Y151" s="28" t="s">
        <v>156</v>
      </c>
      <c r="Z151" s="31" t="str">
        <f t="shared" si="11"/>
        <v>Not</v>
      </c>
      <c r="AA151" s="28" t="s">
        <v>2276</v>
      </c>
      <c r="AB151" s="28" t="s">
        <v>2401</v>
      </c>
      <c r="AC151" s="28" t="s">
        <v>2401</v>
      </c>
      <c r="AD151" s="28" t="s">
        <v>2401</v>
      </c>
      <c r="AE151" s="28" t="s">
        <v>2401</v>
      </c>
      <c r="AF151" s="30" t="s">
        <v>11</v>
      </c>
      <c r="AG151" s="28" t="s">
        <v>2401</v>
      </c>
    </row>
    <row r="152" spans="1:33" x14ac:dyDescent="0.3">
      <c r="A152" s="28" t="s">
        <v>719</v>
      </c>
      <c r="B152" s="34" t="s">
        <v>65</v>
      </c>
      <c r="C152" s="30" t="s">
        <v>11</v>
      </c>
      <c r="D152" s="28" t="s">
        <v>6</v>
      </c>
      <c r="E152" s="28">
        <v>200</v>
      </c>
      <c r="F152" s="30" t="s">
        <v>11</v>
      </c>
      <c r="G152" s="28" t="s">
        <v>716</v>
      </c>
      <c r="H152" s="30" t="s">
        <v>11</v>
      </c>
      <c r="I152" s="28" t="s">
        <v>2401</v>
      </c>
      <c r="J152" s="30" t="s">
        <v>11</v>
      </c>
      <c r="K152" s="28" t="s">
        <v>717</v>
      </c>
      <c r="L152" s="28" t="s">
        <v>157</v>
      </c>
      <c r="M152" s="30" t="s">
        <v>11</v>
      </c>
      <c r="N152" s="28" t="s">
        <v>715</v>
      </c>
      <c r="O152" s="30" t="s">
        <v>11</v>
      </c>
      <c r="P152" s="28" t="s">
        <v>718</v>
      </c>
      <c r="Q152" s="28" t="s">
        <v>149</v>
      </c>
      <c r="R152" s="28" t="s">
        <v>153</v>
      </c>
      <c r="S152" s="28" t="s">
        <v>150</v>
      </c>
      <c r="T152" s="28" t="s">
        <v>154</v>
      </c>
      <c r="U152" s="28" t="s">
        <v>155</v>
      </c>
      <c r="V152" s="28" t="s">
        <v>715</v>
      </c>
      <c r="W152" s="28" t="s">
        <v>718</v>
      </c>
      <c r="X152" s="28" t="s">
        <v>149</v>
      </c>
      <c r="Y152" s="28" t="s">
        <v>156</v>
      </c>
      <c r="Z152" s="30" t="s">
        <v>11</v>
      </c>
      <c r="AA152" s="28" t="s">
        <v>2276</v>
      </c>
      <c r="AB152" s="28" t="s">
        <v>2401</v>
      </c>
      <c r="AC152" s="28" t="s">
        <v>2401</v>
      </c>
      <c r="AD152" s="28" t="s">
        <v>2401</v>
      </c>
      <c r="AE152" s="28" t="s">
        <v>2401</v>
      </c>
      <c r="AF152" s="30" t="s">
        <v>11</v>
      </c>
      <c r="AG152" s="28" t="s">
        <v>2401</v>
      </c>
    </row>
    <row r="153" spans="1:33" x14ac:dyDescent="0.3">
      <c r="A153" s="28" t="s">
        <v>721</v>
      </c>
      <c r="B153" s="34" t="s">
        <v>65</v>
      </c>
      <c r="C153" s="30" t="s">
        <v>11</v>
      </c>
      <c r="D153" s="28" t="s">
        <v>6</v>
      </c>
      <c r="E153" s="28">
        <v>200</v>
      </c>
      <c r="F153" s="30" t="s">
        <v>11</v>
      </c>
      <c r="G153" s="28" t="s">
        <v>722</v>
      </c>
      <c r="H153" s="30" t="s">
        <v>11</v>
      </c>
      <c r="I153" s="28" t="s">
        <v>2401</v>
      </c>
      <c r="J153" s="30" t="s">
        <v>11</v>
      </c>
      <c r="K153" s="28" t="s">
        <v>717</v>
      </c>
      <c r="L153" s="28" t="s">
        <v>157</v>
      </c>
      <c r="M153" s="30" t="s">
        <v>11</v>
      </c>
      <c r="N153" s="28" t="s">
        <v>721</v>
      </c>
      <c r="O153" s="30" t="s">
        <v>11</v>
      </c>
      <c r="P153" s="28" t="s">
        <v>718</v>
      </c>
      <c r="Q153" s="28" t="s">
        <v>149</v>
      </c>
      <c r="R153" s="28" t="s">
        <v>153</v>
      </c>
      <c r="S153" s="28" t="s">
        <v>150</v>
      </c>
      <c r="T153" s="28" t="s">
        <v>154</v>
      </c>
      <c r="U153" s="28" t="s">
        <v>155</v>
      </c>
      <c r="V153" s="28" t="s">
        <v>721</v>
      </c>
      <c r="W153" s="28" t="s">
        <v>718</v>
      </c>
      <c r="X153" s="28" t="s">
        <v>149</v>
      </c>
      <c r="Y153" s="28" t="s">
        <v>156</v>
      </c>
      <c r="Z153" s="30" t="s">
        <v>11</v>
      </c>
      <c r="AA153" s="28" t="s">
        <v>2276</v>
      </c>
      <c r="AB153" s="28" t="s">
        <v>2401</v>
      </c>
      <c r="AC153" s="28" t="s">
        <v>2401</v>
      </c>
      <c r="AD153" s="28" t="s">
        <v>2401</v>
      </c>
      <c r="AE153" s="28" t="s">
        <v>2401</v>
      </c>
      <c r="AF153" s="30" t="s">
        <v>11</v>
      </c>
      <c r="AG153" s="28" t="s">
        <v>2401</v>
      </c>
    </row>
    <row r="154" spans="1:33" x14ac:dyDescent="0.3">
      <c r="A154" s="28" t="s">
        <v>724</v>
      </c>
      <c r="B154" s="34" t="s">
        <v>65</v>
      </c>
      <c r="C154" s="30" t="s">
        <v>11</v>
      </c>
      <c r="D154" s="28" t="s">
        <v>6</v>
      </c>
      <c r="E154" s="28">
        <v>200</v>
      </c>
      <c r="F154" s="30" t="s">
        <v>11</v>
      </c>
      <c r="G154" s="28" t="s">
        <v>725</v>
      </c>
      <c r="H154" s="30" t="s">
        <v>11</v>
      </c>
      <c r="I154" s="28" t="s">
        <v>2401</v>
      </c>
      <c r="J154" s="30" t="s">
        <v>11</v>
      </c>
      <c r="K154" s="28" t="s">
        <v>717</v>
      </c>
      <c r="L154" s="28" t="s">
        <v>157</v>
      </c>
      <c r="M154" s="30" t="s">
        <v>11</v>
      </c>
      <c r="N154" s="28" t="s">
        <v>724</v>
      </c>
      <c r="O154" s="30" t="s">
        <v>11</v>
      </c>
      <c r="P154" s="28" t="s">
        <v>718</v>
      </c>
      <c r="Q154" s="28" t="s">
        <v>149</v>
      </c>
      <c r="R154" s="28" t="s">
        <v>153</v>
      </c>
      <c r="S154" s="28" t="s">
        <v>150</v>
      </c>
      <c r="T154" s="28" t="s">
        <v>154</v>
      </c>
      <c r="U154" s="28" t="s">
        <v>155</v>
      </c>
      <c r="V154" s="28" t="s">
        <v>724</v>
      </c>
      <c r="W154" s="28" t="s">
        <v>718</v>
      </c>
      <c r="X154" s="28" t="s">
        <v>149</v>
      </c>
      <c r="Y154" s="28" t="s">
        <v>156</v>
      </c>
      <c r="Z154" s="30" t="s">
        <v>11</v>
      </c>
      <c r="AA154" s="28" t="s">
        <v>2276</v>
      </c>
      <c r="AB154" s="28" t="s">
        <v>2401</v>
      </c>
      <c r="AC154" s="28" t="s">
        <v>2401</v>
      </c>
      <c r="AD154" s="28" t="s">
        <v>2401</v>
      </c>
      <c r="AE154" s="28" t="s">
        <v>2401</v>
      </c>
      <c r="AF154" s="30" t="s">
        <v>11</v>
      </c>
      <c r="AG154" s="28" t="s">
        <v>2401</v>
      </c>
    </row>
    <row r="155" spans="1:33" x14ac:dyDescent="0.3">
      <c r="A155" s="28" t="s">
        <v>726</v>
      </c>
      <c r="B155" s="34" t="s">
        <v>65</v>
      </c>
      <c r="C155" s="30" t="s">
        <v>11</v>
      </c>
      <c r="D155" s="28" t="s">
        <v>6</v>
      </c>
      <c r="E155" s="28">
        <v>200</v>
      </c>
      <c r="F155" s="30" t="s">
        <v>11</v>
      </c>
      <c r="G155" s="28" t="s">
        <v>727</v>
      </c>
      <c r="H155" s="30" t="s">
        <v>11</v>
      </c>
      <c r="I155" s="28" t="s">
        <v>2401</v>
      </c>
      <c r="J155" s="30" t="s">
        <v>11</v>
      </c>
      <c r="K155" s="28" t="s">
        <v>717</v>
      </c>
      <c r="L155" s="28" t="s">
        <v>157</v>
      </c>
      <c r="M155" s="30" t="s">
        <v>11</v>
      </c>
      <c r="N155" s="28" t="s">
        <v>726</v>
      </c>
      <c r="O155" s="30" t="s">
        <v>11</v>
      </c>
      <c r="P155" s="28" t="s">
        <v>718</v>
      </c>
      <c r="Q155" s="28" t="s">
        <v>149</v>
      </c>
      <c r="R155" s="28" t="s">
        <v>153</v>
      </c>
      <c r="S155" s="28" t="s">
        <v>150</v>
      </c>
      <c r="T155" s="28" t="s">
        <v>154</v>
      </c>
      <c r="U155" s="28" t="s">
        <v>155</v>
      </c>
      <c r="V155" s="28" t="s">
        <v>726</v>
      </c>
      <c r="W155" s="28" t="s">
        <v>718</v>
      </c>
      <c r="X155" s="28" t="s">
        <v>149</v>
      </c>
      <c r="Y155" s="28" t="s">
        <v>156</v>
      </c>
      <c r="Z155" s="30" t="s">
        <v>11</v>
      </c>
      <c r="AA155" s="28" t="s">
        <v>2276</v>
      </c>
      <c r="AB155" s="28" t="s">
        <v>2401</v>
      </c>
      <c r="AC155" s="28" t="s">
        <v>2401</v>
      </c>
      <c r="AD155" s="28" t="s">
        <v>2401</v>
      </c>
      <c r="AE155" s="28" t="s">
        <v>2401</v>
      </c>
      <c r="AF155" s="30" t="s">
        <v>11</v>
      </c>
      <c r="AG155" s="28" t="s">
        <v>2401</v>
      </c>
    </row>
    <row r="156" spans="1:33" x14ac:dyDescent="0.3">
      <c r="A156" s="28" t="s">
        <v>728</v>
      </c>
      <c r="B156" s="34" t="s">
        <v>65</v>
      </c>
      <c r="C156" s="30" t="s">
        <v>11</v>
      </c>
      <c r="D156" s="28" t="s">
        <v>6</v>
      </c>
      <c r="E156" s="28">
        <v>200</v>
      </c>
      <c r="F156" s="30" t="s">
        <v>11</v>
      </c>
      <c r="G156" s="28" t="s">
        <v>729</v>
      </c>
      <c r="H156" s="30" t="s">
        <v>11</v>
      </c>
      <c r="I156" s="28" t="s">
        <v>2401</v>
      </c>
      <c r="J156" s="30" t="s">
        <v>11</v>
      </c>
      <c r="K156" s="28" t="s">
        <v>717</v>
      </c>
      <c r="L156" s="28" t="s">
        <v>157</v>
      </c>
      <c r="M156" s="30" t="s">
        <v>11</v>
      </c>
      <c r="N156" s="28" t="s">
        <v>728</v>
      </c>
      <c r="O156" s="30" t="s">
        <v>11</v>
      </c>
      <c r="P156" s="28" t="s">
        <v>718</v>
      </c>
      <c r="Q156" s="28" t="s">
        <v>149</v>
      </c>
      <c r="R156" s="28" t="s">
        <v>153</v>
      </c>
      <c r="S156" s="28" t="s">
        <v>150</v>
      </c>
      <c r="T156" s="28" t="s">
        <v>154</v>
      </c>
      <c r="U156" s="28" t="s">
        <v>155</v>
      </c>
      <c r="V156" s="28" t="s">
        <v>728</v>
      </c>
      <c r="W156" s="28" t="s">
        <v>718</v>
      </c>
      <c r="X156" s="28" t="s">
        <v>149</v>
      </c>
      <c r="Y156" s="28" t="s">
        <v>156</v>
      </c>
      <c r="Z156" s="30" t="s">
        <v>11</v>
      </c>
      <c r="AA156" s="28" t="s">
        <v>2276</v>
      </c>
      <c r="AB156" s="28" t="s">
        <v>2401</v>
      </c>
      <c r="AC156" s="28" t="s">
        <v>2401</v>
      </c>
      <c r="AD156" s="28" t="s">
        <v>2401</v>
      </c>
      <c r="AE156" s="28" t="s">
        <v>2401</v>
      </c>
      <c r="AF156" s="30" t="s">
        <v>11</v>
      </c>
      <c r="AG156" s="28" t="s">
        <v>2401</v>
      </c>
    </row>
    <row r="157" spans="1:33" x14ac:dyDescent="0.3">
      <c r="A157" s="28" t="s">
        <v>731</v>
      </c>
      <c r="B157" s="34" t="s">
        <v>65</v>
      </c>
      <c r="C157" s="30" t="s">
        <v>11</v>
      </c>
      <c r="D157" s="28" t="s">
        <v>6</v>
      </c>
      <c r="E157" s="28">
        <v>200</v>
      </c>
      <c r="F157" s="30" t="s">
        <v>11</v>
      </c>
      <c r="G157" s="28" t="s">
        <v>732</v>
      </c>
      <c r="H157" s="30" t="s">
        <v>11</v>
      </c>
      <c r="I157" s="28" t="s">
        <v>2401</v>
      </c>
      <c r="J157" s="30" t="s">
        <v>11</v>
      </c>
      <c r="K157" s="28" t="s">
        <v>717</v>
      </c>
      <c r="L157" s="28" t="s">
        <v>157</v>
      </c>
      <c r="M157" s="30" t="s">
        <v>11</v>
      </c>
      <c r="N157" s="28" t="s">
        <v>731</v>
      </c>
      <c r="O157" s="30" t="s">
        <v>11</v>
      </c>
      <c r="P157" s="28" t="s">
        <v>718</v>
      </c>
      <c r="Q157" s="28" t="s">
        <v>149</v>
      </c>
      <c r="R157" s="28" t="s">
        <v>153</v>
      </c>
      <c r="S157" s="28" t="s">
        <v>150</v>
      </c>
      <c r="T157" s="28" t="s">
        <v>154</v>
      </c>
      <c r="U157" s="28" t="s">
        <v>155</v>
      </c>
      <c r="V157" s="28" t="s">
        <v>731</v>
      </c>
      <c r="W157" s="28" t="s">
        <v>718</v>
      </c>
      <c r="X157" s="28" t="s">
        <v>149</v>
      </c>
      <c r="Y157" s="28" t="s">
        <v>156</v>
      </c>
      <c r="Z157" s="30" t="s">
        <v>11</v>
      </c>
      <c r="AA157" s="28" t="s">
        <v>2276</v>
      </c>
      <c r="AB157" s="28" t="s">
        <v>2401</v>
      </c>
      <c r="AC157" s="28" t="s">
        <v>2401</v>
      </c>
      <c r="AD157" s="28" t="s">
        <v>2401</v>
      </c>
      <c r="AE157" s="28" t="s">
        <v>2401</v>
      </c>
      <c r="AF157" s="30" t="s">
        <v>11</v>
      </c>
      <c r="AG157" s="28" t="s">
        <v>2401</v>
      </c>
    </row>
    <row r="158" spans="1:33" x14ac:dyDescent="0.3">
      <c r="A158" s="28" t="s">
        <v>733</v>
      </c>
      <c r="B158" s="34" t="s">
        <v>65</v>
      </c>
      <c r="C158" s="30" t="s">
        <v>11</v>
      </c>
      <c r="D158" s="28" t="s">
        <v>6</v>
      </c>
      <c r="E158" s="28">
        <v>200</v>
      </c>
      <c r="F158" s="30" t="s">
        <v>11</v>
      </c>
      <c r="G158" s="28" t="s">
        <v>734</v>
      </c>
      <c r="H158" s="30" t="s">
        <v>11</v>
      </c>
      <c r="I158" s="28" t="s">
        <v>2401</v>
      </c>
      <c r="J158" s="30" t="s">
        <v>11</v>
      </c>
      <c r="K158" s="28" t="s">
        <v>717</v>
      </c>
      <c r="L158" s="28" t="s">
        <v>157</v>
      </c>
      <c r="M158" s="30" t="s">
        <v>11</v>
      </c>
      <c r="N158" s="28" t="s">
        <v>733</v>
      </c>
      <c r="O158" s="30" t="s">
        <v>11</v>
      </c>
      <c r="P158" s="28" t="s">
        <v>718</v>
      </c>
      <c r="Q158" s="28" t="s">
        <v>149</v>
      </c>
      <c r="R158" s="28" t="s">
        <v>153</v>
      </c>
      <c r="S158" s="28" t="s">
        <v>150</v>
      </c>
      <c r="T158" s="28" t="s">
        <v>154</v>
      </c>
      <c r="U158" s="28" t="s">
        <v>155</v>
      </c>
      <c r="V158" s="28" t="s">
        <v>733</v>
      </c>
      <c r="W158" s="28" t="s">
        <v>718</v>
      </c>
      <c r="X158" s="28" t="s">
        <v>149</v>
      </c>
      <c r="Y158" s="28" t="s">
        <v>156</v>
      </c>
      <c r="Z158" s="30" t="s">
        <v>11</v>
      </c>
      <c r="AA158" s="28" t="s">
        <v>2276</v>
      </c>
      <c r="AB158" s="28" t="s">
        <v>2401</v>
      </c>
      <c r="AC158" s="28" t="s">
        <v>2401</v>
      </c>
      <c r="AD158" s="28" t="s">
        <v>2401</v>
      </c>
      <c r="AE158" s="28" t="s">
        <v>2401</v>
      </c>
      <c r="AF158" s="30" t="s">
        <v>11</v>
      </c>
      <c r="AG158" s="28" t="s">
        <v>2401</v>
      </c>
    </row>
    <row r="159" spans="1:33" x14ac:dyDescent="0.3">
      <c r="A159" s="28" t="s">
        <v>735</v>
      </c>
      <c r="B159" s="34" t="s">
        <v>65</v>
      </c>
      <c r="C159" s="30" t="s">
        <v>11</v>
      </c>
      <c r="D159" s="28" t="s">
        <v>6</v>
      </c>
      <c r="E159" s="28">
        <v>200</v>
      </c>
      <c r="F159" s="30" t="s">
        <v>11</v>
      </c>
      <c r="G159" s="28" t="s">
        <v>736</v>
      </c>
      <c r="H159" s="30" t="s">
        <v>11</v>
      </c>
      <c r="I159" s="28" t="s">
        <v>2401</v>
      </c>
      <c r="J159" s="30" t="s">
        <v>11</v>
      </c>
      <c r="K159" s="28" t="s">
        <v>717</v>
      </c>
      <c r="L159" s="28" t="s">
        <v>157</v>
      </c>
      <c r="M159" s="30" t="s">
        <v>11</v>
      </c>
      <c r="N159" s="28" t="s">
        <v>735</v>
      </c>
      <c r="O159" s="30" t="s">
        <v>11</v>
      </c>
      <c r="P159" s="28" t="s">
        <v>718</v>
      </c>
      <c r="Q159" s="28" t="s">
        <v>149</v>
      </c>
      <c r="R159" s="28" t="s">
        <v>153</v>
      </c>
      <c r="S159" s="28" t="s">
        <v>150</v>
      </c>
      <c r="T159" s="28" t="s">
        <v>154</v>
      </c>
      <c r="U159" s="28" t="s">
        <v>155</v>
      </c>
      <c r="V159" s="28" t="s">
        <v>735</v>
      </c>
      <c r="W159" s="28" t="s">
        <v>718</v>
      </c>
      <c r="X159" s="28" t="s">
        <v>149</v>
      </c>
      <c r="Y159" s="28" t="s">
        <v>156</v>
      </c>
      <c r="Z159" s="30" t="s">
        <v>11</v>
      </c>
      <c r="AA159" s="28" t="s">
        <v>2276</v>
      </c>
      <c r="AB159" s="28" t="s">
        <v>2401</v>
      </c>
      <c r="AC159" s="28" t="s">
        <v>2401</v>
      </c>
      <c r="AD159" s="28" t="s">
        <v>2401</v>
      </c>
      <c r="AE159" s="28" t="s">
        <v>2401</v>
      </c>
      <c r="AF159" s="30" t="s">
        <v>11</v>
      </c>
      <c r="AG159" s="28" t="s">
        <v>2401</v>
      </c>
    </row>
    <row r="160" spans="1:33" x14ac:dyDescent="0.3">
      <c r="A160" s="28" t="s">
        <v>738</v>
      </c>
      <c r="B160" s="34"/>
      <c r="C160" s="30" t="s">
        <v>11</v>
      </c>
      <c r="D160" s="28" t="s">
        <v>6</v>
      </c>
      <c r="E160" s="28">
        <v>200</v>
      </c>
      <c r="F160" s="30" t="s">
        <v>11</v>
      </c>
      <c r="G160" s="28" t="s">
        <v>739</v>
      </c>
      <c r="H160" s="30" t="s">
        <v>11</v>
      </c>
      <c r="I160" s="28" t="s">
        <v>2401</v>
      </c>
      <c r="J160" s="30" t="s">
        <v>2382</v>
      </c>
      <c r="K160" s="28" t="s">
        <v>740</v>
      </c>
      <c r="L160" s="28" t="s">
        <v>157</v>
      </c>
      <c r="M160" s="30" t="s">
        <v>11</v>
      </c>
      <c r="N160" s="28" t="s">
        <v>738</v>
      </c>
      <c r="O160" s="30" t="s">
        <v>11</v>
      </c>
      <c r="P160" s="28" t="s">
        <v>741</v>
      </c>
      <c r="Q160" s="28" t="s">
        <v>149</v>
      </c>
      <c r="R160" s="28" t="s">
        <v>153</v>
      </c>
      <c r="S160" s="28" t="s">
        <v>150</v>
      </c>
      <c r="T160" s="28" t="s">
        <v>154</v>
      </c>
      <c r="U160" s="28" t="s">
        <v>155</v>
      </c>
      <c r="V160" s="28" t="s">
        <v>738</v>
      </c>
      <c r="W160" s="28" t="s">
        <v>741</v>
      </c>
      <c r="X160" s="28" t="s">
        <v>149</v>
      </c>
      <c r="Y160" s="28" t="s">
        <v>156</v>
      </c>
      <c r="Z160" s="31" t="str">
        <f t="shared" si="11"/>
        <v>Pass</v>
      </c>
      <c r="AA160" s="28" t="s">
        <v>2276</v>
      </c>
      <c r="AB160" s="28" t="s">
        <v>2401</v>
      </c>
      <c r="AC160" s="28" t="s">
        <v>2401</v>
      </c>
      <c r="AD160" s="28" t="s">
        <v>2401</v>
      </c>
      <c r="AE160" s="28" t="s">
        <v>2401</v>
      </c>
      <c r="AF160" s="30" t="s">
        <v>11</v>
      </c>
      <c r="AG160" s="28" t="s">
        <v>2401</v>
      </c>
    </row>
    <row r="161" spans="1:33" x14ac:dyDescent="0.3">
      <c r="A161" s="28" t="s">
        <v>742</v>
      </c>
      <c r="B161" s="34"/>
      <c r="C161" s="30" t="s">
        <v>11</v>
      </c>
      <c r="D161" s="28" t="s">
        <v>6</v>
      </c>
      <c r="E161" s="28">
        <v>200</v>
      </c>
      <c r="F161" s="30" t="s">
        <v>11</v>
      </c>
      <c r="G161" s="28" t="s">
        <v>743</v>
      </c>
      <c r="H161" s="30" t="s">
        <v>11</v>
      </c>
      <c r="I161" s="28" t="s">
        <v>2401</v>
      </c>
      <c r="J161" s="30" t="s">
        <v>2382</v>
      </c>
      <c r="K161" s="28" t="s">
        <v>744</v>
      </c>
      <c r="L161" s="28" t="s">
        <v>157</v>
      </c>
      <c r="M161" s="30" t="s">
        <v>11</v>
      </c>
      <c r="N161" s="28" t="s">
        <v>742</v>
      </c>
      <c r="O161" s="30" t="s">
        <v>11</v>
      </c>
      <c r="P161" s="28" t="s">
        <v>745</v>
      </c>
      <c r="Q161" s="28" t="s">
        <v>149</v>
      </c>
      <c r="R161" s="28" t="s">
        <v>153</v>
      </c>
      <c r="S161" s="28" t="s">
        <v>150</v>
      </c>
      <c r="T161" s="28" t="s">
        <v>154</v>
      </c>
      <c r="U161" s="28" t="s">
        <v>155</v>
      </c>
      <c r="V161" s="28" t="s">
        <v>742</v>
      </c>
      <c r="W161" s="28" t="s">
        <v>745</v>
      </c>
      <c r="X161" s="28" t="s">
        <v>149</v>
      </c>
      <c r="Y161" s="28" t="s">
        <v>156</v>
      </c>
      <c r="Z161" s="30" t="s">
        <v>11</v>
      </c>
      <c r="AA161" s="28" t="s">
        <v>2276</v>
      </c>
      <c r="AB161" s="28" t="s">
        <v>2401</v>
      </c>
      <c r="AC161" s="28" t="s">
        <v>2401</v>
      </c>
      <c r="AD161" s="28" t="s">
        <v>2401</v>
      </c>
      <c r="AE161" s="28" t="s">
        <v>2401</v>
      </c>
      <c r="AF161" s="30" t="s">
        <v>11</v>
      </c>
      <c r="AG161" s="28" t="s">
        <v>2401</v>
      </c>
    </row>
    <row r="162" spans="1:33" x14ac:dyDescent="0.3">
      <c r="A162" s="28" t="s">
        <v>747</v>
      </c>
      <c r="B162" s="34"/>
      <c r="C162" s="30" t="s">
        <v>11</v>
      </c>
      <c r="D162" s="28" t="s">
        <v>6</v>
      </c>
      <c r="E162" s="28">
        <v>200</v>
      </c>
      <c r="F162" s="30" t="s">
        <v>11</v>
      </c>
      <c r="G162" s="28" t="s">
        <v>748</v>
      </c>
      <c r="H162" s="30" t="s">
        <v>11</v>
      </c>
      <c r="I162" s="28" t="s">
        <v>2401</v>
      </c>
      <c r="J162" s="30" t="s">
        <v>2382</v>
      </c>
      <c r="K162" s="28" t="s">
        <v>749</v>
      </c>
      <c r="L162" s="28" t="s">
        <v>157</v>
      </c>
      <c r="M162" s="30" t="s">
        <v>11</v>
      </c>
      <c r="N162" s="28" t="s">
        <v>747</v>
      </c>
      <c r="O162" s="30" t="s">
        <v>11</v>
      </c>
      <c r="P162" s="28" t="s">
        <v>750</v>
      </c>
      <c r="Q162" s="28" t="s">
        <v>149</v>
      </c>
      <c r="R162" s="28" t="s">
        <v>153</v>
      </c>
      <c r="S162" s="28" t="s">
        <v>150</v>
      </c>
      <c r="T162" s="28" t="s">
        <v>154</v>
      </c>
      <c r="U162" s="28" t="s">
        <v>155</v>
      </c>
      <c r="V162" s="28" t="s">
        <v>747</v>
      </c>
      <c r="W162" s="28" t="s">
        <v>750</v>
      </c>
      <c r="X162" s="28" t="s">
        <v>149</v>
      </c>
      <c r="Y162" s="28" t="s">
        <v>156</v>
      </c>
      <c r="Z162" s="30" t="s">
        <v>11</v>
      </c>
      <c r="AA162" s="28" t="s">
        <v>2276</v>
      </c>
      <c r="AB162" s="28" t="s">
        <v>2401</v>
      </c>
      <c r="AC162" s="28" t="s">
        <v>2401</v>
      </c>
      <c r="AD162" s="28" t="s">
        <v>2401</v>
      </c>
      <c r="AE162" s="28" t="s">
        <v>2401</v>
      </c>
      <c r="AF162" s="30" t="s">
        <v>11</v>
      </c>
      <c r="AG162" s="28" t="s">
        <v>2401</v>
      </c>
    </row>
    <row r="163" spans="1:33" x14ac:dyDescent="0.3">
      <c r="A163" s="28" t="s">
        <v>751</v>
      </c>
      <c r="B163" s="34" t="s">
        <v>65</v>
      </c>
      <c r="C163" s="30" t="s">
        <v>11</v>
      </c>
      <c r="D163" s="28" t="s">
        <v>6</v>
      </c>
      <c r="E163" s="28">
        <v>200</v>
      </c>
      <c r="F163" s="30" t="s">
        <v>11</v>
      </c>
      <c r="G163" s="28" t="s">
        <v>739</v>
      </c>
      <c r="H163" s="30" t="s">
        <v>11</v>
      </c>
      <c r="I163" s="28" t="s">
        <v>2401</v>
      </c>
      <c r="J163" s="30" t="s">
        <v>11</v>
      </c>
      <c r="K163" s="28" t="s">
        <v>740</v>
      </c>
      <c r="L163" s="28" t="s">
        <v>157</v>
      </c>
      <c r="M163" s="30" t="s">
        <v>11</v>
      </c>
      <c r="N163" s="28" t="s">
        <v>738</v>
      </c>
      <c r="O163" s="30" t="s">
        <v>11</v>
      </c>
      <c r="P163" s="28" t="s">
        <v>741</v>
      </c>
      <c r="Q163" s="28" t="s">
        <v>149</v>
      </c>
      <c r="R163" s="28" t="s">
        <v>153</v>
      </c>
      <c r="S163" s="28" t="s">
        <v>150</v>
      </c>
      <c r="T163" s="28" t="s">
        <v>154</v>
      </c>
      <c r="U163" s="28" t="s">
        <v>155</v>
      </c>
      <c r="V163" s="28" t="s">
        <v>738</v>
      </c>
      <c r="W163" s="28" t="s">
        <v>741</v>
      </c>
      <c r="X163" s="28" t="s">
        <v>149</v>
      </c>
      <c r="Y163" s="28" t="s">
        <v>156</v>
      </c>
      <c r="Z163" s="30" t="s">
        <v>11</v>
      </c>
      <c r="AA163" s="28" t="s">
        <v>2276</v>
      </c>
      <c r="AB163" s="28" t="s">
        <v>2401</v>
      </c>
      <c r="AC163" s="28" t="s">
        <v>2401</v>
      </c>
      <c r="AD163" s="28" t="s">
        <v>2401</v>
      </c>
      <c r="AE163" s="28" t="s">
        <v>2401</v>
      </c>
      <c r="AF163" s="30" t="s">
        <v>11</v>
      </c>
      <c r="AG163" s="28" t="s">
        <v>2401</v>
      </c>
    </row>
    <row r="164" spans="1:33" x14ac:dyDescent="0.3">
      <c r="A164" s="28" t="s">
        <v>753</v>
      </c>
      <c r="B164" s="34" t="s">
        <v>65</v>
      </c>
      <c r="C164" s="30" t="s">
        <v>11</v>
      </c>
      <c r="D164" s="28" t="s">
        <v>6</v>
      </c>
      <c r="E164" s="28">
        <v>200</v>
      </c>
      <c r="F164" s="30" t="s">
        <v>11</v>
      </c>
      <c r="G164" s="28" t="s">
        <v>754</v>
      </c>
      <c r="H164" s="30" t="s">
        <v>11</v>
      </c>
      <c r="I164" s="28" t="s">
        <v>2401</v>
      </c>
      <c r="J164" s="30" t="s">
        <v>11</v>
      </c>
      <c r="K164" s="28" t="s">
        <v>740</v>
      </c>
      <c r="L164" s="28" t="s">
        <v>157</v>
      </c>
      <c r="M164" s="30" t="s">
        <v>11</v>
      </c>
      <c r="N164" s="28" t="s">
        <v>753</v>
      </c>
      <c r="O164" s="30" t="s">
        <v>11</v>
      </c>
      <c r="P164" s="28" t="s">
        <v>741</v>
      </c>
      <c r="Q164" s="28" t="s">
        <v>149</v>
      </c>
      <c r="R164" s="28" t="s">
        <v>153</v>
      </c>
      <c r="S164" s="28" t="s">
        <v>150</v>
      </c>
      <c r="T164" s="28" t="s">
        <v>154</v>
      </c>
      <c r="U164" s="28" t="s">
        <v>155</v>
      </c>
      <c r="V164" s="28" t="s">
        <v>753</v>
      </c>
      <c r="W164" s="28" t="s">
        <v>741</v>
      </c>
      <c r="X164" s="28" t="s">
        <v>149</v>
      </c>
      <c r="Y164" s="28" t="s">
        <v>156</v>
      </c>
      <c r="Z164" s="30" t="s">
        <v>11</v>
      </c>
      <c r="AA164" s="28" t="s">
        <v>2276</v>
      </c>
      <c r="AB164" s="28" t="s">
        <v>2401</v>
      </c>
      <c r="AC164" s="28" t="s">
        <v>2401</v>
      </c>
      <c r="AD164" s="28" t="s">
        <v>2401</v>
      </c>
      <c r="AE164" s="28" t="s">
        <v>2401</v>
      </c>
      <c r="AF164" s="30" t="s">
        <v>11</v>
      </c>
      <c r="AG164" s="28" t="s">
        <v>2401</v>
      </c>
    </row>
    <row r="165" spans="1:33" x14ac:dyDescent="0.3">
      <c r="A165" s="28" t="s">
        <v>756</v>
      </c>
      <c r="B165" s="34" t="s">
        <v>65</v>
      </c>
      <c r="C165" s="30" t="s">
        <v>11</v>
      </c>
      <c r="D165" s="28" t="s">
        <v>6</v>
      </c>
      <c r="E165" s="28">
        <v>200</v>
      </c>
      <c r="F165" s="30" t="s">
        <v>11</v>
      </c>
      <c r="G165" s="28" t="s">
        <v>757</v>
      </c>
      <c r="H165" s="30" t="s">
        <v>11</v>
      </c>
      <c r="I165" s="28" t="s">
        <v>2401</v>
      </c>
      <c r="J165" s="30" t="s">
        <v>11</v>
      </c>
      <c r="K165" s="28" t="s">
        <v>740</v>
      </c>
      <c r="L165" s="28" t="s">
        <v>157</v>
      </c>
      <c r="M165" s="30" t="s">
        <v>11</v>
      </c>
      <c r="N165" s="28" t="s">
        <v>756</v>
      </c>
      <c r="O165" s="30" t="s">
        <v>11</v>
      </c>
      <c r="P165" s="28" t="s">
        <v>741</v>
      </c>
      <c r="Q165" s="28" t="s">
        <v>149</v>
      </c>
      <c r="R165" s="28" t="s">
        <v>153</v>
      </c>
      <c r="S165" s="28" t="s">
        <v>150</v>
      </c>
      <c r="T165" s="28" t="s">
        <v>154</v>
      </c>
      <c r="U165" s="28" t="s">
        <v>155</v>
      </c>
      <c r="V165" s="28" t="s">
        <v>756</v>
      </c>
      <c r="W165" s="28" t="s">
        <v>741</v>
      </c>
      <c r="X165" s="28" t="s">
        <v>149</v>
      </c>
      <c r="Y165" s="28" t="s">
        <v>156</v>
      </c>
      <c r="Z165" s="30" t="s">
        <v>11</v>
      </c>
      <c r="AA165" s="28" t="s">
        <v>2276</v>
      </c>
      <c r="AB165" s="28" t="s">
        <v>2401</v>
      </c>
      <c r="AC165" s="28" t="s">
        <v>2401</v>
      </c>
      <c r="AD165" s="28" t="s">
        <v>2401</v>
      </c>
      <c r="AE165" s="28" t="s">
        <v>2401</v>
      </c>
      <c r="AF165" s="30" t="s">
        <v>11</v>
      </c>
      <c r="AG165" s="28" t="s">
        <v>2401</v>
      </c>
    </row>
    <row r="166" spans="1:33" x14ac:dyDescent="0.3">
      <c r="A166" s="28" t="s">
        <v>758</v>
      </c>
      <c r="B166" s="34"/>
      <c r="C166" s="30" t="s">
        <v>11</v>
      </c>
      <c r="D166" s="28" t="s">
        <v>6</v>
      </c>
      <c r="E166" s="28">
        <v>200</v>
      </c>
      <c r="F166" s="30" t="s">
        <v>11</v>
      </c>
      <c r="G166" s="28" t="s">
        <v>759</v>
      </c>
      <c r="H166" s="30" t="s">
        <v>11</v>
      </c>
      <c r="I166" s="28" t="s">
        <v>2401</v>
      </c>
      <c r="J166" s="30" t="s">
        <v>2382</v>
      </c>
      <c r="K166" s="28" t="s">
        <v>760</v>
      </c>
      <c r="L166" s="28" t="s">
        <v>157</v>
      </c>
      <c r="M166" s="30" t="s">
        <v>11</v>
      </c>
      <c r="N166" s="28" t="s">
        <v>758</v>
      </c>
      <c r="O166" s="30" t="s">
        <v>11</v>
      </c>
      <c r="P166" s="28" t="s">
        <v>761</v>
      </c>
      <c r="Q166" s="28" t="s">
        <v>149</v>
      </c>
      <c r="R166" s="28" t="s">
        <v>153</v>
      </c>
      <c r="S166" s="28" t="s">
        <v>150</v>
      </c>
      <c r="T166" s="28" t="s">
        <v>154</v>
      </c>
      <c r="U166" s="28" t="s">
        <v>155</v>
      </c>
      <c r="V166" s="28" t="s">
        <v>758</v>
      </c>
      <c r="W166" s="28" t="s">
        <v>761</v>
      </c>
      <c r="X166" s="28" t="s">
        <v>149</v>
      </c>
      <c r="Y166" s="28" t="s">
        <v>156</v>
      </c>
      <c r="Z166" s="30" t="s">
        <v>11</v>
      </c>
      <c r="AA166" s="28" t="s">
        <v>2276</v>
      </c>
      <c r="AB166" s="28" t="s">
        <v>2401</v>
      </c>
      <c r="AC166" s="28" t="s">
        <v>2401</v>
      </c>
      <c r="AD166" s="28" t="s">
        <v>2401</v>
      </c>
      <c r="AE166" s="28" t="s">
        <v>2401</v>
      </c>
      <c r="AF166" s="30" t="s">
        <v>11</v>
      </c>
      <c r="AG166" s="28" t="s">
        <v>2401</v>
      </c>
    </row>
    <row r="167" spans="1:33" x14ac:dyDescent="0.3">
      <c r="A167" s="28" t="s">
        <v>762</v>
      </c>
      <c r="B167" s="34"/>
      <c r="C167" s="30" t="s">
        <v>11</v>
      </c>
      <c r="D167" s="28" t="s">
        <v>6</v>
      </c>
      <c r="E167" s="28">
        <v>200</v>
      </c>
      <c r="F167" s="30" t="s">
        <v>11</v>
      </c>
      <c r="G167" s="28" t="s">
        <v>763</v>
      </c>
      <c r="H167" s="30" t="s">
        <v>11</v>
      </c>
      <c r="I167" s="28" t="s">
        <v>2401</v>
      </c>
      <c r="J167" s="30" t="s">
        <v>2382</v>
      </c>
      <c r="K167" s="28" t="s">
        <v>764</v>
      </c>
      <c r="L167" s="28" t="s">
        <v>157</v>
      </c>
      <c r="M167" s="30" t="s">
        <v>11</v>
      </c>
      <c r="N167" s="28" t="s">
        <v>762</v>
      </c>
      <c r="O167" s="30" t="s">
        <v>11</v>
      </c>
      <c r="P167" s="28" t="s">
        <v>765</v>
      </c>
      <c r="Q167" s="28" t="s">
        <v>149</v>
      </c>
      <c r="R167" s="28" t="s">
        <v>153</v>
      </c>
      <c r="S167" s="28" t="s">
        <v>150</v>
      </c>
      <c r="T167" s="28" t="s">
        <v>154</v>
      </c>
      <c r="U167" s="28" t="s">
        <v>155</v>
      </c>
      <c r="V167" s="28" t="s">
        <v>762</v>
      </c>
      <c r="W167" s="28" t="s">
        <v>765</v>
      </c>
      <c r="X167" s="28" t="s">
        <v>149</v>
      </c>
      <c r="Y167" s="28" t="s">
        <v>156</v>
      </c>
      <c r="Z167" s="30" t="s">
        <v>11</v>
      </c>
      <c r="AA167" s="28" t="s">
        <v>2276</v>
      </c>
      <c r="AB167" s="28" t="s">
        <v>2401</v>
      </c>
      <c r="AC167" s="28" t="s">
        <v>2401</v>
      </c>
      <c r="AD167" s="28" t="s">
        <v>2401</v>
      </c>
      <c r="AE167" s="28" t="s">
        <v>2401</v>
      </c>
      <c r="AF167" s="30" t="s">
        <v>11</v>
      </c>
      <c r="AG167" s="28" t="s">
        <v>2401</v>
      </c>
    </row>
    <row r="168" spans="1:33" x14ac:dyDescent="0.3">
      <c r="A168" s="28" t="s">
        <v>766</v>
      </c>
      <c r="B168" s="34"/>
      <c r="C168" s="30" t="s">
        <v>11</v>
      </c>
      <c r="D168" s="28" t="s">
        <v>6</v>
      </c>
      <c r="E168" s="28">
        <v>200</v>
      </c>
      <c r="F168" s="30" t="s">
        <v>11</v>
      </c>
      <c r="G168" s="28" t="s">
        <v>767</v>
      </c>
      <c r="H168" s="30" t="s">
        <v>11</v>
      </c>
      <c r="I168" s="28" t="s">
        <v>2401</v>
      </c>
      <c r="J168" s="30" t="s">
        <v>2382</v>
      </c>
      <c r="K168" s="28" t="s">
        <v>768</v>
      </c>
      <c r="L168" s="28" t="s">
        <v>157</v>
      </c>
      <c r="M168" s="30" t="s">
        <v>11</v>
      </c>
      <c r="N168" s="28" t="s">
        <v>766</v>
      </c>
      <c r="O168" s="30" t="s">
        <v>11</v>
      </c>
      <c r="P168" s="28" t="s">
        <v>769</v>
      </c>
      <c r="Q168" s="28" t="s">
        <v>149</v>
      </c>
      <c r="R168" s="28" t="s">
        <v>153</v>
      </c>
      <c r="S168" s="28" t="s">
        <v>150</v>
      </c>
      <c r="T168" s="28" t="s">
        <v>154</v>
      </c>
      <c r="U168" s="28" t="s">
        <v>155</v>
      </c>
      <c r="V168" s="28" t="s">
        <v>766</v>
      </c>
      <c r="W168" s="28" t="s">
        <v>769</v>
      </c>
      <c r="X168" s="28" t="s">
        <v>149</v>
      </c>
      <c r="Y168" s="28" t="s">
        <v>156</v>
      </c>
      <c r="Z168" s="30" t="s">
        <v>11</v>
      </c>
      <c r="AA168" s="28" t="s">
        <v>2276</v>
      </c>
      <c r="AB168" s="28" t="s">
        <v>2401</v>
      </c>
      <c r="AC168" s="28" t="s">
        <v>2401</v>
      </c>
      <c r="AD168" s="28" t="s">
        <v>2401</v>
      </c>
      <c r="AE168" s="28" t="s">
        <v>2401</v>
      </c>
      <c r="AF168" s="30" t="s">
        <v>11</v>
      </c>
      <c r="AG168" s="28" t="s">
        <v>2401</v>
      </c>
    </row>
    <row r="169" spans="1:33" x14ac:dyDescent="0.3">
      <c r="A169" s="28" t="s">
        <v>770</v>
      </c>
      <c r="B169" s="34"/>
      <c r="C169" s="30" t="s">
        <v>11</v>
      </c>
      <c r="D169" s="28" t="s">
        <v>6</v>
      </c>
      <c r="E169" s="28">
        <v>200</v>
      </c>
      <c r="F169" s="30" t="s">
        <v>11</v>
      </c>
      <c r="G169" s="28" t="s">
        <v>771</v>
      </c>
      <c r="H169" s="30" t="s">
        <v>11</v>
      </c>
      <c r="I169" s="28" t="s">
        <v>2401</v>
      </c>
      <c r="J169" s="30" t="s">
        <v>2382</v>
      </c>
      <c r="K169" s="28" t="s">
        <v>772</v>
      </c>
      <c r="L169" s="28" t="s">
        <v>157</v>
      </c>
      <c r="M169" s="30" t="s">
        <v>11</v>
      </c>
      <c r="N169" s="28" t="s">
        <v>770</v>
      </c>
      <c r="O169" s="30" t="s">
        <v>11</v>
      </c>
      <c r="P169" s="28" t="s">
        <v>773</v>
      </c>
      <c r="Q169" s="28" t="s">
        <v>149</v>
      </c>
      <c r="R169" s="28" t="s">
        <v>153</v>
      </c>
      <c r="S169" s="28" t="s">
        <v>150</v>
      </c>
      <c r="T169" s="28" t="s">
        <v>154</v>
      </c>
      <c r="U169" s="28" t="s">
        <v>155</v>
      </c>
      <c r="V169" s="28" t="s">
        <v>770</v>
      </c>
      <c r="W169" s="28" t="s">
        <v>773</v>
      </c>
      <c r="X169" s="28" t="s">
        <v>149</v>
      </c>
      <c r="Y169" s="28" t="s">
        <v>156</v>
      </c>
      <c r="Z169" s="30" t="s">
        <v>11</v>
      </c>
      <c r="AA169" s="28" t="s">
        <v>2276</v>
      </c>
      <c r="AB169" s="28" t="s">
        <v>2401</v>
      </c>
      <c r="AC169" s="28" t="s">
        <v>2401</v>
      </c>
      <c r="AD169" s="28" t="s">
        <v>2401</v>
      </c>
      <c r="AE169" s="28" t="s">
        <v>2401</v>
      </c>
      <c r="AF169" s="30" t="s">
        <v>11</v>
      </c>
      <c r="AG169" s="28" t="s">
        <v>2401</v>
      </c>
    </row>
    <row r="170" spans="1:33" x14ac:dyDescent="0.3">
      <c r="A170" s="28" t="s">
        <v>774</v>
      </c>
      <c r="B170" s="34"/>
      <c r="C170" s="30" t="s">
        <v>11</v>
      </c>
      <c r="D170" s="28" t="s">
        <v>6</v>
      </c>
      <c r="E170" s="28">
        <v>200</v>
      </c>
      <c r="F170" s="30" t="s">
        <v>11</v>
      </c>
      <c r="G170" s="28" t="s">
        <v>775</v>
      </c>
      <c r="H170" s="30" t="s">
        <v>11</v>
      </c>
      <c r="I170" s="28" t="s">
        <v>2401</v>
      </c>
      <c r="J170" s="30" t="s">
        <v>2382</v>
      </c>
      <c r="K170" s="28" t="s">
        <v>776</v>
      </c>
      <c r="L170" s="28" t="s">
        <v>157</v>
      </c>
      <c r="M170" s="30" t="s">
        <v>11</v>
      </c>
      <c r="N170" s="28" t="s">
        <v>774</v>
      </c>
      <c r="O170" s="30" t="s">
        <v>11</v>
      </c>
      <c r="P170" s="28" t="s">
        <v>777</v>
      </c>
      <c r="Q170" s="28" t="s">
        <v>149</v>
      </c>
      <c r="R170" s="28" t="s">
        <v>153</v>
      </c>
      <c r="S170" s="28" t="s">
        <v>150</v>
      </c>
      <c r="T170" s="28" t="s">
        <v>154</v>
      </c>
      <c r="U170" s="28" t="s">
        <v>155</v>
      </c>
      <c r="V170" s="28" t="s">
        <v>774</v>
      </c>
      <c r="W170" s="28" t="s">
        <v>777</v>
      </c>
      <c r="X170" s="28" t="s">
        <v>149</v>
      </c>
      <c r="Y170" s="28" t="s">
        <v>156</v>
      </c>
      <c r="Z170" s="31" t="str">
        <f t="shared" ref="Z170" si="12">IF(AND(J166="Pass", H166="Pass"), "Pass", "Not")</f>
        <v>Not</v>
      </c>
      <c r="AA170" s="28" t="s">
        <v>2276</v>
      </c>
      <c r="AB170" s="28" t="s">
        <v>2401</v>
      </c>
      <c r="AC170" s="28" t="s">
        <v>2401</v>
      </c>
      <c r="AD170" s="28" t="s">
        <v>2401</v>
      </c>
      <c r="AE170" s="28" t="s">
        <v>2401</v>
      </c>
      <c r="AF170" s="30" t="s">
        <v>11</v>
      </c>
      <c r="AG170" s="28" t="s">
        <v>2401</v>
      </c>
    </row>
    <row r="171" spans="1:33" x14ac:dyDescent="0.3">
      <c r="A171" s="28" t="s">
        <v>778</v>
      </c>
      <c r="B171" s="34" t="s">
        <v>65</v>
      </c>
      <c r="C171" s="30" t="s">
        <v>11</v>
      </c>
      <c r="D171" s="28" t="s">
        <v>6</v>
      </c>
      <c r="E171" s="28">
        <v>200</v>
      </c>
      <c r="F171" s="30" t="s">
        <v>11</v>
      </c>
      <c r="G171" s="28" t="s">
        <v>775</v>
      </c>
      <c r="H171" s="30" t="s">
        <v>11</v>
      </c>
      <c r="I171" s="28" t="s">
        <v>2401</v>
      </c>
      <c r="J171" s="30" t="s">
        <v>11</v>
      </c>
      <c r="K171" s="28" t="s">
        <v>776</v>
      </c>
      <c r="L171" s="28" t="s">
        <v>157</v>
      </c>
      <c r="M171" s="30" t="s">
        <v>11</v>
      </c>
      <c r="N171" s="28" t="s">
        <v>774</v>
      </c>
      <c r="O171" s="30" t="s">
        <v>11</v>
      </c>
      <c r="P171" s="28" t="s">
        <v>777</v>
      </c>
      <c r="Q171" s="28" t="s">
        <v>149</v>
      </c>
      <c r="R171" s="28" t="s">
        <v>153</v>
      </c>
      <c r="S171" s="28" t="s">
        <v>150</v>
      </c>
      <c r="T171" s="28" t="s">
        <v>154</v>
      </c>
      <c r="U171" s="28" t="s">
        <v>155</v>
      </c>
      <c r="V171" s="28" t="s">
        <v>774</v>
      </c>
      <c r="W171" s="28" t="s">
        <v>777</v>
      </c>
      <c r="X171" s="28" t="s">
        <v>149</v>
      </c>
      <c r="Y171" s="28" t="s">
        <v>156</v>
      </c>
      <c r="Z171" s="30" t="s">
        <v>11</v>
      </c>
      <c r="AA171" s="28" t="s">
        <v>2276</v>
      </c>
      <c r="AB171" s="28" t="s">
        <v>2401</v>
      </c>
      <c r="AC171" s="28" t="s">
        <v>2401</v>
      </c>
      <c r="AD171" s="28" t="s">
        <v>2401</v>
      </c>
      <c r="AE171" s="28" t="s">
        <v>2401</v>
      </c>
      <c r="AF171" s="30" t="s">
        <v>11</v>
      </c>
      <c r="AG171" s="28" t="s">
        <v>2401</v>
      </c>
    </row>
    <row r="172" spans="1:33" x14ac:dyDescent="0.3">
      <c r="A172" s="28" t="s">
        <v>780</v>
      </c>
      <c r="B172" s="34" t="s">
        <v>65</v>
      </c>
      <c r="C172" s="30" t="s">
        <v>11</v>
      </c>
      <c r="D172" s="28" t="s">
        <v>6</v>
      </c>
      <c r="E172" s="28">
        <v>200</v>
      </c>
      <c r="F172" s="30" t="s">
        <v>11</v>
      </c>
      <c r="G172" s="28" t="s">
        <v>781</v>
      </c>
      <c r="H172" s="30" t="s">
        <v>11</v>
      </c>
      <c r="I172" s="28" t="s">
        <v>2401</v>
      </c>
      <c r="J172" s="30" t="s">
        <v>11</v>
      </c>
      <c r="K172" s="28" t="s">
        <v>776</v>
      </c>
      <c r="L172" s="28" t="s">
        <v>157</v>
      </c>
      <c r="M172" s="30" t="s">
        <v>11</v>
      </c>
      <c r="N172" s="28" t="s">
        <v>780</v>
      </c>
      <c r="O172" s="30" t="s">
        <v>11</v>
      </c>
      <c r="P172" s="28" t="s">
        <v>777</v>
      </c>
      <c r="Q172" s="28" t="s">
        <v>149</v>
      </c>
      <c r="R172" s="28" t="s">
        <v>153</v>
      </c>
      <c r="S172" s="28" t="s">
        <v>150</v>
      </c>
      <c r="T172" s="28" t="s">
        <v>154</v>
      </c>
      <c r="U172" s="28" t="s">
        <v>155</v>
      </c>
      <c r="V172" s="28" t="s">
        <v>780</v>
      </c>
      <c r="W172" s="28" t="s">
        <v>777</v>
      </c>
      <c r="X172" s="28" t="s">
        <v>149</v>
      </c>
      <c r="Y172" s="28" t="s">
        <v>156</v>
      </c>
      <c r="Z172" s="30" t="s">
        <v>11</v>
      </c>
      <c r="AA172" s="28" t="s">
        <v>2276</v>
      </c>
      <c r="AB172" s="28" t="s">
        <v>2401</v>
      </c>
      <c r="AC172" s="28" t="s">
        <v>2401</v>
      </c>
      <c r="AD172" s="28" t="s">
        <v>2401</v>
      </c>
      <c r="AE172" s="28" t="s">
        <v>2401</v>
      </c>
      <c r="AF172" s="30" t="s">
        <v>11</v>
      </c>
      <c r="AG172" s="28" t="s">
        <v>2401</v>
      </c>
    </row>
    <row r="173" spans="1:33" x14ac:dyDescent="0.3">
      <c r="A173" s="28" t="s">
        <v>783</v>
      </c>
      <c r="B173" s="34" t="s">
        <v>65</v>
      </c>
      <c r="C173" s="30" t="s">
        <v>11</v>
      </c>
      <c r="D173" s="28" t="s">
        <v>6</v>
      </c>
      <c r="E173" s="28">
        <v>200</v>
      </c>
      <c r="F173" s="30" t="s">
        <v>11</v>
      </c>
      <c r="G173" s="28" t="s">
        <v>784</v>
      </c>
      <c r="H173" s="30" t="s">
        <v>11</v>
      </c>
      <c r="I173" s="28" t="s">
        <v>2401</v>
      </c>
      <c r="J173" s="30" t="s">
        <v>11</v>
      </c>
      <c r="K173" s="28" t="s">
        <v>776</v>
      </c>
      <c r="L173" s="28" t="s">
        <v>157</v>
      </c>
      <c r="M173" s="30" t="s">
        <v>11</v>
      </c>
      <c r="N173" s="28" t="s">
        <v>783</v>
      </c>
      <c r="O173" s="30" t="s">
        <v>11</v>
      </c>
      <c r="P173" s="28" t="s">
        <v>777</v>
      </c>
      <c r="Q173" s="28" t="s">
        <v>149</v>
      </c>
      <c r="R173" s="28" t="s">
        <v>153</v>
      </c>
      <c r="S173" s="28" t="s">
        <v>150</v>
      </c>
      <c r="T173" s="28" t="s">
        <v>154</v>
      </c>
      <c r="U173" s="28" t="s">
        <v>155</v>
      </c>
      <c r="V173" s="28" t="s">
        <v>783</v>
      </c>
      <c r="W173" s="28" t="s">
        <v>777</v>
      </c>
      <c r="X173" s="28" t="s">
        <v>149</v>
      </c>
      <c r="Y173" s="28" t="s">
        <v>156</v>
      </c>
      <c r="Z173" s="30" t="s">
        <v>11</v>
      </c>
      <c r="AA173" s="28" t="s">
        <v>2276</v>
      </c>
      <c r="AB173" s="28" t="s">
        <v>2401</v>
      </c>
      <c r="AC173" s="28" t="s">
        <v>2401</v>
      </c>
      <c r="AD173" s="28" t="s">
        <v>2401</v>
      </c>
      <c r="AE173" s="28" t="s">
        <v>2401</v>
      </c>
      <c r="AF173" s="30" t="s">
        <v>11</v>
      </c>
      <c r="AG173" s="28" t="s">
        <v>2401</v>
      </c>
    </row>
    <row r="174" spans="1:33" x14ac:dyDescent="0.3">
      <c r="A174" s="28" t="s">
        <v>785</v>
      </c>
      <c r="B174" s="34" t="s">
        <v>65</v>
      </c>
      <c r="C174" s="30" t="s">
        <v>11</v>
      </c>
      <c r="D174" s="28" t="s">
        <v>6</v>
      </c>
      <c r="E174" s="28">
        <v>200</v>
      </c>
      <c r="F174" s="30" t="s">
        <v>11</v>
      </c>
      <c r="G174" s="28" t="s">
        <v>786</v>
      </c>
      <c r="H174" s="30" t="s">
        <v>11</v>
      </c>
      <c r="I174" s="28" t="s">
        <v>2401</v>
      </c>
      <c r="J174" s="30" t="s">
        <v>11</v>
      </c>
      <c r="K174" s="28" t="s">
        <v>776</v>
      </c>
      <c r="L174" s="28" t="s">
        <v>157</v>
      </c>
      <c r="M174" s="30" t="s">
        <v>11</v>
      </c>
      <c r="N174" s="28" t="s">
        <v>785</v>
      </c>
      <c r="O174" s="30" t="s">
        <v>11</v>
      </c>
      <c r="P174" s="28" t="s">
        <v>777</v>
      </c>
      <c r="Q174" s="28" t="s">
        <v>149</v>
      </c>
      <c r="R174" s="28" t="s">
        <v>153</v>
      </c>
      <c r="S174" s="28" t="s">
        <v>150</v>
      </c>
      <c r="T174" s="28" t="s">
        <v>154</v>
      </c>
      <c r="U174" s="28" t="s">
        <v>155</v>
      </c>
      <c r="V174" s="28" t="s">
        <v>785</v>
      </c>
      <c r="W174" s="28" t="s">
        <v>777</v>
      </c>
      <c r="X174" s="28" t="s">
        <v>149</v>
      </c>
      <c r="Y174" s="28" t="s">
        <v>156</v>
      </c>
      <c r="Z174" s="30" t="s">
        <v>11</v>
      </c>
      <c r="AA174" s="28" t="s">
        <v>2276</v>
      </c>
      <c r="AB174" s="28" t="s">
        <v>2401</v>
      </c>
      <c r="AC174" s="28" t="s">
        <v>2401</v>
      </c>
      <c r="AD174" s="28" t="s">
        <v>2401</v>
      </c>
      <c r="AE174" s="28" t="s">
        <v>2401</v>
      </c>
      <c r="AF174" s="30" t="s">
        <v>11</v>
      </c>
      <c r="AG174" s="28" t="s">
        <v>2401</v>
      </c>
    </row>
    <row r="175" spans="1:33" x14ac:dyDescent="0.3">
      <c r="A175" s="28" t="s">
        <v>788</v>
      </c>
      <c r="B175" s="34" t="s">
        <v>65</v>
      </c>
      <c r="C175" s="30" t="s">
        <v>11</v>
      </c>
      <c r="D175" s="28" t="s">
        <v>6</v>
      </c>
      <c r="E175" s="28">
        <v>200</v>
      </c>
      <c r="F175" s="30" t="s">
        <v>11</v>
      </c>
      <c r="G175" s="28" t="s">
        <v>789</v>
      </c>
      <c r="H175" s="30" t="s">
        <v>11</v>
      </c>
      <c r="I175" s="28" t="s">
        <v>2401</v>
      </c>
      <c r="J175" s="30" t="s">
        <v>11</v>
      </c>
      <c r="K175" s="28" t="s">
        <v>776</v>
      </c>
      <c r="L175" s="28" t="s">
        <v>157</v>
      </c>
      <c r="M175" s="30" t="s">
        <v>11</v>
      </c>
      <c r="N175" s="28" t="s">
        <v>788</v>
      </c>
      <c r="O175" s="30" t="s">
        <v>11</v>
      </c>
      <c r="P175" s="28" t="s">
        <v>777</v>
      </c>
      <c r="Q175" s="28" t="s">
        <v>149</v>
      </c>
      <c r="R175" s="28" t="s">
        <v>153</v>
      </c>
      <c r="S175" s="28" t="s">
        <v>150</v>
      </c>
      <c r="T175" s="28" t="s">
        <v>154</v>
      </c>
      <c r="U175" s="28" t="s">
        <v>155</v>
      </c>
      <c r="V175" s="28" t="s">
        <v>788</v>
      </c>
      <c r="W175" s="28" t="s">
        <v>777</v>
      </c>
      <c r="X175" s="28" t="s">
        <v>149</v>
      </c>
      <c r="Y175" s="28" t="s">
        <v>156</v>
      </c>
      <c r="Z175" s="30" t="s">
        <v>11</v>
      </c>
      <c r="AA175" s="28" t="s">
        <v>2276</v>
      </c>
      <c r="AB175" s="28" t="s">
        <v>2401</v>
      </c>
      <c r="AC175" s="28" t="s">
        <v>2401</v>
      </c>
      <c r="AD175" s="28" t="s">
        <v>2401</v>
      </c>
      <c r="AE175" s="28" t="s">
        <v>2401</v>
      </c>
      <c r="AF175" s="30" t="s">
        <v>11</v>
      </c>
      <c r="AG175" s="28" t="s">
        <v>2401</v>
      </c>
    </row>
    <row r="176" spans="1:33" x14ac:dyDescent="0.3">
      <c r="A176" s="28" t="s">
        <v>790</v>
      </c>
      <c r="B176" s="34" t="s">
        <v>65</v>
      </c>
      <c r="C176" s="30" t="s">
        <v>11</v>
      </c>
      <c r="D176" s="28" t="s">
        <v>6</v>
      </c>
      <c r="E176" s="28">
        <v>200</v>
      </c>
      <c r="F176" s="30" t="s">
        <v>11</v>
      </c>
      <c r="G176" s="28" t="s">
        <v>791</v>
      </c>
      <c r="H176" s="30" t="s">
        <v>11</v>
      </c>
      <c r="I176" s="28" t="s">
        <v>2401</v>
      </c>
      <c r="J176" s="30" t="s">
        <v>11</v>
      </c>
      <c r="K176" s="28" t="s">
        <v>776</v>
      </c>
      <c r="L176" s="28" t="s">
        <v>157</v>
      </c>
      <c r="M176" s="30" t="s">
        <v>11</v>
      </c>
      <c r="N176" s="28" t="s">
        <v>790</v>
      </c>
      <c r="O176" s="30" t="s">
        <v>11</v>
      </c>
      <c r="P176" s="28" t="s">
        <v>777</v>
      </c>
      <c r="Q176" s="28" t="s">
        <v>149</v>
      </c>
      <c r="R176" s="28" t="s">
        <v>153</v>
      </c>
      <c r="S176" s="28" t="s">
        <v>150</v>
      </c>
      <c r="T176" s="28" t="s">
        <v>154</v>
      </c>
      <c r="U176" s="28" t="s">
        <v>155</v>
      </c>
      <c r="V176" s="28" t="s">
        <v>790</v>
      </c>
      <c r="W176" s="28" t="s">
        <v>777</v>
      </c>
      <c r="X176" s="28" t="s">
        <v>149</v>
      </c>
      <c r="Y176" s="28" t="s">
        <v>156</v>
      </c>
      <c r="Z176" s="30" t="s">
        <v>11</v>
      </c>
      <c r="AA176" s="28" t="s">
        <v>2276</v>
      </c>
      <c r="AB176" s="28" t="s">
        <v>2401</v>
      </c>
      <c r="AC176" s="28" t="s">
        <v>2401</v>
      </c>
      <c r="AD176" s="28" t="s">
        <v>2401</v>
      </c>
      <c r="AE176" s="28" t="s">
        <v>2401</v>
      </c>
      <c r="AF176" s="30" t="s">
        <v>11</v>
      </c>
      <c r="AG176" s="28" t="s">
        <v>2401</v>
      </c>
    </row>
    <row r="177" spans="1:33" x14ac:dyDescent="0.3">
      <c r="A177" s="28" t="s">
        <v>793</v>
      </c>
      <c r="B177" s="34" t="s">
        <v>65</v>
      </c>
      <c r="C177" s="30" t="s">
        <v>11</v>
      </c>
      <c r="D177" s="28" t="s">
        <v>6</v>
      </c>
      <c r="E177" s="28">
        <v>200</v>
      </c>
      <c r="F177" s="30" t="s">
        <v>11</v>
      </c>
      <c r="G177" s="28" t="s">
        <v>794</v>
      </c>
      <c r="H177" s="30" t="s">
        <v>11</v>
      </c>
      <c r="I177" s="28" t="s">
        <v>2401</v>
      </c>
      <c r="J177" s="30" t="s">
        <v>11</v>
      </c>
      <c r="K177" s="28" t="s">
        <v>776</v>
      </c>
      <c r="L177" s="28" t="s">
        <v>157</v>
      </c>
      <c r="M177" s="30" t="s">
        <v>11</v>
      </c>
      <c r="N177" s="28" t="s">
        <v>793</v>
      </c>
      <c r="O177" s="30" t="s">
        <v>11</v>
      </c>
      <c r="P177" s="28" t="s">
        <v>777</v>
      </c>
      <c r="Q177" s="28" t="s">
        <v>149</v>
      </c>
      <c r="R177" s="28" t="s">
        <v>153</v>
      </c>
      <c r="S177" s="28" t="s">
        <v>150</v>
      </c>
      <c r="T177" s="28" t="s">
        <v>154</v>
      </c>
      <c r="U177" s="28" t="s">
        <v>155</v>
      </c>
      <c r="V177" s="28" t="s">
        <v>793</v>
      </c>
      <c r="W177" s="28" t="s">
        <v>777</v>
      </c>
      <c r="X177" s="28" t="s">
        <v>149</v>
      </c>
      <c r="Y177" s="28" t="s">
        <v>156</v>
      </c>
      <c r="Z177" s="30" t="s">
        <v>11</v>
      </c>
      <c r="AA177" s="28" t="s">
        <v>2276</v>
      </c>
      <c r="AB177" s="28" t="s">
        <v>2401</v>
      </c>
      <c r="AC177" s="28" t="s">
        <v>2401</v>
      </c>
      <c r="AD177" s="28" t="s">
        <v>2401</v>
      </c>
      <c r="AE177" s="28" t="s">
        <v>2401</v>
      </c>
      <c r="AF177" s="30" t="s">
        <v>11</v>
      </c>
      <c r="AG177" s="28" t="s">
        <v>2401</v>
      </c>
    </row>
    <row r="178" spans="1:33" x14ac:dyDescent="0.3">
      <c r="A178" s="28" t="s">
        <v>795</v>
      </c>
      <c r="B178" s="34" t="s">
        <v>65</v>
      </c>
      <c r="C178" s="30" t="s">
        <v>11</v>
      </c>
      <c r="D178" s="28" t="s">
        <v>6</v>
      </c>
      <c r="E178" s="28">
        <v>200</v>
      </c>
      <c r="F178" s="30" t="s">
        <v>11</v>
      </c>
      <c r="G178" s="28" t="s">
        <v>796</v>
      </c>
      <c r="H178" s="30" t="s">
        <v>11</v>
      </c>
      <c r="I178" s="28" t="s">
        <v>2401</v>
      </c>
      <c r="J178" s="30" t="s">
        <v>11</v>
      </c>
      <c r="K178" s="28" t="s">
        <v>776</v>
      </c>
      <c r="L178" s="28" t="s">
        <v>157</v>
      </c>
      <c r="M178" s="30" t="s">
        <v>11</v>
      </c>
      <c r="N178" s="28" t="s">
        <v>795</v>
      </c>
      <c r="O178" s="30" t="s">
        <v>11</v>
      </c>
      <c r="P178" s="28" t="s">
        <v>777</v>
      </c>
      <c r="Q178" s="28" t="s">
        <v>149</v>
      </c>
      <c r="R178" s="28" t="s">
        <v>153</v>
      </c>
      <c r="S178" s="28" t="s">
        <v>150</v>
      </c>
      <c r="T178" s="28" t="s">
        <v>154</v>
      </c>
      <c r="U178" s="28" t="s">
        <v>155</v>
      </c>
      <c r="V178" s="28" t="s">
        <v>795</v>
      </c>
      <c r="W178" s="28" t="s">
        <v>777</v>
      </c>
      <c r="X178" s="28" t="s">
        <v>149</v>
      </c>
      <c r="Y178" s="28" t="s">
        <v>156</v>
      </c>
      <c r="Z178" s="30" t="s">
        <v>11</v>
      </c>
      <c r="AA178" s="28" t="s">
        <v>2276</v>
      </c>
      <c r="AB178" s="28" t="s">
        <v>2401</v>
      </c>
      <c r="AC178" s="28" t="s">
        <v>2401</v>
      </c>
      <c r="AD178" s="28" t="s">
        <v>2401</v>
      </c>
      <c r="AE178" s="28" t="s">
        <v>2401</v>
      </c>
      <c r="AF178" s="30" t="s">
        <v>11</v>
      </c>
      <c r="AG178" s="28" t="s">
        <v>2401</v>
      </c>
    </row>
    <row r="179" spans="1:33" x14ac:dyDescent="0.3">
      <c r="A179" s="28" t="s">
        <v>798</v>
      </c>
      <c r="B179" s="34"/>
      <c r="C179" s="30" t="s">
        <v>11</v>
      </c>
      <c r="D179" s="28" t="s">
        <v>6</v>
      </c>
      <c r="E179" s="28">
        <v>200</v>
      </c>
      <c r="F179" s="30" t="s">
        <v>11</v>
      </c>
      <c r="G179" s="28" t="s">
        <v>799</v>
      </c>
      <c r="H179" s="30" t="s">
        <v>11</v>
      </c>
      <c r="I179" s="28" t="s">
        <v>2401</v>
      </c>
      <c r="J179" s="30" t="s">
        <v>2382</v>
      </c>
      <c r="K179" s="28" t="s">
        <v>800</v>
      </c>
      <c r="L179" s="28" t="s">
        <v>157</v>
      </c>
      <c r="M179" s="30" t="s">
        <v>11</v>
      </c>
      <c r="N179" s="28" t="s">
        <v>798</v>
      </c>
      <c r="O179" s="30" t="s">
        <v>11</v>
      </c>
      <c r="P179" s="28" t="s">
        <v>801</v>
      </c>
      <c r="Q179" s="28" t="s">
        <v>149</v>
      </c>
      <c r="R179" s="28" t="s">
        <v>153</v>
      </c>
      <c r="S179" s="28" t="s">
        <v>150</v>
      </c>
      <c r="T179" s="28" t="s">
        <v>154</v>
      </c>
      <c r="U179" s="28" t="s">
        <v>155</v>
      </c>
      <c r="V179" s="28" t="s">
        <v>798</v>
      </c>
      <c r="W179" s="28" t="s">
        <v>801</v>
      </c>
      <c r="X179" s="28" t="s">
        <v>149</v>
      </c>
      <c r="Y179" s="28" t="s">
        <v>156</v>
      </c>
      <c r="Z179" s="30" t="s">
        <v>11</v>
      </c>
      <c r="AA179" s="28" t="s">
        <v>2276</v>
      </c>
      <c r="AB179" s="28" t="s">
        <v>2401</v>
      </c>
      <c r="AC179" s="28" t="s">
        <v>2401</v>
      </c>
      <c r="AD179" s="28" t="s">
        <v>2401</v>
      </c>
      <c r="AE179" s="28" t="s">
        <v>2401</v>
      </c>
      <c r="AF179" s="30" t="s">
        <v>11</v>
      </c>
      <c r="AG179" s="28" t="s">
        <v>2401</v>
      </c>
    </row>
    <row r="180" spans="1:33" x14ac:dyDescent="0.3">
      <c r="A180" s="28" t="s">
        <v>802</v>
      </c>
      <c r="B180" s="34"/>
      <c r="C180" s="30" t="s">
        <v>11</v>
      </c>
      <c r="D180" s="28" t="s">
        <v>6</v>
      </c>
      <c r="E180" s="28">
        <v>200</v>
      </c>
      <c r="F180" s="30" t="s">
        <v>11</v>
      </c>
      <c r="G180" s="28" t="s">
        <v>803</v>
      </c>
      <c r="H180" s="30" t="s">
        <v>11</v>
      </c>
      <c r="I180" s="28" t="s">
        <v>2401</v>
      </c>
      <c r="J180" s="30" t="s">
        <v>2382</v>
      </c>
      <c r="K180" s="28" t="s">
        <v>804</v>
      </c>
      <c r="L180" s="28" t="s">
        <v>157</v>
      </c>
      <c r="M180" s="30" t="s">
        <v>11</v>
      </c>
      <c r="N180" s="28" t="s">
        <v>802</v>
      </c>
      <c r="O180" s="30" t="s">
        <v>11</v>
      </c>
      <c r="P180" s="28" t="s">
        <v>805</v>
      </c>
      <c r="Q180" s="28" t="s">
        <v>149</v>
      </c>
      <c r="R180" s="28" t="s">
        <v>153</v>
      </c>
      <c r="S180" s="28" t="s">
        <v>150</v>
      </c>
      <c r="T180" s="28" t="s">
        <v>154</v>
      </c>
      <c r="U180" s="28" t="s">
        <v>155</v>
      </c>
      <c r="V180" s="28" t="s">
        <v>802</v>
      </c>
      <c r="W180" s="28" t="s">
        <v>805</v>
      </c>
      <c r="X180" s="28" t="s">
        <v>149</v>
      </c>
      <c r="Y180" s="28" t="s">
        <v>156</v>
      </c>
      <c r="Z180" s="31" t="str">
        <f t="shared" ref="Z180" si="13">IF(AND(J176="Pass", H176="Pass"), "Pass", "Not")</f>
        <v>Pass</v>
      </c>
      <c r="AA180" s="28" t="s">
        <v>2276</v>
      </c>
      <c r="AB180" s="28" t="s">
        <v>2401</v>
      </c>
      <c r="AC180" s="28" t="s">
        <v>2401</v>
      </c>
      <c r="AD180" s="28" t="s">
        <v>2401</v>
      </c>
      <c r="AE180" s="28" t="s">
        <v>2401</v>
      </c>
      <c r="AF180" s="30" t="s">
        <v>11</v>
      </c>
      <c r="AG180" s="28" t="s">
        <v>2401</v>
      </c>
    </row>
    <row r="181" spans="1:33" x14ac:dyDescent="0.3">
      <c r="A181" s="28" t="s">
        <v>806</v>
      </c>
      <c r="B181" s="34" t="s">
        <v>65</v>
      </c>
      <c r="C181" s="30" t="s">
        <v>11</v>
      </c>
      <c r="D181" s="28" t="s">
        <v>6</v>
      </c>
      <c r="E181" s="28">
        <v>200</v>
      </c>
      <c r="F181" s="30" t="s">
        <v>11</v>
      </c>
      <c r="G181" s="28" t="s">
        <v>803</v>
      </c>
      <c r="H181" s="30" t="s">
        <v>11</v>
      </c>
      <c r="I181" s="28" t="s">
        <v>2401</v>
      </c>
      <c r="J181" s="30" t="s">
        <v>11</v>
      </c>
      <c r="K181" s="28" t="s">
        <v>804</v>
      </c>
      <c r="L181" s="28" t="s">
        <v>157</v>
      </c>
      <c r="M181" s="30" t="s">
        <v>11</v>
      </c>
      <c r="N181" s="28" t="s">
        <v>802</v>
      </c>
      <c r="O181" s="30" t="s">
        <v>11</v>
      </c>
      <c r="P181" s="28" t="s">
        <v>805</v>
      </c>
      <c r="Q181" s="28" t="s">
        <v>149</v>
      </c>
      <c r="R181" s="28" t="s">
        <v>153</v>
      </c>
      <c r="S181" s="28" t="s">
        <v>150</v>
      </c>
      <c r="T181" s="28" t="s">
        <v>154</v>
      </c>
      <c r="U181" s="28" t="s">
        <v>155</v>
      </c>
      <c r="V181" s="28" t="s">
        <v>802</v>
      </c>
      <c r="W181" s="28" t="s">
        <v>805</v>
      </c>
      <c r="X181" s="28" t="s">
        <v>149</v>
      </c>
      <c r="Y181" s="28" t="s">
        <v>156</v>
      </c>
      <c r="Z181" s="30" t="s">
        <v>11</v>
      </c>
      <c r="AA181" s="28" t="s">
        <v>2276</v>
      </c>
      <c r="AB181" s="28" t="s">
        <v>2401</v>
      </c>
      <c r="AC181" s="28" t="s">
        <v>2401</v>
      </c>
      <c r="AD181" s="28" t="s">
        <v>2401</v>
      </c>
      <c r="AE181" s="28" t="s">
        <v>2401</v>
      </c>
      <c r="AF181" s="30" t="s">
        <v>11</v>
      </c>
      <c r="AG181" s="28" t="s">
        <v>2401</v>
      </c>
    </row>
    <row r="182" spans="1:33" x14ac:dyDescent="0.3">
      <c r="A182" s="28" t="s">
        <v>807</v>
      </c>
      <c r="B182" s="34" t="s">
        <v>65</v>
      </c>
      <c r="C182" s="30" t="s">
        <v>11</v>
      </c>
      <c r="D182" s="28" t="s">
        <v>6</v>
      </c>
      <c r="E182" s="28">
        <v>200</v>
      </c>
      <c r="F182" s="30" t="s">
        <v>11</v>
      </c>
      <c r="G182" s="28" t="s">
        <v>808</v>
      </c>
      <c r="H182" s="30" t="s">
        <v>11</v>
      </c>
      <c r="I182" s="28" t="s">
        <v>2401</v>
      </c>
      <c r="J182" s="30" t="s">
        <v>11</v>
      </c>
      <c r="K182" s="28" t="s">
        <v>804</v>
      </c>
      <c r="L182" s="28" t="s">
        <v>157</v>
      </c>
      <c r="M182" s="30" t="s">
        <v>11</v>
      </c>
      <c r="N182" s="28" t="s">
        <v>807</v>
      </c>
      <c r="O182" s="30" t="s">
        <v>11</v>
      </c>
      <c r="P182" s="28" t="s">
        <v>805</v>
      </c>
      <c r="Q182" s="28" t="s">
        <v>149</v>
      </c>
      <c r="R182" s="28" t="s">
        <v>153</v>
      </c>
      <c r="S182" s="28" t="s">
        <v>150</v>
      </c>
      <c r="T182" s="28" t="s">
        <v>154</v>
      </c>
      <c r="U182" s="28" t="s">
        <v>155</v>
      </c>
      <c r="V182" s="28" t="s">
        <v>807</v>
      </c>
      <c r="W182" s="28" t="s">
        <v>805</v>
      </c>
      <c r="X182" s="28" t="s">
        <v>149</v>
      </c>
      <c r="Y182" s="28" t="s">
        <v>156</v>
      </c>
      <c r="Z182" s="30" t="s">
        <v>11</v>
      </c>
      <c r="AA182" s="28" t="s">
        <v>2276</v>
      </c>
      <c r="AB182" s="28" t="s">
        <v>2401</v>
      </c>
      <c r="AC182" s="28" t="s">
        <v>2401</v>
      </c>
      <c r="AD182" s="28" t="s">
        <v>2401</v>
      </c>
      <c r="AE182" s="28" t="s">
        <v>2401</v>
      </c>
      <c r="AF182" s="30" t="s">
        <v>11</v>
      </c>
      <c r="AG182" s="28" t="s">
        <v>2401</v>
      </c>
    </row>
    <row r="183" spans="1:33" x14ac:dyDescent="0.3">
      <c r="A183" s="28" t="s">
        <v>810</v>
      </c>
      <c r="B183" s="34" t="s">
        <v>65</v>
      </c>
      <c r="C183" s="30" t="s">
        <v>11</v>
      </c>
      <c r="D183" s="28" t="s">
        <v>6</v>
      </c>
      <c r="E183" s="28">
        <v>200</v>
      </c>
      <c r="F183" s="30" t="s">
        <v>11</v>
      </c>
      <c r="G183" s="28" t="s">
        <v>811</v>
      </c>
      <c r="H183" s="30" t="s">
        <v>11</v>
      </c>
      <c r="I183" s="28" t="s">
        <v>2401</v>
      </c>
      <c r="J183" s="30" t="s">
        <v>11</v>
      </c>
      <c r="K183" s="28" t="s">
        <v>804</v>
      </c>
      <c r="L183" s="28" t="s">
        <v>157</v>
      </c>
      <c r="M183" s="30" t="s">
        <v>11</v>
      </c>
      <c r="N183" s="28" t="s">
        <v>810</v>
      </c>
      <c r="O183" s="30" t="s">
        <v>11</v>
      </c>
      <c r="P183" s="28" t="s">
        <v>805</v>
      </c>
      <c r="Q183" s="28" t="s">
        <v>149</v>
      </c>
      <c r="R183" s="28" t="s">
        <v>153</v>
      </c>
      <c r="S183" s="28" t="s">
        <v>150</v>
      </c>
      <c r="T183" s="28" t="s">
        <v>154</v>
      </c>
      <c r="U183" s="28" t="s">
        <v>155</v>
      </c>
      <c r="V183" s="28" t="s">
        <v>810</v>
      </c>
      <c r="W183" s="28" t="s">
        <v>805</v>
      </c>
      <c r="X183" s="28" t="s">
        <v>149</v>
      </c>
      <c r="Y183" s="28" t="s">
        <v>156</v>
      </c>
      <c r="Z183" s="30" t="s">
        <v>11</v>
      </c>
      <c r="AA183" s="28" t="s">
        <v>2276</v>
      </c>
      <c r="AB183" s="28" t="s">
        <v>2401</v>
      </c>
      <c r="AC183" s="28" t="s">
        <v>2401</v>
      </c>
      <c r="AD183" s="28" t="s">
        <v>2401</v>
      </c>
      <c r="AE183" s="28" t="s">
        <v>2401</v>
      </c>
      <c r="AF183" s="30" t="s">
        <v>11</v>
      </c>
      <c r="AG183" s="28" t="s">
        <v>2401</v>
      </c>
    </row>
    <row r="184" spans="1:33" x14ac:dyDescent="0.3">
      <c r="A184" s="28" t="s">
        <v>812</v>
      </c>
      <c r="B184" s="34" t="s">
        <v>65</v>
      </c>
      <c r="C184" s="30" t="s">
        <v>11</v>
      </c>
      <c r="D184" s="28" t="s">
        <v>6</v>
      </c>
      <c r="E184" s="28">
        <v>200</v>
      </c>
      <c r="F184" s="30" t="s">
        <v>11</v>
      </c>
      <c r="G184" s="28" t="s">
        <v>813</v>
      </c>
      <c r="H184" s="30" t="s">
        <v>11</v>
      </c>
      <c r="I184" s="28" t="s">
        <v>2401</v>
      </c>
      <c r="J184" s="30" t="s">
        <v>11</v>
      </c>
      <c r="K184" s="28" t="s">
        <v>804</v>
      </c>
      <c r="L184" s="28" t="s">
        <v>157</v>
      </c>
      <c r="M184" s="30" t="s">
        <v>11</v>
      </c>
      <c r="N184" s="28" t="s">
        <v>812</v>
      </c>
      <c r="O184" s="30" t="s">
        <v>11</v>
      </c>
      <c r="P184" s="28" t="s">
        <v>805</v>
      </c>
      <c r="Q184" s="28" t="s">
        <v>149</v>
      </c>
      <c r="R184" s="28" t="s">
        <v>153</v>
      </c>
      <c r="S184" s="28" t="s">
        <v>150</v>
      </c>
      <c r="T184" s="28" t="s">
        <v>154</v>
      </c>
      <c r="U184" s="28" t="s">
        <v>155</v>
      </c>
      <c r="V184" s="28" t="s">
        <v>812</v>
      </c>
      <c r="W184" s="28" t="s">
        <v>805</v>
      </c>
      <c r="X184" s="28" t="s">
        <v>149</v>
      </c>
      <c r="Y184" s="28" t="s">
        <v>156</v>
      </c>
      <c r="Z184" s="30" t="s">
        <v>11</v>
      </c>
      <c r="AA184" s="28" t="s">
        <v>2276</v>
      </c>
      <c r="AB184" s="28" t="s">
        <v>2401</v>
      </c>
      <c r="AC184" s="28" t="s">
        <v>2401</v>
      </c>
      <c r="AD184" s="28" t="s">
        <v>2401</v>
      </c>
      <c r="AE184" s="28" t="s">
        <v>2401</v>
      </c>
      <c r="AF184" s="30" t="s">
        <v>11</v>
      </c>
      <c r="AG184" s="28" t="s">
        <v>2401</v>
      </c>
    </row>
    <row r="185" spans="1:33" x14ac:dyDescent="0.3">
      <c r="A185" s="28" t="s">
        <v>814</v>
      </c>
      <c r="B185" s="34"/>
      <c r="C185" s="30" t="s">
        <v>11</v>
      </c>
      <c r="D185" s="28" t="s">
        <v>6</v>
      </c>
      <c r="E185" s="28">
        <v>200</v>
      </c>
      <c r="F185" s="30" t="s">
        <v>11</v>
      </c>
      <c r="G185" s="28" t="s">
        <v>815</v>
      </c>
      <c r="H185" s="30" t="s">
        <v>11</v>
      </c>
      <c r="I185" s="28" t="s">
        <v>2401</v>
      </c>
      <c r="J185" s="30" t="s">
        <v>2382</v>
      </c>
      <c r="K185" s="28" t="s">
        <v>816</v>
      </c>
      <c r="L185" s="28" t="s">
        <v>157</v>
      </c>
      <c r="M185" s="30" t="s">
        <v>11</v>
      </c>
      <c r="N185" s="28" t="s">
        <v>814</v>
      </c>
      <c r="O185" s="30" t="s">
        <v>11</v>
      </c>
      <c r="P185" s="28" t="s">
        <v>817</v>
      </c>
      <c r="Q185" s="28" t="s">
        <v>149</v>
      </c>
      <c r="R185" s="28" t="s">
        <v>153</v>
      </c>
      <c r="S185" s="28" t="s">
        <v>150</v>
      </c>
      <c r="T185" s="28" t="s">
        <v>154</v>
      </c>
      <c r="U185" s="28" t="s">
        <v>155</v>
      </c>
      <c r="V185" s="28" t="s">
        <v>814</v>
      </c>
      <c r="W185" s="28" t="s">
        <v>817</v>
      </c>
      <c r="X185" s="28" t="s">
        <v>149</v>
      </c>
      <c r="Y185" s="28" t="s">
        <v>156</v>
      </c>
      <c r="Z185" s="30" t="s">
        <v>11</v>
      </c>
      <c r="AA185" s="28" t="s">
        <v>2276</v>
      </c>
      <c r="AB185" s="28" t="s">
        <v>2401</v>
      </c>
      <c r="AC185" s="28" t="s">
        <v>2401</v>
      </c>
      <c r="AD185" s="28" t="s">
        <v>2401</v>
      </c>
      <c r="AE185" s="28" t="s">
        <v>2401</v>
      </c>
      <c r="AF185" s="30" t="s">
        <v>11</v>
      </c>
      <c r="AG185" s="28" t="s">
        <v>2401</v>
      </c>
    </row>
    <row r="186" spans="1:33" x14ac:dyDescent="0.3">
      <c r="A186" s="28" t="s">
        <v>819</v>
      </c>
      <c r="B186" s="34"/>
      <c r="C186" s="30" t="s">
        <v>11</v>
      </c>
      <c r="D186" s="28" t="s">
        <v>6</v>
      </c>
      <c r="E186" s="28">
        <v>200</v>
      </c>
      <c r="F186" s="30" t="s">
        <v>11</v>
      </c>
      <c r="G186" s="28" t="s">
        <v>820</v>
      </c>
      <c r="H186" s="30" t="s">
        <v>11</v>
      </c>
      <c r="I186" s="28" t="s">
        <v>2401</v>
      </c>
      <c r="J186" s="30" t="s">
        <v>2382</v>
      </c>
      <c r="K186" s="28" t="s">
        <v>821</v>
      </c>
      <c r="L186" s="28" t="s">
        <v>157</v>
      </c>
      <c r="M186" s="30" t="s">
        <v>11</v>
      </c>
      <c r="N186" s="28" t="s">
        <v>819</v>
      </c>
      <c r="O186" s="30" t="s">
        <v>11</v>
      </c>
      <c r="P186" s="28" t="s">
        <v>822</v>
      </c>
      <c r="Q186" s="28" t="s">
        <v>149</v>
      </c>
      <c r="R186" s="28" t="s">
        <v>153</v>
      </c>
      <c r="S186" s="28" t="s">
        <v>150</v>
      </c>
      <c r="T186" s="28" t="s">
        <v>154</v>
      </c>
      <c r="U186" s="28" t="s">
        <v>155</v>
      </c>
      <c r="V186" s="28" t="s">
        <v>819</v>
      </c>
      <c r="W186" s="28" t="s">
        <v>822</v>
      </c>
      <c r="X186" s="28" t="s">
        <v>149</v>
      </c>
      <c r="Y186" s="28" t="s">
        <v>156</v>
      </c>
      <c r="Z186" s="30" t="s">
        <v>11</v>
      </c>
      <c r="AA186" s="28" t="s">
        <v>2276</v>
      </c>
      <c r="AB186" s="28" t="s">
        <v>2401</v>
      </c>
      <c r="AC186" s="28" t="s">
        <v>2401</v>
      </c>
      <c r="AD186" s="28" t="s">
        <v>2401</v>
      </c>
      <c r="AE186" s="28" t="s">
        <v>2401</v>
      </c>
      <c r="AF186" s="30" t="s">
        <v>11</v>
      </c>
      <c r="AG186" s="28" t="s">
        <v>2401</v>
      </c>
    </row>
    <row r="187" spans="1:33" x14ac:dyDescent="0.3">
      <c r="A187" s="28" t="s">
        <v>823</v>
      </c>
      <c r="B187" s="34"/>
      <c r="C187" s="30" t="s">
        <v>11</v>
      </c>
      <c r="D187" s="28" t="s">
        <v>6</v>
      </c>
      <c r="E187" s="28">
        <v>200</v>
      </c>
      <c r="F187" s="30" t="s">
        <v>11</v>
      </c>
      <c r="G187" s="28" t="s">
        <v>824</v>
      </c>
      <c r="H187" s="30" t="s">
        <v>11</v>
      </c>
      <c r="I187" s="28" t="s">
        <v>2401</v>
      </c>
      <c r="J187" s="30" t="s">
        <v>2382</v>
      </c>
      <c r="K187" s="28" t="s">
        <v>825</v>
      </c>
      <c r="L187" s="28" t="s">
        <v>157</v>
      </c>
      <c r="M187" s="30" t="s">
        <v>11</v>
      </c>
      <c r="N187" s="28" t="s">
        <v>823</v>
      </c>
      <c r="O187" s="30" t="s">
        <v>11</v>
      </c>
      <c r="P187" s="28" t="s">
        <v>826</v>
      </c>
      <c r="Q187" s="28" t="s">
        <v>149</v>
      </c>
      <c r="R187" s="28" t="s">
        <v>153</v>
      </c>
      <c r="S187" s="28" t="s">
        <v>150</v>
      </c>
      <c r="T187" s="28" t="s">
        <v>154</v>
      </c>
      <c r="U187" s="28" t="s">
        <v>155</v>
      </c>
      <c r="V187" s="28" t="s">
        <v>823</v>
      </c>
      <c r="W187" s="28" t="s">
        <v>826</v>
      </c>
      <c r="X187" s="28" t="s">
        <v>149</v>
      </c>
      <c r="Y187" s="28" t="s">
        <v>156</v>
      </c>
      <c r="Z187" s="30" t="s">
        <v>11</v>
      </c>
      <c r="AA187" s="28" t="s">
        <v>2276</v>
      </c>
      <c r="AB187" s="28" t="s">
        <v>2401</v>
      </c>
      <c r="AC187" s="28" t="s">
        <v>2401</v>
      </c>
      <c r="AD187" s="28" t="s">
        <v>2401</v>
      </c>
      <c r="AE187" s="28" t="s">
        <v>2401</v>
      </c>
      <c r="AF187" s="30" t="s">
        <v>11</v>
      </c>
      <c r="AG187" s="28" t="s">
        <v>2401</v>
      </c>
    </row>
    <row r="188" spans="1:33" x14ac:dyDescent="0.3">
      <c r="A188" s="28" t="s">
        <v>827</v>
      </c>
      <c r="B188" s="34"/>
      <c r="C188" s="30" t="s">
        <v>11</v>
      </c>
      <c r="D188" s="28" t="s">
        <v>6</v>
      </c>
      <c r="E188" s="28">
        <v>200</v>
      </c>
      <c r="F188" s="30" t="s">
        <v>11</v>
      </c>
      <c r="G188" s="28" t="s">
        <v>828</v>
      </c>
      <c r="H188" s="30" t="s">
        <v>11</v>
      </c>
      <c r="I188" s="28" t="s">
        <v>2401</v>
      </c>
      <c r="J188" s="30" t="s">
        <v>2382</v>
      </c>
      <c r="K188" s="28" t="s">
        <v>829</v>
      </c>
      <c r="L188" s="28" t="s">
        <v>157</v>
      </c>
      <c r="M188" s="30" t="s">
        <v>11</v>
      </c>
      <c r="N188" s="28" t="s">
        <v>827</v>
      </c>
      <c r="O188" s="30" t="s">
        <v>11</v>
      </c>
      <c r="P188" s="28" t="s">
        <v>830</v>
      </c>
      <c r="Q188" s="28" t="s">
        <v>149</v>
      </c>
      <c r="R188" s="28" t="s">
        <v>153</v>
      </c>
      <c r="S188" s="28" t="s">
        <v>150</v>
      </c>
      <c r="T188" s="28" t="s">
        <v>154</v>
      </c>
      <c r="U188" s="28" t="s">
        <v>155</v>
      </c>
      <c r="V188" s="28" t="s">
        <v>827</v>
      </c>
      <c r="W188" s="28" t="s">
        <v>830</v>
      </c>
      <c r="X188" s="28" t="s">
        <v>149</v>
      </c>
      <c r="Y188" s="28" t="s">
        <v>156</v>
      </c>
      <c r="Z188" s="30" t="s">
        <v>11</v>
      </c>
      <c r="AA188" s="28" t="s">
        <v>2276</v>
      </c>
      <c r="AB188" s="28" t="s">
        <v>2401</v>
      </c>
      <c r="AC188" s="28" t="s">
        <v>2401</v>
      </c>
      <c r="AD188" s="28" t="s">
        <v>2401</v>
      </c>
      <c r="AE188" s="28" t="s">
        <v>2401</v>
      </c>
      <c r="AF188" s="30" t="s">
        <v>11</v>
      </c>
      <c r="AG188" s="28" t="s">
        <v>2401</v>
      </c>
    </row>
    <row r="189" spans="1:33" x14ac:dyDescent="0.3">
      <c r="A189" s="28" t="s">
        <v>831</v>
      </c>
      <c r="B189" s="34"/>
      <c r="C189" s="30" t="s">
        <v>11</v>
      </c>
      <c r="D189" s="28" t="s">
        <v>6</v>
      </c>
      <c r="E189" s="28">
        <v>200</v>
      </c>
      <c r="F189" s="30" t="s">
        <v>11</v>
      </c>
      <c r="G189" s="28" t="s">
        <v>832</v>
      </c>
      <c r="H189" s="30" t="s">
        <v>11</v>
      </c>
      <c r="I189" s="28" t="s">
        <v>2401</v>
      </c>
      <c r="J189" s="30" t="s">
        <v>2382</v>
      </c>
      <c r="K189" s="28" t="s">
        <v>833</v>
      </c>
      <c r="L189" s="28" t="s">
        <v>157</v>
      </c>
      <c r="M189" s="30" t="s">
        <v>11</v>
      </c>
      <c r="N189" s="28" t="s">
        <v>831</v>
      </c>
      <c r="O189" s="30" t="s">
        <v>11</v>
      </c>
      <c r="P189" s="28" t="s">
        <v>834</v>
      </c>
      <c r="Q189" s="28" t="s">
        <v>149</v>
      </c>
      <c r="R189" s="28" t="s">
        <v>153</v>
      </c>
      <c r="S189" s="28" t="s">
        <v>150</v>
      </c>
      <c r="T189" s="28" t="s">
        <v>154</v>
      </c>
      <c r="U189" s="28" t="s">
        <v>155</v>
      </c>
      <c r="V189" s="28" t="s">
        <v>831</v>
      </c>
      <c r="W189" s="28" t="s">
        <v>834</v>
      </c>
      <c r="X189" s="28" t="s">
        <v>149</v>
      </c>
      <c r="Y189" s="28" t="s">
        <v>156</v>
      </c>
      <c r="Z189" s="31" t="str">
        <f t="shared" ref="Z189" si="14">IF(AND(J185="Pass", H185="Pass"), "Pass", "Not")</f>
        <v>Not</v>
      </c>
      <c r="AA189" s="28" t="s">
        <v>2276</v>
      </c>
      <c r="AB189" s="28" t="s">
        <v>2401</v>
      </c>
      <c r="AC189" s="28" t="s">
        <v>2401</v>
      </c>
      <c r="AD189" s="28" t="s">
        <v>2401</v>
      </c>
      <c r="AE189" s="28" t="s">
        <v>2401</v>
      </c>
      <c r="AF189" s="30" t="s">
        <v>11</v>
      </c>
      <c r="AG189" s="28" t="s">
        <v>2401</v>
      </c>
    </row>
    <row r="190" spans="1:33" x14ac:dyDescent="0.3">
      <c r="A190" s="28" t="s">
        <v>836</v>
      </c>
      <c r="B190" s="34" t="s">
        <v>65</v>
      </c>
      <c r="C190" s="30" t="s">
        <v>11</v>
      </c>
      <c r="D190" s="28" t="s">
        <v>6</v>
      </c>
      <c r="E190" s="28">
        <v>200</v>
      </c>
      <c r="F190" s="30" t="s">
        <v>11</v>
      </c>
      <c r="G190" s="28" t="s">
        <v>832</v>
      </c>
      <c r="H190" s="30" t="s">
        <v>11</v>
      </c>
      <c r="I190" s="28" t="s">
        <v>2401</v>
      </c>
      <c r="J190" s="30" t="s">
        <v>11</v>
      </c>
      <c r="K190" s="28" t="s">
        <v>833</v>
      </c>
      <c r="L190" s="28" t="s">
        <v>157</v>
      </c>
      <c r="M190" s="30" t="s">
        <v>11</v>
      </c>
      <c r="N190" s="28" t="s">
        <v>831</v>
      </c>
      <c r="O190" s="30" t="s">
        <v>11</v>
      </c>
      <c r="P190" s="28" t="s">
        <v>834</v>
      </c>
      <c r="Q190" s="28" t="s">
        <v>149</v>
      </c>
      <c r="R190" s="28" t="s">
        <v>153</v>
      </c>
      <c r="S190" s="28" t="s">
        <v>150</v>
      </c>
      <c r="T190" s="28" t="s">
        <v>154</v>
      </c>
      <c r="U190" s="28" t="s">
        <v>155</v>
      </c>
      <c r="V190" s="28" t="s">
        <v>831</v>
      </c>
      <c r="W190" s="28" t="s">
        <v>834</v>
      </c>
      <c r="X190" s="28" t="s">
        <v>149</v>
      </c>
      <c r="Y190" s="28" t="s">
        <v>156</v>
      </c>
      <c r="Z190" s="30" t="s">
        <v>11</v>
      </c>
      <c r="AA190" s="28" t="s">
        <v>2276</v>
      </c>
      <c r="AB190" s="28" t="s">
        <v>2401</v>
      </c>
      <c r="AC190" s="28" t="s">
        <v>2401</v>
      </c>
      <c r="AD190" s="28" t="s">
        <v>2401</v>
      </c>
      <c r="AE190" s="28" t="s">
        <v>2401</v>
      </c>
      <c r="AF190" s="30" t="s">
        <v>11</v>
      </c>
      <c r="AG190" s="28" t="s">
        <v>2401</v>
      </c>
    </row>
    <row r="191" spans="1:33" x14ac:dyDescent="0.3">
      <c r="A191" s="28" t="s">
        <v>838</v>
      </c>
      <c r="B191" s="34" t="s">
        <v>65</v>
      </c>
      <c r="C191" s="30" t="s">
        <v>11</v>
      </c>
      <c r="D191" s="28" t="s">
        <v>6</v>
      </c>
      <c r="E191" s="28">
        <v>200</v>
      </c>
      <c r="F191" s="30" t="s">
        <v>11</v>
      </c>
      <c r="G191" s="28" t="s">
        <v>839</v>
      </c>
      <c r="H191" s="30" t="s">
        <v>11</v>
      </c>
      <c r="I191" s="28" t="s">
        <v>2401</v>
      </c>
      <c r="J191" s="30" t="s">
        <v>11</v>
      </c>
      <c r="K191" s="28" t="s">
        <v>833</v>
      </c>
      <c r="L191" s="28" t="s">
        <v>157</v>
      </c>
      <c r="M191" s="30" t="s">
        <v>11</v>
      </c>
      <c r="N191" s="28" t="s">
        <v>838</v>
      </c>
      <c r="O191" s="30" t="s">
        <v>11</v>
      </c>
      <c r="P191" s="28" t="s">
        <v>834</v>
      </c>
      <c r="Q191" s="28" t="s">
        <v>149</v>
      </c>
      <c r="R191" s="28" t="s">
        <v>153</v>
      </c>
      <c r="S191" s="28" t="s">
        <v>150</v>
      </c>
      <c r="T191" s="28" t="s">
        <v>154</v>
      </c>
      <c r="U191" s="28" t="s">
        <v>155</v>
      </c>
      <c r="V191" s="28" t="s">
        <v>838</v>
      </c>
      <c r="W191" s="28" t="s">
        <v>834</v>
      </c>
      <c r="X191" s="28" t="s">
        <v>149</v>
      </c>
      <c r="Y191" s="28" t="s">
        <v>156</v>
      </c>
      <c r="Z191" s="30" t="s">
        <v>11</v>
      </c>
      <c r="AA191" s="28" t="s">
        <v>2276</v>
      </c>
      <c r="AB191" s="28" t="s">
        <v>2401</v>
      </c>
      <c r="AC191" s="28" t="s">
        <v>2401</v>
      </c>
      <c r="AD191" s="28" t="s">
        <v>2401</v>
      </c>
      <c r="AE191" s="28" t="s">
        <v>2401</v>
      </c>
      <c r="AF191" s="30" t="s">
        <v>11</v>
      </c>
      <c r="AG191" s="28" t="s">
        <v>2401</v>
      </c>
    </row>
    <row r="192" spans="1:33" x14ac:dyDescent="0.3">
      <c r="A192" s="28" t="s">
        <v>841</v>
      </c>
      <c r="B192" s="34"/>
      <c r="C192" s="30" t="s">
        <v>11</v>
      </c>
      <c r="D192" s="28" t="s">
        <v>6</v>
      </c>
      <c r="E192" s="28">
        <v>200</v>
      </c>
      <c r="F192" s="30" t="s">
        <v>11</v>
      </c>
      <c r="G192" s="28" t="s">
        <v>842</v>
      </c>
      <c r="H192" s="30" t="s">
        <v>11</v>
      </c>
      <c r="I192" s="28" t="s">
        <v>2401</v>
      </c>
      <c r="J192" s="30" t="s">
        <v>2382</v>
      </c>
      <c r="K192" s="28" t="s">
        <v>843</v>
      </c>
      <c r="L192" s="28" t="s">
        <v>157</v>
      </c>
      <c r="M192" s="30" t="s">
        <v>11</v>
      </c>
      <c r="N192" s="28" t="s">
        <v>841</v>
      </c>
      <c r="O192" s="30" t="s">
        <v>11</v>
      </c>
      <c r="P192" s="28" t="s">
        <v>844</v>
      </c>
      <c r="Q192" s="28" t="s">
        <v>149</v>
      </c>
      <c r="R192" s="28" t="s">
        <v>153</v>
      </c>
      <c r="S192" s="28" t="s">
        <v>150</v>
      </c>
      <c r="T192" s="28" t="s">
        <v>154</v>
      </c>
      <c r="U192" s="28" t="s">
        <v>155</v>
      </c>
      <c r="V192" s="28" t="s">
        <v>841</v>
      </c>
      <c r="W192" s="28" t="s">
        <v>844</v>
      </c>
      <c r="X192" s="28" t="s">
        <v>149</v>
      </c>
      <c r="Y192" s="28" t="s">
        <v>156</v>
      </c>
      <c r="Z192" s="30" t="s">
        <v>11</v>
      </c>
      <c r="AA192" s="28" t="s">
        <v>2276</v>
      </c>
      <c r="AB192" s="28" t="s">
        <v>2401</v>
      </c>
      <c r="AC192" s="28" t="s">
        <v>2401</v>
      </c>
      <c r="AD192" s="28" t="s">
        <v>2401</v>
      </c>
      <c r="AE192" s="28" t="s">
        <v>2401</v>
      </c>
      <c r="AF192" s="30" t="s">
        <v>66</v>
      </c>
      <c r="AG192" s="28" t="s">
        <v>2400</v>
      </c>
    </row>
    <row r="193" spans="1:33" x14ac:dyDescent="0.3">
      <c r="A193" s="28" t="s">
        <v>845</v>
      </c>
      <c r="B193" s="34"/>
      <c r="C193" s="30" t="s">
        <v>11</v>
      </c>
      <c r="D193" s="28" t="s">
        <v>6</v>
      </c>
      <c r="E193" s="28">
        <v>200</v>
      </c>
      <c r="F193" s="30" t="s">
        <v>11</v>
      </c>
      <c r="G193" s="28" t="s">
        <v>846</v>
      </c>
      <c r="H193" s="30" t="s">
        <v>11</v>
      </c>
      <c r="I193" s="28" t="s">
        <v>2401</v>
      </c>
      <c r="J193" s="30" t="s">
        <v>2382</v>
      </c>
      <c r="K193" s="28" t="s">
        <v>847</v>
      </c>
      <c r="L193" s="28" t="s">
        <v>157</v>
      </c>
      <c r="M193" s="30" t="s">
        <v>11</v>
      </c>
      <c r="N193" s="28" t="s">
        <v>845</v>
      </c>
      <c r="O193" s="30" t="s">
        <v>11</v>
      </c>
      <c r="P193" s="28" t="s">
        <v>848</v>
      </c>
      <c r="Q193" s="28" t="s">
        <v>149</v>
      </c>
      <c r="R193" s="28" t="s">
        <v>153</v>
      </c>
      <c r="S193" s="28" t="s">
        <v>150</v>
      </c>
      <c r="T193" s="28" t="s">
        <v>154</v>
      </c>
      <c r="U193" s="28" t="s">
        <v>155</v>
      </c>
      <c r="V193" s="28" t="s">
        <v>845</v>
      </c>
      <c r="W193" s="28" t="s">
        <v>848</v>
      </c>
      <c r="X193" s="28" t="s">
        <v>149</v>
      </c>
      <c r="Y193" s="28" t="s">
        <v>156</v>
      </c>
      <c r="Z193" s="30" t="s">
        <v>11</v>
      </c>
      <c r="AA193" s="28" t="s">
        <v>2276</v>
      </c>
      <c r="AB193" s="28" t="s">
        <v>2401</v>
      </c>
      <c r="AC193" s="28" t="s">
        <v>2401</v>
      </c>
      <c r="AD193" s="28" t="s">
        <v>2401</v>
      </c>
      <c r="AE193" s="28" t="s">
        <v>2401</v>
      </c>
      <c r="AF193" s="30" t="s">
        <v>66</v>
      </c>
      <c r="AG193" s="28" t="s">
        <v>2400</v>
      </c>
    </row>
    <row r="194" spans="1:33" x14ac:dyDescent="0.3">
      <c r="A194" s="28" t="s">
        <v>849</v>
      </c>
      <c r="B194" s="34"/>
      <c r="C194" s="30" t="s">
        <v>2380</v>
      </c>
      <c r="D194" s="28" t="s">
        <v>6</v>
      </c>
      <c r="E194" s="28">
        <v>200</v>
      </c>
      <c r="F194" s="30" t="s">
        <v>11</v>
      </c>
      <c r="G194" s="28" t="s">
        <v>850</v>
      </c>
      <c r="H194" s="30" t="s">
        <v>11</v>
      </c>
      <c r="I194" s="28" t="s">
        <v>2401</v>
      </c>
      <c r="J194" s="30" t="s">
        <v>2382</v>
      </c>
      <c r="K194" s="28" t="s">
        <v>851</v>
      </c>
      <c r="L194" s="28" t="s">
        <v>157</v>
      </c>
      <c r="M194" s="30" t="s">
        <v>11</v>
      </c>
      <c r="N194" s="28" t="s">
        <v>849</v>
      </c>
      <c r="O194" s="30" t="s">
        <v>11</v>
      </c>
      <c r="P194" s="28" t="s">
        <v>852</v>
      </c>
      <c r="Q194" s="28" t="s">
        <v>149</v>
      </c>
      <c r="R194" s="28" t="s">
        <v>153</v>
      </c>
      <c r="S194" s="28" t="s">
        <v>150</v>
      </c>
      <c r="T194" s="28" t="s">
        <v>154</v>
      </c>
      <c r="U194" s="28" t="s">
        <v>155</v>
      </c>
      <c r="V194" s="28" t="s">
        <v>853</v>
      </c>
      <c r="W194" s="28" t="s">
        <v>852</v>
      </c>
      <c r="X194" s="28" t="s">
        <v>149</v>
      </c>
      <c r="Y194" s="28" t="s">
        <v>156</v>
      </c>
      <c r="Z194" s="30" t="s">
        <v>11</v>
      </c>
      <c r="AA194" s="28" t="s">
        <v>2276</v>
      </c>
      <c r="AB194" s="28" t="s">
        <v>2401</v>
      </c>
      <c r="AC194" s="28" t="s">
        <v>2401</v>
      </c>
      <c r="AD194" s="28" t="s">
        <v>2401</v>
      </c>
      <c r="AE194" s="28" t="s">
        <v>2401</v>
      </c>
      <c r="AF194" s="30" t="s">
        <v>66</v>
      </c>
      <c r="AG194" s="28" t="s">
        <v>2400</v>
      </c>
    </row>
    <row r="195" spans="1:33" x14ac:dyDescent="0.3">
      <c r="A195" s="28" t="s">
        <v>855</v>
      </c>
      <c r="B195" s="34"/>
      <c r="C195" s="30" t="s">
        <v>11</v>
      </c>
      <c r="D195" s="28" t="s">
        <v>8</v>
      </c>
      <c r="E195" s="28">
        <v>200</v>
      </c>
      <c r="F195" s="30" t="s">
        <v>11</v>
      </c>
      <c r="G195" s="28" t="s">
        <v>856</v>
      </c>
      <c r="H195" s="30" t="s">
        <v>11</v>
      </c>
      <c r="I195" s="28" t="s">
        <v>857</v>
      </c>
      <c r="J195" s="30" t="s">
        <v>11</v>
      </c>
      <c r="K195" s="28" t="s">
        <v>2401</v>
      </c>
      <c r="L195" s="28" t="s">
        <v>2401</v>
      </c>
      <c r="M195" s="30" t="s">
        <v>61</v>
      </c>
      <c r="N195" s="28" t="s">
        <v>855</v>
      </c>
      <c r="O195" s="30" t="s">
        <v>11</v>
      </c>
      <c r="P195" s="28" t="s">
        <v>858</v>
      </c>
      <c r="Q195" s="28" t="s">
        <v>857</v>
      </c>
      <c r="R195" s="28" t="s">
        <v>153</v>
      </c>
      <c r="S195" s="28" t="s">
        <v>150</v>
      </c>
      <c r="T195" s="28" t="s">
        <v>154</v>
      </c>
      <c r="U195" s="28" t="s">
        <v>155</v>
      </c>
      <c r="V195" s="28" t="s">
        <v>855</v>
      </c>
      <c r="W195" s="28" t="s">
        <v>858</v>
      </c>
      <c r="X195" s="28" t="s">
        <v>857</v>
      </c>
      <c r="Y195" s="28" t="s">
        <v>156</v>
      </c>
      <c r="Z195" s="30" t="s">
        <v>11</v>
      </c>
      <c r="AA195" s="28" t="s">
        <v>2276</v>
      </c>
      <c r="AB195" s="28" t="s">
        <v>2401</v>
      </c>
      <c r="AC195" s="28" t="s">
        <v>2401</v>
      </c>
      <c r="AD195" s="28" t="s">
        <v>2401</v>
      </c>
      <c r="AE195" s="28" t="s">
        <v>2401</v>
      </c>
      <c r="AF195" s="30" t="s">
        <v>57</v>
      </c>
      <c r="AG195" s="28" t="s">
        <v>2400</v>
      </c>
    </row>
    <row r="196" spans="1:33" x14ac:dyDescent="0.3">
      <c r="A196" s="28" t="s">
        <v>860</v>
      </c>
      <c r="B196" s="34"/>
      <c r="C196" s="30" t="s">
        <v>11</v>
      </c>
      <c r="D196" s="28" t="s">
        <v>8</v>
      </c>
      <c r="E196" s="28">
        <v>200</v>
      </c>
      <c r="F196" s="30" t="s">
        <v>11</v>
      </c>
      <c r="G196" s="28" t="s">
        <v>861</v>
      </c>
      <c r="H196" s="30" t="s">
        <v>11</v>
      </c>
      <c r="I196" s="28" t="s">
        <v>2401</v>
      </c>
      <c r="J196" s="30" t="s">
        <v>2382</v>
      </c>
      <c r="K196" s="28" t="s">
        <v>2401</v>
      </c>
      <c r="L196" s="28" t="s">
        <v>2401</v>
      </c>
      <c r="M196" s="30" t="s">
        <v>61</v>
      </c>
      <c r="N196" s="28" t="s">
        <v>860</v>
      </c>
      <c r="O196" s="30" t="s">
        <v>11</v>
      </c>
      <c r="P196" s="28" t="s">
        <v>862</v>
      </c>
      <c r="Q196" s="28" t="s">
        <v>149</v>
      </c>
      <c r="R196" s="28" t="s">
        <v>153</v>
      </c>
      <c r="S196" s="28" t="s">
        <v>150</v>
      </c>
      <c r="T196" s="28" t="s">
        <v>154</v>
      </c>
      <c r="U196" s="28" t="s">
        <v>155</v>
      </c>
      <c r="V196" s="28" t="s">
        <v>860</v>
      </c>
      <c r="W196" s="28" t="s">
        <v>862</v>
      </c>
      <c r="X196" s="28" t="s">
        <v>149</v>
      </c>
      <c r="Y196" s="28" t="s">
        <v>156</v>
      </c>
      <c r="Z196" s="30" t="s">
        <v>11</v>
      </c>
      <c r="AA196" s="28" t="s">
        <v>2276</v>
      </c>
      <c r="AB196" s="28" t="s">
        <v>2401</v>
      </c>
      <c r="AC196" s="28" t="s">
        <v>2401</v>
      </c>
      <c r="AD196" s="28" t="s">
        <v>2401</v>
      </c>
      <c r="AE196" s="28" t="s">
        <v>2401</v>
      </c>
      <c r="AF196" s="30" t="s">
        <v>57</v>
      </c>
      <c r="AG196" s="28" t="s">
        <v>2400</v>
      </c>
    </row>
    <row r="197" spans="1:33" x14ac:dyDescent="0.3">
      <c r="A197" s="28" t="s">
        <v>863</v>
      </c>
      <c r="B197" s="34"/>
      <c r="C197" s="30" t="s">
        <v>11</v>
      </c>
      <c r="D197" s="28" t="s">
        <v>8</v>
      </c>
      <c r="E197" s="28">
        <v>200</v>
      </c>
      <c r="F197" s="30" t="s">
        <v>11</v>
      </c>
      <c r="G197" s="28" t="s">
        <v>864</v>
      </c>
      <c r="H197" s="30" t="s">
        <v>11</v>
      </c>
      <c r="I197" s="28" t="s">
        <v>2401</v>
      </c>
      <c r="J197" s="30" t="s">
        <v>2382</v>
      </c>
      <c r="K197" s="28" t="s">
        <v>2401</v>
      </c>
      <c r="L197" s="28" t="s">
        <v>2401</v>
      </c>
      <c r="M197" s="30" t="s">
        <v>61</v>
      </c>
      <c r="N197" s="28" t="s">
        <v>863</v>
      </c>
      <c r="O197" s="30" t="s">
        <v>11</v>
      </c>
      <c r="P197" s="28" t="s">
        <v>865</v>
      </c>
      <c r="Q197" s="28" t="s">
        <v>149</v>
      </c>
      <c r="R197" s="28" t="s">
        <v>153</v>
      </c>
      <c r="S197" s="28" t="s">
        <v>150</v>
      </c>
      <c r="T197" s="28" t="s">
        <v>154</v>
      </c>
      <c r="U197" s="28" t="s">
        <v>155</v>
      </c>
      <c r="V197" s="28" t="s">
        <v>863</v>
      </c>
      <c r="W197" s="28" t="s">
        <v>865</v>
      </c>
      <c r="X197" s="28" t="s">
        <v>149</v>
      </c>
      <c r="Y197" s="28" t="s">
        <v>156</v>
      </c>
      <c r="Z197" s="30" t="s">
        <v>11</v>
      </c>
      <c r="AA197" s="28" t="s">
        <v>2276</v>
      </c>
      <c r="AB197" s="28" t="s">
        <v>2401</v>
      </c>
      <c r="AC197" s="28" t="s">
        <v>2401</v>
      </c>
      <c r="AD197" s="28" t="s">
        <v>2401</v>
      </c>
      <c r="AE197" s="28" t="s">
        <v>2401</v>
      </c>
      <c r="AF197" s="30" t="s">
        <v>57</v>
      </c>
      <c r="AG197" s="28" t="s">
        <v>2400</v>
      </c>
    </row>
    <row r="198" spans="1:33" x14ac:dyDescent="0.3">
      <c r="A198" s="28" t="s">
        <v>867</v>
      </c>
      <c r="B198" s="34"/>
      <c r="C198" s="30" t="s">
        <v>11</v>
      </c>
      <c r="D198" s="28" t="s">
        <v>8</v>
      </c>
      <c r="E198" s="28">
        <v>200</v>
      </c>
      <c r="F198" s="30" t="s">
        <v>11</v>
      </c>
      <c r="G198" s="28" t="s">
        <v>868</v>
      </c>
      <c r="H198" s="30" t="s">
        <v>11</v>
      </c>
      <c r="I198" s="28" t="s">
        <v>2401</v>
      </c>
      <c r="J198" s="30" t="s">
        <v>2382</v>
      </c>
      <c r="K198" s="28" t="s">
        <v>2401</v>
      </c>
      <c r="L198" s="28" t="s">
        <v>2401</v>
      </c>
      <c r="M198" s="30" t="s">
        <v>61</v>
      </c>
      <c r="N198" s="28" t="s">
        <v>867</v>
      </c>
      <c r="O198" s="30" t="s">
        <v>11</v>
      </c>
      <c r="P198" s="28" t="s">
        <v>869</v>
      </c>
      <c r="Q198" s="28" t="s">
        <v>149</v>
      </c>
      <c r="R198" s="28" t="s">
        <v>153</v>
      </c>
      <c r="S198" s="28" t="s">
        <v>150</v>
      </c>
      <c r="T198" s="28" t="s">
        <v>154</v>
      </c>
      <c r="U198" s="28" t="s">
        <v>155</v>
      </c>
      <c r="V198" s="28" t="s">
        <v>867</v>
      </c>
      <c r="W198" s="28" t="s">
        <v>869</v>
      </c>
      <c r="X198" s="28" t="s">
        <v>149</v>
      </c>
      <c r="Y198" s="28" t="s">
        <v>156</v>
      </c>
      <c r="Z198" s="30" t="s">
        <v>11</v>
      </c>
      <c r="AA198" s="28" t="s">
        <v>2276</v>
      </c>
      <c r="AB198" s="28" t="s">
        <v>2401</v>
      </c>
      <c r="AC198" s="28" t="s">
        <v>2401</v>
      </c>
      <c r="AD198" s="28" t="s">
        <v>2401</v>
      </c>
      <c r="AE198" s="28" t="s">
        <v>2401</v>
      </c>
      <c r="AF198" s="30" t="s">
        <v>57</v>
      </c>
      <c r="AG198" s="28" t="s">
        <v>2400</v>
      </c>
    </row>
    <row r="199" spans="1:33" x14ac:dyDescent="0.3">
      <c r="A199" s="28" t="s">
        <v>871</v>
      </c>
      <c r="B199" s="34"/>
      <c r="C199" s="30" t="s">
        <v>11</v>
      </c>
      <c r="D199" s="28" t="s">
        <v>8</v>
      </c>
      <c r="E199" s="28">
        <v>200</v>
      </c>
      <c r="F199" s="30" t="s">
        <v>11</v>
      </c>
      <c r="G199" s="28" t="s">
        <v>872</v>
      </c>
      <c r="H199" s="30" t="s">
        <v>11</v>
      </c>
      <c r="I199" s="28" t="s">
        <v>2401</v>
      </c>
      <c r="J199" s="30" t="s">
        <v>2382</v>
      </c>
      <c r="K199" s="28" t="s">
        <v>2401</v>
      </c>
      <c r="L199" s="28" t="s">
        <v>2401</v>
      </c>
      <c r="M199" s="30" t="s">
        <v>61</v>
      </c>
      <c r="N199" s="28" t="s">
        <v>871</v>
      </c>
      <c r="O199" s="30" t="s">
        <v>11</v>
      </c>
      <c r="P199" s="28" t="s">
        <v>873</v>
      </c>
      <c r="Q199" s="28" t="s">
        <v>149</v>
      </c>
      <c r="R199" s="28" t="s">
        <v>153</v>
      </c>
      <c r="S199" s="28" t="s">
        <v>150</v>
      </c>
      <c r="T199" s="28" t="s">
        <v>154</v>
      </c>
      <c r="U199" s="28" t="s">
        <v>155</v>
      </c>
      <c r="V199" s="28" t="s">
        <v>871</v>
      </c>
      <c r="W199" s="28" t="s">
        <v>873</v>
      </c>
      <c r="X199" s="28" t="s">
        <v>149</v>
      </c>
      <c r="Y199" s="28" t="s">
        <v>156</v>
      </c>
      <c r="Z199" s="30" t="s">
        <v>11</v>
      </c>
      <c r="AA199" s="28" t="s">
        <v>2276</v>
      </c>
      <c r="AB199" s="28" t="s">
        <v>2401</v>
      </c>
      <c r="AC199" s="28" t="s">
        <v>2401</v>
      </c>
      <c r="AD199" s="28" t="s">
        <v>2401</v>
      </c>
      <c r="AE199" s="28" t="s">
        <v>2401</v>
      </c>
      <c r="AF199" s="30" t="s">
        <v>57</v>
      </c>
      <c r="AG199" s="28" t="s">
        <v>2400</v>
      </c>
    </row>
    <row r="200" spans="1:33" x14ac:dyDescent="0.3">
      <c r="A200" s="28" t="s">
        <v>875</v>
      </c>
      <c r="B200" s="34"/>
      <c r="C200" s="30" t="s">
        <v>11</v>
      </c>
      <c r="D200" s="28" t="s">
        <v>8</v>
      </c>
      <c r="E200" s="28">
        <v>200</v>
      </c>
      <c r="F200" s="30" t="s">
        <v>11</v>
      </c>
      <c r="G200" s="28" t="s">
        <v>876</v>
      </c>
      <c r="H200" s="30" t="s">
        <v>11</v>
      </c>
      <c r="I200" s="28" t="s">
        <v>2401</v>
      </c>
      <c r="J200" s="30" t="s">
        <v>2382</v>
      </c>
      <c r="K200" s="28" t="s">
        <v>2401</v>
      </c>
      <c r="L200" s="28" t="s">
        <v>2401</v>
      </c>
      <c r="M200" s="30" t="s">
        <v>61</v>
      </c>
      <c r="N200" s="28" t="s">
        <v>875</v>
      </c>
      <c r="O200" s="30" t="s">
        <v>11</v>
      </c>
      <c r="P200" s="28" t="s">
        <v>877</v>
      </c>
      <c r="Q200" s="28" t="s">
        <v>149</v>
      </c>
      <c r="R200" s="28" t="s">
        <v>153</v>
      </c>
      <c r="S200" s="28" t="s">
        <v>150</v>
      </c>
      <c r="T200" s="28" t="s">
        <v>154</v>
      </c>
      <c r="U200" s="28" t="s">
        <v>155</v>
      </c>
      <c r="V200" s="28" t="s">
        <v>875</v>
      </c>
      <c r="W200" s="28" t="s">
        <v>877</v>
      </c>
      <c r="X200" s="28" t="s">
        <v>149</v>
      </c>
      <c r="Y200" s="28" t="s">
        <v>156</v>
      </c>
      <c r="Z200" s="30" t="s">
        <v>11</v>
      </c>
      <c r="AA200" s="28" t="s">
        <v>2276</v>
      </c>
      <c r="AB200" s="28" t="s">
        <v>2401</v>
      </c>
      <c r="AC200" s="28" t="s">
        <v>2401</v>
      </c>
      <c r="AD200" s="28" t="s">
        <v>2401</v>
      </c>
      <c r="AE200" s="28" t="s">
        <v>2401</v>
      </c>
      <c r="AF200" s="30" t="s">
        <v>57</v>
      </c>
      <c r="AG200" s="28" t="s">
        <v>2400</v>
      </c>
    </row>
    <row r="201" spans="1:33" x14ac:dyDescent="0.3">
      <c r="A201" s="28" t="s">
        <v>878</v>
      </c>
      <c r="B201" s="34"/>
      <c r="C201" s="30" t="s">
        <v>11</v>
      </c>
      <c r="D201" s="28" t="s">
        <v>8</v>
      </c>
      <c r="E201" s="28">
        <v>200</v>
      </c>
      <c r="F201" s="30" t="s">
        <v>11</v>
      </c>
      <c r="G201" s="28" t="s">
        <v>879</v>
      </c>
      <c r="H201" s="30" t="s">
        <v>11</v>
      </c>
      <c r="I201" s="28" t="s">
        <v>2401</v>
      </c>
      <c r="J201" s="30" t="s">
        <v>2382</v>
      </c>
      <c r="K201" s="28" t="s">
        <v>2401</v>
      </c>
      <c r="L201" s="28" t="s">
        <v>2401</v>
      </c>
      <c r="M201" s="30" t="s">
        <v>61</v>
      </c>
      <c r="N201" s="28" t="s">
        <v>878</v>
      </c>
      <c r="O201" s="30" t="s">
        <v>11</v>
      </c>
      <c r="P201" s="28" t="s">
        <v>880</v>
      </c>
      <c r="Q201" s="28" t="s">
        <v>149</v>
      </c>
      <c r="R201" s="28" t="s">
        <v>153</v>
      </c>
      <c r="S201" s="28" t="s">
        <v>150</v>
      </c>
      <c r="T201" s="28" t="s">
        <v>154</v>
      </c>
      <c r="U201" s="28" t="s">
        <v>155</v>
      </c>
      <c r="V201" s="28" t="s">
        <v>878</v>
      </c>
      <c r="W201" s="28" t="s">
        <v>880</v>
      </c>
      <c r="X201" s="28" t="s">
        <v>149</v>
      </c>
      <c r="Y201" s="28" t="s">
        <v>156</v>
      </c>
      <c r="Z201" s="30" t="s">
        <v>11</v>
      </c>
      <c r="AA201" s="28" t="s">
        <v>2276</v>
      </c>
      <c r="AB201" s="28" t="s">
        <v>2401</v>
      </c>
      <c r="AC201" s="28" t="s">
        <v>2401</v>
      </c>
      <c r="AD201" s="28" t="s">
        <v>2401</v>
      </c>
      <c r="AE201" s="28" t="s">
        <v>2401</v>
      </c>
      <c r="AF201" s="30" t="s">
        <v>57</v>
      </c>
      <c r="AG201" s="28" t="s">
        <v>2400</v>
      </c>
    </row>
    <row r="202" spans="1:33" x14ac:dyDescent="0.3">
      <c r="A202" s="28" t="s">
        <v>881</v>
      </c>
      <c r="B202" s="34"/>
      <c r="C202" s="30" t="s">
        <v>11</v>
      </c>
      <c r="D202" s="28" t="s">
        <v>8</v>
      </c>
      <c r="E202" s="28">
        <v>200</v>
      </c>
      <c r="F202" s="30" t="s">
        <v>11</v>
      </c>
      <c r="G202" s="28" t="s">
        <v>882</v>
      </c>
      <c r="H202" s="30" t="s">
        <v>11</v>
      </c>
      <c r="I202" s="28" t="s">
        <v>2401</v>
      </c>
      <c r="J202" s="30" t="s">
        <v>2382</v>
      </c>
      <c r="K202" s="28" t="s">
        <v>2401</v>
      </c>
      <c r="L202" s="28" t="s">
        <v>2401</v>
      </c>
      <c r="M202" s="30" t="s">
        <v>61</v>
      </c>
      <c r="N202" s="28" t="s">
        <v>881</v>
      </c>
      <c r="O202" s="30" t="s">
        <v>11</v>
      </c>
      <c r="P202" s="28" t="s">
        <v>883</v>
      </c>
      <c r="Q202" s="28" t="s">
        <v>149</v>
      </c>
      <c r="R202" s="28" t="s">
        <v>153</v>
      </c>
      <c r="S202" s="28" t="s">
        <v>150</v>
      </c>
      <c r="T202" s="28" t="s">
        <v>154</v>
      </c>
      <c r="U202" s="28" t="s">
        <v>155</v>
      </c>
      <c r="V202" s="28" t="s">
        <v>881</v>
      </c>
      <c r="W202" s="28" t="s">
        <v>883</v>
      </c>
      <c r="X202" s="28" t="s">
        <v>149</v>
      </c>
      <c r="Y202" s="28" t="s">
        <v>156</v>
      </c>
      <c r="Z202" s="30" t="s">
        <v>11</v>
      </c>
      <c r="AA202" s="28" t="s">
        <v>2276</v>
      </c>
      <c r="AB202" s="28" t="s">
        <v>2401</v>
      </c>
      <c r="AC202" s="28" t="s">
        <v>2401</v>
      </c>
      <c r="AD202" s="28" t="s">
        <v>2401</v>
      </c>
      <c r="AE202" s="28" t="s">
        <v>2401</v>
      </c>
      <c r="AF202" s="30" t="s">
        <v>57</v>
      </c>
      <c r="AG202" s="28" t="s">
        <v>2400</v>
      </c>
    </row>
    <row r="203" spans="1:33" x14ac:dyDescent="0.3">
      <c r="A203" s="28" t="s">
        <v>885</v>
      </c>
      <c r="B203" s="34"/>
      <c r="C203" s="30" t="s">
        <v>11</v>
      </c>
      <c r="D203" s="28" t="s">
        <v>8</v>
      </c>
      <c r="E203" s="28">
        <v>200</v>
      </c>
      <c r="F203" s="30" t="s">
        <v>11</v>
      </c>
      <c r="G203" s="28" t="s">
        <v>886</v>
      </c>
      <c r="H203" s="30" t="s">
        <v>11</v>
      </c>
      <c r="I203" s="28" t="s">
        <v>2401</v>
      </c>
      <c r="J203" s="30" t="s">
        <v>2382</v>
      </c>
      <c r="K203" s="28" t="s">
        <v>2401</v>
      </c>
      <c r="L203" s="28" t="s">
        <v>2401</v>
      </c>
      <c r="M203" s="30" t="s">
        <v>61</v>
      </c>
      <c r="N203" s="28" t="s">
        <v>885</v>
      </c>
      <c r="O203" s="30" t="s">
        <v>11</v>
      </c>
      <c r="P203" s="28" t="s">
        <v>887</v>
      </c>
      <c r="Q203" s="28" t="s">
        <v>149</v>
      </c>
      <c r="R203" s="28" t="s">
        <v>153</v>
      </c>
      <c r="S203" s="28" t="s">
        <v>150</v>
      </c>
      <c r="T203" s="28" t="s">
        <v>154</v>
      </c>
      <c r="U203" s="28" t="s">
        <v>155</v>
      </c>
      <c r="V203" s="28" t="s">
        <v>885</v>
      </c>
      <c r="W203" s="28" t="s">
        <v>887</v>
      </c>
      <c r="X203" s="28" t="s">
        <v>149</v>
      </c>
      <c r="Y203" s="28" t="s">
        <v>156</v>
      </c>
      <c r="Z203" s="30" t="s">
        <v>11</v>
      </c>
      <c r="AA203" s="28" t="s">
        <v>2276</v>
      </c>
      <c r="AB203" s="28" t="s">
        <v>2401</v>
      </c>
      <c r="AC203" s="28" t="s">
        <v>2401</v>
      </c>
      <c r="AD203" s="28" t="s">
        <v>2401</v>
      </c>
      <c r="AE203" s="28" t="s">
        <v>2401</v>
      </c>
      <c r="AF203" s="30" t="s">
        <v>57</v>
      </c>
      <c r="AG203" s="28" t="s">
        <v>2400</v>
      </c>
    </row>
    <row r="204" spans="1:33" x14ac:dyDescent="0.3">
      <c r="A204" s="28" t="s">
        <v>889</v>
      </c>
      <c r="B204" s="34"/>
      <c r="C204" s="30" t="s">
        <v>11</v>
      </c>
      <c r="D204" s="28" t="s">
        <v>8</v>
      </c>
      <c r="E204" s="28">
        <v>200</v>
      </c>
      <c r="F204" s="30" t="s">
        <v>11</v>
      </c>
      <c r="G204" s="28" t="s">
        <v>890</v>
      </c>
      <c r="H204" s="30" t="s">
        <v>11</v>
      </c>
      <c r="I204" s="28" t="s">
        <v>2401</v>
      </c>
      <c r="J204" s="30" t="s">
        <v>2382</v>
      </c>
      <c r="K204" s="28" t="s">
        <v>2401</v>
      </c>
      <c r="L204" s="28" t="s">
        <v>2401</v>
      </c>
      <c r="M204" s="30" t="s">
        <v>61</v>
      </c>
      <c r="N204" s="28" t="s">
        <v>889</v>
      </c>
      <c r="O204" s="30" t="s">
        <v>11</v>
      </c>
      <c r="P204" s="28" t="s">
        <v>891</v>
      </c>
      <c r="Q204" s="28" t="s">
        <v>149</v>
      </c>
      <c r="R204" s="28" t="s">
        <v>153</v>
      </c>
      <c r="S204" s="28" t="s">
        <v>150</v>
      </c>
      <c r="T204" s="28" t="s">
        <v>154</v>
      </c>
      <c r="U204" s="28" t="s">
        <v>155</v>
      </c>
      <c r="V204" s="28" t="s">
        <v>889</v>
      </c>
      <c r="W204" s="28" t="s">
        <v>891</v>
      </c>
      <c r="X204" s="28" t="s">
        <v>149</v>
      </c>
      <c r="Y204" s="28" t="s">
        <v>156</v>
      </c>
      <c r="Z204" s="30" t="s">
        <v>11</v>
      </c>
      <c r="AA204" s="28" t="s">
        <v>2276</v>
      </c>
      <c r="AB204" s="28" t="s">
        <v>2401</v>
      </c>
      <c r="AC204" s="28" t="s">
        <v>2401</v>
      </c>
      <c r="AD204" s="28" t="s">
        <v>2401</v>
      </c>
      <c r="AE204" s="28" t="s">
        <v>2401</v>
      </c>
      <c r="AF204" s="30" t="s">
        <v>57</v>
      </c>
      <c r="AG204" s="28" t="s">
        <v>2400</v>
      </c>
    </row>
    <row r="205" spans="1:33" x14ac:dyDescent="0.3">
      <c r="A205" s="28" t="s">
        <v>892</v>
      </c>
      <c r="B205" s="34"/>
      <c r="C205" s="30" t="s">
        <v>11</v>
      </c>
      <c r="D205" s="28" t="s">
        <v>8</v>
      </c>
      <c r="E205" s="28">
        <v>200</v>
      </c>
      <c r="F205" s="30" t="s">
        <v>11</v>
      </c>
      <c r="G205" s="28" t="s">
        <v>893</v>
      </c>
      <c r="H205" s="30" t="s">
        <v>11</v>
      </c>
      <c r="I205" s="28" t="s">
        <v>2401</v>
      </c>
      <c r="J205" s="30" t="s">
        <v>2382</v>
      </c>
      <c r="K205" s="28" t="s">
        <v>2401</v>
      </c>
      <c r="L205" s="28" t="s">
        <v>2401</v>
      </c>
      <c r="M205" s="30" t="s">
        <v>61</v>
      </c>
      <c r="N205" s="28" t="s">
        <v>892</v>
      </c>
      <c r="O205" s="30" t="s">
        <v>11</v>
      </c>
      <c r="P205" s="28" t="s">
        <v>894</v>
      </c>
      <c r="Q205" s="28" t="s">
        <v>149</v>
      </c>
      <c r="R205" s="28" t="s">
        <v>153</v>
      </c>
      <c r="S205" s="28" t="s">
        <v>150</v>
      </c>
      <c r="T205" s="28" t="s">
        <v>154</v>
      </c>
      <c r="U205" s="28" t="s">
        <v>155</v>
      </c>
      <c r="V205" s="28" t="s">
        <v>892</v>
      </c>
      <c r="W205" s="28" t="s">
        <v>894</v>
      </c>
      <c r="X205" s="28" t="s">
        <v>149</v>
      </c>
      <c r="Y205" s="28" t="s">
        <v>156</v>
      </c>
      <c r="Z205" s="30" t="s">
        <v>11</v>
      </c>
      <c r="AA205" s="28" t="s">
        <v>2276</v>
      </c>
      <c r="AB205" s="28" t="s">
        <v>2401</v>
      </c>
      <c r="AC205" s="28" t="s">
        <v>2401</v>
      </c>
      <c r="AD205" s="28" t="s">
        <v>2401</v>
      </c>
      <c r="AE205" s="28" t="s">
        <v>2401</v>
      </c>
      <c r="AF205" s="30" t="s">
        <v>57</v>
      </c>
      <c r="AG205" s="28" t="s">
        <v>2400</v>
      </c>
    </row>
    <row r="206" spans="1:33" x14ac:dyDescent="0.3">
      <c r="A206" s="28" t="s">
        <v>895</v>
      </c>
      <c r="B206" s="34"/>
      <c r="C206" s="30" t="s">
        <v>11</v>
      </c>
      <c r="D206" s="28" t="s">
        <v>8</v>
      </c>
      <c r="E206" s="28">
        <v>200</v>
      </c>
      <c r="F206" s="30" t="s">
        <v>11</v>
      </c>
      <c r="G206" s="28" t="s">
        <v>896</v>
      </c>
      <c r="H206" s="30" t="s">
        <v>11</v>
      </c>
      <c r="I206" s="28" t="s">
        <v>2401</v>
      </c>
      <c r="J206" s="30" t="s">
        <v>2382</v>
      </c>
      <c r="K206" s="28" t="s">
        <v>2401</v>
      </c>
      <c r="L206" s="28" t="s">
        <v>2401</v>
      </c>
      <c r="M206" s="30" t="s">
        <v>61</v>
      </c>
      <c r="N206" s="28" t="s">
        <v>895</v>
      </c>
      <c r="O206" s="30" t="s">
        <v>11</v>
      </c>
      <c r="P206" s="28" t="s">
        <v>897</v>
      </c>
      <c r="Q206" s="28" t="s">
        <v>149</v>
      </c>
      <c r="R206" s="28" t="s">
        <v>153</v>
      </c>
      <c r="S206" s="28" t="s">
        <v>150</v>
      </c>
      <c r="T206" s="28" t="s">
        <v>154</v>
      </c>
      <c r="U206" s="28" t="s">
        <v>155</v>
      </c>
      <c r="V206" s="28" t="s">
        <v>895</v>
      </c>
      <c r="W206" s="28" t="s">
        <v>897</v>
      </c>
      <c r="X206" s="28" t="s">
        <v>149</v>
      </c>
      <c r="Y206" s="28" t="s">
        <v>156</v>
      </c>
      <c r="Z206" s="30" t="s">
        <v>11</v>
      </c>
      <c r="AA206" s="28" t="s">
        <v>2276</v>
      </c>
      <c r="AB206" s="28" t="s">
        <v>2401</v>
      </c>
      <c r="AC206" s="28" t="s">
        <v>2401</v>
      </c>
      <c r="AD206" s="28" t="s">
        <v>2401</v>
      </c>
      <c r="AE206" s="28" t="s">
        <v>2401</v>
      </c>
      <c r="AF206" s="30" t="s">
        <v>57</v>
      </c>
      <c r="AG206" s="28" t="s">
        <v>2400</v>
      </c>
    </row>
    <row r="207" spans="1:33" x14ac:dyDescent="0.3">
      <c r="A207" s="28" t="s">
        <v>898</v>
      </c>
      <c r="B207" s="34"/>
      <c r="C207" s="30" t="s">
        <v>11</v>
      </c>
      <c r="D207" s="28" t="s">
        <v>8</v>
      </c>
      <c r="E207" s="28">
        <v>200</v>
      </c>
      <c r="F207" s="30" t="s">
        <v>11</v>
      </c>
      <c r="G207" s="28" t="s">
        <v>899</v>
      </c>
      <c r="H207" s="30" t="s">
        <v>11</v>
      </c>
      <c r="I207" s="28" t="s">
        <v>2401</v>
      </c>
      <c r="J207" s="30" t="s">
        <v>2382</v>
      </c>
      <c r="K207" s="28" t="s">
        <v>2401</v>
      </c>
      <c r="L207" s="28" t="s">
        <v>2401</v>
      </c>
      <c r="M207" s="30" t="s">
        <v>61</v>
      </c>
      <c r="N207" s="28" t="s">
        <v>898</v>
      </c>
      <c r="O207" s="30" t="s">
        <v>11</v>
      </c>
      <c r="P207" s="28" t="s">
        <v>900</v>
      </c>
      <c r="Q207" s="28" t="s">
        <v>149</v>
      </c>
      <c r="R207" s="28" t="s">
        <v>153</v>
      </c>
      <c r="S207" s="28" t="s">
        <v>150</v>
      </c>
      <c r="T207" s="28" t="s">
        <v>154</v>
      </c>
      <c r="U207" s="28" t="s">
        <v>155</v>
      </c>
      <c r="V207" s="28" t="s">
        <v>898</v>
      </c>
      <c r="W207" s="28" t="s">
        <v>900</v>
      </c>
      <c r="X207" s="28" t="s">
        <v>149</v>
      </c>
      <c r="Y207" s="28" t="s">
        <v>156</v>
      </c>
      <c r="Z207" s="30" t="s">
        <v>11</v>
      </c>
      <c r="AA207" s="28" t="s">
        <v>2276</v>
      </c>
      <c r="AB207" s="28" t="s">
        <v>2401</v>
      </c>
      <c r="AC207" s="28" t="s">
        <v>2401</v>
      </c>
      <c r="AD207" s="28" t="s">
        <v>2401</v>
      </c>
      <c r="AE207" s="28" t="s">
        <v>2401</v>
      </c>
      <c r="AF207" s="30" t="s">
        <v>57</v>
      </c>
      <c r="AG207" s="28" t="s">
        <v>2400</v>
      </c>
    </row>
    <row r="208" spans="1:33" x14ac:dyDescent="0.3">
      <c r="A208" s="28" t="s">
        <v>901</v>
      </c>
      <c r="B208" s="34"/>
      <c r="C208" s="30" t="s">
        <v>11</v>
      </c>
      <c r="D208" s="28" t="s">
        <v>8</v>
      </c>
      <c r="E208" s="28">
        <v>200</v>
      </c>
      <c r="F208" s="30" t="s">
        <v>11</v>
      </c>
      <c r="G208" s="28" t="s">
        <v>902</v>
      </c>
      <c r="H208" s="30" t="s">
        <v>11</v>
      </c>
      <c r="I208" s="28" t="s">
        <v>2401</v>
      </c>
      <c r="J208" s="30" t="s">
        <v>2382</v>
      </c>
      <c r="K208" s="28" t="s">
        <v>2401</v>
      </c>
      <c r="L208" s="28" t="s">
        <v>2401</v>
      </c>
      <c r="M208" s="30" t="s">
        <v>61</v>
      </c>
      <c r="N208" s="28" t="s">
        <v>901</v>
      </c>
      <c r="O208" s="30" t="s">
        <v>11</v>
      </c>
      <c r="P208" s="28" t="s">
        <v>903</v>
      </c>
      <c r="Q208" s="28" t="s">
        <v>149</v>
      </c>
      <c r="R208" s="28" t="s">
        <v>153</v>
      </c>
      <c r="S208" s="28" t="s">
        <v>150</v>
      </c>
      <c r="T208" s="28" t="s">
        <v>154</v>
      </c>
      <c r="U208" s="28" t="s">
        <v>155</v>
      </c>
      <c r="V208" s="28" t="s">
        <v>901</v>
      </c>
      <c r="W208" s="28" t="s">
        <v>903</v>
      </c>
      <c r="X208" s="28" t="s">
        <v>149</v>
      </c>
      <c r="Y208" s="28" t="s">
        <v>156</v>
      </c>
      <c r="Z208" s="30" t="s">
        <v>11</v>
      </c>
      <c r="AA208" s="28" t="s">
        <v>2276</v>
      </c>
      <c r="AB208" s="28" t="s">
        <v>2401</v>
      </c>
      <c r="AC208" s="28" t="s">
        <v>2401</v>
      </c>
      <c r="AD208" s="28" t="s">
        <v>2401</v>
      </c>
      <c r="AE208" s="28" t="s">
        <v>2401</v>
      </c>
      <c r="AF208" s="30" t="s">
        <v>57</v>
      </c>
      <c r="AG208" s="28" t="s">
        <v>2400</v>
      </c>
    </row>
    <row r="209" spans="1:33" x14ac:dyDescent="0.3">
      <c r="A209" s="28" t="s">
        <v>904</v>
      </c>
      <c r="B209" s="51" t="s">
        <v>2383</v>
      </c>
      <c r="C209" s="30" t="s">
        <v>11</v>
      </c>
      <c r="D209" s="28" t="s">
        <v>8</v>
      </c>
      <c r="E209" s="28">
        <v>200</v>
      </c>
      <c r="F209" s="30" t="s">
        <v>11</v>
      </c>
      <c r="G209" s="28" t="s">
        <v>905</v>
      </c>
      <c r="H209" s="30" t="s">
        <v>11</v>
      </c>
      <c r="I209" s="28" t="s">
        <v>2401</v>
      </c>
      <c r="J209" s="30" t="s">
        <v>2382</v>
      </c>
      <c r="K209" s="28" t="s">
        <v>2401</v>
      </c>
      <c r="L209" s="28" t="s">
        <v>2401</v>
      </c>
      <c r="M209" s="30" t="s">
        <v>61</v>
      </c>
      <c r="N209" s="28" t="s">
        <v>904</v>
      </c>
      <c r="O209" s="30" t="s">
        <v>11</v>
      </c>
      <c r="P209" s="28" t="s">
        <v>906</v>
      </c>
      <c r="Q209" s="28" t="s">
        <v>149</v>
      </c>
      <c r="R209" s="28" t="s">
        <v>153</v>
      </c>
      <c r="S209" s="28" t="s">
        <v>150</v>
      </c>
      <c r="T209" s="28" t="s">
        <v>154</v>
      </c>
      <c r="U209" s="28" t="s">
        <v>155</v>
      </c>
      <c r="V209" s="28" t="s">
        <v>904</v>
      </c>
      <c r="W209" s="28" t="s">
        <v>906</v>
      </c>
      <c r="X209" s="28" t="s">
        <v>149</v>
      </c>
      <c r="Y209" s="28" t="s">
        <v>156</v>
      </c>
      <c r="Z209" s="30" t="s">
        <v>11</v>
      </c>
      <c r="AA209" s="28" t="s">
        <v>2276</v>
      </c>
      <c r="AB209" s="28" t="s">
        <v>2401</v>
      </c>
      <c r="AC209" s="28" t="s">
        <v>2401</v>
      </c>
      <c r="AD209" s="28" t="s">
        <v>2401</v>
      </c>
      <c r="AE209" s="28" t="s">
        <v>2401</v>
      </c>
      <c r="AF209" s="30" t="s">
        <v>57</v>
      </c>
      <c r="AG209" s="28" t="s">
        <v>2400</v>
      </c>
    </row>
    <row r="210" spans="1:33" x14ac:dyDescent="0.3">
      <c r="A210" s="28" t="s">
        <v>907</v>
      </c>
      <c r="B210" s="51" t="s">
        <v>2383</v>
      </c>
      <c r="C210" s="30" t="s">
        <v>11</v>
      </c>
      <c r="D210" s="28" t="s">
        <v>8</v>
      </c>
      <c r="E210" s="28">
        <v>200</v>
      </c>
      <c r="F210" s="30" t="s">
        <v>11</v>
      </c>
      <c r="G210" s="28" t="s">
        <v>908</v>
      </c>
      <c r="H210" s="30" t="s">
        <v>60</v>
      </c>
      <c r="I210" s="28" t="s">
        <v>909</v>
      </c>
      <c r="J210" s="30" t="s">
        <v>11</v>
      </c>
      <c r="K210" s="28" t="s">
        <v>910</v>
      </c>
      <c r="L210" s="28" t="s">
        <v>157</v>
      </c>
      <c r="M210" s="30" t="s">
        <v>11</v>
      </c>
      <c r="N210" s="28" t="s">
        <v>907</v>
      </c>
      <c r="O210" s="30" t="s">
        <v>11</v>
      </c>
      <c r="P210" s="28" t="s">
        <v>911</v>
      </c>
      <c r="Q210" s="28" t="s">
        <v>909</v>
      </c>
      <c r="R210" s="28" t="s">
        <v>153</v>
      </c>
      <c r="S210" s="28" t="s">
        <v>150</v>
      </c>
      <c r="T210" s="28" t="s">
        <v>154</v>
      </c>
      <c r="U210" s="28" t="s">
        <v>155</v>
      </c>
      <c r="V210" s="28" t="s">
        <v>907</v>
      </c>
      <c r="W210" s="28" t="s">
        <v>911</v>
      </c>
      <c r="X210" s="28" t="s">
        <v>909</v>
      </c>
      <c r="Y210" s="28" t="s">
        <v>156</v>
      </c>
      <c r="Z210" s="30" t="s">
        <v>11</v>
      </c>
      <c r="AA210" s="28" t="s">
        <v>2276</v>
      </c>
      <c r="AB210" s="28" t="s">
        <v>2401</v>
      </c>
      <c r="AC210" s="28" t="s">
        <v>2401</v>
      </c>
      <c r="AD210" s="28" t="s">
        <v>2401</v>
      </c>
      <c r="AE210" s="28" t="s">
        <v>2401</v>
      </c>
      <c r="AF210" s="30" t="s">
        <v>57</v>
      </c>
      <c r="AG210" s="28" t="s">
        <v>2400</v>
      </c>
    </row>
    <row r="211" spans="1:33" x14ac:dyDescent="0.3">
      <c r="A211" s="28" t="s">
        <v>912</v>
      </c>
      <c r="B211" s="34"/>
      <c r="C211" s="30" t="s">
        <v>11</v>
      </c>
      <c r="D211" s="28" t="s">
        <v>8</v>
      </c>
      <c r="E211" s="28">
        <v>200</v>
      </c>
      <c r="F211" s="30" t="s">
        <v>11</v>
      </c>
      <c r="G211" s="28" t="s">
        <v>913</v>
      </c>
      <c r="H211" s="30" t="s">
        <v>60</v>
      </c>
      <c r="I211" s="28" t="s">
        <v>914</v>
      </c>
      <c r="J211" s="30" t="s">
        <v>60</v>
      </c>
      <c r="K211" s="28" t="s">
        <v>915</v>
      </c>
      <c r="L211" s="28" t="s">
        <v>157</v>
      </c>
      <c r="M211" s="30" t="s">
        <v>11</v>
      </c>
      <c r="N211" s="28" t="s">
        <v>912</v>
      </c>
      <c r="O211" s="30" t="s">
        <v>11</v>
      </c>
      <c r="P211" s="28" t="s">
        <v>916</v>
      </c>
      <c r="Q211" s="28" t="s">
        <v>914</v>
      </c>
      <c r="R211" s="28" t="s">
        <v>153</v>
      </c>
      <c r="S211" s="28" t="s">
        <v>150</v>
      </c>
      <c r="T211" s="28" t="s">
        <v>154</v>
      </c>
      <c r="U211" s="28" t="s">
        <v>155</v>
      </c>
      <c r="V211" s="28" t="s">
        <v>912</v>
      </c>
      <c r="W211" s="28" t="s">
        <v>916</v>
      </c>
      <c r="X211" s="28" t="s">
        <v>914</v>
      </c>
      <c r="Y211" s="28" t="s">
        <v>156</v>
      </c>
      <c r="Z211" s="30" t="s">
        <v>11</v>
      </c>
      <c r="AA211" s="28" t="s">
        <v>2276</v>
      </c>
      <c r="AB211" s="28" t="s">
        <v>2401</v>
      </c>
      <c r="AC211" s="28" t="s">
        <v>2401</v>
      </c>
      <c r="AD211" s="28" t="s">
        <v>2401</v>
      </c>
      <c r="AE211" s="28" t="s">
        <v>2401</v>
      </c>
      <c r="AF211" s="30" t="s">
        <v>57</v>
      </c>
      <c r="AG211" s="28" t="s">
        <v>2400</v>
      </c>
    </row>
    <row r="212" spans="1:33" x14ac:dyDescent="0.3">
      <c r="A212" s="28" t="s">
        <v>918</v>
      </c>
      <c r="B212" s="34"/>
      <c r="C212" s="30" t="s">
        <v>11</v>
      </c>
      <c r="D212" s="28" t="s">
        <v>8</v>
      </c>
      <c r="E212" s="28">
        <v>200</v>
      </c>
      <c r="F212" s="30" t="s">
        <v>11</v>
      </c>
      <c r="G212" s="28" t="s">
        <v>919</v>
      </c>
      <c r="H212" s="30" t="s">
        <v>11</v>
      </c>
      <c r="I212" s="28" t="s">
        <v>2401</v>
      </c>
      <c r="J212" s="30" t="s">
        <v>2382</v>
      </c>
      <c r="K212" s="28" t="s">
        <v>920</v>
      </c>
      <c r="L212" s="28" t="s">
        <v>157</v>
      </c>
      <c r="M212" s="30" t="s">
        <v>11</v>
      </c>
      <c r="N212" s="28" t="s">
        <v>918</v>
      </c>
      <c r="O212" s="30" t="s">
        <v>11</v>
      </c>
      <c r="P212" s="28" t="s">
        <v>921</v>
      </c>
      <c r="Q212" s="28" t="s">
        <v>149</v>
      </c>
      <c r="R212" s="28" t="s">
        <v>153</v>
      </c>
      <c r="S212" s="28" t="s">
        <v>150</v>
      </c>
      <c r="T212" s="28" t="s">
        <v>154</v>
      </c>
      <c r="U212" s="28" t="s">
        <v>155</v>
      </c>
      <c r="V212" s="28" t="s">
        <v>918</v>
      </c>
      <c r="W212" s="28" t="s">
        <v>921</v>
      </c>
      <c r="X212" s="28" t="s">
        <v>149</v>
      </c>
      <c r="Y212" s="28" t="s">
        <v>156</v>
      </c>
      <c r="Z212" s="30" t="s">
        <v>11</v>
      </c>
      <c r="AA212" s="28" t="s">
        <v>2276</v>
      </c>
      <c r="AB212" s="28" t="s">
        <v>2401</v>
      </c>
      <c r="AC212" s="28" t="s">
        <v>2401</v>
      </c>
      <c r="AD212" s="28" t="s">
        <v>2401</v>
      </c>
      <c r="AE212" s="28" t="s">
        <v>2401</v>
      </c>
      <c r="AF212" s="30" t="s">
        <v>57</v>
      </c>
      <c r="AG212" s="28" t="s">
        <v>2400</v>
      </c>
    </row>
    <row r="213" spans="1:33" x14ac:dyDescent="0.3">
      <c r="A213" s="28" t="s">
        <v>923</v>
      </c>
      <c r="B213" s="34"/>
      <c r="C213" s="30" t="s">
        <v>11</v>
      </c>
      <c r="D213" s="28" t="s">
        <v>8</v>
      </c>
      <c r="E213" s="28">
        <v>200</v>
      </c>
      <c r="F213" s="30" t="s">
        <v>11</v>
      </c>
      <c r="G213" s="28" t="s">
        <v>924</v>
      </c>
      <c r="H213" s="30" t="s">
        <v>11</v>
      </c>
      <c r="I213" s="28" t="s">
        <v>2401</v>
      </c>
      <c r="J213" s="30" t="s">
        <v>2382</v>
      </c>
      <c r="K213" s="28" t="s">
        <v>925</v>
      </c>
      <c r="L213" s="28" t="s">
        <v>157</v>
      </c>
      <c r="M213" s="30" t="s">
        <v>11</v>
      </c>
      <c r="N213" s="28" t="s">
        <v>923</v>
      </c>
      <c r="O213" s="30" t="s">
        <v>11</v>
      </c>
      <c r="P213" s="28" t="s">
        <v>926</v>
      </c>
      <c r="Q213" s="28" t="s">
        <v>149</v>
      </c>
      <c r="R213" s="28" t="s">
        <v>153</v>
      </c>
      <c r="S213" s="28" t="s">
        <v>150</v>
      </c>
      <c r="T213" s="28" t="s">
        <v>154</v>
      </c>
      <c r="U213" s="28" t="s">
        <v>155</v>
      </c>
      <c r="V213" s="28" t="s">
        <v>923</v>
      </c>
      <c r="W213" s="28" t="s">
        <v>926</v>
      </c>
      <c r="X213" s="28" t="s">
        <v>149</v>
      </c>
      <c r="Y213" s="28" t="s">
        <v>156</v>
      </c>
      <c r="Z213" s="30" t="s">
        <v>11</v>
      </c>
      <c r="AA213" s="28" t="s">
        <v>2276</v>
      </c>
      <c r="AB213" s="28" t="s">
        <v>2401</v>
      </c>
      <c r="AC213" s="28" t="s">
        <v>2401</v>
      </c>
      <c r="AD213" s="28" t="s">
        <v>2401</v>
      </c>
      <c r="AE213" s="28" t="s">
        <v>2401</v>
      </c>
      <c r="AF213" s="30" t="s">
        <v>57</v>
      </c>
      <c r="AG213" s="28" t="s">
        <v>2400</v>
      </c>
    </row>
    <row r="214" spans="1:33" x14ac:dyDescent="0.3">
      <c r="A214" s="28" t="s">
        <v>927</v>
      </c>
      <c r="B214" s="34"/>
      <c r="C214" s="30" t="s">
        <v>11</v>
      </c>
      <c r="D214" s="28" t="s">
        <v>8</v>
      </c>
      <c r="E214" s="28">
        <v>200</v>
      </c>
      <c r="F214" s="30" t="s">
        <v>11</v>
      </c>
      <c r="G214" s="28" t="s">
        <v>908</v>
      </c>
      <c r="H214" s="30" t="s">
        <v>60</v>
      </c>
      <c r="I214" s="28" t="s">
        <v>928</v>
      </c>
      <c r="J214" s="30" t="s">
        <v>11</v>
      </c>
      <c r="K214" s="28" t="s">
        <v>929</v>
      </c>
      <c r="L214" s="28" t="s">
        <v>157</v>
      </c>
      <c r="M214" s="30" t="s">
        <v>11</v>
      </c>
      <c r="N214" s="28" t="s">
        <v>927</v>
      </c>
      <c r="O214" s="30" t="s">
        <v>11</v>
      </c>
      <c r="P214" s="28" t="s">
        <v>911</v>
      </c>
      <c r="Q214" s="28" t="s">
        <v>928</v>
      </c>
      <c r="R214" s="28" t="s">
        <v>153</v>
      </c>
      <c r="S214" s="28" t="s">
        <v>150</v>
      </c>
      <c r="T214" s="28" t="s">
        <v>154</v>
      </c>
      <c r="U214" s="28" t="s">
        <v>155</v>
      </c>
      <c r="V214" s="28" t="s">
        <v>927</v>
      </c>
      <c r="W214" s="28" t="s">
        <v>911</v>
      </c>
      <c r="X214" s="28" t="s">
        <v>928</v>
      </c>
      <c r="Y214" s="28" t="s">
        <v>156</v>
      </c>
      <c r="Z214" s="30" t="s">
        <v>11</v>
      </c>
      <c r="AA214" s="28" t="s">
        <v>2276</v>
      </c>
      <c r="AB214" s="28" t="s">
        <v>2401</v>
      </c>
      <c r="AC214" s="28" t="s">
        <v>2401</v>
      </c>
      <c r="AD214" s="28" t="s">
        <v>2401</v>
      </c>
      <c r="AE214" s="28" t="s">
        <v>2401</v>
      </c>
      <c r="AF214" s="30" t="s">
        <v>57</v>
      </c>
      <c r="AG214" s="28" t="s">
        <v>2400</v>
      </c>
    </row>
    <row r="215" spans="1:33" x14ac:dyDescent="0.3">
      <c r="A215" s="28" t="s">
        <v>930</v>
      </c>
      <c r="B215" s="34"/>
      <c r="C215" s="30" t="s">
        <v>11</v>
      </c>
      <c r="D215" s="28" t="s">
        <v>8</v>
      </c>
      <c r="E215" s="28">
        <v>200</v>
      </c>
      <c r="F215" s="30" t="s">
        <v>11</v>
      </c>
      <c r="G215" s="28" t="s">
        <v>931</v>
      </c>
      <c r="H215" s="30" t="s">
        <v>11</v>
      </c>
      <c r="I215" s="28" t="s">
        <v>932</v>
      </c>
      <c r="J215" s="30" t="s">
        <v>11</v>
      </c>
      <c r="K215" s="28" t="s">
        <v>933</v>
      </c>
      <c r="L215" s="28" t="s">
        <v>157</v>
      </c>
      <c r="M215" s="30" t="s">
        <v>11</v>
      </c>
      <c r="N215" s="28" t="s">
        <v>930</v>
      </c>
      <c r="O215" s="30" t="s">
        <v>11</v>
      </c>
      <c r="P215" s="28" t="s">
        <v>934</v>
      </c>
      <c r="Q215" s="28" t="s">
        <v>932</v>
      </c>
      <c r="R215" s="28" t="s">
        <v>153</v>
      </c>
      <c r="S215" s="28" t="s">
        <v>150</v>
      </c>
      <c r="T215" s="28" t="s">
        <v>154</v>
      </c>
      <c r="U215" s="28" t="s">
        <v>155</v>
      </c>
      <c r="V215" s="28" t="s">
        <v>930</v>
      </c>
      <c r="W215" s="28" t="s">
        <v>934</v>
      </c>
      <c r="X215" s="28" t="s">
        <v>932</v>
      </c>
      <c r="Y215" s="28" t="s">
        <v>156</v>
      </c>
      <c r="Z215" s="30" t="s">
        <v>11</v>
      </c>
      <c r="AA215" s="28" t="s">
        <v>2276</v>
      </c>
      <c r="AB215" s="28" t="s">
        <v>2401</v>
      </c>
      <c r="AC215" s="28" t="s">
        <v>2401</v>
      </c>
      <c r="AD215" s="28" t="s">
        <v>2401</v>
      </c>
      <c r="AE215" s="28" t="s">
        <v>2401</v>
      </c>
      <c r="AF215" s="30" t="s">
        <v>57</v>
      </c>
      <c r="AG215" s="28" t="s">
        <v>2400</v>
      </c>
    </row>
    <row r="216" spans="1:33" x14ac:dyDescent="0.3">
      <c r="A216" s="28" t="s">
        <v>935</v>
      </c>
      <c r="B216" s="34"/>
      <c r="C216" s="30" t="s">
        <v>11</v>
      </c>
      <c r="D216" s="28" t="s">
        <v>8</v>
      </c>
      <c r="E216" s="28">
        <v>200</v>
      </c>
      <c r="F216" s="30" t="s">
        <v>11</v>
      </c>
      <c r="G216" s="28" t="s">
        <v>936</v>
      </c>
      <c r="H216" s="30" t="s">
        <v>11</v>
      </c>
      <c r="I216" s="28" t="s">
        <v>937</v>
      </c>
      <c r="J216" s="30" t="s">
        <v>11</v>
      </c>
      <c r="K216" s="28" t="s">
        <v>938</v>
      </c>
      <c r="L216" s="28" t="s">
        <v>157</v>
      </c>
      <c r="M216" s="30" t="s">
        <v>11</v>
      </c>
      <c r="N216" s="28" t="s">
        <v>935</v>
      </c>
      <c r="O216" s="30" t="s">
        <v>11</v>
      </c>
      <c r="P216" s="28" t="s">
        <v>939</v>
      </c>
      <c r="Q216" s="28" t="s">
        <v>937</v>
      </c>
      <c r="R216" s="28" t="s">
        <v>153</v>
      </c>
      <c r="S216" s="28" t="s">
        <v>150</v>
      </c>
      <c r="T216" s="28" t="s">
        <v>154</v>
      </c>
      <c r="U216" s="28" t="s">
        <v>155</v>
      </c>
      <c r="V216" s="28" t="s">
        <v>935</v>
      </c>
      <c r="W216" s="28" t="s">
        <v>939</v>
      </c>
      <c r="X216" s="28" t="s">
        <v>937</v>
      </c>
      <c r="Y216" s="28" t="s">
        <v>156</v>
      </c>
      <c r="Z216" s="30" t="s">
        <v>11</v>
      </c>
      <c r="AA216" s="28" t="s">
        <v>2276</v>
      </c>
      <c r="AB216" s="28" t="s">
        <v>2401</v>
      </c>
      <c r="AC216" s="28" t="s">
        <v>2401</v>
      </c>
      <c r="AD216" s="28" t="s">
        <v>2401</v>
      </c>
      <c r="AE216" s="28" t="s">
        <v>2401</v>
      </c>
      <c r="AF216" s="30" t="s">
        <v>57</v>
      </c>
      <c r="AG216" s="28" t="s">
        <v>2400</v>
      </c>
    </row>
    <row r="217" spans="1:33" x14ac:dyDescent="0.3">
      <c r="A217" s="28" t="s">
        <v>940</v>
      </c>
      <c r="B217" s="34"/>
      <c r="C217" s="30" t="s">
        <v>11</v>
      </c>
      <c r="D217" s="28" t="s">
        <v>8</v>
      </c>
      <c r="E217" s="28">
        <v>200</v>
      </c>
      <c r="F217" s="30" t="s">
        <v>11</v>
      </c>
      <c r="G217" s="28" t="s">
        <v>941</v>
      </c>
      <c r="H217" s="30" t="s">
        <v>11</v>
      </c>
      <c r="I217" s="28" t="s">
        <v>2401</v>
      </c>
      <c r="J217" s="30" t="s">
        <v>2382</v>
      </c>
      <c r="K217" s="28" t="s">
        <v>942</v>
      </c>
      <c r="L217" s="28" t="s">
        <v>157</v>
      </c>
      <c r="M217" s="30" t="s">
        <v>11</v>
      </c>
      <c r="N217" s="28" t="s">
        <v>940</v>
      </c>
      <c r="O217" s="30" t="s">
        <v>11</v>
      </c>
      <c r="P217" s="28" t="s">
        <v>943</v>
      </c>
      <c r="Q217" s="28" t="s">
        <v>149</v>
      </c>
      <c r="R217" s="28" t="s">
        <v>153</v>
      </c>
      <c r="S217" s="28" t="s">
        <v>150</v>
      </c>
      <c r="T217" s="28" t="s">
        <v>154</v>
      </c>
      <c r="U217" s="28" t="s">
        <v>155</v>
      </c>
      <c r="V217" s="28" t="s">
        <v>940</v>
      </c>
      <c r="W217" s="28" t="s">
        <v>943</v>
      </c>
      <c r="X217" s="28" t="s">
        <v>149</v>
      </c>
      <c r="Y217" s="28" t="s">
        <v>156</v>
      </c>
      <c r="Z217" s="30" t="s">
        <v>11</v>
      </c>
      <c r="AA217" s="28" t="s">
        <v>2276</v>
      </c>
      <c r="AB217" s="28" t="s">
        <v>2401</v>
      </c>
      <c r="AC217" s="28" t="s">
        <v>2401</v>
      </c>
      <c r="AD217" s="28" t="s">
        <v>2401</v>
      </c>
      <c r="AE217" s="28" t="s">
        <v>2401</v>
      </c>
      <c r="AF217" s="30" t="s">
        <v>57</v>
      </c>
      <c r="AG217" s="28" t="s">
        <v>2400</v>
      </c>
    </row>
    <row r="218" spans="1:33" x14ac:dyDescent="0.3">
      <c r="A218" s="28" t="s">
        <v>944</v>
      </c>
      <c r="B218" s="34"/>
      <c r="C218" s="30" t="s">
        <v>11</v>
      </c>
      <c r="D218" s="28" t="s">
        <v>8</v>
      </c>
      <c r="E218" s="28">
        <v>200</v>
      </c>
      <c r="F218" s="30" t="s">
        <v>11</v>
      </c>
      <c r="G218" s="28" t="s">
        <v>913</v>
      </c>
      <c r="H218" s="30" t="s">
        <v>60</v>
      </c>
      <c r="I218" s="28" t="s">
        <v>914</v>
      </c>
      <c r="J218" s="30" t="s">
        <v>60</v>
      </c>
      <c r="K218" s="28" t="s">
        <v>945</v>
      </c>
      <c r="L218" s="28" t="s">
        <v>157</v>
      </c>
      <c r="M218" s="30" t="s">
        <v>11</v>
      </c>
      <c r="N218" s="28" t="s">
        <v>944</v>
      </c>
      <c r="O218" s="30" t="s">
        <v>11</v>
      </c>
      <c r="P218" s="28" t="s">
        <v>916</v>
      </c>
      <c r="Q218" s="28" t="s">
        <v>914</v>
      </c>
      <c r="R218" s="28" t="s">
        <v>153</v>
      </c>
      <c r="S218" s="28" t="s">
        <v>150</v>
      </c>
      <c r="T218" s="28" t="s">
        <v>154</v>
      </c>
      <c r="U218" s="28" t="s">
        <v>155</v>
      </c>
      <c r="V218" s="28" t="s">
        <v>944</v>
      </c>
      <c r="W218" s="28" t="s">
        <v>916</v>
      </c>
      <c r="X218" s="28" t="s">
        <v>914</v>
      </c>
      <c r="Y218" s="28" t="s">
        <v>156</v>
      </c>
      <c r="Z218" s="30" t="s">
        <v>11</v>
      </c>
      <c r="AA218" s="28" t="s">
        <v>2276</v>
      </c>
      <c r="AB218" s="28" t="s">
        <v>2401</v>
      </c>
      <c r="AC218" s="28" t="s">
        <v>2401</v>
      </c>
      <c r="AD218" s="28" t="s">
        <v>2401</v>
      </c>
      <c r="AE218" s="28" t="s">
        <v>2401</v>
      </c>
      <c r="AF218" s="30" t="s">
        <v>57</v>
      </c>
      <c r="AG218" s="28" t="s">
        <v>2400</v>
      </c>
    </row>
    <row r="219" spans="1:33" x14ac:dyDescent="0.3">
      <c r="A219" s="28" t="s">
        <v>946</v>
      </c>
      <c r="B219" s="34"/>
      <c r="C219" s="30" t="s">
        <v>11</v>
      </c>
      <c r="D219" s="28" t="s">
        <v>8</v>
      </c>
      <c r="E219" s="28">
        <v>200</v>
      </c>
      <c r="F219" s="30" t="s">
        <v>11</v>
      </c>
      <c r="G219" s="28" t="s">
        <v>913</v>
      </c>
      <c r="H219" s="30" t="s">
        <v>60</v>
      </c>
      <c r="I219" s="28" t="s">
        <v>914</v>
      </c>
      <c r="J219" s="30" t="s">
        <v>60</v>
      </c>
      <c r="K219" s="28" t="s">
        <v>947</v>
      </c>
      <c r="L219" s="28" t="s">
        <v>157</v>
      </c>
      <c r="M219" s="30" t="s">
        <v>11</v>
      </c>
      <c r="N219" s="28" t="s">
        <v>946</v>
      </c>
      <c r="O219" s="30" t="s">
        <v>11</v>
      </c>
      <c r="P219" s="28" t="s">
        <v>916</v>
      </c>
      <c r="Q219" s="28" t="s">
        <v>914</v>
      </c>
      <c r="R219" s="28" t="s">
        <v>153</v>
      </c>
      <c r="S219" s="28" t="s">
        <v>150</v>
      </c>
      <c r="T219" s="28" t="s">
        <v>154</v>
      </c>
      <c r="U219" s="28" t="s">
        <v>155</v>
      </c>
      <c r="V219" s="28" t="s">
        <v>946</v>
      </c>
      <c r="W219" s="28" t="s">
        <v>916</v>
      </c>
      <c r="X219" s="28" t="s">
        <v>914</v>
      </c>
      <c r="Y219" s="28" t="s">
        <v>156</v>
      </c>
      <c r="Z219" s="30" t="s">
        <v>11</v>
      </c>
      <c r="AA219" s="28" t="s">
        <v>2276</v>
      </c>
      <c r="AB219" s="28" t="s">
        <v>2401</v>
      </c>
      <c r="AC219" s="28" t="s">
        <v>2401</v>
      </c>
      <c r="AD219" s="28" t="s">
        <v>2401</v>
      </c>
      <c r="AE219" s="28" t="s">
        <v>2401</v>
      </c>
      <c r="AF219" s="30" t="s">
        <v>57</v>
      </c>
      <c r="AG219" s="28" t="s">
        <v>2400</v>
      </c>
    </row>
    <row r="220" spans="1:33" x14ac:dyDescent="0.3">
      <c r="A220" s="28" t="s">
        <v>948</v>
      </c>
      <c r="B220" s="34"/>
      <c r="C220" s="30" t="s">
        <v>11</v>
      </c>
      <c r="D220" s="28" t="s">
        <v>8</v>
      </c>
      <c r="E220" s="28">
        <v>200</v>
      </c>
      <c r="F220" s="30" t="s">
        <v>11</v>
      </c>
      <c r="G220" s="28" t="s">
        <v>949</v>
      </c>
      <c r="H220" s="30" t="s">
        <v>11</v>
      </c>
      <c r="I220" s="28" t="s">
        <v>950</v>
      </c>
      <c r="J220" s="30" t="s">
        <v>11</v>
      </c>
      <c r="K220" s="28" t="s">
        <v>951</v>
      </c>
      <c r="L220" s="28" t="s">
        <v>157</v>
      </c>
      <c r="M220" s="30" t="s">
        <v>11</v>
      </c>
      <c r="N220" s="28" t="s">
        <v>948</v>
      </c>
      <c r="O220" s="30" t="s">
        <v>11</v>
      </c>
      <c r="P220" s="28" t="s">
        <v>952</v>
      </c>
      <c r="Q220" s="28" t="s">
        <v>950</v>
      </c>
      <c r="R220" s="28" t="s">
        <v>153</v>
      </c>
      <c r="S220" s="28" t="s">
        <v>150</v>
      </c>
      <c r="T220" s="28" t="s">
        <v>154</v>
      </c>
      <c r="U220" s="28" t="s">
        <v>155</v>
      </c>
      <c r="V220" s="28" t="s">
        <v>948</v>
      </c>
      <c r="W220" s="28" t="s">
        <v>952</v>
      </c>
      <c r="X220" s="28" t="s">
        <v>950</v>
      </c>
      <c r="Y220" s="28" t="s">
        <v>156</v>
      </c>
      <c r="Z220" s="30" t="s">
        <v>11</v>
      </c>
      <c r="AA220" s="28" t="s">
        <v>2276</v>
      </c>
      <c r="AB220" s="28" t="s">
        <v>2401</v>
      </c>
      <c r="AC220" s="28" t="s">
        <v>2401</v>
      </c>
      <c r="AD220" s="28" t="s">
        <v>2401</v>
      </c>
      <c r="AE220" s="28" t="s">
        <v>2401</v>
      </c>
      <c r="AF220" s="30" t="s">
        <v>57</v>
      </c>
      <c r="AG220" s="28" t="s">
        <v>2400</v>
      </c>
    </row>
    <row r="221" spans="1:33" x14ac:dyDescent="0.3">
      <c r="A221" s="28" t="s">
        <v>953</v>
      </c>
      <c r="B221" s="34"/>
      <c r="C221" s="30" t="s">
        <v>11</v>
      </c>
      <c r="D221" s="28" t="s">
        <v>8</v>
      </c>
      <c r="E221" s="28">
        <v>200</v>
      </c>
      <c r="F221" s="30" t="s">
        <v>11</v>
      </c>
      <c r="G221" s="28" t="s">
        <v>954</v>
      </c>
      <c r="H221" s="30" t="s">
        <v>11</v>
      </c>
      <c r="I221" s="28" t="s">
        <v>955</v>
      </c>
      <c r="J221" s="30" t="s">
        <v>11</v>
      </c>
      <c r="K221" s="28" t="s">
        <v>956</v>
      </c>
      <c r="L221" s="28" t="s">
        <v>157</v>
      </c>
      <c r="M221" s="30" t="s">
        <v>11</v>
      </c>
      <c r="N221" s="28" t="s">
        <v>953</v>
      </c>
      <c r="O221" s="30" t="s">
        <v>11</v>
      </c>
      <c r="P221" s="28" t="s">
        <v>957</v>
      </c>
      <c r="Q221" s="28" t="s">
        <v>955</v>
      </c>
      <c r="R221" s="28" t="s">
        <v>153</v>
      </c>
      <c r="S221" s="28" t="s">
        <v>150</v>
      </c>
      <c r="T221" s="28" t="s">
        <v>154</v>
      </c>
      <c r="U221" s="28" t="s">
        <v>155</v>
      </c>
      <c r="V221" s="28" t="s">
        <v>953</v>
      </c>
      <c r="W221" s="28" t="s">
        <v>957</v>
      </c>
      <c r="X221" s="28" t="s">
        <v>955</v>
      </c>
      <c r="Y221" s="28" t="s">
        <v>156</v>
      </c>
      <c r="Z221" s="30" t="s">
        <v>11</v>
      </c>
      <c r="AA221" s="28" t="s">
        <v>2276</v>
      </c>
      <c r="AB221" s="28" t="s">
        <v>2401</v>
      </c>
      <c r="AC221" s="28" t="s">
        <v>2401</v>
      </c>
      <c r="AD221" s="28" t="s">
        <v>2401</v>
      </c>
      <c r="AE221" s="28" t="s">
        <v>2401</v>
      </c>
      <c r="AF221" s="30" t="s">
        <v>57</v>
      </c>
      <c r="AG221" s="28" t="s">
        <v>2400</v>
      </c>
    </row>
    <row r="222" spans="1:33" x14ac:dyDescent="0.3">
      <c r="A222" s="28" t="s">
        <v>958</v>
      </c>
      <c r="B222" s="51" t="s">
        <v>2383</v>
      </c>
      <c r="C222" s="30" t="s">
        <v>11</v>
      </c>
      <c r="D222" s="28" t="s">
        <v>8</v>
      </c>
      <c r="E222" s="28">
        <v>200</v>
      </c>
      <c r="F222" s="30" t="s">
        <v>11</v>
      </c>
      <c r="G222" s="28" t="s">
        <v>959</v>
      </c>
      <c r="H222" s="30" t="s">
        <v>11</v>
      </c>
      <c r="I222" s="28" t="s">
        <v>960</v>
      </c>
      <c r="J222" s="30" t="s">
        <v>11</v>
      </c>
      <c r="K222" s="28" t="s">
        <v>961</v>
      </c>
      <c r="L222" s="28" t="s">
        <v>157</v>
      </c>
      <c r="M222" s="30" t="s">
        <v>11</v>
      </c>
      <c r="N222" s="28" t="s">
        <v>958</v>
      </c>
      <c r="O222" s="30" t="s">
        <v>11</v>
      </c>
      <c r="P222" s="28" t="s">
        <v>962</v>
      </c>
      <c r="Q222" s="28" t="s">
        <v>960</v>
      </c>
      <c r="R222" s="28" t="s">
        <v>153</v>
      </c>
      <c r="S222" s="28" t="s">
        <v>150</v>
      </c>
      <c r="T222" s="28" t="s">
        <v>154</v>
      </c>
      <c r="U222" s="28" t="s">
        <v>155</v>
      </c>
      <c r="V222" s="28" t="s">
        <v>958</v>
      </c>
      <c r="W222" s="28" t="s">
        <v>962</v>
      </c>
      <c r="X222" s="28" t="s">
        <v>960</v>
      </c>
      <c r="Y222" s="28" t="s">
        <v>156</v>
      </c>
      <c r="Z222" s="30" t="s">
        <v>11</v>
      </c>
      <c r="AA222" s="28" t="s">
        <v>2276</v>
      </c>
      <c r="AB222" s="28" t="s">
        <v>2401</v>
      </c>
      <c r="AC222" s="28" t="s">
        <v>2401</v>
      </c>
      <c r="AD222" s="28" t="s">
        <v>2401</v>
      </c>
      <c r="AE222" s="28" t="s">
        <v>2401</v>
      </c>
      <c r="AF222" s="30" t="s">
        <v>57</v>
      </c>
      <c r="AG222" s="28" t="s">
        <v>2400</v>
      </c>
    </row>
    <row r="223" spans="1:33" x14ac:dyDescent="0.3">
      <c r="A223" s="28" t="s">
        <v>963</v>
      </c>
      <c r="B223" s="34"/>
      <c r="C223" s="30" t="s">
        <v>11</v>
      </c>
      <c r="D223" s="28" t="s">
        <v>8</v>
      </c>
      <c r="E223" s="28">
        <v>200</v>
      </c>
      <c r="F223" s="30" t="s">
        <v>11</v>
      </c>
      <c r="G223" s="28" t="s">
        <v>964</v>
      </c>
      <c r="H223" s="30" t="s">
        <v>11</v>
      </c>
      <c r="I223" s="28" t="s">
        <v>2401</v>
      </c>
      <c r="J223" s="30" t="s">
        <v>2382</v>
      </c>
      <c r="K223" s="28" t="s">
        <v>965</v>
      </c>
      <c r="L223" s="28" t="s">
        <v>157</v>
      </c>
      <c r="M223" s="30" t="s">
        <v>11</v>
      </c>
      <c r="N223" s="28" t="s">
        <v>963</v>
      </c>
      <c r="O223" s="30" t="s">
        <v>11</v>
      </c>
      <c r="P223" s="28" t="s">
        <v>966</v>
      </c>
      <c r="Q223" s="28" t="s">
        <v>149</v>
      </c>
      <c r="R223" s="28" t="s">
        <v>153</v>
      </c>
      <c r="S223" s="28" t="s">
        <v>150</v>
      </c>
      <c r="T223" s="28" t="s">
        <v>154</v>
      </c>
      <c r="U223" s="28" t="s">
        <v>155</v>
      </c>
      <c r="V223" s="28" t="s">
        <v>963</v>
      </c>
      <c r="W223" s="28" t="s">
        <v>966</v>
      </c>
      <c r="X223" s="28" t="s">
        <v>149</v>
      </c>
      <c r="Y223" s="28" t="s">
        <v>156</v>
      </c>
      <c r="Z223" s="30" t="s">
        <v>11</v>
      </c>
      <c r="AA223" s="28" t="s">
        <v>2276</v>
      </c>
      <c r="AB223" s="28" t="s">
        <v>2401</v>
      </c>
      <c r="AC223" s="28" t="s">
        <v>2401</v>
      </c>
      <c r="AD223" s="28" t="s">
        <v>2401</v>
      </c>
      <c r="AE223" s="28" t="s">
        <v>2401</v>
      </c>
      <c r="AF223" s="30" t="s">
        <v>57</v>
      </c>
      <c r="AG223" s="28" t="s">
        <v>2400</v>
      </c>
    </row>
    <row r="224" spans="1:33" x14ac:dyDescent="0.3">
      <c r="A224" s="28" t="s">
        <v>967</v>
      </c>
      <c r="B224" s="34" t="s">
        <v>59</v>
      </c>
      <c r="C224" s="30" t="s">
        <v>11</v>
      </c>
      <c r="D224" s="28" t="s">
        <v>8</v>
      </c>
      <c r="E224" s="28">
        <v>200</v>
      </c>
      <c r="F224" s="30" t="s">
        <v>11</v>
      </c>
      <c r="G224" s="28" t="s">
        <v>968</v>
      </c>
      <c r="H224" s="30" t="s">
        <v>11</v>
      </c>
      <c r="I224" s="28" t="s">
        <v>2401</v>
      </c>
      <c r="J224" s="30" t="s">
        <v>11</v>
      </c>
      <c r="K224" s="28" t="s">
        <v>969</v>
      </c>
      <c r="L224" s="28" t="s">
        <v>157</v>
      </c>
      <c r="M224" s="30" t="s">
        <v>11</v>
      </c>
      <c r="N224" s="28" t="s">
        <v>967</v>
      </c>
      <c r="O224" s="30" t="s">
        <v>11</v>
      </c>
      <c r="P224" s="28" t="s">
        <v>970</v>
      </c>
      <c r="Q224" s="28" t="s">
        <v>149</v>
      </c>
      <c r="R224" s="28" t="s">
        <v>153</v>
      </c>
      <c r="S224" s="28" t="s">
        <v>150</v>
      </c>
      <c r="T224" s="28" t="s">
        <v>154</v>
      </c>
      <c r="U224" s="28" t="s">
        <v>155</v>
      </c>
      <c r="V224" s="28" t="s">
        <v>967</v>
      </c>
      <c r="W224" s="28" t="s">
        <v>970</v>
      </c>
      <c r="X224" s="28" t="s">
        <v>149</v>
      </c>
      <c r="Y224" s="28" t="s">
        <v>156</v>
      </c>
      <c r="Z224" s="30" t="s">
        <v>11</v>
      </c>
      <c r="AA224" s="28" t="s">
        <v>2276</v>
      </c>
      <c r="AB224" s="28" t="s">
        <v>2401</v>
      </c>
      <c r="AC224" s="28" t="s">
        <v>2401</v>
      </c>
      <c r="AD224" s="28" t="s">
        <v>2401</v>
      </c>
      <c r="AE224" s="28" t="s">
        <v>2401</v>
      </c>
      <c r="AF224" s="30" t="s">
        <v>11</v>
      </c>
      <c r="AG224" s="28" t="s">
        <v>2401</v>
      </c>
    </row>
    <row r="225" spans="1:33" x14ac:dyDescent="0.3">
      <c r="A225" s="28" t="s">
        <v>971</v>
      </c>
      <c r="B225" s="34" t="s">
        <v>59</v>
      </c>
      <c r="C225" s="30" t="s">
        <v>11</v>
      </c>
      <c r="D225" s="28" t="s">
        <v>8</v>
      </c>
      <c r="E225" s="28">
        <v>200</v>
      </c>
      <c r="F225" s="30" t="s">
        <v>11</v>
      </c>
      <c r="G225" s="28" t="s">
        <v>972</v>
      </c>
      <c r="H225" s="30" t="s">
        <v>11</v>
      </c>
      <c r="I225" s="28" t="s">
        <v>2401</v>
      </c>
      <c r="J225" s="30" t="s">
        <v>11</v>
      </c>
      <c r="K225" s="28" t="s">
        <v>973</v>
      </c>
      <c r="L225" s="28" t="s">
        <v>157</v>
      </c>
      <c r="M225" s="30" t="s">
        <v>11</v>
      </c>
      <c r="N225" s="28" t="s">
        <v>971</v>
      </c>
      <c r="O225" s="30" t="s">
        <v>11</v>
      </c>
      <c r="P225" s="28" t="s">
        <v>974</v>
      </c>
      <c r="Q225" s="28" t="s">
        <v>149</v>
      </c>
      <c r="R225" s="28" t="s">
        <v>153</v>
      </c>
      <c r="S225" s="28" t="s">
        <v>150</v>
      </c>
      <c r="T225" s="28" t="s">
        <v>154</v>
      </c>
      <c r="U225" s="28" t="s">
        <v>155</v>
      </c>
      <c r="V225" s="28" t="s">
        <v>971</v>
      </c>
      <c r="W225" s="28" t="s">
        <v>974</v>
      </c>
      <c r="X225" s="28" t="s">
        <v>149</v>
      </c>
      <c r="Y225" s="28" t="s">
        <v>156</v>
      </c>
      <c r="Z225" s="30" t="s">
        <v>11</v>
      </c>
      <c r="AA225" s="28" t="s">
        <v>2276</v>
      </c>
      <c r="AB225" s="28" t="s">
        <v>2401</v>
      </c>
      <c r="AC225" s="28" t="s">
        <v>2401</v>
      </c>
      <c r="AD225" s="28" t="s">
        <v>2401</v>
      </c>
      <c r="AE225" s="28" t="s">
        <v>2401</v>
      </c>
      <c r="AF225" s="30" t="s">
        <v>11</v>
      </c>
      <c r="AG225" s="28" t="s">
        <v>2401</v>
      </c>
    </row>
    <row r="226" spans="1:33" x14ac:dyDescent="0.3">
      <c r="A226" s="28" t="s">
        <v>975</v>
      </c>
      <c r="B226" s="34"/>
      <c r="C226" s="30" t="s">
        <v>11</v>
      </c>
      <c r="D226" s="28" t="s">
        <v>5</v>
      </c>
      <c r="E226" s="28">
        <v>200</v>
      </c>
      <c r="F226" s="30" t="s">
        <v>11</v>
      </c>
      <c r="G226" s="28" t="s">
        <v>976</v>
      </c>
      <c r="H226" s="30" t="s">
        <v>11</v>
      </c>
      <c r="I226" s="28" t="s">
        <v>978</v>
      </c>
      <c r="J226" s="30" t="s">
        <v>11</v>
      </c>
      <c r="K226" s="28" t="s">
        <v>979</v>
      </c>
      <c r="L226" s="28" t="s">
        <v>157</v>
      </c>
      <c r="M226" s="30" t="s">
        <v>11</v>
      </c>
      <c r="N226" s="28" t="s">
        <v>975</v>
      </c>
      <c r="O226" s="30" t="s">
        <v>11</v>
      </c>
      <c r="P226" s="28" t="s">
        <v>980</v>
      </c>
      <c r="Q226" s="28" t="s">
        <v>978</v>
      </c>
      <c r="R226" s="28" t="s">
        <v>981</v>
      </c>
      <c r="S226" s="28" t="s">
        <v>150</v>
      </c>
      <c r="T226" s="28" t="s">
        <v>982</v>
      </c>
      <c r="U226" s="28" t="s">
        <v>983</v>
      </c>
      <c r="V226" s="28" t="s">
        <v>975</v>
      </c>
      <c r="W226" s="28" t="s">
        <v>980</v>
      </c>
      <c r="X226" s="28" t="s">
        <v>978</v>
      </c>
      <c r="Y226" s="28" t="s">
        <v>156</v>
      </c>
      <c r="Z226" s="30" t="s">
        <v>11</v>
      </c>
      <c r="AA226" s="28" t="s">
        <v>2285</v>
      </c>
      <c r="AB226" s="28" t="s">
        <v>2286</v>
      </c>
      <c r="AC226" s="28" t="s">
        <v>2276</v>
      </c>
      <c r="AD226" s="28" t="s">
        <v>2287</v>
      </c>
      <c r="AE226" s="28" t="s">
        <v>2401</v>
      </c>
      <c r="AF226" s="30" t="s">
        <v>69</v>
      </c>
      <c r="AG226" s="28" t="s">
        <v>2398</v>
      </c>
    </row>
    <row r="227" spans="1:33" x14ac:dyDescent="0.3">
      <c r="A227" s="28" t="s">
        <v>984</v>
      </c>
      <c r="B227" s="34"/>
      <c r="C227" s="30" t="s">
        <v>11</v>
      </c>
      <c r="D227" s="28" t="s">
        <v>5</v>
      </c>
      <c r="E227" s="28">
        <v>200</v>
      </c>
      <c r="F227" s="30" t="s">
        <v>11</v>
      </c>
      <c r="G227" s="28" t="s">
        <v>985</v>
      </c>
      <c r="H227" s="30" t="s">
        <v>11</v>
      </c>
      <c r="I227" s="28" t="s">
        <v>986</v>
      </c>
      <c r="J227" s="30" t="s">
        <v>11</v>
      </c>
      <c r="K227" s="28" t="s">
        <v>987</v>
      </c>
      <c r="L227" s="28" t="s">
        <v>157</v>
      </c>
      <c r="M227" s="30" t="s">
        <v>11</v>
      </c>
      <c r="N227" s="28" t="s">
        <v>984</v>
      </c>
      <c r="O227" s="30" t="s">
        <v>11</v>
      </c>
      <c r="P227" s="28" t="s">
        <v>988</v>
      </c>
      <c r="Q227" s="28" t="s">
        <v>986</v>
      </c>
      <c r="R227" s="28" t="s">
        <v>981</v>
      </c>
      <c r="S227" s="28" t="s">
        <v>150</v>
      </c>
      <c r="T227" s="28" t="s">
        <v>989</v>
      </c>
      <c r="U227" s="28" t="s">
        <v>990</v>
      </c>
      <c r="V227" s="28" t="s">
        <v>984</v>
      </c>
      <c r="W227" s="28" t="s">
        <v>988</v>
      </c>
      <c r="X227" s="28" t="s">
        <v>986</v>
      </c>
      <c r="Y227" s="28" t="s">
        <v>156</v>
      </c>
      <c r="Z227" s="30" t="s">
        <v>11</v>
      </c>
      <c r="AA227" s="28" t="s">
        <v>2285</v>
      </c>
      <c r="AB227" s="28" t="s">
        <v>2286</v>
      </c>
      <c r="AC227" s="28" t="s">
        <v>2276</v>
      </c>
      <c r="AD227" s="28" t="s">
        <v>2287</v>
      </c>
      <c r="AE227" s="28" t="s">
        <v>2401</v>
      </c>
      <c r="AF227" s="30" t="s">
        <v>69</v>
      </c>
      <c r="AG227" s="28" t="s">
        <v>2398</v>
      </c>
    </row>
    <row r="228" spans="1:33" x14ac:dyDescent="0.3">
      <c r="A228" s="28" t="s">
        <v>992</v>
      </c>
      <c r="B228" s="34"/>
      <c r="C228" s="30" t="s">
        <v>11</v>
      </c>
      <c r="D228" s="28" t="s">
        <v>5</v>
      </c>
      <c r="E228" s="28">
        <v>200</v>
      </c>
      <c r="F228" s="30" t="s">
        <v>11</v>
      </c>
      <c r="G228" s="28" t="s">
        <v>993</v>
      </c>
      <c r="H228" s="30" t="s">
        <v>11</v>
      </c>
      <c r="I228" s="28" t="s">
        <v>995</v>
      </c>
      <c r="J228" s="30" t="s">
        <v>60</v>
      </c>
      <c r="K228" s="28" t="s">
        <v>996</v>
      </c>
      <c r="L228" s="28" t="s">
        <v>157</v>
      </c>
      <c r="M228" s="30" t="s">
        <v>11</v>
      </c>
      <c r="N228" s="28" t="s">
        <v>992</v>
      </c>
      <c r="O228" s="30" t="s">
        <v>11</v>
      </c>
      <c r="P228" s="28" t="s">
        <v>997</v>
      </c>
      <c r="Q228" s="28" t="s">
        <v>995</v>
      </c>
      <c r="R228" s="28" t="s">
        <v>981</v>
      </c>
      <c r="S228" s="28" t="s">
        <v>150</v>
      </c>
      <c r="T228" s="28" t="s">
        <v>998</v>
      </c>
      <c r="U228" s="28" t="s">
        <v>999</v>
      </c>
      <c r="V228" s="28" t="s">
        <v>992</v>
      </c>
      <c r="W228" s="28" t="s">
        <v>997</v>
      </c>
      <c r="X228" s="28" t="s">
        <v>995</v>
      </c>
      <c r="Y228" s="28" t="s">
        <v>156</v>
      </c>
      <c r="Z228" s="30" t="s">
        <v>56</v>
      </c>
      <c r="AA228" s="28" t="s">
        <v>2285</v>
      </c>
      <c r="AB228" s="28" t="s">
        <v>2286</v>
      </c>
      <c r="AC228" s="28" t="s">
        <v>2276</v>
      </c>
      <c r="AD228" s="28" t="s">
        <v>2287</v>
      </c>
      <c r="AE228" s="28" t="s">
        <v>2401</v>
      </c>
      <c r="AF228" s="30" t="s">
        <v>69</v>
      </c>
      <c r="AG228" s="28" t="s">
        <v>2398</v>
      </c>
    </row>
    <row r="229" spans="1:33" x14ac:dyDescent="0.3">
      <c r="A229" s="28" t="s">
        <v>1001</v>
      </c>
      <c r="B229" s="34"/>
      <c r="C229" s="30" t="s">
        <v>11</v>
      </c>
      <c r="D229" s="28" t="s">
        <v>5</v>
      </c>
      <c r="E229" s="28">
        <v>200</v>
      </c>
      <c r="F229" s="30" t="s">
        <v>11</v>
      </c>
      <c r="G229" s="28" t="s">
        <v>1002</v>
      </c>
      <c r="H229" s="30" t="s">
        <v>11</v>
      </c>
      <c r="I229" s="28" t="s">
        <v>1003</v>
      </c>
      <c r="J229" s="30" t="s">
        <v>11</v>
      </c>
      <c r="K229" s="28" t="s">
        <v>1004</v>
      </c>
      <c r="L229" s="28" t="s">
        <v>157</v>
      </c>
      <c r="M229" s="30" t="s">
        <v>11</v>
      </c>
      <c r="N229" s="28" t="s">
        <v>1001</v>
      </c>
      <c r="O229" s="30" t="s">
        <v>11</v>
      </c>
      <c r="P229" s="28" t="s">
        <v>1005</v>
      </c>
      <c r="Q229" s="28" t="s">
        <v>1003</v>
      </c>
      <c r="R229" s="28" t="s">
        <v>981</v>
      </c>
      <c r="S229" s="28" t="s">
        <v>150</v>
      </c>
      <c r="T229" s="28" t="s">
        <v>1006</v>
      </c>
      <c r="U229" s="28" t="s">
        <v>1007</v>
      </c>
      <c r="V229" s="28" t="s">
        <v>1001</v>
      </c>
      <c r="W229" s="28" t="s">
        <v>1005</v>
      </c>
      <c r="X229" s="28" t="s">
        <v>1003</v>
      </c>
      <c r="Y229" s="28" t="s">
        <v>156</v>
      </c>
      <c r="Z229" s="30" t="s">
        <v>11</v>
      </c>
      <c r="AA229" s="28" t="s">
        <v>2285</v>
      </c>
      <c r="AB229" s="28" t="s">
        <v>2286</v>
      </c>
      <c r="AC229" s="28" t="s">
        <v>2276</v>
      </c>
      <c r="AD229" s="28" t="s">
        <v>2287</v>
      </c>
      <c r="AE229" s="28" t="s">
        <v>2401</v>
      </c>
      <c r="AF229" s="30" t="s">
        <v>69</v>
      </c>
      <c r="AG229" s="28" t="s">
        <v>2398</v>
      </c>
    </row>
    <row r="230" spans="1:33" x14ac:dyDescent="0.3">
      <c r="A230" s="28" t="s">
        <v>1009</v>
      </c>
      <c r="B230" s="34"/>
      <c r="C230" s="30" t="s">
        <v>11</v>
      </c>
      <c r="D230" s="28" t="s">
        <v>5</v>
      </c>
      <c r="E230" s="28">
        <v>200</v>
      </c>
      <c r="F230" s="30" t="s">
        <v>11</v>
      </c>
      <c r="G230" s="28" t="s">
        <v>1010</v>
      </c>
      <c r="H230" s="30" t="s">
        <v>11</v>
      </c>
      <c r="I230" s="28" t="s">
        <v>1012</v>
      </c>
      <c r="J230" s="30" t="s">
        <v>11</v>
      </c>
      <c r="K230" s="28" t="s">
        <v>1013</v>
      </c>
      <c r="L230" s="28" t="s">
        <v>157</v>
      </c>
      <c r="M230" s="30" t="s">
        <v>11</v>
      </c>
      <c r="N230" s="28" t="s">
        <v>1009</v>
      </c>
      <c r="O230" s="30" t="s">
        <v>11</v>
      </c>
      <c r="P230" s="28" t="s">
        <v>1014</v>
      </c>
      <c r="Q230" s="28" t="s">
        <v>1012</v>
      </c>
      <c r="R230" s="28" t="s">
        <v>981</v>
      </c>
      <c r="S230" s="28" t="s">
        <v>150</v>
      </c>
      <c r="T230" s="28" t="s">
        <v>1015</v>
      </c>
      <c r="U230" s="28" t="s">
        <v>1016</v>
      </c>
      <c r="V230" s="28" t="s">
        <v>1009</v>
      </c>
      <c r="W230" s="28" t="s">
        <v>1014</v>
      </c>
      <c r="X230" s="28" t="s">
        <v>1012</v>
      </c>
      <c r="Y230" s="28" t="s">
        <v>156</v>
      </c>
      <c r="Z230" s="30" t="s">
        <v>11</v>
      </c>
      <c r="AA230" s="28" t="s">
        <v>2285</v>
      </c>
      <c r="AB230" s="28" t="s">
        <v>2286</v>
      </c>
      <c r="AC230" s="28" t="s">
        <v>2276</v>
      </c>
      <c r="AD230" s="28" t="s">
        <v>2287</v>
      </c>
      <c r="AE230" s="28" t="s">
        <v>2401</v>
      </c>
      <c r="AF230" s="30" t="s">
        <v>69</v>
      </c>
      <c r="AG230" s="28" t="s">
        <v>2398</v>
      </c>
    </row>
    <row r="231" spans="1:33" x14ac:dyDescent="0.3">
      <c r="A231" s="28" t="s">
        <v>1017</v>
      </c>
      <c r="B231" s="34"/>
      <c r="C231" s="30" t="s">
        <v>70</v>
      </c>
      <c r="D231" s="28" t="s">
        <v>5</v>
      </c>
      <c r="E231" s="28">
        <v>200</v>
      </c>
      <c r="F231" s="30" t="s">
        <v>11</v>
      </c>
      <c r="G231" s="28" t="s">
        <v>1018</v>
      </c>
      <c r="H231" s="30" t="s">
        <v>11</v>
      </c>
      <c r="I231" s="28" t="s">
        <v>1019</v>
      </c>
      <c r="J231" s="30" t="s">
        <v>11</v>
      </c>
      <c r="K231" s="28" t="s">
        <v>1020</v>
      </c>
      <c r="L231" s="28" t="s">
        <v>157</v>
      </c>
      <c r="M231" s="30" t="s">
        <v>11</v>
      </c>
      <c r="N231" s="28" t="s">
        <v>1017</v>
      </c>
      <c r="O231" s="30" t="s">
        <v>11</v>
      </c>
      <c r="P231" s="28" t="s">
        <v>1021</v>
      </c>
      <c r="Q231" s="28" t="s">
        <v>1019</v>
      </c>
      <c r="R231" s="28" t="s">
        <v>981</v>
      </c>
      <c r="S231" s="28" t="s">
        <v>150</v>
      </c>
      <c r="T231" s="28" t="s">
        <v>1022</v>
      </c>
      <c r="U231" s="28" t="s">
        <v>1023</v>
      </c>
      <c r="V231" s="28" t="s">
        <v>1017</v>
      </c>
      <c r="W231" s="28" t="s">
        <v>1021</v>
      </c>
      <c r="X231" s="28" t="s">
        <v>1019</v>
      </c>
      <c r="Y231" s="28" t="s">
        <v>156</v>
      </c>
      <c r="Z231" s="30" t="s">
        <v>11</v>
      </c>
      <c r="AA231" s="28" t="s">
        <v>2285</v>
      </c>
      <c r="AB231" s="28" t="s">
        <v>2286</v>
      </c>
      <c r="AC231" s="28" t="s">
        <v>2276</v>
      </c>
      <c r="AD231" s="28" t="s">
        <v>2287</v>
      </c>
      <c r="AE231" s="28" t="s">
        <v>2401</v>
      </c>
      <c r="AF231" s="30" t="s">
        <v>69</v>
      </c>
      <c r="AG231" s="28" t="s">
        <v>2398</v>
      </c>
    </row>
    <row r="232" spans="1:33" x14ac:dyDescent="0.3">
      <c r="A232" s="28" t="s">
        <v>1024</v>
      </c>
      <c r="B232" s="34"/>
      <c r="C232" s="30" t="s">
        <v>11</v>
      </c>
      <c r="D232" s="28" t="s">
        <v>5</v>
      </c>
      <c r="E232" s="28">
        <v>200</v>
      </c>
      <c r="F232" s="30" t="s">
        <v>11</v>
      </c>
      <c r="G232" s="28" t="s">
        <v>1025</v>
      </c>
      <c r="H232" s="30" t="s">
        <v>11</v>
      </c>
      <c r="I232" s="28" t="s">
        <v>1026</v>
      </c>
      <c r="J232" s="30" t="s">
        <v>11</v>
      </c>
      <c r="K232" s="28" t="s">
        <v>1027</v>
      </c>
      <c r="L232" s="28" t="s">
        <v>157</v>
      </c>
      <c r="M232" s="30" t="s">
        <v>11</v>
      </c>
      <c r="N232" s="28" t="s">
        <v>1024</v>
      </c>
      <c r="O232" s="30" t="s">
        <v>11</v>
      </c>
      <c r="P232" s="28" t="s">
        <v>1028</v>
      </c>
      <c r="Q232" s="28" t="s">
        <v>1026</v>
      </c>
      <c r="R232" s="28" t="s">
        <v>981</v>
      </c>
      <c r="S232" s="28" t="s">
        <v>150</v>
      </c>
      <c r="T232" s="28" t="s">
        <v>1029</v>
      </c>
      <c r="U232" s="28" t="s">
        <v>1030</v>
      </c>
      <c r="V232" s="28" t="s">
        <v>1024</v>
      </c>
      <c r="W232" s="28" t="s">
        <v>1028</v>
      </c>
      <c r="X232" s="28" t="s">
        <v>1026</v>
      </c>
      <c r="Y232" s="28" t="s">
        <v>156</v>
      </c>
      <c r="Z232" s="30" t="s">
        <v>11</v>
      </c>
      <c r="AA232" s="28" t="s">
        <v>2285</v>
      </c>
      <c r="AB232" s="28" t="s">
        <v>2286</v>
      </c>
      <c r="AC232" s="28" t="s">
        <v>2276</v>
      </c>
      <c r="AD232" s="28" t="s">
        <v>2287</v>
      </c>
      <c r="AE232" s="28" t="s">
        <v>2401</v>
      </c>
      <c r="AF232" s="30" t="s">
        <v>69</v>
      </c>
      <c r="AG232" s="28" t="s">
        <v>2398</v>
      </c>
    </row>
    <row r="233" spans="1:33" x14ac:dyDescent="0.3">
      <c r="A233" s="28" t="s">
        <v>1032</v>
      </c>
      <c r="B233" s="34"/>
      <c r="C233" s="30" t="s">
        <v>11</v>
      </c>
      <c r="D233" s="28" t="s">
        <v>5</v>
      </c>
      <c r="E233" s="28">
        <v>200</v>
      </c>
      <c r="F233" s="30" t="s">
        <v>11</v>
      </c>
      <c r="G233" s="28" t="s">
        <v>1033</v>
      </c>
      <c r="H233" s="30" t="s">
        <v>11</v>
      </c>
      <c r="I233" s="28" t="s">
        <v>1035</v>
      </c>
      <c r="J233" s="30" t="s">
        <v>11</v>
      </c>
      <c r="K233" s="28" t="s">
        <v>1036</v>
      </c>
      <c r="L233" s="28" t="s">
        <v>157</v>
      </c>
      <c r="M233" s="30" t="s">
        <v>11</v>
      </c>
      <c r="N233" s="28" t="s">
        <v>1032</v>
      </c>
      <c r="O233" s="30" t="s">
        <v>11</v>
      </c>
      <c r="P233" s="28" t="s">
        <v>1037</v>
      </c>
      <c r="Q233" s="28" t="s">
        <v>1035</v>
      </c>
      <c r="R233" s="28" t="s">
        <v>981</v>
      </c>
      <c r="S233" s="28" t="s">
        <v>150</v>
      </c>
      <c r="T233" s="28" t="s">
        <v>1038</v>
      </c>
      <c r="U233" s="28" t="s">
        <v>1039</v>
      </c>
      <c r="V233" s="28" t="s">
        <v>1032</v>
      </c>
      <c r="W233" s="28" t="s">
        <v>1037</v>
      </c>
      <c r="X233" s="28" t="s">
        <v>1035</v>
      </c>
      <c r="Y233" s="28" t="s">
        <v>156</v>
      </c>
      <c r="Z233" s="30" t="s">
        <v>11</v>
      </c>
      <c r="AA233" s="28" t="s">
        <v>2285</v>
      </c>
      <c r="AB233" s="28" t="s">
        <v>2286</v>
      </c>
      <c r="AC233" s="28" t="s">
        <v>2276</v>
      </c>
      <c r="AD233" s="28" t="s">
        <v>2287</v>
      </c>
      <c r="AE233" s="28" t="s">
        <v>2401</v>
      </c>
      <c r="AF233" s="30" t="s">
        <v>69</v>
      </c>
      <c r="AG233" s="28" t="s">
        <v>2398</v>
      </c>
    </row>
    <row r="234" spans="1:33" x14ac:dyDescent="0.3">
      <c r="A234" s="28" t="s">
        <v>1040</v>
      </c>
      <c r="B234" s="34"/>
      <c r="C234" s="30" t="s">
        <v>11</v>
      </c>
      <c r="D234" s="28" t="s">
        <v>5</v>
      </c>
      <c r="E234" s="28">
        <v>200</v>
      </c>
      <c r="F234" s="30" t="s">
        <v>11</v>
      </c>
      <c r="G234" s="28" t="s">
        <v>1041</v>
      </c>
      <c r="H234" s="30" t="s">
        <v>11</v>
      </c>
      <c r="I234" s="28" t="s">
        <v>1042</v>
      </c>
      <c r="J234" s="30" t="s">
        <v>11</v>
      </c>
      <c r="K234" s="28" t="s">
        <v>1043</v>
      </c>
      <c r="L234" s="28" t="s">
        <v>157</v>
      </c>
      <c r="M234" s="30" t="s">
        <v>11</v>
      </c>
      <c r="N234" s="28" t="s">
        <v>1040</v>
      </c>
      <c r="O234" s="30" t="s">
        <v>11</v>
      </c>
      <c r="P234" s="28" t="s">
        <v>1044</v>
      </c>
      <c r="Q234" s="28" t="s">
        <v>1042</v>
      </c>
      <c r="R234" s="28" t="s">
        <v>981</v>
      </c>
      <c r="S234" s="28" t="s">
        <v>150</v>
      </c>
      <c r="T234" s="28" t="s">
        <v>1045</v>
      </c>
      <c r="U234" s="28" t="s">
        <v>1046</v>
      </c>
      <c r="V234" s="28" t="s">
        <v>1040</v>
      </c>
      <c r="W234" s="28" t="s">
        <v>1044</v>
      </c>
      <c r="X234" s="28" t="s">
        <v>1042</v>
      </c>
      <c r="Y234" s="28" t="s">
        <v>156</v>
      </c>
      <c r="Z234" s="30" t="s">
        <v>11</v>
      </c>
      <c r="AA234" s="28" t="s">
        <v>2285</v>
      </c>
      <c r="AB234" s="28" t="s">
        <v>2286</v>
      </c>
      <c r="AC234" s="28" t="s">
        <v>2276</v>
      </c>
      <c r="AD234" s="28" t="s">
        <v>2287</v>
      </c>
      <c r="AE234" s="28" t="s">
        <v>2401</v>
      </c>
      <c r="AF234" s="30" t="s">
        <v>69</v>
      </c>
      <c r="AG234" s="28" t="s">
        <v>2398</v>
      </c>
    </row>
    <row r="235" spans="1:33" x14ac:dyDescent="0.3">
      <c r="A235" s="28" t="s">
        <v>1048</v>
      </c>
      <c r="B235" s="34"/>
      <c r="C235" s="30" t="s">
        <v>11</v>
      </c>
      <c r="D235" s="28" t="s">
        <v>5</v>
      </c>
      <c r="E235" s="28">
        <v>200</v>
      </c>
      <c r="F235" s="30" t="s">
        <v>11</v>
      </c>
      <c r="G235" s="28" t="s">
        <v>1049</v>
      </c>
      <c r="H235" s="30" t="s">
        <v>11</v>
      </c>
      <c r="I235" s="28" t="s">
        <v>1050</v>
      </c>
      <c r="J235" s="30" t="s">
        <v>60</v>
      </c>
      <c r="K235" s="28" t="s">
        <v>1051</v>
      </c>
      <c r="L235" s="28" t="s">
        <v>157</v>
      </c>
      <c r="M235" s="30" t="s">
        <v>11</v>
      </c>
      <c r="N235" s="28" t="s">
        <v>1048</v>
      </c>
      <c r="O235" s="30" t="s">
        <v>11</v>
      </c>
      <c r="P235" s="28" t="s">
        <v>1052</v>
      </c>
      <c r="Q235" s="28" t="s">
        <v>1050</v>
      </c>
      <c r="R235" s="28" t="s">
        <v>981</v>
      </c>
      <c r="S235" s="28" t="s">
        <v>150</v>
      </c>
      <c r="T235" s="28" t="s">
        <v>1053</v>
      </c>
      <c r="U235" s="28" t="s">
        <v>1054</v>
      </c>
      <c r="V235" s="28" t="s">
        <v>1048</v>
      </c>
      <c r="W235" s="28" t="s">
        <v>1052</v>
      </c>
      <c r="X235" s="28" t="s">
        <v>1050</v>
      </c>
      <c r="Y235" s="28" t="s">
        <v>156</v>
      </c>
      <c r="Z235" s="30" t="s">
        <v>56</v>
      </c>
      <c r="AA235" s="28" t="s">
        <v>2285</v>
      </c>
      <c r="AB235" s="28" t="s">
        <v>2286</v>
      </c>
      <c r="AC235" s="28" t="s">
        <v>2276</v>
      </c>
      <c r="AD235" s="28" t="s">
        <v>2287</v>
      </c>
      <c r="AE235" s="28" t="s">
        <v>2401</v>
      </c>
      <c r="AF235" s="30" t="s">
        <v>69</v>
      </c>
      <c r="AG235" s="28" t="s">
        <v>2398</v>
      </c>
    </row>
    <row r="236" spans="1:33" x14ac:dyDescent="0.3">
      <c r="A236" s="28" t="s">
        <v>1056</v>
      </c>
      <c r="B236" s="34"/>
      <c r="C236" s="30" t="s">
        <v>11</v>
      </c>
      <c r="D236" s="28" t="s">
        <v>5</v>
      </c>
      <c r="E236" s="28">
        <v>200</v>
      </c>
      <c r="F236" s="30" t="s">
        <v>11</v>
      </c>
      <c r="G236" s="28" t="s">
        <v>1057</v>
      </c>
      <c r="H236" s="30" t="s">
        <v>11</v>
      </c>
      <c r="I236" s="28" t="s">
        <v>1058</v>
      </c>
      <c r="J236" s="30" t="s">
        <v>11</v>
      </c>
      <c r="K236" s="28" t="s">
        <v>1059</v>
      </c>
      <c r="L236" s="28" t="s">
        <v>157</v>
      </c>
      <c r="M236" s="30" t="s">
        <v>11</v>
      </c>
      <c r="N236" s="28" t="s">
        <v>1056</v>
      </c>
      <c r="O236" s="30" t="s">
        <v>11</v>
      </c>
      <c r="P236" s="28" t="s">
        <v>1060</v>
      </c>
      <c r="Q236" s="28" t="s">
        <v>1058</v>
      </c>
      <c r="R236" s="28" t="s">
        <v>981</v>
      </c>
      <c r="S236" s="28" t="s">
        <v>150</v>
      </c>
      <c r="T236" s="28" t="s">
        <v>1061</v>
      </c>
      <c r="U236" s="28" t="s">
        <v>1062</v>
      </c>
      <c r="V236" s="28" t="s">
        <v>1056</v>
      </c>
      <c r="W236" s="28" t="s">
        <v>1060</v>
      </c>
      <c r="X236" s="28" t="s">
        <v>1058</v>
      </c>
      <c r="Y236" s="28" t="s">
        <v>156</v>
      </c>
      <c r="Z236" s="30" t="s">
        <v>11</v>
      </c>
      <c r="AA236" s="28" t="s">
        <v>2285</v>
      </c>
      <c r="AB236" s="28" t="s">
        <v>2286</v>
      </c>
      <c r="AC236" s="28" t="s">
        <v>2276</v>
      </c>
      <c r="AD236" s="28" t="s">
        <v>2287</v>
      </c>
      <c r="AE236" s="28" t="s">
        <v>2401</v>
      </c>
      <c r="AF236" s="30" t="s">
        <v>69</v>
      </c>
      <c r="AG236" s="28" t="s">
        <v>2398</v>
      </c>
    </row>
    <row r="237" spans="1:33" x14ac:dyDescent="0.3">
      <c r="A237" s="28" t="s">
        <v>1064</v>
      </c>
      <c r="B237" s="34"/>
      <c r="C237" s="30" t="s">
        <v>11</v>
      </c>
      <c r="D237" s="28" t="s">
        <v>5</v>
      </c>
      <c r="E237" s="28">
        <v>200</v>
      </c>
      <c r="F237" s="30" t="s">
        <v>11</v>
      </c>
      <c r="G237" s="28" t="s">
        <v>1065</v>
      </c>
      <c r="H237" s="30" t="s">
        <v>11</v>
      </c>
      <c r="I237" s="28" t="s">
        <v>1066</v>
      </c>
      <c r="J237" s="30" t="s">
        <v>60</v>
      </c>
      <c r="K237" s="28" t="s">
        <v>1067</v>
      </c>
      <c r="L237" s="28" t="s">
        <v>157</v>
      </c>
      <c r="M237" s="30" t="s">
        <v>11</v>
      </c>
      <c r="N237" s="28" t="s">
        <v>1064</v>
      </c>
      <c r="O237" s="30" t="s">
        <v>11</v>
      </c>
      <c r="P237" s="28" t="s">
        <v>1068</v>
      </c>
      <c r="Q237" s="28" t="s">
        <v>1066</v>
      </c>
      <c r="R237" s="28" t="s">
        <v>981</v>
      </c>
      <c r="S237" s="28" t="s">
        <v>150</v>
      </c>
      <c r="T237" s="28" t="s">
        <v>1069</v>
      </c>
      <c r="U237" s="28" t="s">
        <v>1070</v>
      </c>
      <c r="V237" s="28" t="s">
        <v>1064</v>
      </c>
      <c r="W237" s="28" t="s">
        <v>1068</v>
      </c>
      <c r="X237" s="28" t="s">
        <v>1066</v>
      </c>
      <c r="Y237" s="28" t="s">
        <v>156</v>
      </c>
      <c r="Z237" s="30" t="s">
        <v>56</v>
      </c>
      <c r="AA237" s="28" t="s">
        <v>2285</v>
      </c>
      <c r="AB237" s="28" t="s">
        <v>2286</v>
      </c>
      <c r="AC237" s="28" t="s">
        <v>2276</v>
      </c>
      <c r="AD237" s="28" t="s">
        <v>2287</v>
      </c>
      <c r="AE237" s="28" t="s">
        <v>2401</v>
      </c>
      <c r="AF237" s="30" t="s">
        <v>69</v>
      </c>
      <c r="AG237" s="28" t="s">
        <v>2398</v>
      </c>
    </row>
    <row r="238" spans="1:33" x14ac:dyDescent="0.3">
      <c r="A238" s="28" t="s">
        <v>1071</v>
      </c>
      <c r="B238" s="34"/>
      <c r="C238" s="30" t="s">
        <v>11</v>
      </c>
      <c r="D238" s="28" t="s">
        <v>5</v>
      </c>
      <c r="E238" s="28">
        <v>200</v>
      </c>
      <c r="F238" s="30" t="s">
        <v>11</v>
      </c>
      <c r="G238" s="28" t="s">
        <v>1072</v>
      </c>
      <c r="H238" s="30" t="s">
        <v>11</v>
      </c>
      <c r="I238" s="28" t="s">
        <v>1073</v>
      </c>
      <c r="J238" s="30" t="s">
        <v>11</v>
      </c>
      <c r="K238" s="28" t="s">
        <v>1074</v>
      </c>
      <c r="L238" s="28" t="s">
        <v>157</v>
      </c>
      <c r="M238" s="30" t="s">
        <v>11</v>
      </c>
      <c r="N238" s="28" t="s">
        <v>1071</v>
      </c>
      <c r="O238" s="30" t="s">
        <v>11</v>
      </c>
      <c r="P238" s="28" t="s">
        <v>1075</v>
      </c>
      <c r="Q238" s="28" t="s">
        <v>1073</v>
      </c>
      <c r="R238" s="28" t="s">
        <v>981</v>
      </c>
      <c r="S238" s="28" t="s">
        <v>150</v>
      </c>
      <c r="T238" s="28" t="s">
        <v>1076</v>
      </c>
      <c r="U238" s="28" t="s">
        <v>1077</v>
      </c>
      <c r="V238" s="28" t="s">
        <v>1071</v>
      </c>
      <c r="W238" s="28" t="s">
        <v>1075</v>
      </c>
      <c r="X238" s="28" t="s">
        <v>1073</v>
      </c>
      <c r="Y238" s="28" t="s">
        <v>156</v>
      </c>
      <c r="Z238" s="30" t="s">
        <v>11</v>
      </c>
      <c r="AA238" s="28" t="s">
        <v>2285</v>
      </c>
      <c r="AB238" s="28" t="s">
        <v>2286</v>
      </c>
      <c r="AC238" s="28" t="s">
        <v>2276</v>
      </c>
      <c r="AD238" s="28" t="s">
        <v>2287</v>
      </c>
      <c r="AE238" s="28" t="s">
        <v>2401</v>
      </c>
      <c r="AF238" s="30" t="s">
        <v>69</v>
      </c>
      <c r="AG238" s="28" t="s">
        <v>2398</v>
      </c>
    </row>
    <row r="239" spans="1:33" x14ac:dyDescent="0.3">
      <c r="A239" s="28" t="s">
        <v>1078</v>
      </c>
      <c r="B239" s="34"/>
      <c r="C239" s="30" t="s">
        <v>11</v>
      </c>
      <c r="D239" s="28" t="s">
        <v>5</v>
      </c>
      <c r="E239" s="28">
        <v>200</v>
      </c>
      <c r="F239" s="30" t="s">
        <v>11</v>
      </c>
      <c r="G239" s="28" t="s">
        <v>1079</v>
      </c>
      <c r="H239" s="30" t="s">
        <v>11</v>
      </c>
      <c r="I239" s="28" t="s">
        <v>1080</v>
      </c>
      <c r="J239" s="30" t="s">
        <v>11</v>
      </c>
      <c r="K239" s="28" t="s">
        <v>1081</v>
      </c>
      <c r="L239" s="28" t="s">
        <v>157</v>
      </c>
      <c r="M239" s="30" t="s">
        <v>11</v>
      </c>
      <c r="N239" s="28" t="s">
        <v>1078</v>
      </c>
      <c r="O239" s="30" t="s">
        <v>11</v>
      </c>
      <c r="P239" s="28" t="s">
        <v>1082</v>
      </c>
      <c r="Q239" s="28" t="s">
        <v>1080</v>
      </c>
      <c r="R239" s="28" t="s">
        <v>981</v>
      </c>
      <c r="S239" s="28" t="s">
        <v>150</v>
      </c>
      <c r="T239" s="28" t="s">
        <v>1083</v>
      </c>
      <c r="U239" s="28" t="s">
        <v>1084</v>
      </c>
      <c r="V239" s="28" t="s">
        <v>1078</v>
      </c>
      <c r="W239" s="28" t="s">
        <v>1082</v>
      </c>
      <c r="X239" s="28" t="s">
        <v>1080</v>
      </c>
      <c r="Y239" s="28" t="s">
        <v>156</v>
      </c>
      <c r="Z239" s="30" t="s">
        <v>11</v>
      </c>
      <c r="AA239" s="28" t="s">
        <v>2285</v>
      </c>
      <c r="AB239" s="28" t="s">
        <v>2286</v>
      </c>
      <c r="AC239" s="28" t="s">
        <v>2276</v>
      </c>
      <c r="AD239" s="28" t="s">
        <v>2287</v>
      </c>
      <c r="AE239" s="28" t="s">
        <v>2401</v>
      </c>
      <c r="AF239" s="30" t="s">
        <v>69</v>
      </c>
      <c r="AG239" s="28" t="s">
        <v>2398</v>
      </c>
    </row>
    <row r="240" spans="1:33" x14ac:dyDescent="0.3">
      <c r="A240" s="28" t="s">
        <v>1085</v>
      </c>
      <c r="B240" s="34"/>
      <c r="C240" s="30" t="s">
        <v>11</v>
      </c>
      <c r="D240" s="28" t="s">
        <v>5</v>
      </c>
      <c r="E240" s="28">
        <v>200</v>
      </c>
      <c r="F240" s="30" t="s">
        <v>11</v>
      </c>
      <c r="G240" s="28" t="s">
        <v>1086</v>
      </c>
      <c r="H240" s="30" t="s">
        <v>11</v>
      </c>
      <c r="I240" s="28" t="s">
        <v>1087</v>
      </c>
      <c r="J240" s="30" t="s">
        <v>11</v>
      </c>
      <c r="K240" s="28" t="s">
        <v>1088</v>
      </c>
      <c r="L240" s="28" t="s">
        <v>157</v>
      </c>
      <c r="M240" s="30" t="s">
        <v>11</v>
      </c>
      <c r="N240" s="28" t="s">
        <v>1085</v>
      </c>
      <c r="O240" s="30" t="s">
        <v>11</v>
      </c>
      <c r="P240" s="28" t="s">
        <v>1089</v>
      </c>
      <c r="Q240" s="28" t="s">
        <v>1087</v>
      </c>
      <c r="R240" s="28" t="s">
        <v>981</v>
      </c>
      <c r="S240" s="28" t="s">
        <v>150</v>
      </c>
      <c r="T240" s="28" t="s">
        <v>1090</v>
      </c>
      <c r="U240" s="28" t="s">
        <v>1091</v>
      </c>
      <c r="V240" s="28" t="s">
        <v>1085</v>
      </c>
      <c r="W240" s="28" t="s">
        <v>1089</v>
      </c>
      <c r="X240" s="28" t="s">
        <v>1087</v>
      </c>
      <c r="Y240" s="28" t="s">
        <v>156</v>
      </c>
      <c r="Z240" s="30" t="s">
        <v>11</v>
      </c>
      <c r="AA240" s="28" t="s">
        <v>2285</v>
      </c>
      <c r="AB240" s="28" t="s">
        <v>2286</v>
      </c>
      <c r="AC240" s="28" t="s">
        <v>2276</v>
      </c>
      <c r="AD240" s="28" t="s">
        <v>2287</v>
      </c>
      <c r="AE240" s="28" t="s">
        <v>2401</v>
      </c>
      <c r="AF240" s="30" t="s">
        <v>69</v>
      </c>
      <c r="AG240" s="28" t="s">
        <v>2398</v>
      </c>
    </row>
    <row r="241" spans="1:33" x14ac:dyDescent="0.3">
      <c r="A241" s="28" t="s">
        <v>1092</v>
      </c>
      <c r="B241" s="34" t="s">
        <v>71</v>
      </c>
      <c r="C241" s="30"/>
      <c r="D241" s="28" t="s">
        <v>5</v>
      </c>
      <c r="E241" s="28">
        <v>200</v>
      </c>
      <c r="F241" s="30" t="s">
        <v>11</v>
      </c>
      <c r="G241" s="28" t="s">
        <v>1093</v>
      </c>
      <c r="H241" s="30"/>
      <c r="I241" s="28" t="s">
        <v>1094</v>
      </c>
      <c r="J241" s="30"/>
      <c r="K241" s="28" t="s">
        <v>1094</v>
      </c>
      <c r="L241" s="28" t="s">
        <v>157</v>
      </c>
      <c r="M241" s="30"/>
      <c r="N241" s="28" t="s">
        <v>1092</v>
      </c>
      <c r="O241" s="30" t="s">
        <v>11</v>
      </c>
      <c r="P241" s="28" t="s">
        <v>1095</v>
      </c>
      <c r="Q241" s="28" t="s">
        <v>1094</v>
      </c>
      <c r="R241" s="28" t="s">
        <v>981</v>
      </c>
      <c r="S241" s="28" t="s">
        <v>150</v>
      </c>
      <c r="T241" s="28" t="s">
        <v>154</v>
      </c>
      <c r="U241" s="28" t="s">
        <v>155</v>
      </c>
      <c r="V241" s="28" t="s">
        <v>1092</v>
      </c>
      <c r="W241" s="28" t="s">
        <v>1095</v>
      </c>
      <c r="X241" s="28" t="s">
        <v>1094</v>
      </c>
      <c r="Y241" s="28" t="s">
        <v>156</v>
      </c>
      <c r="Z241" s="30"/>
      <c r="AA241" s="28" t="s">
        <v>2285</v>
      </c>
      <c r="AB241" s="28" t="s">
        <v>2286</v>
      </c>
      <c r="AC241" s="28" t="s">
        <v>2276</v>
      </c>
      <c r="AD241" s="28" t="s">
        <v>2287</v>
      </c>
      <c r="AE241" s="28" t="s">
        <v>2289</v>
      </c>
      <c r="AF241" s="30"/>
      <c r="AG241" s="30"/>
    </row>
    <row r="242" spans="1:33" x14ac:dyDescent="0.3">
      <c r="A242" s="28" t="s">
        <v>1096</v>
      </c>
      <c r="B242" s="34"/>
      <c r="C242" s="30" t="s">
        <v>11</v>
      </c>
      <c r="D242" s="28" t="s">
        <v>5</v>
      </c>
      <c r="E242" s="28">
        <v>200</v>
      </c>
      <c r="F242" s="30" t="s">
        <v>11</v>
      </c>
      <c r="G242" s="28" t="s">
        <v>1097</v>
      </c>
      <c r="H242" s="30" t="s">
        <v>11</v>
      </c>
      <c r="I242" s="28" t="s">
        <v>1098</v>
      </c>
      <c r="J242" s="30" t="s">
        <v>11</v>
      </c>
      <c r="K242" s="28" t="s">
        <v>1099</v>
      </c>
      <c r="L242" s="28" t="s">
        <v>157</v>
      </c>
      <c r="M242" s="30" t="s">
        <v>11</v>
      </c>
      <c r="N242" s="28" t="s">
        <v>1096</v>
      </c>
      <c r="O242" s="30" t="s">
        <v>11</v>
      </c>
      <c r="P242" s="28" t="s">
        <v>1100</v>
      </c>
      <c r="Q242" s="28" t="s">
        <v>1098</v>
      </c>
      <c r="R242" s="28" t="s">
        <v>981</v>
      </c>
      <c r="S242" s="28" t="s">
        <v>150</v>
      </c>
      <c r="T242" s="28" t="s">
        <v>1101</v>
      </c>
      <c r="U242" s="28" t="s">
        <v>1102</v>
      </c>
      <c r="V242" s="28" t="s">
        <v>1096</v>
      </c>
      <c r="W242" s="28" t="s">
        <v>1100</v>
      </c>
      <c r="X242" s="28" t="s">
        <v>1098</v>
      </c>
      <c r="Y242" s="28" t="s">
        <v>156</v>
      </c>
      <c r="Z242" s="30" t="s">
        <v>11</v>
      </c>
      <c r="AA242" s="28" t="s">
        <v>2285</v>
      </c>
      <c r="AB242" s="28" t="s">
        <v>2286</v>
      </c>
      <c r="AC242" s="28" t="s">
        <v>2276</v>
      </c>
      <c r="AD242" s="28" t="s">
        <v>2287</v>
      </c>
      <c r="AE242" s="28" t="s">
        <v>2289</v>
      </c>
      <c r="AF242" s="30" t="s">
        <v>69</v>
      </c>
      <c r="AG242" s="28" t="s">
        <v>2398</v>
      </c>
    </row>
    <row r="243" spans="1:33" x14ac:dyDescent="0.3">
      <c r="A243" s="28" t="s">
        <v>1104</v>
      </c>
      <c r="B243" s="34"/>
      <c r="C243" s="30" t="s">
        <v>11</v>
      </c>
      <c r="D243" s="28" t="s">
        <v>5</v>
      </c>
      <c r="E243" s="28">
        <v>200</v>
      </c>
      <c r="F243" s="30" t="s">
        <v>11</v>
      </c>
      <c r="G243" s="28" t="s">
        <v>1105</v>
      </c>
      <c r="H243" s="30" t="s">
        <v>11</v>
      </c>
      <c r="I243" s="28" t="s">
        <v>1106</v>
      </c>
      <c r="J243" s="30" t="s">
        <v>11</v>
      </c>
      <c r="K243" s="28" t="s">
        <v>1107</v>
      </c>
      <c r="L243" s="28" t="s">
        <v>157</v>
      </c>
      <c r="M243" s="30" t="s">
        <v>11</v>
      </c>
      <c r="N243" s="28" t="s">
        <v>1104</v>
      </c>
      <c r="O243" s="30" t="s">
        <v>11</v>
      </c>
      <c r="P243" s="28" t="s">
        <v>1108</v>
      </c>
      <c r="Q243" s="28" t="s">
        <v>1106</v>
      </c>
      <c r="R243" s="28" t="s">
        <v>981</v>
      </c>
      <c r="S243" s="28" t="s">
        <v>150</v>
      </c>
      <c r="T243" s="28" t="s">
        <v>1109</v>
      </c>
      <c r="U243" s="28" t="s">
        <v>1110</v>
      </c>
      <c r="V243" s="28" t="s">
        <v>1104</v>
      </c>
      <c r="W243" s="28" t="s">
        <v>1108</v>
      </c>
      <c r="X243" s="28" t="s">
        <v>1106</v>
      </c>
      <c r="Y243" s="28" t="s">
        <v>156</v>
      </c>
      <c r="Z243" s="30" t="s">
        <v>11</v>
      </c>
      <c r="AA243" s="28" t="s">
        <v>2285</v>
      </c>
      <c r="AB243" s="28" t="s">
        <v>2286</v>
      </c>
      <c r="AC243" s="28" t="s">
        <v>2276</v>
      </c>
      <c r="AD243" s="28" t="s">
        <v>2287</v>
      </c>
      <c r="AE243" s="28" t="s">
        <v>2401</v>
      </c>
      <c r="AF243" s="30" t="s">
        <v>69</v>
      </c>
      <c r="AG243" s="28" t="s">
        <v>2398</v>
      </c>
    </row>
    <row r="244" spans="1:33" x14ac:dyDescent="0.3">
      <c r="A244" s="28" t="s">
        <v>1112</v>
      </c>
      <c r="B244" s="34"/>
      <c r="C244" s="30" t="s">
        <v>11</v>
      </c>
      <c r="D244" s="28" t="s">
        <v>5</v>
      </c>
      <c r="E244" s="28">
        <v>200</v>
      </c>
      <c r="F244" s="30" t="s">
        <v>11</v>
      </c>
      <c r="G244" s="28" t="s">
        <v>1113</v>
      </c>
      <c r="H244" s="30" t="s">
        <v>11</v>
      </c>
      <c r="I244" s="28" t="s">
        <v>1114</v>
      </c>
      <c r="J244" s="30" t="s">
        <v>11</v>
      </c>
      <c r="K244" s="28" t="s">
        <v>1115</v>
      </c>
      <c r="L244" s="28" t="s">
        <v>157</v>
      </c>
      <c r="M244" s="30" t="s">
        <v>11</v>
      </c>
      <c r="N244" s="28" t="s">
        <v>1112</v>
      </c>
      <c r="O244" s="30" t="s">
        <v>11</v>
      </c>
      <c r="P244" s="28" t="s">
        <v>1116</v>
      </c>
      <c r="Q244" s="28" t="s">
        <v>1114</v>
      </c>
      <c r="R244" s="28" t="s">
        <v>981</v>
      </c>
      <c r="S244" s="28" t="s">
        <v>150</v>
      </c>
      <c r="T244" s="28" t="s">
        <v>1117</v>
      </c>
      <c r="U244" s="28" t="s">
        <v>1118</v>
      </c>
      <c r="V244" s="28" t="s">
        <v>1112</v>
      </c>
      <c r="W244" s="28" t="s">
        <v>1116</v>
      </c>
      <c r="X244" s="28" t="s">
        <v>1114</v>
      </c>
      <c r="Y244" s="28" t="s">
        <v>156</v>
      </c>
      <c r="Z244" s="30" t="s">
        <v>11</v>
      </c>
      <c r="AA244" s="28" t="s">
        <v>2285</v>
      </c>
      <c r="AB244" s="28" t="s">
        <v>2286</v>
      </c>
      <c r="AC244" s="28" t="s">
        <v>2276</v>
      </c>
      <c r="AD244" s="28" t="s">
        <v>2287</v>
      </c>
      <c r="AE244" s="28" t="s">
        <v>2401</v>
      </c>
      <c r="AF244" s="30" t="s">
        <v>69</v>
      </c>
      <c r="AG244" s="28" t="s">
        <v>2398</v>
      </c>
    </row>
    <row r="245" spans="1:33" x14ac:dyDescent="0.3">
      <c r="A245" s="28" t="s">
        <v>1119</v>
      </c>
      <c r="B245" s="34"/>
      <c r="C245" s="30" t="s">
        <v>11</v>
      </c>
      <c r="D245" s="28" t="s">
        <v>5</v>
      </c>
      <c r="E245" s="28">
        <v>200</v>
      </c>
      <c r="F245" s="30" t="s">
        <v>11</v>
      </c>
      <c r="G245" s="28" t="s">
        <v>1120</v>
      </c>
      <c r="H245" s="30" t="s">
        <v>11</v>
      </c>
      <c r="I245" s="28" t="s">
        <v>1121</v>
      </c>
      <c r="J245" s="30" t="s">
        <v>11</v>
      </c>
      <c r="K245" s="28" t="s">
        <v>1122</v>
      </c>
      <c r="L245" s="28" t="s">
        <v>157</v>
      </c>
      <c r="M245" s="30" t="s">
        <v>11</v>
      </c>
      <c r="N245" s="28" t="s">
        <v>1119</v>
      </c>
      <c r="O245" s="30" t="s">
        <v>11</v>
      </c>
      <c r="P245" s="28" t="s">
        <v>1123</v>
      </c>
      <c r="Q245" s="28" t="s">
        <v>1121</v>
      </c>
      <c r="R245" s="28" t="s">
        <v>981</v>
      </c>
      <c r="S245" s="28" t="s">
        <v>150</v>
      </c>
      <c r="T245" s="28" t="s">
        <v>1124</v>
      </c>
      <c r="U245" s="28" t="s">
        <v>1125</v>
      </c>
      <c r="V245" s="28" t="s">
        <v>1119</v>
      </c>
      <c r="W245" s="28" t="s">
        <v>1123</v>
      </c>
      <c r="X245" s="28" t="s">
        <v>1121</v>
      </c>
      <c r="Y245" s="28" t="s">
        <v>156</v>
      </c>
      <c r="Z245" s="30" t="s">
        <v>11</v>
      </c>
      <c r="AA245" s="28" t="s">
        <v>2285</v>
      </c>
      <c r="AB245" s="28" t="s">
        <v>2286</v>
      </c>
      <c r="AC245" s="28" t="s">
        <v>2276</v>
      </c>
      <c r="AD245" s="28" t="s">
        <v>2287</v>
      </c>
      <c r="AE245" s="28" t="s">
        <v>2401</v>
      </c>
      <c r="AF245" s="30" t="s">
        <v>69</v>
      </c>
      <c r="AG245" s="28" t="s">
        <v>2398</v>
      </c>
    </row>
    <row r="246" spans="1:33" x14ac:dyDescent="0.3">
      <c r="A246" s="28" t="s">
        <v>1126</v>
      </c>
      <c r="B246" s="34"/>
      <c r="C246" s="30" t="s">
        <v>11</v>
      </c>
      <c r="D246" s="28" t="s">
        <v>5</v>
      </c>
      <c r="E246" s="28">
        <v>200</v>
      </c>
      <c r="F246" s="30" t="s">
        <v>11</v>
      </c>
      <c r="G246" s="28" t="s">
        <v>1127</v>
      </c>
      <c r="H246" s="30" t="s">
        <v>11</v>
      </c>
      <c r="I246" s="28" t="s">
        <v>1128</v>
      </c>
      <c r="J246" s="30" t="s">
        <v>11</v>
      </c>
      <c r="K246" s="28" t="s">
        <v>1129</v>
      </c>
      <c r="L246" s="28" t="s">
        <v>157</v>
      </c>
      <c r="M246" s="30" t="s">
        <v>11</v>
      </c>
      <c r="N246" s="28" t="s">
        <v>1126</v>
      </c>
      <c r="O246" s="30" t="s">
        <v>11</v>
      </c>
      <c r="P246" s="28" t="s">
        <v>1130</v>
      </c>
      <c r="Q246" s="28" t="s">
        <v>1128</v>
      </c>
      <c r="R246" s="28" t="s">
        <v>981</v>
      </c>
      <c r="S246" s="28" t="s">
        <v>150</v>
      </c>
      <c r="T246" s="28" t="s">
        <v>1131</v>
      </c>
      <c r="U246" s="28" t="s">
        <v>1132</v>
      </c>
      <c r="V246" s="28" t="s">
        <v>1126</v>
      </c>
      <c r="W246" s="28" t="s">
        <v>1130</v>
      </c>
      <c r="X246" s="28" t="s">
        <v>1128</v>
      </c>
      <c r="Y246" s="28" t="s">
        <v>156</v>
      </c>
      <c r="Z246" s="30" t="s">
        <v>11</v>
      </c>
      <c r="AA246" s="28" t="s">
        <v>2285</v>
      </c>
      <c r="AB246" s="28" t="s">
        <v>2286</v>
      </c>
      <c r="AC246" s="28" t="s">
        <v>2276</v>
      </c>
      <c r="AD246" s="28" t="s">
        <v>2287</v>
      </c>
      <c r="AE246" s="28" t="s">
        <v>2401</v>
      </c>
      <c r="AF246" s="30" t="s">
        <v>69</v>
      </c>
      <c r="AG246" s="28" t="s">
        <v>2398</v>
      </c>
    </row>
    <row r="247" spans="1:33" x14ac:dyDescent="0.3">
      <c r="A247" s="28" t="s">
        <v>1134</v>
      </c>
      <c r="B247" s="34"/>
      <c r="C247" s="30" t="s">
        <v>11</v>
      </c>
      <c r="D247" s="28" t="s">
        <v>5</v>
      </c>
      <c r="E247" s="28">
        <v>200</v>
      </c>
      <c r="F247" s="30" t="s">
        <v>11</v>
      </c>
      <c r="G247" s="28" t="s">
        <v>1135</v>
      </c>
      <c r="H247" s="30" t="s">
        <v>11</v>
      </c>
      <c r="I247" s="28" t="s">
        <v>1136</v>
      </c>
      <c r="J247" s="30" t="s">
        <v>11</v>
      </c>
      <c r="K247" s="28" t="s">
        <v>1137</v>
      </c>
      <c r="L247" s="28" t="s">
        <v>157</v>
      </c>
      <c r="M247" s="30" t="s">
        <v>11</v>
      </c>
      <c r="N247" s="28" t="s">
        <v>1134</v>
      </c>
      <c r="O247" s="30" t="s">
        <v>11</v>
      </c>
      <c r="P247" s="28" t="s">
        <v>1138</v>
      </c>
      <c r="Q247" s="28" t="s">
        <v>1136</v>
      </c>
      <c r="R247" s="28" t="s">
        <v>981</v>
      </c>
      <c r="S247" s="28" t="s">
        <v>150</v>
      </c>
      <c r="T247" s="28" t="s">
        <v>1139</v>
      </c>
      <c r="U247" s="28" t="s">
        <v>1140</v>
      </c>
      <c r="V247" s="28" t="s">
        <v>1134</v>
      </c>
      <c r="W247" s="28" t="s">
        <v>1138</v>
      </c>
      <c r="X247" s="28" t="s">
        <v>1136</v>
      </c>
      <c r="Y247" s="28" t="s">
        <v>156</v>
      </c>
      <c r="Z247" s="30" t="s">
        <v>11</v>
      </c>
      <c r="AA247" s="28" t="s">
        <v>2285</v>
      </c>
      <c r="AB247" s="28" t="s">
        <v>2286</v>
      </c>
      <c r="AC247" s="28" t="s">
        <v>2276</v>
      </c>
      <c r="AD247" s="28" t="s">
        <v>2287</v>
      </c>
      <c r="AE247" s="28" t="s">
        <v>2401</v>
      </c>
      <c r="AF247" s="30" t="s">
        <v>69</v>
      </c>
      <c r="AG247" s="28" t="s">
        <v>2398</v>
      </c>
    </row>
    <row r="248" spans="1:33" x14ac:dyDescent="0.3">
      <c r="A248" s="28" t="s">
        <v>1141</v>
      </c>
      <c r="B248" s="34"/>
      <c r="C248" s="30" t="s">
        <v>72</v>
      </c>
      <c r="D248" s="28" t="s">
        <v>5</v>
      </c>
      <c r="E248" s="28">
        <v>200</v>
      </c>
      <c r="F248" s="30" t="s">
        <v>11</v>
      </c>
      <c r="G248" s="28" t="s">
        <v>1142</v>
      </c>
      <c r="H248" s="30" t="s">
        <v>11</v>
      </c>
      <c r="I248" s="28" t="s">
        <v>1143</v>
      </c>
      <c r="J248" s="30" t="s">
        <v>11</v>
      </c>
      <c r="K248" s="28" t="s">
        <v>1144</v>
      </c>
      <c r="L248" s="28" t="s">
        <v>157</v>
      </c>
      <c r="M248" s="30" t="s">
        <v>11</v>
      </c>
      <c r="N248" s="28" t="s">
        <v>1141</v>
      </c>
      <c r="O248" s="30" t="s">
        <v>11</v>
      </c>
      <c r="P248" s="28" t="s">
        <v>1145</v>
      </c>
      <c r="Q248" s="28" t="s">
        <v>1143</v>
      </c>
      <c r="R248" s="28" t="s">
        <v>981</v>
      </c>
      <c r="S248" s="28" t="s">
        <v>150</v>
      </c>
      <c r="T248" s="28" t="s">
        <v>1146</v>
      </c>
      <c r="U248" s="28" t="s">
        <v>1147</v>
      </c>
      <c r="V248" s="28" t="s">
        <v>1141</v>
      </c>
      <c r="W248" s="28" t="s">
        <v>1145</v>
      </c>
      <c r="X248" s="28" t="s">
        <v>1143</v>
      </c>
      <c r="Y248" s="28" t="s">
        <v>156</v>
      </c>
      <c r="Z248" s="30" t="s">
        <v>11</v>
      </c>
      <c r="AA248" s="28" t="s">
        <v>2285</v>
      </c>
      <c r="AB248" s="28" t="s">
        <v>2286</v>
      </c>
      <c r="AC248" s="28" t="s">
        <v>2276</v>
      </c>
      <c r="AD248" s="28" t="s">
        <v>2287</v>
      </c>
      <c r="AE248" s="28" t="s">
        <v>2401</v>
      </c>
      <c r="AF248" s="30" t="s">
        <v>69</v>
      </c>
      <c r="AG248" s="28" t="s">
        <v>2398</v>
      </c>
    </row>
    <row r="249" spans="1:33" x14ac:dyDescent="0.3">
      <c r="A249" s="28" t="s">
        <v>1148</v>
      </c>
      <c r="B249" s="34"/>
      <c r="C249" s="30" t="s">
        <v>11</v>
      </c>
      <c r="D249" s="28" t="s">
        <v>5</v>
      </c>
      <c r="E249" s="28">
        <v>200</v>
      </c>
      <c r="F249" s="30" t="s">
        <v>11</v>
      </c>
      <c r="G249" s="28" t="s">
        <v>1149</v>
      </c>
      <c r="H249" s="30" t="s">
        <v>11</v>
      </c>
      <c r="I249" s="28" t="s">
        <v>1150</v>
      </c>
      <c r="J249" s="30" t="s">
        <v>11</v>
      </c>
      <c r="K249" s="28" t="s">
        <v>1151</v>
      </c>
      <c r="L249" s="28" t="s">
        <v>157</v>
      </c>
      <c r="M249" s="30" t="s">
        <v>11</v>
      </c>
      <c r="N249" s="28" t="s">
        <v>1148</v>
      </c>
      <c r="O249" s="30" t="s">
        <v>11</v>
      </c>
      <c r="P249" s="28" t="s">
        <v>1152</v>
      </c>
      <c r="Q249" s="28" t="s">
        <v>1150</v>
      </c>
      <c r="R249" s="28" t="s">
        <v>981</v>
      </c>
      <c r="S249" s="28" t="s">
        <v>150</v>
      </c>
      <c r="T249" s="28" t="s">
        <v>1153</v>
      </c>
      <c r="U249" s="28" t="s">
        <v>1154</v>
      </c>
      <c r="V249" s="28" t="s">
        <v>1148</v>
      </c>
      <c r="W249" s="28" t="s">
        <v>1152</v>
      </c>
      <c r="X249" s="28" t="s">
        <v>1150</v>
      </c>
      <c r="Y249" s="28" t="s">
        <v>156</v>
      </c>
      <c r="Z249" s="30" t="s">
        <v>11</v>
      </c>
      <c r="AA249" s="28" t="s">
        <v>2285</v>
      </c>
      <c r="AB249" s="28" t="s">
        <v>2286</v>
      </c>
      <c r="AC249" s="28" t="s">
        <v>2276</v>
      </c>
      <c r="AD249" s="28" t="s">
        <v>2287</v>
      </c>
      <c r="AE249" s="28" t="s">
        <v>2401</v>
      </c>
      <c r="AF249" s="30" t="s">
        <v>69</v>
      </c>
      <c r="AG249" s="28" t="s">
        <v>2398</v>
      </c>
    </row>
    <row r="250" spans="1:33" x14ac:dyDescent="0.3">
      <c r="A250" s="28" t="s">
        <v>1155</v>
      </c>
      <c r="B250" s="34"/>
      <c r="C250" s="30" t="s">
        <v>11</v>
      </c>
      <c r="D250" s="28" t="s">
        <v>5</v>
      </c>
      <c r="E250" s="28">
        <v>200</v>
      </c>
      <c r="F250" s="30" t="s">
        <v>11</v>
      </c>
      <c r="G250" s="28" t="s">
        <v>1156</v>
      </c>
      <c r="H250" s="30" t="s">
        <v>11</v>
      </c>
      <c r="I250" s="28" t="s">
        <v>1157</v>
      </c>
      <c r="J250" s="30" t="s">
        <v>60</v>
      </c>
      <c r="K250" s="28" t="s">
        <v>1158</v>
      </c>
      <c r="L250" s="28" t="s">
        <v>157</v>
      </c>
      <c r="M250" s="30" t="s">
        <v>11</v>
      </c>
      <c r="N250" s="28" t="s">
        <v>1155</v>
      </c>
      <c r="O250" s="30" t="s">
        <v>11</v>
      </c>
      <c r="P250" s="28" t="s">
        <v>1159</v>
      </c>
      <c r="Q250" s="28" t="s">
        <v>1157</v>
      </c>
      <c r="R250" s="28" t="s">
        <v>981</v>
      </c>
      <c r="S250" s="28" t="s">
        <v>150</v>
      </c>
      <c r="T250" s="28" t="s">
        <v>1160</v>
      </c>
      <c r="U250" s="28" t="s">
        <v>1161</v>
      </c>
      <c r="V250" s="28" t="s">
        <v>1155</v>
      </c>
      <c r="W250" s="28" t="s">
        <v>1159</v>
      </c>
      <c r="X250" s="28" t="s">
        <v>1157</v>
      </c>
      <c r="Y250" s="28" t="s">
        <v>156</v>
      </c>
      <c r="Z250" s="30" t="s">
        <v>56</v>
      </c>
      <c r="AA250" s="28" t="s">
        <v>2285</v>
      </c>
      <c r="AB250" s="28" t="s">
        <v>2286</v>
      </c>
      <c r="AC250" s="28" t="s">
        <v>2276</v>
      </c>
      <c r="AD250" s="28" t="s">
        <v>2287</v>
      </c>
      <c r="AE250" s="28" t="s">
        <v>2401</v>
      </c>
      <c r="AF250" s="30" t="s">
        <v>69</v>
      </c>
      <c r="AG250" s="28" t="s">
        <v>2398</v>
      </c>
    </row>
    <row r="251" spans="1:33" x14ac:dyDescent="0.3">
      <c r="A251" s="28" t="s">
        <v>1162</v>
      </c>
      <c r="B251" s="34"/>
      <c r="C251" s="30" t="s">
        <v>72</v>
      </c>
      <c r="D251" s="28" t="s">
        <v>5</v>
      </c>
      <c r="E251" s="28">
        <v>200</v>
      </c>
      <c r="F251" s="30" t="s">
        <v>11</v>
      </c>
      <c r="G251" s="28" t="s">
        <v>1163</v>
      </c>
      <c r="H251" s="30" t="s">
        <v>11</v>
      </c>
      <c r="I251" s="28" t="s">
        <v>1157</v>
      </c>
      <c r="J251" s="30" t="s">
        <v>60</v>
      </c>
      <c r="K251" s="28" t="s">
        <v>1164</v>
      </c>
      <c r="L251" s="28" t="s">
        <v>157</v>
      </c>
      <c r="M251" s="30" t="s">
        <v>11</v>
      </c>
      <c r="N251" s="28" t="s">
        <v>1162</v>
      </c>
      <c r="O251" s="30" t="s">
        <v>11</v>
      </c>
      <c r="P251" s="28" t="s">
        <v>1165</v>
      </c>
      <c r="Q251" s="28" t="s">
        <v>1157</v>
      </c>
      <c r="R251" s="28" t="s">
        <v>981</v>
      </c>
      <c r="S251" s="28" t="s">
        <v>150</v>
      </c>
      <c r="T251" s="28" t="s">
        <v>1166</v>
      </c>
      <c r="U251" s="28" t="s">
        <v>1167</v>
      </c>
      <c r="V251" s="28" t="s">
        <v>1162</v>
      </c>
      <c r="W251" s="28" t="s">
        <v>1165</v>
      </c>
      <c r="X251" s="28" t="s">
        <v>1157</v>
      </c>
      <c r="Y251" s="28" t="s">
        <v>156</v>
      </c>
      <c r="Z251" s="30" t="s">
        <v>56</v>
      </c>
      <c r="AA251" s="28" t="s">
        <v>2285</v>
      </c>
      <c r="AB251" s="28" t="s">
        <v>2286</v>
      </c>
      <c r="AC251" s="28" t="s">
        <v>2276</v>
      </c>
      <c r="AD251" s="28" t="s">
        <v>2287</v>
      </c>
      <c r="AE251" s="28" t="s">
        <v>2401</v>
      </c>
      <c r="AF251" s="30" t="s">
        <v>69</v>
      </c>
      <c r="AG251" s="28" t="s">
        <v>2398</v>
      </c>
    </row>
    <row r="252" spans="1:33" x14ac:dyDescent="0.3">
      <c r="A252" s="28" t="s">
        <v>1168</v>
      </c>
      <c r="B252" s="34"/>
      <c r="C252" s="30" t="s">
        <v>11</v>
      </c>
      <c r="D252" s="28" t="s">
        <v>5</v>
      </c>
      <c r="E252" s="28">
        <v>200</v>
      </c>
      <c r="F252" s="30" t="s">
        <v>11</v>
      </c>
      <c r="G252" s="28" t="s">
        <v>1169</v>
      </c>
      <c r="H252" s="30" t="s">
        <v>11</v>
      </c>
      <c r="I252" s="28" t="s">
        <v>1170</v>
      </c>
      <c r="J252" s="30" t="s">
        <v>11</v>
      </c>
      <c r="K252" s="28" t="s">
        <v>1171</v>
      </c>
      <c r="L252" s="28" t="s">
        <v>157</v>
      </c>
      <c r="M252" s="30" t="s">
        <v>11</v>
      </c>
      <c r="N252" s="28" t="s">
        <v>1168</v>
      </c>
      <c r="O252" s="30" t="s">
        <v>11</v>
      </c>
      <c r="P252" s="28" t="s">
        <v>1172</v>
      </c>
      <c r="Q252" s="28" t="s">
        <v>1170</v>
      </c>
      <c r="R252" s="28" t="s">
        <v>981</v>
      </c>
      <c r="S252" s="28" t="s">
        <v>150</v>
      </c>
      <c r="T252" s="28" t="s">
        <v>1173</v>
      </c>
      <c r="U252" s="28" t="s">
        <v>1174</v>
      </c>
      <c r="V252" s="28" t="s">
        <v>1168</v>
      </c>
      <c r="W252" s="28" t="s">
        <v>1172</v>
      </c>
      <c r="X252" s="28" t="s">
        <v>1170</v>
      </c>
      <c r="Y252" s="28" t="s">
        <v>156</v>
      </c>
      <c r="Z252" s="30" t="s">
        <v>11</v>
      </c>
      <c r="AA252" s="28" t="s">
        <v>2285</v>
      </c>
      <c r="AB252" s="28" t="s">
        <v>2286</v>
      </c>
      <c r="AC252" s="28" t="s">
        <v>2276</v>
      </c>
      <c r="AD252" s="28" t="s">
        <v>2287</v>
      </c>
      <c r="AE252" s="28" t="s">
        <v>2401</v>
      </c>
      <c r="AF252" s="30" t="s">
        <v>69</v>
      </c>
      <c r="AG252" s="28" t="s">
        <v>2398</v>
      </c>
    </row>
    <row r="253" spans="1:33" x14ac:dyDescent="0.3">
      <c r="A253" s="28" t="s">
        <v>1175</v>
      </c>
      <c r="B253" s="34"/>
      <c r="C253" s="30" t="s">
        <v>11</v>
      </c>
      <c r="D253" s="28" t="s">
        <v>5</v>
      </c>
      <c r="E253" s="28">
        <v>200</v>
      </c>
      <c r="F253" s="30" t="s">
        <v>11</v>
      </c>
      <c r="G253" s="28" t="s">
        <v>1176</v>
      </c>
      <c r="H253" s="30" t="s">
        <v>11</v>
      </c>
      <c r="I253" s="28" t="s">
        <v>1177</v>
      </c>
      <c r="J253" s="30" t="s">
        <v>11</v>
      </c>
      <c r="K253" s="28" t="s">
        <v>1178</v>
      </c>
      <c r="L253" s="28" t="s">
        <v>157</v>
      </c>
      <c r="M253" s="30" t="s">
        <v>11</v>
      </c>
      <c r="N253" s="28" t="s">
        <v>1175</v>
      </c>
      <c r="O253" s="30" t="s">
        <v>11</v>
      </c>
      <c r="P253" s="28" t="s">
        <v>1179</v>
      </c>
      <c r="Q253" s="28" t="s">
        <v>1177</v>
      </c>
      <c r="R253" s="28" t="s">
        <v>981</v>
      </c>
      <c r="S253" s="28" t="s">
        <v>150</v>
      </c>
      <c r="T253" s="28" t="s">
        <v>1180</v>
      </c>
      <c r="U253" s="28" t="s">
        <v>1181</v>
      </c>
      <c r="V253" s="28" t="s">
        <v>1175</v>
      </c>
      <c r="W253" s="28" t="s">
        <v>1179</v>
      </c>
      <c r="X253" s="28" t="s">
        <v>1177</v>
      </c>
      <c r="Y253" s="28" t="s">
        <v>156</v>
      </c>
      <c r="Z253" s="30" t="s">
        <v>11</v>
      </c>
      <c r="AA253" s="28" t="s">
        <v>2285</v>
      </c>
      <c r="AB253" s="28" t="s">
        <v>2286</v>
      </c>
      <c r="AC253" s="28" t="s">
        <v>2276</v>
      </c>
      <c r="AD253" s="28" t="s">
        <v>2287</v>
      </c>
      <c r="AE253" s="28" t="s">
        <v>2401</v>
      </c>
      <c r="AF253" s="30" t="s">
        <v>69</v>
      </c>
      <c r="AG253" s="28" t="s">
        <v>2398</v>
      </c>
    </row>
    <row r="254" spans="1:33" x14ac:dyDescent="0.3">
      <c r="A254" s="28" t="s">
        <v>1183</v>
      </c>
      <c r="B254" s="34"/>
      <c r="C254" s="30" t="s">
        <v>11</v>
      </c>
      <c r="D254" s="28" t="s">
        <v>5</v>
      </c>
      <c r="E254" s="28">
        <v>200</v>
      </c>
      <c r="F254" s="30" t="s">
        <v>11</v>
      </c>
      <c r="G254" s="28" t="s">
        <v>1184</v>
      </c>
      <c r="H254" s="30" t="s">
        <v>11</v>
      </c>
      <c r="I254" s="28" t="s">
        <v>1185</v>
      </c>
      <c r="J254" s="30" t="s">
        <v>11</v>
      </c>
      <c r="K254" s="28" t="s">
        <v>1186</v>
      </c>
      <c r="L254" s="28" t="s">
        <v>157</v>
      </c>
      <c r="M254" s="30" t="s">
        <v>11</v>
      </c>
      <c r="N254" s="28" t="s">
        <v>1183</v>
      </c>
      <c r="O254" s="30" t="s">
        <v>11</v>
      </c>
      <c r="P254" s="28" t="s">
        <v>1187</v>
      </c>
      <c r="Q254" s="28" t="s">
        <v>1185</v>
      </c>
      <c r="R254" s="28" t="s">
        <v>981</v>
      </c>
      <c r="S254" s="28" t="s">
        <v>150</v>
      </c>
      <c r="T254" s="28" t="s">
        <v>1188</v>
      </c>
      <c r="U254" s="28" t="s">
        <v>1189</v>
      </c>
      <c r="V254" s="28" t="s">
        <v>1183</v>
      </c>
      <c r="W254" s="28" t="s">
        <v>1187</v>
      </c>
      <c r="X254" s="28" t="s">
        <v>1185</v>
      </c>
      <c r="Y254" s="28" t="s">
        <v>156</v>
      </c>
      <c r="Z254" s="30" t="s">
        <v>11</v>
      </c>
      <c r="AA254" s="28" t="s">
        <v>2285</v>
      </c>
      <c r="AB254" s="28" t="s">
        <v>2286</v>
      </c>
      <c r="AC254" s="28" t="s">
        <v>2276</v>
      </c>
      <c r="AD254" s="28" t="s">
        <v>2287</v>
      </c>
      <c r="AE254" s="28" t="s">
        <v>2401</v>
      </c>
      <c r="AF254" s="30" t="s">
        <v>69</v>
      </c>
      <c r="AG254" s="28" t="s">
        <v>2398</v>
      </c>
    </row>
    <row r="255" spans="1:33" x14ac:dyDescent="0.3">
      <c r="A255" s="28" t="s">
        <v>1191</v>
      </c>
      <c r="B255" s="34"/>
      <c r="C255" s="30" t="s">
        <v>11</v>
      </c>
      <c r="D255" s="28" t="s">
        <v>5</v>
      </c>
      <c r="E255" s="28">
        <v>200</v>
      </c>
      <c r="F255" s="30" t="s">
        <v>11</v>
      </c>
      <c r="G255" s="28" t="s">
        <v>1192</v>
      </c>
      <c r="H255" s="30" t="s">
        <v>11</v>
      </c>
      <c r="I255" s="28" t="s">
        <v>1193</v>
      </c>
      <c r="J255" s="30" t="s">
        <v>11</v>
      </c>
      <c r="K255" s="28" t="s">
        <v>1194</v>
      </c>
      <c r="L255" s="28" t="s">
        <v>157</v>
      </c>
      <c r="M255" s="30" t="s">
        <v>11</v>
      </c>
      <c r="N255" s="28" t="s">
        <v>1191</v>
      </c>
      <c r="O255" s="30" t="s">
        <v>11</v>
      </c>
      <c r="P255" s="28" t="s">
        <v>1195</v>
      </c>
      <c r="Q255" s="28" t="s">
        <v>1193</v>
      </c>
      <c r="R255" s="28" t="s">
        <v>981</v>
      </c>
      <c r="S255" s="28" t="s">
        <v>150</v>
      </c>
      <c r="T255" s="28" t="s">
        <v>1196</v>
      </c>
      <c r="U255" s="28" t="s">
        <v>1197</v>
      </c>
      <c r="V255" s="28" t="s">
        <v>1191</v>
      </c>
      <c r="W255" s="28" t="s">
        <v>1195</v>
      </c>
      <c r="X255" s="28" t="s">
        <v>1193</v>
      </c>
      <c r="Y255" s="28" t="s">
        <v>156</v>
      </c>
      <c r="Z255" s="30" t="s">
        <v>11</v>
      </c>
      <c r="AA255" s="28" t="s">
        <v>2285</v>
      </c>
      <c r="AB255" s="28" t="s">
        <v>2286</v>
      </c>
      <c r="AC255" s="28" t="s">
        <v>2276</v>
      </c>
      <c r="AD255" s="28" t="s">
        <v>2287</v>
      </c>
      <c r="AE255" s="28" t="s">
        <v>2289</v>
      </c>
      <c r="AF255" s="30" t="s">
        <v>69</v>
      </c>
      <c r="AG255" s="28" t="s">
        <v>2398</v>
      </c>
    </row>
    <row r="256" spans="1:33" x14ac:dyDescent="0.3">
      <c r="A256" s="28" t="s">
        <v>1198</v>
      </c>
      <c r="B256" s="34"/>
      <c r="C256" s="30" t="s">
        <v>11</v>
      </c>
      <c r="D256" s="28" t="s">
        <v>5</v>
      </c>
      <c r="E256" s="28">
        <v>200</v>
      </c>
      <c r="F256" s="30" t="s">
        <v>11</v>
      </c>
      <c r="G256" s="28" t="s">
        <v>1199</v>
      </c>
      <c r="H256" s="30" t="s">
        <v>11</v>
      </c>
      <c r="I256" s="28" t="s">
        <v>1200</v>
      </c>
      <c r="J256" s="30" t="s">
        <v>11</v>
      </c>
      <c r="K256" s="28" t="s">
        <v>1201</v>
      </c>
      <c r="L256" s="28" t="s">
        <v>157</v>
      </c>
      <c r="M256" s="30" t="s">
        <v>11</v>
      </c>
      <c r="N256" s="28" t="s">
        <v>1198</v>
      </c>
      <c r="O256" s="30" t="s">
        <v>11</v>
      </c>
      <c r="P256" s="28" t="s">
        <v>1202</v>
      </c>
      <c r="Q256" s="28" t="s">
        <v>1200</v>
      </c>
      <c r="R256" s="28" t="s">
        <v>981</v>
      </c>
      <c r="S256" s="28" t="s">
        <v>150</v>
      </c>
      <c r="T256" s="28" t="s">
        <v>1203</v>
      </c>
      <c r="U256" s="28" t="s">
        <v>1204</v>
      </c>
      <c r="V256" s="28" t="s">
        <v>1198</v>
      </c>
      <c r="W256" s="28" t="s">
        <v>1202</v>
      </c>
      <c r="X256" s="28" t="s">
        <v>1200</v>
      </c>
      <c r="Y256" s="28" t="s">
        <v>156</v>
      </c>
      <c r="Z256" s="30" t="s">
        <v>11</v>
      </c>
      <c r="AA256" s="28" t="s">
        <v>2285</v>
      </c>
      <c r="AB256" s="28" t="s">
        <v>2286</v>
      </c>
      <c r="AC256" s="28" t="s">
        <v>2276</v>
      </c>
      <c r="AD256" s="28" t="s">
        <v>2287</v>
      </c>
      <c r="AE256" s="28" t="s">
        <v>2401</v>
      </c>
      <c r="AF256" s="30" t="s">
        <v>69</v>
      </c>
      <c r="AG256" s="28" t="s">
        <v>2398</v>
      </c>
    </row>
    <row r="257" spans="1:33" x14ac:dyDescent="0.3">
      <c r="A257" s="28" t="s">
        <v>1205</v>
      </c>
      <c r="B257" s="34"/>
      <c r="C257" s="30" t="s">
        <v>70</v>
      </c>
      <c r="D257" s="28" t="s">
        <v>5</v>
      </c>
      <c r="E257" s="28">
        <v>200</v>
      </c>
      <c r="F257" s="30" t="s">
        <v>11</v>
      </c>
      <c r="G257" s="28" t="s">
        <v>1206</v>
      </c>
      <c r="H257" s="30" t="s">
        <v>11</v>
      </c>
      <c r="I257" s="28" t="s">
        <v>1207</v>
      </c>
      <c r="J257" s="30" t="s">
        <v>11</v>
      </c>
      <c r="K257" s="28" t="s">
        <v>1208</v>
      </c>
      <c r="L257" s="28" t="s">
        <v>157</v>
      </c>
      <c r="M257" s="30" t="s">
        <v>11</v>
      </c>
      <c r="N257" s="28" t="s">
        <v>1205</v>
      </c>
      <c r="O257" s="30" t="s">
        <v>11</v>
      </c>
      <c r="P257" s="28" t="s">
        <v>1209</v>
      </c>
      <c r="Q257" s="28" t="s">
        <v>1207</v>
      </c>
      <c r="R257" s="28" t="s">
        <v>981</v>
      </c>
      <c r="S257" s="28" t="s">
        <v>150</v>
      </c>
      <c r="T257" s="28" t="s">
        <v>1210</v>
      </c>
      <c r="U257" s="28" t="s">
        <v>1211</v>
      </c>
      <c r="V257" s="28" t="s">
        <v>1205</v>
      </c>
      <c r="W257" s="28" t="s">
        <v>1209</v>
      </c>
      <c r="X257" s="28" t="s">
        <v>1207</v>
      </c>
      <c r="Y257" s="28" t="s">
        <v>156</v>
      </c>
      <c r="Z257" s="30" t="s">
        <v>11</v>
      </c>
      <c r="AA257" s="28" t="s">
        <v>2285</v>
      </c>
      <c r="AB257" s="28" t="s">
        <v>2286</v>
      </c>
      <c r="AC257" s="28" t="s">
        <v>2276</v>
      </c>
      <c r="AD257" s="28" t="s">
        <v>2287</v>
      </c>
      <c r="AE257" s="28" t="s">
        <v>2401</v>
      </c>
      <c r="AF257" s="30" t="s">
        <v>69</v>
      </c>
      <c r="AG257" s="28" t="s">
        <v>2398</v>
      </c>
    </row>
    <row r="258" spans="1:33" x14ac:dyDescent="0.3">
      <c r="A258" s="28" t="s">
        <v>1213</v>
      </c>
      <c r="B258" s="34"/>
      <c r="C258" s="30" t="s">
        <v>11</v>
      </c>
      <c r="D258" s="28" t="s">
        <v>5</v>
      </c>
      <c r="E258" s="28">
        <v>200</v>
      </c>
      <c r="F258" s="30" t="s">
        <v>11</v>
      </c>
      <c r="G258" s="28" t="s">
        <v>1214</v>
      </c>
      <c r="H258" s="30" t="s">
        <v>11</v>
      </c>
      <c r="I258" s="28" t="s">
        <v>1215</v>
      </c>
      <c r="J258" s="30" t="s">
        <v>11</v>
      </c>
      <c r="K258" s="28" t="s">
        <v>1216</v>
      </c>
      <c r="L258" s="28" t="s">
        <v>157</v>
      </c>
      <c r="M258" s="30" t="s">
        <v>11</v>
      </c>
      <c r="N258" s="28" t="s">
        <v>1213</v>
      </c>
      <c r="O258" s="30" t="s">
        <v>11</v>
      </c>
      <c r="P258" s="28" t="s">
        <v>1217</v>
      </c>
      <c r="Q258" s="28" t="s">
        <v>1215</v>
      </c>
      <c r="R258" s="28" t="s">
        <v>981</v>
      </c>
      <c r="S258" s="28" t="s">
        <v>150</v>
      </c>
      <c r="T258" s="28" t="s">
        <v>1218</v>
      </c>
      <c r="U258" s="28" t="s">
        <v>1219</v>
      </c>
      <c r="V258" s="28" t="s">
        <v>1213</v>
      </c>
      <c r="W258" s="28" t="s">
        <v>1217</v>
      </c>
      <c r="X258" s="28" t="s">
        <v>1215</v>
      </c>
      <c r="Y258" s="28" t="s">
        <v>156</v>
      </c>
      <c r="Z258" s="30" t="s">
        <v>11</v>
      </c>
      <c r="AA258" s="28" t="s">
        <v>2285</v>
      </c>
      <c r="AB258" s="28" t="s">
        <v>2286</v>
      </c>
      <c r="AC258" s="28" t="s">
        <v>2276</v>
      </c>
      <c r="AD258" s="28" t="s">
        <v>2287</v>
      </c>
      <c r="AE258" s="28" t="s">
        <v>2401</v>
      </c>
      <c r="AF258" s="30" t="s">
        <v>69</v>
      </c>
      <c r="AG258" s="28" t="s">
        <v>2398</v>
      </c>
    </row>
    <row r="259" spans="1:33" x14ac:dyDescent="0.3">
      <c r="A259" s="28" t="s">
        <v>1220</v>
      </c>
      <c r="B259" s="34"/>
      <c r="C259" s="30" t="s">
        <v>11</v>
      </c>
      <c r="D259" s="28" t="s">
        <v>5</v>
      </c>
      <c r="E259" s="28">
        <v>200</v>
      </c>
      <c r="F259" s="30" t="s">
        <v>11</v>
      </c>
      <c r="G259" s="28" t="s">
        <v>1221</v>
      </c>
      <c r="H259" s="30" t="s">
        <v>11</v>
      </c>
      <c r="I259" s="28" t="s">
        <v>1222</v>
      </c>
      <c r="J259" s="30" t="s">
        <v>11</v>
      </c>
      <c r="K259" s="28" t="s">
        <v>1223</v>
      </c>
      <c r="L259" s="28" t="s">
        <v>157</v>
      </c>
      <c r="M259" s="30" t="s">
        <v>11</v>
      </c>
      <c r="N259" s="28" t="s">
        <v>1220</v>
      </c>
      <c r="O259" s="30" t="s">
        <v>11</v>
      </c>
      <c r="P259" s="28" t="s">
        <v>1224</v>
      </c>
      <c r="Q259" s="28" t="s">
        <v>1222</v>
      </c>
      <c r="R259" s="28" t="s">
        <v>981</v>
      </c>
      <c r="S259" s="28" t="s">
        <v>150</v>
      </c>
      <c r="T259" s="28" t="s">
        <v>1225</v>
      </c>
      <c r="U259" s="28" t="s">
        <v>1226</v>
      </c>
      <c r="V259" s="28" t="s">
        <v>1220</v>
      </c>
      <c r="W259" s="28" t="s">
        <v>1224</v>
      </c>
      <c r="X259" s="28" t="s">
        <v>1222</v>
      </c>
      <c r="Y259" s="28" t="s">
        <v>156</v>
      </c>
      <c r="Z259" s="30" t="s">
        <v>11</v>
      </c>
      <c r="AA259" s="28" t="s">
        <v>2285</v>
      </c>
      <c r="AB259" s="28" t="s">
        <v>2286</v>
      </c>
      <c r="AC259" s="28" t="s">
        <v>2276</v>
      </c>
      <c r="AD259" s="28" t="s">
        <v>2287</v>
      </c>
      <c r="AE259" s="28" t="s">
        <v>2401</v>
      </c>
      <c r="AF259" s="30" t="s">
        <v>69</v>
      </c>
      <c r="AG259" s="28" t="s">
        <v>2398</v>
      </c>
    </row>
    <row r="260" spans="1:33" x14ac:dyDescent="0.3">
      <c r="A260" s="28" t="s">
        <v>1227</v>
      </c>
      <c r="B260" s="34"/>
      <c r="C260" s="30" t="s">
        <v>11</v>
      </c>
      <c r="D260" s="28" t="s">
        <v>5</v>
      </c>
      <c r="E260" s="28">
        <v>200</v>
      </c>
      <c r="F260" s="30" t="s">
        <v>11</v>
      </c>
      <c r="G260" s="28" t="s">
        <v>1228</v>
      </c>
      <c r="H260" s="30" t="s">
        <v>11</v>
      </c>
      <c r="I260" s="28" t="s">
        <v>1229</v>
      </c>
      <c r="J260" s="30" t="s">
        <v>11</v>
      </c>
      <c r="K260" s="28" t="s">
        <v>1230</v>
      </c>
      <c r="L260" s="28" t="s">
        <v>157</v>
      </c>
      <c r="M260" s="30" t="s">
        <v>11</v>
      </c>
      <c r="N260" s="28" t="s">
        <v>1227</v>
      </c>
      <c r="O260" s="30" t="s">
        <v>11</v>
      </c>
      <c r="P260" s="28" t="s">
        <v>1231</v>
      </c>
      <c r="Q260" s="28" t="s">
        <v>1229</v>
      </c>
      <c r="R260" s="28" t="s">
        <v>981</v>
      </c>
      <c r="S260" s="28" t="s">
        <v>150</v>
      </c>
      <c r="T260" s="28" t="s">
        <v>1232</v>
      </c>
      <c r="U260" s="28" t="s">
        <v>1233</v>
      </c>
      <c r="V260" s="28" t="s">
        <v>1227</v>
      </c>
      <c r="W260" s="28" t="s">
        <v>1231</v>
      </c>
      <c r="X260" s="28" t="s">
        <v>1229</v>
      </c>
      <c r="Y260" s="28" t="s">
        <v>156</v>
      </c>
      <c r="Z260" s="30" t="s">
        <v>11</v>
      </c>
      <c r="AA260" s="28" t="s">
        <v>2285</v>
      </c>
      <c r="AB260" s="28" t="s">
        <v>2286</v>
      </c>
      <c r="AC260" s="28" t="s">
        <v>2276</v>
      </c>
      <c r="AD260" s="28" t="s">
        <v>2287</v>
      </c>
      <c r="AE260" s="28" t="s">
        <v>2401</v>
      </c>
      <c r="AF260" s="30" t="s">
        <v>69</v>
      </c>
      <c r="AG260" s="28" t="s">
        <v>2398</v>
      </c>
    </row>
    <row r="261" spans="1:33" x14ac:dyDescent="0.3">
      <c r="A261" s="28" t="s">
        <v>1235</v>
      </c>
      <c r="B261" s="34"/>
      <c r="C261" s="30" t="s">
        <v>11</v>
      </c>
      <c r="D261" s="28" t="s">
        <v>5</v>
      </c>
      <c r="E261" s="28">
        <v>200</v>
      </c>
      <c r="F261" s="30" t="s">
        <v>11</v>
      </c>
      <c r="G261" s="28" t="s">
        <v>1236</v>
      </c>
      <c r="H261" s="30" t="s">
        <v>11</v>
      </c>
      <c r="I261" s="28" t="s">
        <v>1237</v>
      </c>
      <c r="J261" s="30" t="s">
        <v>11</v>
      </c>
      <c r="K261" s="28" t="s">
        <v>1238</v>
      </c>
      <c r="L261" s="28" t="s">
        <v>157</v>
      </c>
      <c r="M261" s="30" t="s">
        <v>11</v>
      </c>
      <c r="N261" s="28" t="s">
        <v>1235</v>
      </c>
      <c r="O261" s="30" t="s">
        <v>11</v>
      </c>
      <c r="P261" s="28" t="s">
        <v>1239</v>
      </c>
      <c r="Q261" s="28" t="s">
        <v>1237</v>
      </c>
      <c r="R261" s="28" t="s">
        <v>981</v>
      </c>
      <c r="S261" s="28" t="s">
        <v>150</v>
      </c>
      <c r="T261" s="28" t="s">
        <v>1240</v>
      </c>
      <c r="U261" s="28" t="s">
        <v>1241</v>
      </c>
      <c r="V261" s="28" t="s">
        <v>1235</v>
      </c>
      <c r="W261" s="28" t="s">
        <v>1239</v>
      </c>
      <c r="X261" s="28" t="s">
        <v>1237</v>
      </c>
      <c r="Y261" s="28" t="s">
        <v>156</v>
      </c>
      <c r="Z261" s="30" t="s">
        <v>11</v>
      </c>
      <c r="AA261" s="28" t="s">
        <v>2285</v>
      </c>
      <c r="AB261" s="28" t="s">
        <v>2286</v>
      </c>
      <c r="AC261" s="28" t="s">
        <v>2276</v>
      </c>
      <c r="AD261" s="28" t="s">
        <v>2287</v>
      </c>
      <c r="AE261" s="28" t="s">
        <v>2401</v>
      </c>
      <c r="AF261" s="30" t="s">
        <v>69</v>
      </c>
      <c r="AG261" s="28" t="s">
        <v>2398</v>
      </c>
    </row>
    <row r="262" spans="1:33" x14ac:dyDescent="0.3">
      <c r="A262" s="28" t="s">
        <v>1243</v>
      </c>
      <c r="B262" s="34"/>
      <c r="C262" s="30" t="s">
        <v>11</v>
      </c>
      <c r="D262" s="28" t="s">
        <v>5</v>
      </c>
      <c r="E262" s="28">
        <v>200</v>
      </c>
      <c r="F262" s="30" t="s">
        <v>11</v>
      </c>
      <c r="G262" s="28" t="s">
        <v>1244</v>
      </c>
      <c r="H262" s="30" t="s">
        <v>11</v>
      </c>
      <c r="I262" s="28" t="s">
        <v>1245</v>
      </c>
      <c r="J262" s="30" t="s">
        <v>11</v>
      </c>
      <c r="K262" s="28" t="s">
        <v>1246</v>
      </c>
      <c r="L262" s="28" t="s">
        <v>157</v>
      </c>
      <c r="M262" s="30" t="s">
        <v>11</v>
      </c>
      <c r="N262" s="28" t="s">
        <v>1243</v>
      </c>
      <c r="O262" s="30" t="s">
        <v>11</v>
      </c>
      <c r="P262" s="28" t="s">
        <v>1247</v>
      </c>
      <c r="Q262" s="28" t="s">
        <v>1245</v>
      </c>
      <c r="R262" s="28" t="s">
        <v>981</v>
      </c>
      <c r="S262" s="28" t="s">
        <v>150</v>
      </c>
      <c r="T262" s="28" t="s">
        <v>1248</v>
      </c>
      <c r="U262" s="28" t="s">
        <v>1249</v>
      </c>
      <c r="V262" s="28" t="s">
        <v>1243</v>
      </c>
      <c r="W262" s="28" t="s">
        <v>1247</v>
      </c>
      <c r="X262" s="28" t="s">
        <v>1245</v>
      </c>
      <c r="Y262" s="28" t="s">
        <v>156</v>
      </c>
      <c r="Z262" s="30" t="s">
        <v>11</v>
      </c>
      <c r="AA262" s="28" t="s">
        <v>2285</v>
      </c>
      <c r="AB262" s="28" t="s">
        <v>2286</v>
      </c>
      <c r="AC262" s="28" t="s">
        <v>2276</v>
      </c>
      <c r="AD262" s="28" t="s">
        <v>2287</v>
      </c>
      <c r="AE262" s="28" t="s">
        <v>2289</v>
      </c>
      <c r="AF262" s="30" t="s">
        <v>69</v>
      </c>
      <c r="AG262" s="28" t="s">
        <v>2398</v>
      </c>
    </row>
    <row r="263" spans="1:33" x14ac:dyDescent="0.3">
      <c r="A263" s="28" t="s">
        <v>1251</v>
      </c>
      <c r="B263" s="34"/>
      <c r="C263" s="30" t="s">
        <v>11</v>
      </c>
      <c r="D263" s="28" t="s">
        <v>5</v>
      </c>
      <c r="E263" s="28">
        <v>200</v>
      </c>
      <c r="F263" s="30" t="s">
        <v>11</v>
      </c>
      <c r="G263" s="28" t="s">
        <v>1252</v>
      </c>
      <c r="H263" s="30" t="s">
        <v>11</v>
      </c>
      <c r="I263" s="28" t="s">
        <v>1253</v>
      </c>
      <c r="J263" s="30" t="s">
        <v>11</v>
      </c>
      <c r="K263" s="28" t="s">
        <v>1254</v>
      </c>
      <c r="L263" s="28" t="s">
        <v>157</v>
      </c>
      <c r="M263" s="30" t="s">
        <v>11</v>
      </c>
      <c r="N263" s="28" t="s">
        <v>1251</v>
      </c>
      <c r="O263" s="30" t="s">
        <v>11</v>
      </c>
      <c r="P263" s="28" t="s">
        <v>1255</v>
      </c>
      <c r="Q263" s="28" t="s">
        <v>1253</v>
      </c>
      <c r="R263" s="28" t="s">
        <v>981</v>
      </c>
      <c r="S263" s="28" t="s">
        <v>150</v>
      </c>
      <c r="T263" s="28" t="s">
        <v>1256</v>
      </c>
      <c r="U263" s="28" t="s">
        <v>1257</v>
      </c>
      <c r="V263" s="28" t="s">
        <v>1251</v>
      </c>
      <c r="W263" s="28" t="s">
        <v>1255</v>
      </c>
      <c r="X263" s="28" t="s">
        <v>1253</v>
      </c>
      <c r="Y263" s="28" t="s">
        <v>156</v>
      </c>
      <c r="Z263" s="30" t="s">
        <v>11</v>
      </c>
      <c r="AA263" s="28" t="s">
        <v>2285</v>
      </c>
      <c r="AB263" s="28" t="s">
        <v>2286</v>
      </c>
      <c r="AC263" s="28" t="s">
        <v>2276</v>
      </c>
      <c r="AD263" s="28" t="s">
        <v>2287</v>
      </c>
      <c r="AE263" s="28" t="s">
        <v>2289</v>
      </c>
      <c r="AF263" s="30" t="s">
        <v>69</v>
      </c>
      <c r="AG263" s="28" t="s">
        <v>2398</v>
      </c>
    </row>
    <row r="264" spans="1:33" x14ac:dyDescent="0.3">
      <c r="A264" s="28" t="s">
        <v>1258</v>
      </c>
      <c r="B264" s="34"/>
      <c r="C264" s="30" t="s">
        <v>11</v>
      </c>
      <c r="D264" s="28" t="s">
        <v>5</v>
      </c>
      <c r="E264" s="28">
        <v>200</v>
      </c>
      <c r="F264" s="30" t="s">
        <v>11</v>
      </c>
      <c r="G264" s="28" t="s">
        <v>1259</v>
      </c>
      <c r="H264" s="30" t="s">
        <v>11</v>
      </c>
      <c r="I264" s="28" t="s">
        <v>1260</v>
      </c>
      <c r="J264" s="30" t="s">
        <v>11</v>
      </c>
      <c r="K264" s="28" t="s">
        <v>1261</v>
      </c>
      <c r="L264" s="28" t="s">
        <v>157</v>
      </c>
      <c r="M264" s="30" t="s">
        <v>11</v>
      </c>
      <c r="N264" s="28" t="s">
        <v>1258</v>
      </c>
      <c r="O264" s="30" t="s">
        <v>11</v>
      </c>
      <c r="P264" s="28" t="s">
        <v>1262</v>
      </c>
      <c r="Q264" s="28" t="s">
        <v>1260</v>
      </c>
      <c r="R264" s="28" t="s">
        <v>981</v>
      </c>
      <c r="S264" s="28" t="s">
        <v>150</v>
      </c>
      <c r="T264" s="28" t="s">
        <v>1263</v>
      </c>
      <c r="U264" s="28" t="s">
        <v>1264</v>
      </c>
      <c r="V264" s="28" t="s">
        <v>1258</v>
      </c>
      <c r="W264" s="28" t="s">
        <v>1262</v>
      </c>
      <c r="X264" s="28" t="s">
        <v>1260</v>
      </c>
      <c r="Y264" s="28" t="s">
        <v>156</v>
      </c>
      <c r="Z264" s="30" t="s">
        <v>11</v>
      </c>
      <c r="AA264" s="28" t="s">
        <v>2285</v>
      </c>
      <c r="AB264" s="28" t="s">
        <v>2286</v>
      </c>
      <c r="AC264" s="28" t="s">
        <v>2276</v>
      </c>
      <c r="AD264" s="28" t="s">
        <v>2287</v>
      </c>
      <c r="AE264" s="28" t="s">
        <v>2401</v>
      </c>
      <c r="AF264" s="30" t="s">
        <v>69</v>
      </c>
      <c r="AG264" s="28" t="s">
        <v>2398</v>
      </c>
    </row>
    <row r="265" spans="1:33" x14ac:dyDescent="0.3">
      <c r="A265" s="28" t="s">
        <v>1265</v>
      </c>
      <c r="B265" s="34"/>
      <c r="C265" s="30" t="s">
        <v>11</v>
      </c>
      <c r="D265" s="28" t="s">
        <v>5</v>
      </c>
      <c r="E265" s="28">
        <v>200</v>
      </c>
      <c r="F265" s="30" t="s">
        <v>11</v>
      </c>
      <c r="G265" s="28" t="s">
        <v>1266</v>
      </c>
      <c r="H265" s="30" t="s">
        <v>11</v>
      </c>
      <c r="I265" s="28" t="s">
        <v>1267</v>
      </c>
      <c r="J265" s="30" t="s">
        <v>11</v>
      </c>
      <c r="K265" s="28" t="s">
        <v>1268</v>
      </c>
      <c r="L265" s="28" t="s">
        <v>157</v>
      </c>
      <c r="M265" s="30" t="s">
        <v>11</v>
      </c>
      <c r="N265" s="28" t="s">
        <v>1265</v>
      </c>
      <c r="O265" s="30" t="s">
        <v>11</v>
      </c>
      <c r="P265" s="28" t="s">
        <v>1269</v>
      </c>
      <c r="Q265" s="28" t="s">
        <v>1267</v>
      </c>
      <c r="R265" s="28" t="s">
        <v>981</v>
      </c>
      <c r="S265" s="28" t="s">
        <v>150</v>
      </c>
      <c r="T265" s="28" t="s">
        <v>1270</v>
      </c>
      <c r="U265" s="28" t="s">
        <v>1271</v>
      </c>
      <c r="V265" s="28" t="s">
        <v>1265</v>
      </c>
      <c r="W265" s="28" t="s">
        <v>1269</v>
      </c>
      <c r="X265" s="28" t="s">
        <v>1267</v>
      </c>
      <c r="Y265" s="28" t="s">
        <v>156</v>
      </c>
      <c r="Z265" s="30" t="s">
        <v>11</v>
      </c>
      <c r="AA265" s="28" t="s">
        <v>2285</v>
      </c>
      <c r="AB265" s="28" t="s">
        <v>2286</v>
      </c>
      <c r="AC265" s="28" t="s">
        <v>2276</v>
      </c>
      <c r="AD265" s="28" t="s">
        <v>2287</v>
      </c>
      <c r="AE265" s="28" t="s">
        <v>2401</v>
      </c>
      <c r="AF265" s="30" t="s">
        <v>69</v>
      </c>
      <c r="AG265" s="28" t="s">
        <v>2398</v>
      </c>
    </row>
    <row r="266" spans="1:33" x14ac:dyDescent="0.3">
      <c r="A266" s="28" t="s">
        <v>1272</v>
      </c>
      <c r="B266" s="34"/>
      <c r="C266" s="30" t="s">
        <v>11</v>
      </c>
      <c r="D266" s="28" t="s">
        <v>5</v>
      </c>
      <c r="E266" s="28">
        <v>200</v>
      </c>
      <c r="F266" s="30" t="s">
        <v>11</v>
      </c>
      <c r="G266" s="28" t="s">
        <v>1273</v>
      </c>
      <c r="H266" s="30" t="s">
        <v>11</v>
      </c>
      <c r="I266" s="28" t="s">
        <v>1274</v>
      </c>
      <c r="J266" s="30" t="s">
        <v>11</v>
      </c>
      <c r="K266" s="28" t="s">
        <v>1275</v>
      </c>
      <c r="L266" s="28" t="s">
        <v>157</v>
      </c>
      <c r="M266" s="30" t="s">
        <v>11</v>
      </c>
      <c r="N266" s="28" t="s">
        <v>1272</v>
      </c>
      <c r="O266" s="30" t="s">
        <v>11</v>
      </c>
      <c r="P266" s="28" t="s">
        <v>1276</v>
      </c>
      <c r="Q266" s="28" t="s">
        <v>1274</v>
      </c>
      <c r="R266" s="28" t="s">
        <v>981</v>
      </c>
      <c r="S266" s="28" t="s">
        <v>150</v>
      </c>
      <c r="T266" s="28" t="s">
        <v>1277</v>
      </c>
      <c r="U266" s="28" t="s">
        <v>1278</v>
      </c>
      <c r="V266" s="28" t="s">
        <v>1272</v>
      </c>
      <c r="W266" s="28" t="s">
        <v>1276</v>
      </c>
      <c r="X266" s="28" t="s">
        <v>1274</v>
      </c>
      <c r="Y266" s="28" t="s">
        <v>156</v>
      </c>
      <c r="Z266" s="30" t="s">
        <v>11</v>
      </c>
      <c r="AA266" s="28" t="s">
        <v>2285</v>
      </c>
      <c r="AB266" s="28" t="s">
        <v>2286</v>
      </c>
      <c r="AC266" s="28" t="s">
        <v>2276</v>
      </c>
      <c r="AD266" s="28" t="s">
        <v>2287</v>
      </c>
      <c r="AE266" s="28" t="s">
        <v>2401</v>
      </c>
      <c r="AF266" s="30" t="s">
        <v>69</v>
      </c>
      <c r="AG266" s="28" t="s">
        <v>2398</v>
      </c>
    </row>
    <row r="267" spans="1:33" x14ac:dyDescent="0.3">
      <c r="A267" s="28" t="s">
        <v>1279</v>
      </c>
      <c r="B267" s="34"/>
      <c r="C267" s="30" t="s">
        <v>11</v>
      </c>
      <c r="D267" s="28" t="s">
        <v>5</v>
      </c>
      <c r="E267" s="28">
        <v>200</v>
      </c>
      <c r="F267" s="30" t="s">
        <v>11</v>
      </c>
      <c r="G267" s="28" t="s">
        <v>1280</v>
      </c>
      <c r="H267" s="30" t="s">
        <v>11</v>
      </c>
      <c r="I267" s="28" t="s">
        <v>1281</v>
      </c>
      <c r="J267" s="30" t="s">
        <v>11</v>
      </c>
      <c r="K267" s="28" t="s">
        <v>1282</v>
      </c>
      <c r="L267" s="28" t="s">
        <v>157</v>
      </c>
      <c r="M267" s="30" t="s">
        <v>11</v>
      </c>
      <c r="N267" s="28" t="s">
        <v>1279</v>
      </c>
      <c r="O267" s="30" t="s">
        <v>11</v>
      </c>
      <c r="P267" s="28" t="s">
        <v>1283</v>
      </c>
      <c r="Q267" s="28" t="s">
        <v>1281</v>
      </c>
      <c r="R267" s="28" t="s">
        <v>981</v>
      </c>
      <c r="S267" s="28" t="s">
        <v>150</v>
      </c>
      <c r="T267" s="28" t="s">
        <v>1284</v>
      </c>
      <c r="U267" s="28" t="s">
        <v>1285</v>
      </c>
      <c r="V267" s="28" t="s">
        <v>1279</v>
      </c>
      <c r="W267" s="28" t="s">
        <v>1283</v>
      </c>
      <c r="X267" s="28" t="s">
        <v>1281</v>
      </c>
      <c r="Y267" s="28" t="s">
        <v>156</v>
      </c>
      <c r="Z267" s="30" t="s">
        <v>11</v>
      </c>
      <c r="AA267" s="28" t="s">
        <v>2285</v>
      </c>
      <c r="AB267" s="28" t="s">
        <v>2286</v>
      </c>
      <c r="AC267" s="28" t="s">
        <v>2276</v>
      </c>
      <c r="AD267" s="28" t="s">
        <v>2287</v>
      </c>
      <c r="AE267" s="28" t="s">
        <v>2289</v>
      </c>
      <c r="AF267" s="30" t="s">
        <v>69</v>
      </c>
      <c r="AG267" s="28" t="s">
        <v>2398</v>
      </c>
    </row>
    <row r="268" spans="1:33" x14ac:dyDescent="0.3">
      <c r="A268" s="28" t="s">
        <v>1287</v>
      </c>
      <c r="B268" s="34"/>
      <c r="C268" s="30" t="s">
        <v>70</v>
      </c>
      <c r="D268" s="28" t="s">
        <v>5</v>
      </c>
      <c r="E268" s="28">
        <v>200</v>
      </c>
      <c r="F268" s="30" t="s">
        <v>11</v>
      </c>
      <c r="G268" s="28" t="s">
        <v>1288</v>
      </c>
      <c r="H268" s="30" t="s">
        <v>11</v>
      </c>
      <c r="I268" s="28" t="s">
        <v>995</v>
      </c>
      <c r="J268" s="30" t="s">
        <v>60</v>
      </c>
      <c r="K268" s="28" t="s">
        <v>1289</v>
      </c>
      <c r="L268" s="28" t="s">
        <v>157</v>
      </c>
      <c r="M268" s="30" t="s">
        <v>11</v>
      </c>
      <c r="N268" s="28" t="s">
        <v>1287</v>
      </c>
      <c r="O268" s="30" t="s">
        <v>11</v>
      </c>
      <c r="P268" s="28" t="s">
        <v>1290</v>
      </c>
      <c r="Q268" s="28" t="s">
        <v>995</v>
      </c>
      <c r="R268" s="28" t="s">
        <v>981</v>
      </c>
      <c r="S268" s="28" t="s">
        <v>150</v>
      </c>
      <c r="T268" s="28" t="s">
        <v>1291</v>
      </c>
      <c r="U268" s="28" t="s">
        <v>1292</v>
      </c>
      <c r="V268" s="28" t="s">
        <v>1287</v>
      </c>
      <c r="W268" s="28" t="s">
        <v>1290</v>
      </c>
      <c r="X268" s="28" t="s">
        <v>995</v>
      </c>
      <c r="Y268" s="28" t="s">
        <v>156</v>
      </c>
      <c r="Z268" s="30" t="s">
        <v>56</v>
      </c>
      <c r="AA268" s="28" t="s">
        <v>2285</v>
      </c>
      <c r="AB268" s="28" t="s">
        <v>2286</v>
      </c>
      <c r="AC268" s="28" t="s">
        <v>2276</v>
      </c>
      <c r="AD268" s="28" t="s">
        <v>2287</v>
      </c>
      <c r="AE268" s="28" t="s">
        <v>2401</v>
      </c>
      <c r="AF268" s="30" t="s">
        <v>69</v>
      </c>
      <c r="AG268" s="28" t="s">
        <v>2398</v>
      </c>
    </row>
    <row r="269" spans="1:33" x14ac:dyDescent="0.3">
      <c r="A269" s="28" t="s">
        <v>1293</v>
      </c>
      <c r="B269" s="34"/>
      <c r="C269" s="30" t="s">
        <v>11</v>
      </c>
      <c r="D269" s="28" t="s">
        <v>5</v>
      </c>
      <c r="E269" s="28">
        <v>200</v>
      </c>
      <c r="F269" s="30" t="s">
        <v>11</v>
      </c>
      <c r="G269" s="28" t="s">
        <v>1294</v>
      </c>
      <c r="H269" s="30" t="s">
        <v>11</v>
      </c>
      <c r="I269" s="28" t="s">
        <v>1295</v>
      </c>
      <c r="J269" s="30" t="s">
        <v>60</v>
      </c>
      <c r="K269" s="28" t="s">
        <v>1296</v>
      </c>
      <c r="L269" s="28" t="s">
        <v>157</v>
      </c>
      <c r="M269" s="30" t="s">
        <v>11</v>
      </c>
      <c r="N269" s="28" t="s">
        <v>1293</v>
      </c>
      <c r="O269" s="30" t="s">
        <v>11</v>
      </c>
      <c r="P269" s="28" t="s">
        <v>1297</v>
      </c>
      <c r="Q269" s="28" t="s">
        <v>1295</v>
      </c>
      <c r="R269" s="28" t="s">
        <v>981</v>
      </c>
      <c r="S269" s="28" t="s">
        <v>150</v>
      </c>
      <c r="T269" s="28" t="s">
        <v>1298</v>
      </c>
      <c r="U269" s="28" t="s">
        <v>1299</v>
      </c>
      <c r="V269" s="28" t="s">
        <v>1293</v>
      </c>
      <c r="W269" s="28" t="s">
        <v>1297</v>
      </c>
      <c r="X269" s="28" t="s">
        <v>1295</v>
      </c>
      <c r="Y269" s="28" t="s">
        <v>156</v>
      </c>
      <c r="Z269" s="30" t="s">
        <v>56</v>
      </c>
      <c r="AA269" s="28" t="s">
        <v>2285</v>
      </c>
      <c r="AB269" s="28" t="s">
        <v>2286</v>
      </c>
      <c r="AC269" s="28" t="s">
        <v>2276</v>
      </c>
      <c r="AD269" s="28" t="s">
        <v>2287</v>
      </c>
      <c r="AE269" s="28" t="s">
        <v>2401</v>
      </c>
      <c r="AF269" s="30" t="s">
        <v>69</v>
      </c>
      <c r="AG269" s="28" t="s">
        <v>2398</v>
      </c>
    </row>
    <row r="270" spans="1:33" x14ac:dyDescent="0.3">
      <c r="A270" s="28" t="s">
        <v>1301</v>
      </c>
      <c r="B270" s="34"/>
      <c r="C270" s="30" t="s">
        <v>11</v>
      </c>
      <c r="D270" s="28" t="s">
        <v>5</v>
      </c>
      <c r="E270" s="28">
        <v>200</v>
      </c>
      <c r="F270" s="30" t="s">
        <v>11</v>
      </c>
      <c r="G270" s="28" t="s">
        <v>1302</v>
      </c>
      <c r="H270" s="30" t="s">
        <v>11</v>
      </c>
      <c r="I270" s="28" t="s">
        <v>1295</v>
      </c>
      <c r="J270" s="30" t="s">
        <v>60</v>
      </c>
      <c r="K270" s="28" t="s">
        <v>1303</v>
      </c>
      <c r="L270" s="28" t="s">
        <v>157</v>
      </c>
      <c r="M270" s="30" t="s">
        <v>11</v>
      </c>
      <c r="N270" s="28" t="s">
        <v>1301</v>
      </c>
      <c r="O270" s="30" t="s">
        <v>11</v>
      </c>
      <c r="P270" s="28" t="s">
        <v>1304</v>
      </c>
      <c r="Q270" s="28" t="s">
        <v>1295</v>
      </c>
      <c r="R270" s="28" t="s">
        <v>981</v>
      </c>
      <c r="S270" s="28" t="s">
        <v>150</v>
      </c>
      <c r="T270" s="28" t="s">
        <v>1305</v>
      </c>
      <c r="U270" s="28" t="s">
        <v>1306</v>
      </c>
      <c r="V270" s="28" t="s">
        <v>1301</v>
      </c>
      <c r="W270" s="28" t="s">
        <v>1304</v>
      </c>
      <c r="X270" s="28" t="s">
        <v>1295</v>
      </c>
      <c r="Y270" s="28" t="s">
        <v>156</v>
      </c>
      <c r="Z270" s="30" t="s">
        <v>56</v>
      </c>
      <c r="AA270" s="28" t="s">
        <v>2285</v>
      </c>
      <c r="AB270" s="28" t="s">
        <v>2286</v>
      </c>
      <c r="AC270" s="28" t="s">
        <v>2276</v>
      </c>
      <c r="AD270" s="28" t="s">
        <v>2287</v>
      </c>
      <c r="AE270" s="28" t="s">
        <v>2401</v>
      </c>
      <c r="AF270" s="30" t="s">
        <v>69</v>
      </c>
      <c r="AG270" s="28" t="s">
        <v>2398</v>
      </c>
    </row>
    <row r="271" spans="1:33" x14ac:dyDescent="0.3">
      <c r="A271" s="28" t="s">
        <v>1308</v>
      </c>
      <c r="B271" s="34"/>
      <c r="C271" s="30" t="s">
        <v>11</v>
      </c>
      <c r="D271" s="28" t="s">
        <v>5</v>
      </c>
      <c r="E271" s="28">
        <v>200</v>
      </c>
      <c r="F271" s="30" t="s">
        <v>11</v>
      </c>
      <c r="G271" s="28" t="s">
        <v>1309</v>
      </c>
      <c r="H271" s="30" t="s">
        <v>11</v>
      </c>
      <c r="I271" s="28" t="s">
        <v>1310</v>
      </c>
      <c r="J271" s="30" t="s">
        <v>11</v>
      </c>
      <c r="K271" s="28" t="s">
        <v>1311</v>
      </c>
      <c r="L271" s="28" t="s">
        <v>157</v>
      </c>
      <c r="M271" s="30" t="s">
        <v>11</v>
      </c>
      <c r="N271" s="28" t="s">
        <v>1308</v>
      </c>
      <c r="O271" s="30" t="s">
        <v>11</v>
      </c>
      <c r="P271" s="28" t="s">
        <v>1312</v>
      </c>
      <c r="Q271" s="28" t="s">
        <v>1310</v>
      </c>
      <c r="R271" s="28" t="s">
        <v>981</v>
      </c>
      <c r="S271" s="28" t="s">
        <v>150</v>
      </c>
      <c r="T271" s="28" t="s">
        <v>1313</v>
      </c>
      <c r="U271" s="28" t="s">
        <v>1314</v>
      </c>
      <c r="V271" s="28" t="s">
        <v>1308</v>
      </c>
      <c r="W271" s="28" t="s">
        <v>1312</v>
      </c>
      <c r="X271" s="28" t="s">
        <v>1310</v>
      </c>
      <c r="Y271" s="28" t="s">
        <v>156</v>
      </c>
      <c r="Z271" s="30" t="s">
        <v>11</v>
      </c>
      <c r="AA271" s="28" t="s">
        <v>2285</v>
      </c>
      <c r="AB271" s="28" t="s">
        <v>2286</v>
      </c>
      <c r="AC271" s="28" t="s">
        <v>2276</v>
      </c>
      <c r="AD271" s="28" t="s">
        <v>2287</v>
      </c>
      <c r="AE271" s="28" t="s">
        <v>2401</v>
      </c>
      <c r="AF271" s="30" t="s">
        <v>69</v>
      </c>
      <c r="AG271" s="28" t="s">
        <v>2398</v>
      </c>
    </row>
    <row r="272" spans="1:33" x14ac:dyDescent="0.3">
      <c r="A272" s="28" t="s">
        <v>1316</v>
      </c>
      <c r="B272" s="34"/>
      <c r="C272" s="30" t="s">
        <v>11</v>
      </c>
      <c r="D272" s="28" t="s">
        <v>5</v>
      </c>
      <c r="E272" s="28">
        <v>200</v>
      </c>
      <c r="F272" s="30" t="s">
        <v>11</v>
      </c>
      <c r="G272" s="28" t="s">
        <v>1317</v>
      </c>
      <c r="H272" s="30" t="s">
        <v>11</v>
      </c>
      <c r="I272" s="28" t="s">
        <v>1318</v>
      </c>
      <c r="J272" s="30" t="s">
        <v>11</v>
      </c>
      <c r="K272" s="28" t="s">
        <v>1319</v>
      </c>
      <c r="L272" s="28" t="s">
        <v>157</v>
      </c>
      <c r="M272" s="30" t="s">
        <v>11</v>
      </c>
      <c r="N272" s="28" t="s">
        <v>1316</v>
      </c>
      <c r="O272" s="30" t="s">
        <v>11</v>
      </c>
      <c r="P272" s="28" t="s">
        <v>1320</v>
      </c>
      <c r="Q272" s="28" t="s">
        <v>1318</v>
      </c>
      <c r="R272" s="28" t="s">
        <v>981</v>
      </c>
      <c r="S272" s="28" t="s">
        <v>150</v>
      </c>
      <c r="T272" s="28" t="s">
        <v>1321</v>
      </c>
      <c r="U272" s="28" t="s">
        <v>1322</v>
      </c>
      <c r="V272" s="28" t="s">
        <v>1316</v>
      </c>
      <c r="W272" s="28" t="s">
        <v>1320</v>
      </c>
      <c r="X272" s="28" t="s">
        <v>1318</v>
      </c>
      <c r="Y272" s="28" t="s">
        <v>156</v>
      </c>
      <c r="Z272" s="30" t="s">
        <v>11</v>
      </c>
      <c r="AA272" s="28" t="s">
        <v>2285</v>
      </c>
      <c r="AB272" s="28" t="s">
        <v>2286</v>
      </c>
      <c r="AC272" s="28" t="s">
        <v>2276</v>
      </c>
      <c r="AD272" s="28" t="s">
        <v>2287</v>
      </c>
      <c r="AE272" s="28" t="s">
        <v>2401</v>
      </c>
      <c r="AF272" s="30" t="s">
        <v>69</v>
      </c>
      <c r="AG272" s="28" t="s">
        <v>2398</v>
      </c>
    </row>
    <row r="273" spans="1:33" x14ac:dyDescent="0.3">
      <c r="A273" s="28" t="s">
        <v>1323</v>
      </c>
      <c r="B273" s="34"/>
      <c r="C273" s="30" t="s">
        <v>11</v>
      </c>
      <c r="D273" s="28" t="s">
        <v>5</v>
      </c>
      <c r="E273" s="28">
        <v>200</v>
      </c>
      <c r="F273" s="30" t="s">
        <v>11</v>
      </c>
      <c r="G273" s="28" t="s">
        <v>1324</v>
      </c>
      <c r="H273" s="30" t="s">
        <v>11</v>
      </c>
      <c r="I273" s="28" t="s">
        <v>1325</v>
      </c>
      <c r="J273" s="30" t="s">
        <v>11</v>
      </c>
      <c r="K273" s="28" t="s">
        <v>1326</v>
      </c>
      <c r="L273" s="28" t="s">
        <v>157</v>
      </c>
      <c r="M273" s="30" t="s">
        <v>11</v>
      </c>
      <c r="N273" s="28" t="s">
        <v>1323</v>
      </c>
      <c r="O273" s="30" t="s">
        <v>11</v>
      </c>
      <c r="P273" s="28" t="s">
        <v>1327</v>
      </c>
      <c r="Q273" s="28" t="s">
        <v>1325</v>
      </c>
      <c r="R273" s="28" t="s">
        <v>981</v>
      </c>
      <c r="S273" s="28" t="s">
        <v>150</v>
      </c>
      <c r="T273" s="28" t="s">
        <v>1328</v>
      </c>
      <c r="U273" s="28" t="s">
        <v>1329</v>
      </c>
      <c r="V273" s="28" t="s">
        <v>1323</v>
      </c>
      <c r="W273" s="28" t="s">
        <v>1327</v>
      </c>
      <c r="X273" s="28" t="s">
        <v>1325</v>
      </c>
      <c r="Y273" s="28" t="s">
        <v>156</v>
      </c>
      <c r="Z273" s="30" t="s">
        <v>11</v>
      </c>
      <c r="AA273" s="28" t="s">
        <v>2285</v>
      </c>
      <c r="AB273" s="28" t="s">
        <v>2286</v>
      </c>
      <c r="AC273" s="28" t="s">
        <v>2276</v>
      </c>
      <c r="AD273" s="28" t="s">
        <v>2287</v>
      </c>
      <c r="AE273" s="28" t="s">
        <v>2401</v>
      </c>
      <c r="AF273" s="30" t="s">
        <v>69</v>
      </c>
      <c r="AG273" s="28" t="s">
        <v>2398</v>
      </c>
    </row>
    <row r="274" spans="1:33" x14ac:dyDescent="0.3">
      <c r="A274" s="28" t="s">
        <v>1330</v>
      </c>
      <c r="B274" s="34"/>
      <c r="C274" s="30" t="s">
        <v>11</v>
      </c>
      <c r="D274" s="28" t="s">
        <v>5</v>
      </c>
      <c r="E274" s="28">
        <v>200</v>
      </c>
      <c r="F274" s="30" t="s">
        <v>11</v>
      </c>
      <c r="G274" s="28" t="s">
        <v>1331</v>
      </c>
      <c r="H274" s="30" t="s">
        <v>11</v>
      </c>
      <c r="I274" s="28" t="s">
        <v>1332</v>
      </c>
      <c r="J274" s="30" t="s">
        <v>11</v>
      </c>
      <c r="K274" s="28" t="s">
        <v>1333</v>
      </c>
      <c r="L274" s="28" t="s">
        <v>157</v>
      </c>
      <c r="M274" s="30" t="s">
        <v>11</v>
      </c>
      <c r="N274" s="28" t="s">
        <v>1330</v>
      </c>
      <c r="O274" s="30" t="s">
        <v>11</v>
      </c>
      <c r="P274" s="28" t="s">
        <v>1334</v>
      </c>
      <c r="Q274" s="28" t="s">
        <v>1332</v>
      </c>
      <c r="R274" s="28" t="s">
        <v>981</v>
      </c>
      <c r="S274" s="28" t="s">
        <v>150</v>
      </c>
      <c r="T274" s="28" t="s">
        <v>1335</v>
      </c>
      <c r="U274" s="28" t="s">
        <v>1336</v>
      </c>
      <c r="V274" s="28" t="s">
        <v>1330</v>
      </c>
      <c r="W274" s="28" t="s">
        <v>1334</v>
      </c>
      <c r="X274" s="28" t="s">
        <v>1332</v>
      </c>
      <c r="Y274" s="28" t="s">
        <v>156</v>
      </c>
      <c r="Z274" s="30" t="s">
        <v>11</v>
      </c>
      <c r="AA274" s="28" t="s">
        <v>2285</v>
      </c>
      <c r="AB274" s="28" t="s">
        <v>2286</v>
      </c>
      <c r="AC274" s="28" t="s">
        <v>2276</v>
      </c>
      <c r="AD274" s="28" t="s">
        <v>2287</v>
      </c>
      <c r="AE274" s="28" t="s">
        <v>2401</v>
      </c>
      <c r="AF274" s="30" t="s">
        <v>69</v>
      </c>
      <c r="AG274" s="28" t="s">
        <v>2398</v>
      </c>
    </row>
    <row r="275" spans="1:33" x14ac:dyDescent="0.3">
      <c r="A275" s="28" t="s">
        <v>1337</v>
      </c>
      <c r="B275" s="34"/>
      <c r="C275" s="30" t="s">
        <v>11</v>
      </c>
      <c r="D275" s="28" t="s">
        <v>5</v>
      </c>
      <c r="E275" s="28">
        <v>200</v>
      </c>
      <c r="F275" s="30" t="s">
        <v>11</v>
      </c>
      <c r="G275" s="28" t="s">
        <v>1338</v>
      </c>
      <c r="H275" s="30" t="s">
        <v>11</v>
      </c>
      <c r="I275" s="28" t="s">
        <v>1339</v>
      </c>
      <c r="J275" s="30" t="s">
        <v>11</v>
      </c>
      <c r="K275" s="28" t="s">
        <v>1340</v>
      </c>
      <c r="L275" s="28" t="s">
        <v>157</v>
      </c>
      <c r="M275" s="30" t="s">
        <v>11</v>
      </c>
      <c r="N275" s="28" t="s">
        <v>1337</v>
      </c>
      <c r="O275" s="30" t="s">
        <v>11</v>
      </c>
      <c r="P275" s="28" t="s">
        <v>1341</v>
      </c>
      <c r="Q275" s="28" t="s">
        <v>1339</v>
      </c>
      <c r="R275" s="28" t="s">
        <v>981</v>
      </c>
      <c r="S275" s="28" t="s">
        <v>150</v>
      </c>
      <c r="T275" s="28" t="s">
        <v>1342</v>
      </c>
      <c r="U275" s="28" t="s">
        <v>1343</v>
      </c>
      <c r="V275" s="28" t="s">
        <v>1337</v>
      </c>
      <c r="W275" s="28" t="s">
        <v>1341</v>
      </c>
      <c r="X275" s="28" t="s">
        <v>1339</v>
      </c>
      <c r="Y275" s="28" t="s">
        <v>156</v>
      </c>
      <c r="Z275" s="30" t="s">
        <v>11</v>
      </c>
      <c r="AA275" s="28" t="s">
        <v>2285</v>
      </c>
      <c r="AB275" s="28" t="s">
        <v>2286</v>
      </c>
      <c r="AC275" s="28" t="s">
        <v>2276</v>
      </c>
      <c r="AD275" s="28" t="s">
        <v>2287</v>
      </c>
      <c r="AE275" s="28" t="s">
        <v>2401</v>
      </c>
      <c r="AF275" s="30" t="s">
        <v>69</v>
      </c>
      <c r="AG275" s="28" t="s">
        <v>2398</v>
      </c>
    </row>
    <row r="276" spans="1:33" x14ac:dyDescent="0.3">
      <c r="A276" s="28" t="s">
        <v>1345</v>
      </c>
      <c r="B276" s="34"/>
      <c r="C276" s="30" t="s">
        <v>11</v>
      </c>
      <c r="D276" s="28" t="s">
        <v>5</v>
      </c>
      <c r="E276" s="28">
        <v>200</v>
      </c>
      <c r="F276" s="30" t="s">
        <v>11</v>
      </c>
      <c r="G276" s="28" t="s">
        <v>1346</v>
      </c>
      <c r="H276" s="30" t="s">
        <v>11</v>
      </c>
      <c r="I276" s="28" t="s">
        <v>1347</v>
      </c>
      <c r="J276" s="30" t="s">
        <v>11</v>
      </c>
      <c r="K276" s="28" t="s">
        <v>1348</v>
      </c>
      <c r="L276" s="28" t="s">
        <v>157</v>
      </c>
      <c r="M276" s="30" t="s">
        <v>11</v>
      </c>
      <c r="N276" s="28" t="s">
        <v>1345</v>
      </c>
      <c r="O276" s="30" t="s">
        <v>11</v>
      </c>
      <c r="P276" s="28" t="s">
        <v>1349</v>
      </c>
      <c r="Q276" s="28" t="s">
        <v>1347</v>
      </c>
      <c r="R276" s="28" t="s">
        <v>981</v>
      </c>
      <c r="S276" s="28" t="s">
        <v>150</v>
      </c>
      <c r="T276" s="28" t="s">
        <v>1350</v>
      </c>
      <c r="U276" s="28" t="s">
        <v>1351</v>
      </c>
      <c r="V276" s="28" t="s">
        <v>1345</v>
      </c>
      <c r="W276" s="28" t="s">
        <v>1349</v>
      </c>
      <c r="X276" s="28" t="s">
        <v>1347</v>
      </c>
      <c r="Y276" s="28" t="s">
        <v>156</v>
      </c>
      <c r="Z276" s="30" t="s">
        <v>11</v>
      </c>
      <c r="AA276" s="28" t="s">
        <v>2285</v>
      </c>
      <c r="AB276" s="28" t="s">
        <v>2286</v>
      </c>
      <c r="AC276" s="28" t="s">
        <v>2276</v>
      </c>
      <c r="AD276" s="28" t="s">
        <v>2287</v>
      </c>
      <c r="AE276" s="28" t="s">
        <v>2401</v>
      </c>
      <c r="AF276" s="30" t="s">
        <v>69</v>
      </c>
      <c r="AG276" s="28" t="s">
        <v>2398</v>
      </c>
    </row>
    <row r="277" spans="1:33" x14ac:dyDescent="0.3">
      <c r="A277" s="28" t="s">
        <v>1352</v>
      </c>
      <c r="B277" s="34"/>
      <c r="C277" s="30" t="s">
        <v>11</v>
      </c>
      <c r="D277" s="28" t="s">
        <v>5</v>
      </c>
      <c r="E277" s="28">
        <v>200</v>
      </c>
      <c r="F277" s="30" t="s">
        <v>11</v>
      </c>
      <c r="G277" s="28" t="s">
        <v>1353</v>
      </c>
      <c r="H277" s="30" t="s">
        <v>11</v>
      </c>
      <c r="I277" s="28" t="s">
        <v>1354</v>
      </c>
      <c r="J277" s="30" t="s">
        <v>11</v>
      </c>
      <c r="K277" s="28" t="s">
        <v>1355</v>
      </c>
      <c r="L277" s="28" t="s">
        <v>157</v>
      </c>
      <c r="M277" s="30" t="s">
        <v>11</v>
      </c>
      <c r="N277" s="28" t="s">
        <v>1352</v>
      </c>
      <c r="O277" s="30" t="s">
        <v>11</v>
      </c>
      <c r="P277" s="28" t="s">
        <v>1356</v>
      </c>
      <c r="Q277" s="28" t="s">
        <v>1354</v>
      </c>
      <c r="R277" s="28" t="s">
        <v>981</v>
      </c>
      <c r="S277" s="28" t="s">
        <v>150</v>
      </c>
      <c r="T277" s="28" t="s">
        <v>1357</v>
      </c>
      <c r="U277" s="28" t="s">
        <v>1358</v>
      </c>
      <c r="V277" s="28" t="s">
        <v>1352</v>
      </c>
      <c r="W277" s="28" t="s">
        <v>1356</v>
      </c>
      <c r="X277" s="28" t="s">
        <v>1354</v>
      </c>
      <c r="Y277" s="28" t="s">
        <v>156</v>
      </c>
      <c r="Z277" s="30" t="s">
        <v>11</v>
      </c>
      <c r="AA277" s="28" t="s">
        <v>2285</v>
      </c>
      <c r="AB277" s="28" t="s">
        <v>2286</v>
      </c>
      <c r="AC277" s="28" t="s">
        <v>2276</v>
      </c>
      <c r="AD277" s="28" t="s">
        <v>2287</v>
      </c>
      <c r="AE277" s="28" t="s">
        <v>2401</v>
      </c>
      <c r="AF277" s="30" t="s">
        <v>69</v>
      </c>
      <c r="AG277" s="28" t="s">
        <v>2398</v>
      </c>
    </row>
    <row r="278" spans="1:33" x14ac:dyDescent="0.3">
      <c r="A278" s="28" t="s">
        <v>1359</v>
      </c>
      <c r="B278" s="34"/>
      <c r="C278" s="30" t="s">
        <v>11</v>
      </c>
      <c r="D278" s="28" t="s">
        <v>5</v>
      </c>
      <c r="E278" s="28">
        <v>200</v>
      </c>
      <c r="F278" s="30" t="s">
        <v>11</v>
      </c>
      <c r="G278" s="28" t="s">
        <v>1360</v>
      </c>
      <c r="H278" s="30" t="s">
        <v>11</v>
      </c>
      <c r="I278" s="28" t="s">
        <v>1361</v>
      </c>
      <c r="J278" s="30" t="s">
        <v>11</v>
      </c>
      <c r="K278" s="28" t="s">
        <v>1362</v>
      </c>
      <c r="L278" s="28" t="s">
        <v>157</v>
      </c>
      <c r="M278" s="30" t="s">
        <v>11</v>
      </c>
      <c r="N278" s="28" t="s">
        <v>1359</v>
      </c>
      <c r="O278" s="30" t="s">
        <v>11</v>
      </c>
      <c r="P278" s="28" t="s">
        <v>1363</v>
      </c>
      <c r="Q278" s="28" t="s">
        <v>1361</v>
      </c>
      <c r="R278" s="28" t="s">
        <v>981</v>
      </c>
      <c r="S278" s="28" t="s">
        <v>150</v>
      </c>
      <c r="T278" s="28" t="s">
        <v>1364</v>
      </c>
      <c r="U278" s="28" t="s">
        <v>1365</v>
      </c>
      <c r="V278" s="28" t="s">
        <v>1359</v>
      </c>
      <c r="W278" s="28" t="s">
        <v>1363</v>
      </c>
      <c r="X278" s="28" t="s">
        <v>1361</v>
      </c>
      <c r="Y278" s="28" t="s">
        <v>156</v>
      </c>
      <c r="Z278" s="30" t="s">
        <v>11</v>
      </c>
      <c r="AA278" s="28" t="s">
        <v>2285</v>
      </c>
      <c r="AB278" s="28" t="s">
        <v>2286</v>
      </c>
      <c r="AC278" s="28" t="s">
        <v>2276</v>
      </c>
      <c r="AD278" s="28" t="s">
        <v>2287</v>
      </c>
      <c r="AE278" s="28" t="s">
        <v>2401</v>
      </c>
      <c r="AF278" s="30" t="s">
        <v>69</v>
      </c>
      <c r="AG278" s="28" t="s">
        <v>2398</v>
      </c>
    </row>
    <row r="279" spans="1:33" x14ac:dyDescent="0.3">
      <c r="A279" s="28" t="s">
        <v>1367</v>
      </c>
      <c r="B279" s="34"/>
      <c r="C279" s="30" t="s">
        <v>11</v>
      </c>
      <c r="D279" s="28" t="s">
        <v>5</v>
      </c>
      <c r="E279" s="28">
        <v>200</v>
      </c>
      <c r="F279" s="30" t="s">
        <v>11</v>
      </c>
      <c r="G279" s="28" t="s">
        <v>1368</v>
      </c>
      <c r="H279" s="30" t="s">
        <v>11</v>
      </c>
      <c r="I279" s="28" t="s">
        <v>1369</v>
      </c>
      <c r="J279" s="30" t="s">
        <v>11</v>
      </c>
      <c r="K279" s="28" t="s">
        <v>1370</v>
      </c>
      <c r="L279" s="28" t="s">
        <v>157</v>
      </c>
      <c r="M279" s="30" t="s">
        <v>11</v>
      </c>
      <c r="N279" s="28" t="s">
        <v>1367</v>
      </c>
      <c r="O279" s="30" t="s">
        <v>11</v>
      </c>
      <c r="P279" s="28" t="s">
        <v>1371</v>
      </c>
      <c r="Q279" s="28" t="s">
        <v>1369</v>
      </c>
      <c r="R279" s="28" t="s">
        <v>981</v>
      </c>
      <c r="S279" s="28" t="s">
        <v>150</v>
      </c>
      <c r="T279" s="28" t="s">
        <v>1372</v>
      </c>
      <c r="U279" s="28" t="s">
        <v>1373</v>
      </c>
      <c r="V279" s="28" t="s">
        <v>1367</v>
      </c>
      <c r="W279" s="28" t="s">
        <v>1371</v>
      </c>
      <c r="X279" s="28" t="s">
        <v>1369</v>
      </c>
      <c r="Y279" s="28" t="s">
        <v>156</v>
      </c>
      <c r="Z279" s="30" t="s">
        <v>11</v>
      </c>
      <c r="AA279" s="28" t="s">
        <v>2285</v>
      </c>
      <c r="AB279" s="28" t="s">
        <v>2286</v>
      </c>
      <c r="AC279" s="28" t="s">
        <v>2276</v>
      </c>
      <c r="AD279" s="28" t="s">
        <v>2287</v>
      </c>
      <c r="AE279" s="28" t="s">
        <v>2401</v>
      </c>
      <c r="AF279" s="30" t="s">
        <v>69</v>
      </c>
      <c r="AG279" s="28" t="s">
        <v>2398</v>
      </c>
    </row>
    <row r="280" spans="1:33" x14ac:dyDescent="0.3">
      <c r="A280" s="28" t="s">
        <v>1375</v>
      </c>
      <c r="B280" s="34"/>
      <c r="C280" s="30" t="s">
        <v>11</v>
      </c>
      <c r="D280" s="28" t="s">
        <v>5</v>
      </c>
      <c r="E280" s="28">
        <v>200</v>
      </c>
      <c r="F280" s="30" t="s">
        <v>11</v>
      </c>
      <c r="G280" s="28" t="s">
        <v>1376</v>
      </c>
      <c r="H280" s="30" t="s">
        <v>11</v>
      </c>
      <c r="I280" s="28" t="s">
        <v>1377</v>
      </c>
      <c r="J280" s="30" t="s">
        <v>11</v>
      </c>
      <c r="K280" s="28" t="s">
        <v>1378</v>
      </c>
      <c r="L280" s="28" t="s">
        <v>157</v>
      </c>
      <c r="M280" s="30" t="s">
        <v>11</v>
      </c>
      <c r="N280" s="28" t="s">
        <v>1375</v>
      </c>
      <c r="O280" s="30" t="s">
        <v>11</v>
      </c>
      <c r="P280" s="28" t="s">
        <v>1379</v>
      </c>
      <c r="Q280" s="28" t="s">
        <v>1377</v>
      </c>
      <c r="R280" s="28" t="s">
        <v>981</v>
      </c>
      <c r="S280" s="28" t="s">
        <v>150</v>
      </c>
      <c r="T280" s="28" t="s">
        <v>1380</v>
      </c>
      <c r="U280" s="28" t="s">
        <v>1381</v>
      </c>
      <c r="V280" s="28" t="s">
        <v>1375</v>
      </c>
      <c r="W280" s="28" t="s">
        <v>1379</v>
      </c>
      <c r="X280" s="28" t="s">
        <v>1377</v>
      </c>
      <c r="Y280" s="28" t="s">
        <v>156</v>
      </c>
      <c r="Z280" s="30" t="s">
        <v>11</v>
      </c>
      <c r="AA280" s="28" t="s">
        <v>2285</v>
      </c>
      <c r="AB280" s="28" t="s">
        <v>2286</v>
      </c>
      <c r="AC280" s="28" t="s">
        <v>2276</v>
      </c>
      <c r="AD280" s="28" t="s">
        <v>2287</v>
      </c>
      <c r="AE280" s="28" t="s">
        <v>2289</v>
      </c>
      <c r="AF280" s="30" t="s">
        <v>69</v>
      </c>
      <c r="AG280" s="28" t="s">
        <v>2398</v>
      </c>
    </row>
    <row r="281" spans="1:33" x14ac:dyDescent="0.3">
      <c r="A281" s="28" t="s">
        <v>1382</v>
      </c>
      <c r="B281" s="34"/>
      <c r="C281" s="30" t="s">
        <v>11</v>
      </c>
      <c r="D281" s="28" t="s">
        <v>5</v>
      </c>
      <c r="E281" s="28">
        <v>200</v>
      </c>
      <c r="F281" s="30" t="s">
        <v>11</v>
      </c>
      <c r="G281" s="28" t="s">
        <v>1383</v>
      </c>
      <c r="H281" s="30" t="s">
        <v>11</v>
      </c>
      <c r="I281" s="28" t="s">
        <v>1384</v>
      </c>
      <c r="J281" s="30" t="s">
        <v>11</v>
      </c>
      <c r="K281" s="28" t="s">
        <v>1385</v>
      </c>
      <c r="L281" s="28" t="s">
        <v>157</v>
      </c>
      <c r="M281" s="30" t="s">
        <v>11</v>
      </c>
      <c r="N281" s="28" t="s">
        <v>1382</v>
      </c>
      <c r="O281" s="30" t="s">
        <v>11</v>
      </c>
      <c r="P281" s="28" t="s">
        <v>1386</v>
      </c>
      <c r="Q281" s="28" t="s">
        <v>1384</v>
      </c>
      <c r="R281" s="28" t="s">
        <v>981</v>
      </c>
      <c r="S281" s="28" t="s">
        <v>150</v>
      </c>
      <c r="T281" s="28" t="s">
        <v>1387</v>
      </c>
      <c r="U281" s="28" t="s">
        <v>1388</v>
      </c>
      <c r="V281" s="28" t="s">
        <v>1382</v>
      </c>
      <c r="W281" s="28" t="s">
        <v>1386</v>
      </c>
      <c r="X281" s="28" t="s">
        <v>1384</v>
      </c>
      <c r="Y281" s="28" t="s">
        <v>156</v>
      </c>
      <c r="Z281" s="30" t="s">
        <v>11</v>
      </c>
      <c r="AA281" s="28" t="s">
        <v>2285</v>
      </c>
      <c r="AB281" s="28" t="s">
        <v>2286</v>
      </c>
      <c r="AC281" s="28" t="s">
        <v>2276</v>
      </c>
      <c r="AD281" s="28" t="s">
        <v>2287</v>
      </c>
      <c r="AE281" s="28" t="s">
        <v>2401</v>
      </c>
      <c r="AF281" s="30" t="s">
        <v>69</v>
      </c>
      <c r="AG281" s="28" t="s">
        <v>2398</v>
      </c>
    </row>
    <row r="282" spans="1:33" x14ac:dyDescent="0.3">
      <c r="A282" s="28" t="s">
        <v>1389</v>
      </c>
      <c r="B282" s="34"/>
      <c r="C282" s="30" t="s">
        <v>11</v>
      </c>
      <c r="D282" s="28" t="s">
        <v>5</v>
      </c>
      <c r="E282" s="28">
        <v>200</v>
      </c>
      <c r="F282" s="30" t="s">
        <v>11</v>
      </c>
      <c r="G282" s="28" t="s">
        <v>1390</v>
      </c>
      <c r="H282" s="30" t="s">
        <v>11</v>
      </c>
      <c r="I282" s="28" t="s">
        <v>1391</v>
      </c>
      <c r="J282" s="30" t="s">
        <v>11</v>
      </c>
      <c r="K282" s="28" t="s">
        <v>1392</v>
      </c>
      <c r="L282" s="28" t="s">
        <v>157</v>
      </c>
      <c r="M282" s="30" t="s">
        <v>11</v>
      </c>
      <c r="N282" s="28" t="s">
        <v>1389</v>
      </c>
      <c r="O282" s="30" t="s">
        <v>11</v>
      </c>
      <c r="P282" s="28" t="s">
        <v>1393</v>
      </c>
      <c r="Q282" s="28" t="s">
        <v>1391</v>
      </c>
      <c r="R282" s="28" t="s">
        <v>981</v>
      </c>
      <c r="S282" s="28" t="s">
        <v>150</v>
      </c>
      <c r="T282" s="28" t="s">
        <v>1394</v>
      </c>
      <c r="U282" s="28" t="s">
        <v>1395</v>
      </c>
      <c r="V282" s="28" t="s">
        <v>1389</v>
      </c>
      <c r="W282" s="28" t="s">
        <v>1393</v>
      </c>
      <c r="X282" s="28" t="s">
        <v>1391</v>
      </c>
      <c r="Y282" s="28" t="s">
        <v>156</v>
      </c>
      <c r="Z282" s="30" t="s">
        <v>11</v>
      </c>
      <c r="AA282" s="28" t="s">
        <v>2285</v>
      </c>
      <c r="AB282" s="28" t="s">
        <v>2286</v>
      </c>
      <c r="AC282" s="28" t="s">
        <v>2276</v>
      </c>
      <c r="AD282" s="28" t="s">
        <v>2287</v>
      </c>
      <c r="AE282" s="28" t="s">
        <v>2289</v>
      </c>
      <c r="AF282" s="30" t="s">
        <v>69</v>
      </c>
      <c r="AG282" s="28" t="s">
        <v>2398</v>
      </c>
    </row>
    <row r="283" spans="1:33" x14ac:dyDescent="0.3">
      <c r="A283" s="28" t="s">
        <v>1396</v>
      </c>
      <c r="B283" s="34"/>
      <c r="C283" s="30" t="s">
        <v>11</v>
      </c>
      <c r="D283" s="28" t="s">
        <v>5</v>
      </c>
      <c r="E283" s="28">
        <v>200</v>
      </c>
      <c r="F283" s="30" t="s">
        <v>11</v>
      </c>
      <c r="G283" s="28" t="s">
        <v>1397</v>
      </c>
      <c r="H283" s="30" t="s">
        <v>11</v>
      </c>
      <c r="I283" s="28" t="s">
        <v>1398</v>
      </c>
      <c r="J283" s="30" t="s">
        <v>11</v>
      </c>
      <c r="K283" s="28" t="s">
        <v>1399</v>
      </c>
      <c r="L283" s="28" t="s">
        <v>157</v>
      </c>
      <c r="M283" s="30" t="s">
        <v>11</v>
      </c>
      <c r="N283" s="28" t="s">
        <v>1396</v>
      </c>
      <c r="O283" s="30" t="s">
        <v>11</v>
      </c>
      <c r="P283" s="28" t="s">
        <v>1400</v>
      </c>
      <c r="Q283" s="28" t="s">
        <v>1398</v>
      </c>
      <c r="R283" s="28" t="s">
        <v>981</v>
      </c>
      <c r="S283" s="28" t="s">
        <v>150</v>
      </c>
      <c r="T283" s="28" t="s">
        <v>1401</v>
      </c>
      <c r="U283" s="28" t="s">
        <v>1402</v>
      </c>
      <c r="V283" s="28" t="s">
        <v>1396</v>
      </c>
      <c r="W283" s="28" t="s">
        <v>1400</v>
      </c>
      <c r="X283" s="28" t="s">
        <v>1398</v>
      </c>
      <c r="Y283" s="28" t="s">
        <v>156</v>
      </c>
      <c r="Z283" s="30" t="s">
        <v>11</v>
      </c>
      <c r="AA283" s="28" t="s">
        <v>2285</v>
      </c>
      <c r="AB283" s="28" t="s">
        <v>2286</v>
      </c>
      <c r="AC283" s="28" t="s">
        <v>2276</v>
      </c>
      <c r="AD283" s="28" t="s">
        <v>2287</v>
      </c>
      <c r="AE283" s="28" t="s">
        <v>2401</v>
      </c>
      <c r="AF283" s="30" t="s">
        <v>69</v>
      </c>
      <c r="AG283" s="28" t="s">
        <v>2398</v>
      </c>
    </row>
    <row r="284" spans="1:33" x14ac:dyDescent="0.3">
      <c r="A284" s="28" t="s">
        <v>1404</v>
      </c>
      <c r="B284" s="34"/>
      <c r="C284" s="30" t="s">
        <v>70</v>
      </c>
      <c r="D284" s="28" t="s">
        <v>5</v>
      </c>
      <c r="E284" s="28">
        <v>200</v>
      </c>
      <c r="F284" s="30" t="s">
        <v>11</v>
      </c>
      <c r="G284" s="28" t="s">
        <v>1405</v>
      </c>
      <c r="H284" s="30" t="s">
        <v>11</v>
      </c>
      <c r="I284" s="28" t="s">
        <v>1406</v>
      </c>
      <c r="J284" s="30" t="s">
        <v>11</v>
      </c>
      <c r="K284" s="28" t="s">
        <v>1407</v>
      </c>
      <c r="L284" s="28" t="s">
        <v>157</v>
      </c>
      <c r="M284" s="30" t="s">
        <v>11</v>
      </c>
      <c r="N284" s="28" t="s">
        <v>1404</v>
      </c>
      <c r="O284" s="30" t="s">
        <v>11</v>
      </c>
      <c r="P284" s="28" t="s">
        <v>1408</v>
      </c>
      <c r="Q284" s="28" t="s">
        <v>1406</v>
      </c>
      <c r="R284" s="28" t="s">
        <v>981</v>
      </c>
      <c r="S284" s="28" t="s">
        <v>150</v>
      </c>
      <c r="T284" s="28" t="s">
        <v>1409</v>
      </c>
      <c r="U284" s="28" t="s">
        <v>1410</v>
      </c>
      <c r="V284" s="28" t="s">
        <v>1404</v>
      </c>
      <c r="W284" s="28" t="s">
        <v>1408</v>
      </c>
      <c r="X284" s="28" t="s">
        <v>1406</v>
      </c>
      <c r="Y284" s="28" t="s">
        <v>156</v>
      </c>
      <c r="Z284" s="30" t="s">
        <v>11</v>
      </c>
      <c r="AA284" s="28" t="s">
        <v>2285</v>
      </c>
      <c r="AB284" s="28" t="s">
        <v>2286</v>
      </c>
      <c r="AC284" s="28" t="s">
        <v>2276</v>
      </c>
      <c r="AD284" s="28" t="s">
        <v>2287</v>
      </c>
      <c r="AE284" s="28" t="s">
        <v>2401</v>
      </c>
      <c r="AF284" s="30" t="s">
        <v>69</v>
      </c>
      <c r="AG284" s="28" t="s">
        <v>2398</v>
      </c>
    </row>
    <row r="285" spans="1:33" x14ac:dyDescent="0.3">
      <c r="A285" s="28" t="s">
        <v>1411</v>
      </c>
      <c r="B285" s="34"/>
      <c r="C285" s="30" t="s">
        <v>70</v>
      </c>
      <c r="D285" s="28" t="s">
        <v>5</v>
      </c>
      <c r="E285" s="28">
        <v>200</v>
      </c>
      <c r="F285" s="30" t="s">
        <v>11</v>
      </c>
      <c r="G285" s="28" t="s">
        <v>1412</v>
      </c>
      <c r="H285" s="30" t="s">
        <v>11</v>
      </c>
      <c r="I285" s="28" t="s">
        <v>1413</v>
      </c>
      <c r="J285" s="30" t="s">
        <v>11</v>
      </c>
      <c r="K285" s="28" t="s">
        <v>1414</v>
      </c>
      <c r="L285" s="28" t="s">
        <v>157</v>
      </c>
      <c r="M285" s="30" t="s">
        <v>11</v>
      </c>
      <c r="N285" s="28" t="s">
        <v>1411</v>
      </c>
      <c r="O285" s="30" t="s">
        <v>11</v>
      </c>
      <c r="P285" s="28" t="s">
        <v>1415</v>
      </c>
      <c r="Q285" s="28" t="s">
        <v>1413</v>
      </c>
      <c r="R285" s="28" t="s">
        <v>981</v>
      </c>
      <c r="S285" s="28" t="s">
        <v>150</v>
      </c>
      <c r="T285" s="28" t="s">
        <v>1416</v>
      </c>
      <c r="U285" s="28" t="s">
        <v>1417</v>
      </c>
      <c r="V285" s="28" t="s">
        <v>1411</v>
      </c>
      <c r="W285" s="28" t="s">
        <v>1415</v>
      </c>
      <c r="X285" s="28" t="s">
        <v>1413</v>
      </c>
      <c r="Y285" s="28" t="s">
        <v>156</v>
      </c>
      <c r="Z285" s="30" t="s">
        <v>11</v>
      </c>
      <c r="AA285" s="28" t="s">
        <v>2285</v>
      </c>
      <c r="AB285" s="28" t="s">
        <v>2286</v>
      </c>
      <c r="AC285" s="28" t="s">
        <v>2276</v>
      </c>
      <c r="AD285" s="28" t="s">
        <v>2287</v>
      </c>
      <c r="AE285" s="28" t="s">
        <v>2401</v>
      </c>
      <c r="AF285" s="30" t="s">
        <v>69</v>
      </c>
      <c r="AG285" s="28" t="s">
        <v>2398</v>
      </c>
    </row>
    <row r="286" spans="1:33" x14ac:dyDescent="0.3">
      <c r="A286" s="28" t="s">
        <v>1418</v>
      </c>
      <c r="B286" s="34"/>
      <c r="C286" s="30" t="s">
        <v>11</v>
      </c>
      <c r="D286" s="28" t="s">
        <v>5</v>
      </c>
      <c r="E286" s="28">
        <v>200</v>
      </c>
      <c r="F286" s="30" t="s">
        <v>11</v>
      </c>
      <c r="G286" s="28" t="s">
        <v>1419</v>
      </c>
      <c r="H286" s="30" t="s">
        <v>11</v>
      </c>
      <c r="I286" s="28" t="s">
        <v>1421</v>
      </c>
      <c r="J286" s="30" t="s">
        <v>11</v>
      </c>
      <c r="K286" s="28" t="s">
        <v>1420</v>
      </c>
      <c r="L286" s="28" t="s">
        <v>157</v>
      </c>
      <c r="M286" s="30" t="s">
        <v>11</v>
      </c>
      <c r="N286" s="28" t="s">
        <v>1418</v>
      </c>
      <c r="O286" s="30" t="s">
        <v>11</v>
      </c>
      <c r="P286" s="28" t="s">
        <v>1422</v>
      </c>
      <c r="Q286" s="28" t="s">
        <v>1421</v>
      </c>
      <c r="R286" s="28" t="s">
        <v>981</v>
      </c>
      <c r="S286" s="28" t="s">
        <v>150</v>
      </c>
      <c r="T286" s="28" t="s">
        <v>1423</v>
      </c>
      <c r="U286" s="28" t="s">
        <v>1424</v>
      </c>
      <c r="V286" s="28" t="s">
        <v>1418</v>
      </c>
      <c r="W286" s="28" t="s">
        <v>1422</v>
      </c>
      <c r="X286" s="28" t="s">
        <v>1421</v>
      </c>
      <c r="Y286" s="28" t="s">
        <v>156</v>
      </c>
      <c r="Z286" s="30" t="s">
        <v>11</v>
      </c>
      <c r="AA286" s="28" t="s">
        <v>2285</v>
      </c>
      <c r="AB286" s="28" t="s">
        <v>2286</v>
      </c>
      <c r="AC286" s="28" t="s">
        <v>2276</v>
      </c>
      <c r="AD286" s="28" t="s">
        <v>2287</v>
      </c>
      <c r="AE286" s="28" t="s">
        <v>2289</v>
      </c>
      <c r="AF286" s="30" t="s">
        <v>69</v>
      </c>
      <c r="AG286" s="28" t="s">
        <v>2398</v>
      </c>
    </row>
    <row r="287" spans="1:33" x14ac:dyDescent="0.3">
      <c r="A287" s="28" t="s">
        <v>1426</v>
      </c>
      <c r="B287" s="34"/>
      <c r="C287" s="30" t="s">
        <v>11</v>
      </c>
      <c r="D287" s="28" t="s">
        <v>5</v>
      </c>
      <c r="E287" s="28">
        <v>200</v>
      </c>
      <c r="F287" s="30" t="s">
        <v>11</v>
      </c>
      <c r="G287" s="28" t="s">
        <v>1427</v>
      </c>
      <c r="H287" s="30" t="s">
        <v>11</v>
      </c>
      <c r="I287" s="28" t="s">
        <v>1428</v>
      </c>
      <c r="J287" s="30" t="s">
        <v>11</v>
      </c>
      <c r="K287" s="28" t="s">
        <v>1429</v>
      </c>
      <c r="L287" s="28" t="s">
        <v>157</v>
      </c>
      <c r="M287" s="30" t="s">
        <v>11</v>
      </c>
      <c r="N287" s="28" t="s">
        <v>1426</v>
      </c>
      <c r="O287" s="30" t="s">
        <v>11</v>
      </c>
      <c r="P287" s="28" t="s">
        <v>1430</v>
      </c>
      <c r="Q287" s="28" t="s">
        <v>1428</v>
      </c>
      <c r="R287" s="28" t="s">
        <v>981</v>
      </c>
      <c r="S287" s="28" t="s">
        <v>150</v>
      </c>
      <c r="T287" s="28" t="s">
        <v>1431</v>
      </c>
      <c r="U287" s="28" t="s">
        <v>1432</v>
      </c>
      <c r="V287" s="28" t="s">
        <v>1426</v>
      </c>
      <c r="W287" s="28" t="s">
        <v>1430</v>
      </c>
      <c r="X287" s="28" t="s">
        <v>1428</v>
      </c>
      <c r="Y287" s="28" t="s">
        <v>156</v>
      </c>
      <c r="Z287" s="30" t="s">
        <v>11</v>
      </c>
      <c r="AA287" s="28" t="s">
        <v>2285</v>
      </c>
      <c r="AB287" s="28" t="s">
        <v>2286</v>
      </c>
      <c r="AC287" s="28" t="s">
        <v>2276</v>
      </c>
      <c r="AD287" s="28" t="s">
        <v>2287</v>
      </c>
      <c r="AE287" s="28" t="s">
        <v>2401</v>
      </c>
      <c r="AF287" s="30" t="s">
        <v>69</v>
      </c>
      <c r="AG287" s="28" t="s">
        <v>2398</v>
      </c>
    </row>
    <row r="288" spans="1:33" x14ac:dyDescent="0.3">
      <c r="A288" s="28" t="s">
        <v>1433</v>
      </c>
      <c r="B288" s="34"/>
      <c r="C288" s="30" t="s">
        <v>11</v>
      </c>
      <c r="D288" s="28" t="s">
        <v>5</v>
      </c>
      <c r="E288" s="28">
        <v>200</v>
      </c>
      <c r="F288" s="30" t="s">
        <v>11</v>
      </c>
      <c r="G288" s="28" t="s">
        <v>1434</v>
      </c>
      <c r="H288" s="30" t="s">
        <v>11</v>
      </c>
      <c r="I288" s="28" t="s">
        <v>1435</v>
      </c>
      <c r="J288" s="30" t="s">
        <v>11</v>
      </c>
      <c r="K288" s="28" t="s">
        <v>1436</v>
      </c>
      <c r="L288" s="28" t="s">
        <v>157</v>
      </c>
      <c r="M288" s="30" t="s">
        <v>11</v>
      </c>
      <c r="N288" s="28" t="s">
        <v>1433</v>
      </c>
      <c r="O288" s="30" t="s">
        <v>11</v>
      </c>
      <c r="P288" s="28" t="s">
        <v>1437</v>
      </c>
      <c r="Q288" s="28" t="s">
        <v>1435</v>
      </c>
      <c r="R288" s="28" t="s">
        <v>981</v>
      </c>
      <c r="S288" s="28" t="s">
        <v>150</v>
      </c>
      <c r="T288" s="28" t="s">
        <v>1438</v>
      </c>
      <c r="U288" s="28" t="s">
        <v>1439</v>
      </c>
      <c r="V288" s="28" t="s">
        <v>1433</v>
      </c>
      <c r="W288" s="28" t="s">
        <v>1437</v>
      </c>
      <c r="X288" s="28" t="s">
        <v>1435</v>
      </c>
      <c r="Y288" s="28" t="s">
        <v>156</v>
      </c>
      <c r="Z288" s="30" t="s">
        <v>11</v>
      </c>
      <c r="AA288" s="28" t="s">
        <v>2285</v>
      </c>
      <c r="AB288" s="28" t="s">
        <v>2286</v>
      </c>
      <c r="AC288" s="28" t="s">
        <v>2276</v>
      </c>
      <c r="AD288" s="28" t="s">
        <v>2287</v>
      </c>
      <c r="AE288" s="28" t="s">
        <v>2401</v>
      </c>
      <c r="AF288" s="30" t="s">
        <v>69</v>
      </c>
      <c r="AG288" s="28" t="s">
        <v>2398</v>
      </c>
    </row>
    <row r="289" spans="1:33" x14ac:dyDescent="0.3">
      <c r="A289" s="28" t="s">
        <v>1441</v>
      </c>
      <c r="B289" s="34"/>
      <c r="C289" s="30" t="s">
        <v>11</v>
      </c>
      <c r="D289" s="28" t="s">
        <v>5</v>
      </c>
      <c r="E289" s="28">
        <v>200</v>
      </c>
      <c r="F289" s="30" t="s">
        <v>11</v>
      </c>
      <c r="G289" s="28" t="s">
        <v>1442</v>
      </c>
      <c r="H289" s="30" t="s">
        <v>11</v>
      </c>
      <c r="I289" s="28" t="s">
        <v>1443</v>
      </c>
      <c r="J289" s="30" t="s">
        <v>11</v>
      </c>
      <c r="K289" s="28" t="s">
        <v>1444</v>
      </c>
      <c r="L289" s="28" t="s">
        <v>157</v>
      </c>
      <c r="M289" s="30" t="s">
        <v>11</v>
      </c>
      <c r="N289" s="28" t="s">
        <v>1441</v>
      </c>
      <c r="O289" s="30" t="s">
        <v>11</v>
      </c>
      <c r="P289" s="28" t="s">
        <v>1445</v>
      </c>
      <c r="Q289" s="28" t="s">
        <v>1443</v>
      </c>
      <c r="R289" s="28" t="s">
        <v>981</v>
      </c>
      <c r="S289" s="28" t="s">
        <v>150</v>
      </c>
      <c r="T289" s="28" t="s">
        <v>1446</v>
      </c>
      <c r="U289" s="28" t="s">
        <v>1447</v>
      </c>
      <c r="V289" s="28" t="s">
        <v>1441</v>
      </c>
      <c r="W289" s="28" t="s">
        <v>1445</v>
      </c>
      <c r="X289" s="28" t="s">
        <v>1443</v>
      </c>
      <c r="Y289" s="28" t="s">
        <v>156</v>
      </c>
      <c r="Z289" s="30" t="s">
        <v>11</v>
      </c>
      <c r="AA289" s="28" t="s">
        <v>2285</v>
      </c>
      <c r="AB289" s="28" t="s">
        <v>2286</v>
      </c>
      <c r="AC289" s="28" t="s">
        <v>2276</v>
      </c>
      <c r="AD289" s="28" t="s">
        <v>2287</v>
      </c>
      <c r="AE289" s="28" t="s">
        <v>2401</v>
      </c>
      <c r="AF289" s="30" t="s">
        <v>69</v>
      </c>
      <c r="AG289" s="28" t="s">
        <v>2398</v>
      </c>
    </row>
    <row r="290" spans="1:33" x14ac:dyDescent="0.3">
      <c r="A290" s="28" t="s">
        <v>1448</v>
      </c>
      <c r="B290" s="34"/>
      <c r="C290" s="30" t="s">
        <v>11</v>
      </c>
      <c r="D290" s="28" t="s">
        <v>5</v>
      </c>
      <c r="E290" s="28">
        <v>200</v>
      </c>
      <c r="F290" s="30" t="s">
        <v>11</v>
      </c>
      <c r="G290" s="28" t="s">
        <v>1449</v>
      </c>
      <c r="H290" s="30" t="s">
        <v>11</v>
      </c>
      <c r="I290" s="28" t="s">
        <v>1050</v>
      </c>
      <c r="J290" s="30" t="s">
        <v>60</v>
      </c>
      <c r="K290" s="28" t="s">
        <v>1450</v>
      </c>
      <c r="L290" s="28" t="s">
        <v>157</v>
      </c>
      <c r="M290" s="30" t="s">
        <v>11</v>
      </c>
      <c r="N290" s="28" t="s">
        <v>1448</v>
      </c>
      <c r="O290" s="30" t="s">
        <v>11</v>
      </c>
      <c r="P290" s="28" t="s">
        <v>1451</v>
      </c>
      <c r="Q290" s="28" t="s">
        <v>1050</v>
      </c>
      <c r="R290" s="28" t="s">
        <v>981</v>
      </c>
      <c r="S290" s="28" t="s">
        <v>150</v>
      </c>
      <c r="T290" s="28" t="s">
        <v>1452</v>
      </c>
      <c r="U290" s="28" t="s">
        <v>1453</v>
      </c>
      <c r="V290" s="28" t="s">
        <v>1448</v>
      </c>
      <c r="W290" s="28" t="s">
        <v>1451</v>
      </c>
      <c r="X290" s="28" t="s">
        <v>1050</v>
      </c>
      <c r="Y290" s="28" t="s">
        <v>156</v>
      </c>
      <c r="Z290" s="30" t="s">
        <v>56</v>
      </c>
      <c r="AA290" s="28" t="s">
        <v>2285</v>
      </c>
      <c r="AB290" s="28" t="s">
        <v>2286</v>
      </c>
      <c r="AC290" s="28" t="s">
        <v>2276</v>
      </c>
      <c r="AD290" s="28" t="s">
        <v>2287</v>
      </c>
      <c r="AE290" s="28" t="s">
        <v>2401</v>
      </c>
      <c r="AF290" s="30" t="s">
        <v>69</v>
      </c>
      <c r="AG290" s="28" t="s">
        <v>2398</v>
      </c>
    </row>
    <row r="291" spans="1:33" x14ac:dyDescent="0.3">
      <c r="A291" s="28" t="s">
        <v>1454</v>
      </c>
      <c r="B291" s="34"/>
      <c r="C291" s="30" t="s">
        <v>11</v>
      </c>
      <c r="D291" s="28" t="s">
        <v>5</v>
      </c>
      <c r="E291" s="28">
        <v>200</v>
      </c>
      <c r="F291" s="30" t="s">
        <v>11</v>
      </c>
      <c r="G291" s="28" t="s">
        <v>1455</v>
      </c>
      <c r="H291" s="30" t="s">
        <v>11</v>
      </c>
      <c r="I291" s="28" t="s">
        <v>1050</v>
      </c>
      <c r="J291" s="30" t="s">
        <v>60</v>
      </c>
      <c r="K291" s="28" t="s">
        <v>1456</v>
      </c>
      <c r="L291" s="28" t="s">
        <v>157</v>
      </c>
      <c r="M291" s="30" t="s">
        <v>11</v>
      </c>
      <c r="N291" s="28" t="s">
        <v>1454</v>
      </c>
      <c r="O291" s="30" t="s">
        <v>11</v>
      </c>
      <c r="P291" s="28" t="s">
        <v>1457</v>
      </c>
      <c r="Q291" s="28" t="s">
        <v>1050</v>
      </c>
      <c r="R291" s="28" t="s">
        <v>981</v>
      </c>
      <c r="S291" s="28" t="s">
        <v>150</v>
      </c>
      <c r="T291" s="28" t="s">
        <v>1458</v>
      </c>
      <c r="U291" s="28" t="s">
        <v>1459</v>
      </c>
      <c r="V291" s="28" t="s">
        <v>1454</v>
      </c>
      <c r="W291" s="28" t="s">
        <v>1457</v>
      </c>
      <c r="X291" s="28" t="s">
        <v>1050</v>
      </c>
      <c r="Y291" s="28" t="s">
        <v>156</v>
      </c>
      <c r="Z291" s="30" t="s">
        <v>56</v>
      </c>
      <c r="AA291" s="28" t="s">
        <v>2285</v>
      </c>
      <c r="AB291" s="28" t="s">
        <v>2286</v>
      </c>
      <c r="AC291" s="28" t="s">
        <v>2276</v>
      </c>
      <c r="AD291" s="28" t="s">
        <v>2287</v>
      </c>
      <c r="AE291" s="28" t="s">
        <v>2401</v>
      </c>
      <c r="AF291" s="30" t="s">
        <v>69</v>
      </c>
      <c r="AG291" s="28" t="s">
        <v>2398</v>
      </c>
    </row>
    <row r="292" spans="1:33" x14ac:dyDescent="0.3">
      <c r="A292" s="28" t="s">
        <v>1460</v>
      </c>
      <c r="B292" s="34"/>
      <c r="C292" s="30" t="s">
        <v>11</v>
      </c>
      <c r="D292" s="28" t="s">
        <v>5</v>
      </c>
      <c r="E292" s="28">
        <v>200</v>
      </c>
      <c r="F292" s="30" t="s">
        <v>11</v>
      </c>
      <c r="G292" s="28" t="s">
        <v>1461</v>
      </c>
      <c r="H292" s="30" t="s">
        <v>11</v>
      </c>
      <c r="I292" s="28" t="s">
        <v>1050</v>
      </c>
      <c r="J292" s="30" t="s">
        <v>60</v>
      </c>
      <c r="K292" s="28" t="s">
        <v>1462</v>
      </c>
      <c r="L292" s="28" t="s">
        <v>157</v>
      </c>
      <c r="M292" s="30" t="s">
        <v>11</v>
      </c>
      <c r="N292" s="28" t="s">
        <v>1460</v>
      </c>
      <c r="O292" s="30" t="s">
        <v>11</v>
      </c>
      <c r="P292" s="28" t="s">
        <v>1463</v>
      </c>
      <c r="Q292" s="28" t="s">
        <v>1050</v>
      </c>
      <c r="R292" s="28" t="s">
        <v>981</v>
      </c>
      <c r="S292" s="28" t="s">
        <v>150</v>
      </c>
      <c r="T292" s="28" t="s">
        <v>1464</v>
      </c>
      <c r="U292" s="28" t="s">
        <v>1465</v>
      </c>
      <c r="V292" s="28" t="s">
        <v>1460</v>
      </c>
      <c r="W292" s="28" t="s">
        <v>1463</v>
      </c>
      <c r="X292" s="28" t="s">
        <v>1050</v>
      </c>
      <c r="Y292" s="28" t="s">
        <v>156</v>
      </c>
      <c r="Z292" s="30" t="s">
        <v>56</v>
      </c>
      <c r="AA292" s="28" t="s">
        <v>2285</v>
      </c>
      <c r="AB292" s="28" t="s">
        <v>2286</v>
      </c>
      <c r="AC292" s="28" t="s">
        <v>2276</v>
      </c>
      <c r="AD292" s="28" t="s">
        <v>2287</v>
      </c>
      <c r="AE292" s="28" t="s">
        <v>2401</v>
      </c>
      <c r="AF292" s="30" t="s">
        <v>69</v>
      </c>
      <c r="AG292" s="28" t="s">
        <v>2398</v>
      </c>
    </row>
    <row r="293" spans="1:33" x14ac:dyDescent="0.3">
      <c r="A293" s="28" t="s">
        <v>1466</v>
      </c>
      <c r="B293" s="34"/>
      <c r="C293" s="30" t="s">
        <v>11</v>
      </c>
      <c r="D293" s="28" t="s">
        <v>5</v>
      </c>
      <c r="E293" s="28">
        <v>200</v>
      </c>
      <c r="F293" s="30" t="s">
        <v>11</v>
      </c>
      <c r="G293" s="28" t="s">
        <v>1467</v>
      </c>
      <c r="H293" s="30" t="s">
        <v>11</v>
      </c>
      <c r="I293" s="28" t="s">
        <v>1468</v>
      </c>
      <c r="J293" s="30" t="s">
        <v>11</v>
      </c>
      <c r="K293" s="28" t="s">
        <v>1469</v>
      </c>
      <c r="L293" s="28" t="s">
        <v>157</v>
      </c>
      <c r="M293" s="30" t="s">
        <v>11</v>
      </c>
      <c r="N293" s="28" t="s">
        <v>1466</v>
      </c>
      <c r="O293" s="30" t="s">
        <v>11</v>
      </c>
      <c r="P293" s="28" t="s">
        <v>1470</v>
      </c>
      <c r="Q293" s="28" t="s">
        <v>1468</v>
      </c>
      <c r="R293" s="28" t="s">
        <v>981</v>
      </c>
      <c r="S293" s="28" t="s">
        <v>150</v>
      </c>
      <c r="T293" s="28" t="s">
        <v>1471</v>
      </c>
      <c r="U293" s="28" t="s">
        <v>1472</v>
      </c>
      <c r="V293" s="28" t="s">
        <v>1466</v>
      </c>
      <c r="W293" s="28" t="s">
        <v>1470</v>
      </c>
      <c r="X293" s="28" t="s">
        <v>1468</v>
      </c>
      <c r="Y293" s="28" t="s">
        <v>156</v>
      </c>
      <c r="Z293" s="30" t="s">
        <v>11</v>
      </c>
      <c r="AA293" s="28" t="s">
        <v>2285</v>
      </c>
      <c r="AB293" s="28" t="s">
        <v>2286</v>
      </c>
      <c r="AC293" s="28" t="s">
        <v>2276</v>
      </c>
      <c r="AD293" s="28" t="s">
        <v>2287</v>
      </c>
      <c r="AE293" s="28" t="s">
        <v>2401</v>
      </c>
      <c r="AF293" s="30" t="s">
        <v>69</v>
      </c>
      <c r="AG293" s="28" t="s">
        <v>2398</v>
      </c>
    </row>
    <row r="294" spans="1:33" x14ac:dyDescent="0.3">
      <c r="A294" s="28" t="s">
        <v>1473</v>
      </c>
      <c r="B294" s="34"/>
      <c r="C294" s="30" t="s">
        <v>11</v>
      </c>
      <c r="D294" s="28" t="s">
        <v>5</v>
      </c>
      <c r="E294" s="28">
        <v>200</v>
      </c>
      <c r="F294" s="30" t="s">
        <v>11</v>
      </c>
      <c r="G294" s="28" t="s">
        <v>1474</v>
      </c>
      <c r="H294" s="30" t="s">
        <v>11</v>
      </c>
      <c r="I294" s="28" t="s">
        <v>1475</v>
      </c>
      <c r="J294" s="30" t="s">
        <v>11</v>
      </c>
      <c r="K294" s="28" t="s">
        <v>1476</v>
      </c>
      <c r="L294" s="28" t="s">
        <v>157</v>
      </c>
      <c r="M294" s="30" t="s">
        <v>11</v>
      </c>
      <c r="N294" s="28" t="s">
        <v>1473</v>
      </c>
      <c r="O294" s="30" t="s">
        <v>11</v>
      </c>
      <c r="P294" s="28" t="s">
        <v>1477</v>
      </c>
      <c r="Q294" s="28" t="s">
        <v>1475</v>
      </c>
      <c r="R294" s="28" t="s">
        <v>981</v>
      </c>
      <c r="S294" s="28" t="s">
        <v>150</v>
      </c>
      <c r="T294" s="28" t="s">
        <v>1478</v>
      </c>
      <c r="U294" s="28" t="s">
        <v>1479</v>
      </c>
      <c r="V294" s="28" t="s">
        <v>1473</v>
      </c>
      <c r="W294" s="28" t="s">
        <v>1477</v>
      </c>
      <c r="X294" s="28" t="s">
        <v>1475</v>
      </c>
      <c r="Y294" s="28" t="s">
        <v>156</v>
      </c>
      <c r="Z294" s="30" t="s">
        <v>11</v>
      </c>
      <c r="AA294" s="28" t="s">
        <v>2285</v>
      </c>
      <c r="AB294" s="28" t="s">
        <v>2286</v>
      </c>
      <c r="AC294" s="28" t="s">
        <v>2276</v>
      </c>
      <c r="AD294" s="28" t="s">
        <v>2287</v>
      </c>
      <c r="AE294" s="28" t="s">
        <v>2401</v>
      </c>
      <c r="AF294" s="30" t="s">
        <v>69</v>
      </c>
      <c r="AG294" s="28" t="s">
        <v>2398</v>
      </c>
    </row>
    <row r="295" spans="1:33" x14ac:dyDescent="0.3">
      <c r="A295" s="28" t="s">
        <v>1480</v>
      </c>
      <c r="B295" s="34"/>
      <c r="C295" s="30" t="s">
        <v>11</v>
      </c>
      <c r="D295" s="28" t="s">
        <v>5</v>
      </c>
      <c r="E295" s="28">
        <v>200</v>
      </c>
      <c r="F295" s="30" t="s">
        <v>11</v>
      </c>
      <c r="G295" s="28" t="s">
        <v>1481</v>
      </c>
      <c r="H295" s="30" t="s">
        <v>11</v>
      </c>
      <c r="I295" s="28" t="s">
        <v>1482</v>
      </c>
      <c r="J295" s="30" t="s">
        <v>11</v>
      </c>
      <c r="K295" s="28" t="s">
        <v>1483</v>
      </c>
      <c r="L295" s="28" t="s">
        <v>157</v>
      </c>
      <c r="M295" s="30" t="s">
        <v>11</v>
      </c>
      <c r="N295" s="28" t="s">
        <v>1480</v>
      </c>
      <c r="O295" s="30" t="s">
        <v>11</v>
      </c>
      <c r="P295" s="28" t="s">
        <v>1484</v>
      </c>
      <c r="Q295" s="28" t="s">
        <v>1482</v>
      </c>
      <c r="R295" s="28" t="s">
        <v>981</v>
      </c>
      <c r="S295" s="28" t="s">
        <v>150</v>
      </c>
      <c r="T295" s="28" t="s">
        <v>1485</v>
      </c>
      <c r="U295" s="28" t="s">
        <v>1486</v>
      </c>
      <c r="V295" s="28" t="s">
        <v>1480</v>
      </c>
      <c r="W295" s="28" t="s">
        <v>1484</v>
      </c>
      <c r="X295" s="28" t="s">
        <v>1482</v>
      </c>
      <c r="Y295" s="28" t="s">
        <v>156</v>
      </c>
      <c r="Z295" s="30" t="s">
        <v>11</v>
      </c>
      <c r="AA295" s="28" t="s">
        <v>2285</v>
      </c>
      <c r="AB295" s="28" t="s">
        <v>2286</v>
      </c>
      <c r="AC295" s="28" t="s">
        <v>2276</v>
      </c>
      <c r="AD295" s="28" t="s">
        <v>2287</v>
      </c>
      <c r="AE295" s="28" t="s">
        <v>2401</v>
      </c>
      <c r="AF295" s="30" t="s">
        <v>69</v>
      </c>
      <c r="AG295" s="28" t="s">
        <v>2398</v>
      </c>
    </row>
    <row r="296" spans="1:33" x14ac:dyDescent="0.3">
      <c r="A296" s="28" t="s">
        <v>1487</v>
      </c>
      <c r="B296" s="34"/>
      <c r="C296" s="30" t="s">
        <v>11</v>
      </c>
      <c r="D296" s="28" t="s">
        <v>5</v>
      </c>
      <c r="E296" s="28">
        <v>200</v>
      </c>
      <c r="F296" s="30" t="s">
        <v>11</v>
      </c>
      <c r="G296" s="28" t="s">
        <v>1488</v>
      </c>
      <c r="H296" s="30" t="s">
        <v>11</v>
      </c>
      <c r="I296" s="28" t="s">
        <v>1489</v>
      </c>
      <c r="J296" s="30" t="s">
        <v>11</v>
      </c>
      <c r="K296" s="28" t="s">
        <v>1490</v>
      </c>
      <c r="L296" s="28" t="s">
        <v>157</v>
      </c>
      <c r="M296" s="30" t="s">
        <v>11</v>
      </c>
      <c r="N296" s="28" t="s">
        <v>1487</v>
      </c>
      <c r="O296" s="30" t="s">
        <v>11</v>
      </c>
      <c r="P296" s="28" t="s">
        <v>1491</v>
      </c>
      <c r="Q296" s="28" t="s">
        <v>1489</v>
      </c>
      <c r="R296" s="28" t="s">
        <v>981</v>
      </c>
      <c r="S296" s="28" t="s">
        <v>150</v>
      </c>
      <c r="T296" s="28" t="s">
        <v>1492</v>
      </c>
      <c r="U296" s="28" t="s">
        <v>1493</v>
      </c>
      <c r="V296" s="28" t="s">
        <v>1487</v>
      </c>
      <c r="W296" s="28" t="s">
        <v>1491</v>
      </c>
      <c r="X296" s="28" t="s">
        <v>1489</v>
      </c>
      <c r="Y296" s="28" t="s">
        <v>156</v>
      </c>
      <c r="Z296" s="30" t="s">
        <v>11</v>
      </c>
      <c r="AA296" s="28" t="s">
        <v>2285</v>
      </c>
      <c r="AB296" s="28" t="s">
        <v>2286</v>
      </c>
      <c r="AC296" s="28" t="s">
        <v>2276</v>
      </c>
      <c r="AD296" s="28" t="s">
        <v>2287</v>
      </c>
      <c r="AE296" s="28" t="s">
        <v>2401</v>
      </c>
      <c r="AF296" s="30" t="s">
        <v>69</v>
      </c>
      <c r="AG296" s="28" t="s">
        <v>2398</v>
      </c>
    </row>
    <row r="297" spans="1:33" x14ac:dyDescent="0.3">
      <c r="A297" s="28" t="s">
        <v>1495</v>
      </c>
      <c r="B297" s="34"/>
      <c r="C297" s="30" t="s">
        <v>11</v>
      </c>
      <c r="D297" s="28" t="s">
        <v>5</v>
      </c>
      <c r="E297" s="28">
        <v>200</v>
      </c>
      <c r="F297" s="30" t="s">
        <v>11</v>
      </c>
      <c r="G297" s="28" t="s">
        <v>1496</v>
      </c>
      <c r="H297" s="30" t="s">
        <v>11</v>
      </c>
      <c r="I297" s="28" t="s">
        <v>1497</v>
      </c>
      <c r="J297" s="30" t="s">
        <v>11</v>
      </c>
      <c r="K297" s="28" t="s">
        <v>1498</v>
      </c>
      <c r="L297" s="28" t="s">
        <v>157</v>
      </c>
      <c r="M297" s="30" t="s">
        <v>11</v>
      </c>
      <c r="N297" s="28" t="s">
        <v>1495</v>
      </c>
      <c r="O297" s="30" t="s">
        <v>11</v>
      </c>
      <c r="P297" s="28" t="s">
        <v>1499</v>
      </c>
      <c r="Q297" s="28" t="s">
        <v>1497</v>
      </c>
      <c r="R297" s="28" t="s">
        <v>981</v>
      </c>
      <c r="S297" s="28" t="s">
        <v>150</v>
      </c>
      <c r="T297" s="28" t="s">
        <v>1500</v>
      </c>
      <c r="U297" s="28" t="s">
        <v>1501</v>
      </c>
      <c r="V297" s="28" t="s">
        <v>1495</v>
      </c>
      <c r="W297" s="28" t="s">
        <v>1499</v>
      </c>
      <c r="X297" s="28" t="s">
        <v>1497</v>
      </c>
      <c r="Y297" s="28" t="s">
        <v>156</v>
      </c>
      <c r="Z297" s="30" t="s">
        <v>11</v>
      </c>
      <c r="AA297" s="28" t="s">
        <v>2285</v>
      </c>
      <c r="AB297" s="28" t="s">
        <v>2286</v>
      </c>
      <c r="AC297" s="28" t="s">
        <v>2276</v>
      </c>
      <c r="AD297" s="28" t="s">
        <v>2287</v>
      </c>
      <c r="AE297" s="28" t="s">
        <v>2401</v>
      </c>
      <c r="AF297" s="30" t="s">
        <v>69</v>
      </c>
      <c r="AG297" s="28" t="s">
        <v>2398</v>
      </c>
    </row>
    <row r="298" spans="1:33" x14ac:dyDescent="0.3">
      <c r="A298" s="28" t="s">
        <v>1502</v>
      </c>
      <c r="B298" s="34"/>
      <c r="C298" s="30" t="s">
        <v>11</v>
      </c>
      <c r="D298" s="28" t="s">
        <v>5</v>
      </c>
      <c r="E298" s="28">
        <v>200</v>
      </c>
      <c r="F298" s="30" t="s">
        <v>11</v>
      </c>
      <c r="G298" s="28" t="s">
        <v>1503</v>
      </c>
      <c r="H298" s="30" t="s">
        <v>11</v>
      </c>
      <c r="I298" s="28" t="s">
        <v>1504</v>
      </c>
      <c r="J298" s="30" t="s">
        <v>11</v>
      </c>
      <c r="K298" s="28" t="s">
        <v>1504</v>
      </c>
      <c r="L298" s="28" t="s">
        <v>157</v>
      </c>
      <c r="M298" s="30" t="s">
        <v>11</v>
      </c>
      <c r="N298" s="28" t="s">
        <v>1502</v>
      </c>
      <c r="O298" s="30" t="s">
        <v>11</v>
      </c>
      <c r="P298" s="28" t="s">
        <v>1505</v>
      </c>
      <c r="Q298" s="28" t="s">
        <v>1504</v>
      </c>
      <c r="R298" s="28" t="s">
        <v>981</v>
      </c>
      <c r="S298" s="28" t="s">
        <v>150</v>
      </c>
      <c r="T298" s="28" t="s">
        <v>1506</v>
      </c>
      <c r="U298" s="28" t="s">
        <v>1507</v>
      </c>
      <c r="V298" s="28" t="s">
        <v>1502</v>
      </c>
      <c r="W298" s="28" t="s">
        <v>1505</v>
      </c>
      <c r="X298" s="28" t="s">
        <v>1504</v>
      </c>
      <c r="Y298" s="28" t="s">
        <v>156</v>
      </c>
      <c r="Z298" s="30" t="s">
        <v>11</v>
      </c>
      <c r="AA298" s="28" t="s">
        <v>2285</v>
      </c>
      <c r="AB298" s="28" t="s">
        <v>2286</v>
      </c>
      <c r="AC298" s="28" t="s">
        <v>2276</v>
      </c>
      <c r="AD298" s="28" t="s">
        <v>2287</v>
      </c>
      <c r="AE298" s="28" t="s">
        <v>2401</v>
      </c>
      <c r="AF298" s="30" t="s">
        <v>69</v>
      </c>
      <c r="AG298" s="28" t="s">
        <v>2398</v>
      </c>
    </row>
    <row r="299" spans="1:33" x14ac:dyDescent="0.3">
      <c r="A299" s="28" t="s">
        <v>1509</v>
      </c>
      <c r="B299" s="34"/>
      <c r="C299" s="30" t="s">
        <v>11</v>
      </c>
      <c r="D299" s="28" t="s">
        <v>5</v>
      </c>
      <c r="E299" s="28">
        <v>200</v>
      </c>
      <c r="F299" s="30" t="s">
        <v>11</v>
      </c>
      <c r="G299" s="28" t="s">
        <v>1510</v>
      </c>
      <c r="H299" s="30" t="s">
        <v>11</v>
      </c>
      <c r="I299" s="28" t="s">
        <v>1511</v>
      </c>
      <c r="J299" s="30" t="s">
        <v>11</v>
      </c>
      <c r="K299" s="28" t="s">
        <v>1512</v>
      </c>
      <c r="L299" s="28" t="s">
        <v>157</v>
      </c>
      <c r="M299" s="30" t="s">
        <v>11</v>
      </c>
      <c r="N299" s="28" t="s">
        <v>1509</v>
      </c>
      <c r="O299" s="30" t="s">
        <v>11</v>
      </c>
      <c r="P299" s="28" t="s">
        <v>1513</v>
      </c>
      <c r="Q299" s="28" t="s">
        <v>1511</v>
      </c>
      <c r="R299" s="28" t="s">
        <v>981</v>
      </c>
      <c r="S299" s="28" t="s">
        <v>150</v>
      </c>
      <c r="T299" s="28" t="s">
        <v>1514</v>
      </c>
      <c r="U299" s="28" t="s">
        <v>1515</v>
      </c>
      <c r="V299" s="28" t="s">
        <v>1509</v>
      </c>
      <c r="W299" s="28" t="s">
        <v>1513</v>
      </c>
      <c r="X299" s="28" t="s">
        <v>1511</v>
      </c>
      <c r="Y299" s="28" t="s">
        <v>156</v>
      </c>
      <c r="Z299" s="30" t="s">
        <v>11</v>
      </c>
      <c r="AA299" s="28" t="s">
        <v>2285</v>
      </c>
      <c r="AB299" s="28" t="s">
        <v>2286</v>
      </c>
      <c r="AC299" s="28" t="s">
        <v>2276</v>
      </c>
      <c r="AD299" s="28" t="s">
        <v>2287</v>
      </c>
      <c r="AE299" s="28" t="s">
        <v>2401</v>
      </c>
      <c r="AF299" s="30" t="s">
        <v>69</v>
      </c>
      <c r="AG299" s="28" t="s">
        <v>2398</v>
      </c>
    </row>
    <row r="300" spans="1:33" x14ac:dyDescent="0.3">
      <c r="A300" s="28" t="s">
        <v>1516</v>
      </c>
      <c r="B300" s="34"/>
      <c r="C300" s="30" t="s">
        <v>11</v>
      </c>
      <c r="D300" s="28" t="s">
        <v>5</v>
      </c>
      <c r="E300" s="28">
        <v>200</v>
      </c>
      <c r="F300" s="30" t="s">
        <v>11</v>
      </c>
      <c r="G300" s="28" t="s">
        <v>1517</v>
      </c>
      <c r="H300" s="30" t="s">
        <v>11</v>
      </c>
      <c r="I300" s="28" t="s">
        <v>1518</v>
      </c>
      <c r="J300" s="30" t="s">
        <v>11</v>
      </c>
      <c r="K300" s="28" t="s">
        <v>1519</v>
      </c>
      <c r="L300" s="28" t="s">
        <v>157</v>
      </c>
      <c r="M300" s="30" t="s">
        <v>11</v>
      </c>
      <c r="N300" s="28" t="s">
        <v>1516</v>
      </c>
      <c r="O300" s="30" t="s">
        <v>11</v>
      </c>
      <c r="P300" s="28" t="s">
        <v>1520</v>
      </c>
      <c r="Q300" s="28" t="s">
        <v>1518</v>
      </c>
      <c r="R300" s="28" t="s">
        <v>981</v>
      </c>
      <c r="S300" s="28" t="s">
        <v>150</v>
      </c>
      <c r="T300" s="28" t="s">
        <v>1521</v>
      </c>
      <c r="U300" s="28" t="s">
        <v>1522</v>
      </c>
      <c r="V300" s="28" t="s">
        <v>1516</v>
      </c>
      <c r="W300" s="28" t="s">
        <v>1520</v>
      </c>
      <c r="X300" s="28" t="s">
        <v>1518</v>
      </c>
      <c r="Y300" s="28" t="s">
        <v>156</v>
      </c>
      <c r="Z300" s="30" t="s">
        <v>11</v>
      </c>
      <c r="AA300" s="28" t="s">
        <v>2285</v>
      </c>
      <c r="AB300" s="28" t="s">
        <v>2286</v>
      </c>
      <c r="AC300" s="28" t="s">
        <v>2276</v>
      </c>
      <c r="AD300" s="28" t="s">
        <v>2287</v>
      </c>
      <c r="AE300" s="28" t="s">
        <v>2401</v>
      </c>
      <c r="AF300" s="30" t="s">
        <v>69</v>
      </c>
      <c r="AG300" s="28" t="s">
        <v>2398</v>
      </c>
    </row>
    <row r="301" spans="1:33" x14ac:dyDescent="0.3">
      <c r="A301" s="28" t="s">
        <v>1524</v>
      </c>
      <c r="B301" s="34"/>
      <c r="C301" s="30" t="s">
        <v>11</v>
      </c>
      <c r="D301" s="28" t="s">
        <v>5</v>
      </c>
      <c r="E301" s="28">
        <v>200</v>
      </c>
      <c r="F301" s="30" t="s">
        <v>11</v>
      </c>
      <c r="G301" s="28" t="s">
        <v>1525</v>
      </c>
      <c r="H301" s="30" t="s">
        <v>11</v>
      </c>
      <c r="I301" s="28" t="s">
        <v>1526</v>
      </c>
      <c r="J301" s="30" t="s">
        <v>11</v>
      </c>
      <c r="K301" s="28" t="s">
        <v>1527</v>
      </c>
      <c r="L301" s="28" t="s">
        <v>157</v>
      </c>
      <c r="M301" s="30" t="s">
        <v>11</v>
      </c>
      <c r="N301" s="28" t="s">
        <v>1524</v>
      </c>
      <c r="O301" s="30" t="s">
        <v>11</v>
      </c>
      <c r="P301" s="28" t="s">
        <v>1528</v>
      </c>
      <c r="Q301" s="28" t="s">
        <v>1526</v>
      </c>
      <c r="R301" s="28" t="s">
        <v>981</v>
      </c>
      <c r="S301" s="28" t="s">
        <v>150</v>
      </c>
      <c r="T301" s="28" t="s">
        <v>1529</v>
      </c>
      <c r="U301" s="28" t="s">
        <v>1530</v>
      </c>
      <c r="V301" s="28" t="s">
        <v>1524</v>
      </c>
      <c r="W301" s="28" t="s">
        <v>1528</v>
      </c>
      <c r="X301" s="28" t="s">
        <v>1526</v>
      </c>
      <c r="Y301" s="28" t="s">
        <v>156</v>
      </c>
      <c r="Z301" s="30" t="s">
        <v>11</v>
      </c>
      <c r="AA301" s="28" t="s">
        <v>2285</v>
      </c>
      <c r="AB301" s="28" t="s">
        <v>2286</v>
      </c>
      <c r="AC301" s="28" t="s">
        <v>2276</v>
      </c>
      <c r="AD301" s="28" t="s">
        <v>2287</v>
      </c>
      <c r="AE301" s="28" t="s">
        <v>2401</v>
      </c>
      <c r="AF301" s="30" t="s">
        <v>69</v>
      </c>
      <c r="AG301" s="28" t="s">
        <v>2398</v>
      </c>
    </row>
    <row r="302" spans="1:33" x14ac:dyDescent="0.3">
      <c r="A302" s="28" t="s">
        <v>1531</v>
      </c>
      <c r="B302" s="34"/>
      <c r="C302" s="30" t="s">
        <v>11</v>
      </c>
      <c r="D302" s="28" t="s">
        <v>5</v>
      </c>
      <c r="E302" s="28">
        <v>200</v>
      </c>
      <c r="F302" s="30" t="s">
        <v>11</v>
      </c>
      <c r="G302" s="28" t="s">
        <v>1532</v>
      </c>
      <c r="H302" s="30" t="s">
        <v>11</v>
      </c>
      <c r="I302" s="28" t="s">
        <v>1533</v>
      </c>
      <c r="J302" s="30" t="s">
        <v>11</v>
      </c>
      <c r="K302" s="28" t="s">
        <v>1534</v>
      </c>
      <c r="L302" s="28" t="s">
        <v>157</v>
      </c>
      <c r="M302" s="30" t="s">
        <v>11</v>
      </c>
      <c r="N302" s="28" t="s">
        <v>1531</v>
      </c>
      <c r="O302" s="30" t="s">
        <v>11</v>
      </c>
      <c r="P302" s="28" t="s">
        <v>1535</v>
      </c>
      <c r="Q302" s="28" t="s">
        <v>1533</v>
      </c>
      <c r="R302" s="28" t="s">
        <v>981</v>
      </c>
      <c r="S302" s="28" t="s">
        <v>150</v>
      </c>
      <c r="T302" s="28" t="s">
        <v>1536</v>
      </c>
      <c r="U302" s="28" t="s">
        <v>1537</v>
      </c>
      <c r="V302" s="28" t="s">
        <v>1531</v>
      </c>
      <c r="W302" s="28" t="s">
        <v>1535</v>
      </c>
      <c r="X302" s="28" t="s">
        <v>1533</v>
      </c>
      <c r="Y302" s="28" t="s">
        <v>156</v>
      </c>
      <c r="Z302" s="30" t="s">
        <v>11</v>
      </c>
      <c r="AA302" s="28" t="s">
        <v>2285</v>
      </c>
      <c r="AB302" s="28" t="s">
        <v>2286</v>
      </c>
      <c r="AC302" s="28" t="s">
        <v>2276</v>
      </c>
      <c r="AD302" s="28" t="s">
        <v>2287</v>
      </c>
      <c r="AE302" s="28" t="s">
        <v>2401</v>
      </c>
      <c r="AF302" s="30" t="s">
        <v>69</v>
      </c>
      <c r="AG302" s="28" t="s">
        <v>2398</v>
      </c>
    </row>
    <row r="303" spans="1:33" x14ac:dyDescent="0.3">
      <c r="A303" s="28" t="s">
        <v>1538</v>
      </c>
      <c r="B303" s="34"/>
      <c r="C303" s="30" t="s">
        <v>11</v>
      </c>
      <c r="D303" s="28" t="s">
        <v>5</v>
      </c>
      <c r="E303" s="28">
        <v>200</v>
      </c>
      <c r="F303" s="30" t="s">
        <v>11</v>
      </c>
      <c r="G303" s="28" t="s">
        <v>1539</v>
      </c>
      <c r="H303" s="30" t="s">
        <v>11</v>
      </c>
      <c r="I303" s="28" t="s">
        <v>1540</v>
      </c>
      <c r="J303" s="30" t="s">
        <v>11</v>
      </c>
      <c r="K303" s="28" t="s">
        <v>1541</v>
      </c>
      <c r="L303" s="28" t="s">
        <v>157</v>
      </c>
      <c r="M303" s="30" t="s">
        <v>11</v>
      </c>
      <c r="N303" s="28" t="s">
        <v>1538</v>
      </c>
      <c r="O303" s="30" t="s">
        <v>11</v>
      </c>
      <c r="P303" s="28" t="s">
        <v>1542</v>
      </c>
      <c r="Q303" s="28" t="s">
        <v>1540</v>
      </c>
      <c r="R303" s="28" t="s">
        <v>981</v>
      </c>
      <c r="S303" s="28" t="s">
        <v>150</v>
      </c>
      <c r="T303" s="28" t="s">
        <v>1543</v>
      </c>
      <c r="U303" s="28" t="s">
        <v>1544</v>
      </c>
      <c r="V303" s="28" t="s">
        <v>1538</v>
      </c>
      <c r="W303" s="28" t="s">
        <v>1542</v>
      </c>
      <c r="X303" s="28" t="s">
        <v>1540</v>
      </c>
      <c r="Y303" s="28" t="s">
        <v>156</v>
      </c>
      <c r="Z303" s="30" t="s">
        <v>11</v>
      </c>
      <c r="AA303" s="28" t="s">
        <v>2285</v>
      </c>
      <c r="AB303" s="28" t="s">
        <v>2286</v>
      </c>
      <c r="AC303" s="28" t="s">
        <v>2276</v>
      </c>
      <c r="AD303" s="28" t="s">
        <v>2287</v>
      </c>
      <c r="AE303" s="28" t="s">
        <v>2401</v>
      </c>
      <c r="AF303" s="30" t="s">
        <v>69</v>
      </c>
      <c r="AG303" s="28" t="s">
        <v>2398</v>
      </c>
    </row>
    <row r="304" spans="1:33" x14ac:dyDescent="0.3">
      <c r="A304" s="28" t="s">
        <v>1545</v>
      </c>
      <c r="B304" s="34"/>
      <c r="C304" s="30" t="s">
        <v>11</v>
      </c>
      <c r="D304" s="28" t="s">
        <v>5</v>
      </c>
      <c r="E304" s="28">
        <v>200</v>
      </c>
      <c r="F304" s="30" t="s">
        <v>11</v>
      </c>
      <c r="G304" s="28" t="s">
        <v>1546</v>
      </c>
      <c r="H304" s="30" t="s">
        <v>11</v>
      </c>
      <c r="I304" s="28" t="s">
        <v>1547</v>
      </c>
      <c r="J304" s="30" t="s">
        <v>11</v>
      </c>
      <c r="K304" s="28" t="s">
        <v>1548</v>
      </c>
      <c r="L304" s="28" t="s">
        <v>157</v>
      </c>
      <c r="M304" s="30" t="s">
        <v>11</v>
      </c>
      <c r="N304" s="28" t="s">
        <v>1545</v>
      </c>
      <c r="O304" s="30" t="s">
        <v>11</v>
      </c>
      <c r="P304" s="28" t="s">
        <v>1549</v>
      </c>
      <c r="Q304" s="28" t="s">
        <v>1547</v>
      </c>
      <c r="R304" s="28" t="s">
        <v>981</v>
      </c>
      <c r="S304" s="28" t="s">
        <v>150</v>
      </c>
      <c r="T304" s="28" t="s">
        <v>1550</v>
      </c>
      <c r="U304" s="28" t="s">
        <v>1551</v>
      </c>
      <c r="V304" s="28" t="s">
        <v>1545</v>
      </c>
      <c r="W304" s="28" t="s">
        <v>1549</v>
      </c>
      <c r="X304" s="28" t="s">
        <v>1547</v>
      </c>
      <c r="Y304" s="28" t="s">
        <v>156</v>
      </c>
      <c r="Z304" s="30" t="s">
        <v>11</v>
      </c>
      <c r="AA304" s="28" t="s">
        <v>2285</v>
      </c>
      <c r="AB304" s="28" t="s">
        <v>2286</v>
      </c>
      <c r="AC304" s="28" t="s">
        <v>2276</v>
      </c>
      <c r="AD304" s="28" t="s">
        <v>2287</v>
      </c>
      <c r="AE304" s="28" t="s">
        <v>2401</v>
      </c>
      <c r="AF304" s="30" t="s">
        <v>69</v>
      </c>
      <c r="AG304" s="28" t="s">
        <v>2398</v>
      </c>
    </row>
    <row r="305" spans="1:33" x14ac:dyDescent="0.3">
      <c r="A305" s="28" t="s">
        <v>1552</v>
      </c>
      <c r="B305" s="34"/>
      <c r="C305" s="30" t="s">
        <v>11</v>
      </c>
      <c r="D305" s="28" t="s">
        <v>5</v>
      </c>
      <c r="E305" s="28">
        <v>200</v>
      </c>
      <c r="F305" s="30" t="s">
        <v>11</v>
      </c>
      <c r="G305" s="28" t="s">
        <v>1553</v>
      </c>
      <c r="H305" s="30" t="s">
        <v>11</v>
      </c>
      <c r="I305" s="28" t="s">
        <v>1554</v>
      </c>
      <c r="J305" s="30" t="s">
        <v>11</v>
      </c>
      <c r="K305" s="28" t="s">
        <v>1555</v>
      </c>
      <c r="L305" s="28" t="s">
        <v>157</v>
      </c>
      <c r="M305" s="30" t="s">
        <v>11</v>
      </c>
      <c r="N305" s="28" t="s">
        <v>1552</v>
      </c>
      <c r="O305" s="30" t="s">
        <v>11</v>
      </c>
      <c r="P305" s="28" t="s">
        <v>1556</v>
      </c>
      <c r="Q305" s="28" t="s">
        <v>1554</v>
      </c>
      <c r="R305" s="28" t="s">
        <v>981</v>
      </c>
      <c r="S305" s="28" t="s">
        <v>150</v>
      </c>
      <c r="T305" s="28" t="s">
        <v>1557</v>
      </c>
      <c r="U305" s="28" t="s">
        <v>1558</v>
      </c>
      <c r="V305" s="28" t="s">
        <v>1552</v>
      </c>
      <c r="W305" s="28" t="s">
        <v>1556</v>
      </c>
      <c r="X305" s="28" t="s">
        <v>1554</v>
      </c>
      <c r="Y305" s="28" t="s">
        <v>156</v>
      </c>
      <c r="Z305" s="30" t="s">
        <v>11</v>
      </c>
      <c r="AA305" s="28" t="s">
        <v>2285</v>
      </c>
      <c r="AB305" s="28" t="s">
        <v>2286</v>
      </c>
      <c r="AC305" s="28" t="s">
        <v>2276</v>
      </c>
      <c r="AD305" s="28" t="s">
        <v>2287</v>
      </c>
      <c r="AE305" s="28" t="s">
        <v>2289</v>
      </c>
      <c r="AF305" s="30" t="s">
        <v>69</v>
      </c>
      <c r="AG305" s="28" t="s">
        <v>2398</v>
      </c>
    </row>
    <row r="306" spans="1:33" x14ac:dyDescent="0.3">
      <c r="A306" s="28" t="s">
        <v>1559</v>
      </c>
      <c r="B306" s="34"/>
      <c r="C306" s="30" t="s">
        <v>11</v>
      </c>
      <c r="D306" s="28" t="s">
        <v>5</v>
      </c>
      <c r="E306" s="28">
        <v>200</v>
      </c>
      <c r="F306" s="30" t="s">
        <v>11</v>
      </c>
      <c r="G306" s="28" t="s">
        <v>1560</v>
      </c>
      <c r="H306" s="30" t="s">
        <v>11</v>
      </c>
      <c r="I306" s="28" t="s">
        <v>1561</v>
      </c>
      <c r="J306" s="30" t="s">
        <v>11</v>
      </c>
      <c r="K306" s="28" t="s">
        <v>1562</v>
      </c>
      <c r="L306" s="28" t="s">
        <v>157</v>
      </c>
      <c r="M306" s="30" t="s">
        <v>11</v>
      </c>
      <c r="N306" s="28" t="s">
        <v>1559</v>
      </c>
      <c r="O306" s="30" t="s">
        <v>11</v>
      </c>
      <c r="P306" s="28" t="s">
        <v>1563</v>
      </c>
      <c r="Q306" s="28" t="s">
        <v>1561</v>
      </c>
      <c r="R306" s="28" t="s">
        <v>981</v>
      </c>
      <c r="S306" s="28" t="s">
        <v>150</v>
      </c>
      <c r="T306" s="28" t="s">
        <v>1564</v>
      </c>
      <c r="U306" s="28" t="s">
        <v>1565</v>
      </c>
      <c r="V306" s="28" t="s">
        <v>1559</v>
      </c>
      <c r="W306" s="28" t="s">
        <v>1563</v>
      </c>
      <c r="X306" s="28" t="s">
        <v>1561</v>
      </c>
      <c r="Y306" s="28" t="s">
        <v>156</v>
      </c>
      <c r="Z306" s="30" t="s">
        <v>11</v>
      </c>
      <c r="AA306" s="28" t="s">
        <v>2285</v>
      </c>
      <c r="AB306" s="28" t="s">
        <v>2286</v>
      </c>
      <c r="AC306" s="28" t="s">
        <v>2276</v>
      </c>
      <c r="AD306" s="28" t="s">
        <v>2287</v>
      </c>
      <c r="AE306" s="28" t="s">
        <v>2401</v>
      </c>
      <c r="AF306" s="30" t="s">
        <v>69</v>
      </c>
      <c r="AG306" s="28" t="s">
        <v>2398</v>
      </c>
    </row>
    <row r="307" spans="1:33" x14ac:dyDescent="0.3">
      <c r="A307" s="28" t="s">
        <v>1566</v>
      </c>
      <c r="B307" s="34"/>
      <c r="C307" s="30" t="s">
        <v>11</v>
      </c>
      <c r="D307" s="28" t="s">
        <v>5</v>
      </c>
      <c r="E307" s="28">
        <v>200</v>
      </c>
      <c r="F307" s="30" t="s">
        <v>11</v>
      </c>
      <c r="G307" s="28" t="s">
        <v>1567</v>
      </c>
      <c r="H307" s="30" t="s">
        <v>11</v>
      </c>
      <c r="I307" s="28" t="s">
        <v>1568</v>
      </c>
      <c r="J307" s="30" t="s">
        <v>11</v>
      </c>
      <c r="K307" s="28" t="s">
        <v>1569</v>
      </c>
      <c r="L307" s="28" t="s">
        <v>157</v>
      </c>
      <c r="M307" s="30" t="s">
        <v>11</v>
      </c>
      <c r="N307" s="28" t="s">
        <v>1566</v>
      </c>
      <c r="O307" s="30" t="s">
        <v>11</v>
      </c>
      <c r="P307" s="28" t="s">
        <v>1570</v>
      </c>
      <c r="Q307" s="28" t="s">
        <v>1568</v>
      </c>
      <c r="R307" s="28" t="s">
        <v>981</v>
      </c>
      <c r="S307" s="28" t="s">
        <v>150</v>
      </c>
      <c r="T307" s="28" t="s">
        <v>1571</v>
      </c>
      <c r="U307" s="28" t="s">
        <v>1572</v>
      </c>
      <c r="V307" s="28" t="s">
        <v>1566</v>
      </c>
      <c r="W307" s="28" t="s">
        <v>1570</v>
      </c>
      <c r="X307" s="28" t="s">
        <v>1568</v>
      </c>
      <c r="Y307" s="28" t="s">
        <v>156</v>
      </c>
      <c r="Z307" s="30" t="s">
        <v>11</v>
      </c>
      <c r="AA307" s="28" t="s">
        <v>2285</v>
      </c>
      <c r="AB307" s="28" t="s">
        <v>2286</v>
      </c>
      <c r="AC307" s="28" t="s">
        <v>2276</v>
      </c>
      <c r="AD307" s="28" t="s">
        <v>2287</v>
      </c>
      <c r="AE307" s="28" t="s">
        <v>2289</v>
      </c>
      <c r="AF307" s="30" t="s">
        <v>69</v>
      </c>
      <c r="AG307" s="28" t="s">
        <v>2398</v>
      </c>
    </row>
    <row r="308" spans="1:33" x14ac:dyDescent="0.3">
      <c r="A308" s="28" t="s">
        <v>1573</v>
      </c>
      <c r="B308" s="34"/>
      <c r="C308" s="30" t="s">
        <v>11</v>
      </c>
      <c r="D308" s="28" t="s">
        <v>5</v>
      </c>
      <c r="E308" s="28">
        <v>200</v>
      </c>
      <c r="F308" s="30" t="s">
        <v>11</v>
      </c>
      <c r="G308" s="28" t="s">
        <v>1574</v>
      </c>
      <c r="H308" s="30" t="s">
        <v>11</v>
      </c>
      <c r="I308" s="28" t="s">
        <v>1575</v>
      </c>
      <c r="J308" s="30" t="s">
        <v>11</v>
      </c>
      <c r="K308" s="28" t="s">
        <v>1576</v>
      </c>
      <c r="L308" s="28" t="s">
        <v>157</v>
      </c>
      <c r="M308" s="30" t="s">
        <v>11</v>
      </c>
      <c r="N308" s="28" t="s">
        <v>1573</v>
      </c>
      <c r="O308" s="30" t="s">
        <v>11</v>
      </c>
      <c r="P308" s="28" t="s">
        <v>1577</v>
      </c>
      <c r="Q308" s="28" t="s">
        <v>1575</v>
      </c>
      <c r="R308" s="28" t="s">
        <v>981</v>
      </c>
      <c r="S308" s="28" t="s">
        <v>150</v>
      </c>
      <c r="T308" s="28" t="s">
        <v>1578</v>
      </c>
      <c r="U308" s="28" t="s">
        <v>1579</v>
      </c>
      <c r="V308" s="28" t="s">
        <v>1573</v>
      </c>
      <c r="W308" s="28" t="s">
        <v>1577</v>
      </c>
      <c r="X308" s="28" t="s">
        <v>1575</v>
      </c>
      <c r="Y308" s="28" t="s">
        <v>156</v>
      </c>
      <c r="Z308" s="30" t="s">
        <v>11</v>
      </c>
      <c r="AA308" s="28" t="s">
        <v>2285</v>
      </c>
      <c r="AB308" s="28" t="s">
        <v>2286</v>
      </c>
      <c r="AC308" s="28" t="s">
        <v>2276</v>
      </c>
      <c r="AD308" s="28" t="s">
        <v>2287</v>
      </c>
      <c r="AE308" s="28" t="s">
        <v>2289</v>
      </c>
      <c r="AF308" s="30" t="s">
        <v>69</v>
      </c>
      <c r="AG308" s="28" t="s">
        <v>2398</v>
      </c>
    </row>
    <row r="309" spans="1:33" x14ac:dyDescent="0.3">
      <c r="A309" s="28" t="s">
        <v>1580</v>
      </c>
      <c r="B309" s="34"/>
      <c r="C309" s="30" t="s">
        <v>11</v>
      </c>
      <c r="D309" s="28" t="s">
        <v>5</v>
      </c>
      <c r="E309" s="28">
        <v>200</v>
      </c>
      <c r="F309" s="30" t="s">
        <v>11</v>
      </c>
      <c r="G309" s="28" t="s">
        <v>1581</v>
      </c>
      <c r="H309" s="30" t="s">
        <v>11</v>
      </c>
      <c r="I309" s="28" t="s">
        <v>1582</v>
      </c>
      <c r="J309" s="30" t="s">
        <v>11</v>
      </c>
      <c r="K309" s="28" t="s">
        <v>1583</v>
      </c>
      <c r="L309" s="28" t="s">
        <v>157</v>
      </c>
      <c r="M309" s="30" t="s">
        <v>11</v>
      </c>
      <c r="N309" s="28" t="s">
        <v>1580</v>
      </c>
      <c r="O309" s="30" t="s">
        <v>11</v>
      </c>
      <c r="P309" s="28" t="s">
        <v>1584</v>
      </c>
      <c r="Q309" s="28" t="s">
        <v>1582</v>
      </c>
      <c r="R309" s="28" t="s">
        <v>981</v>
      </c>
      <c r="S309" s="28" t="s">
        <v>150</v>
      </c>
      <c r="T309" s="28" t="s">
        <v>1585</v>
      </c>
      <c r="U309" s="28" t="s">
        <v>1586</v>
      </c>
      <c r="V309" s="28" t="s">
        <v>1580</v>
      </c>
      <c r="W309" s="28" t="s">
        <v>1584</v>
      </c>
      <c r="X309" s="28" t="s">
        <v>1582</v>
      </c>
      <c r="Y309" s="28" t="s">
        <v>156</v>
      </c>
      <c r="Z309" s="30" t="s">
        <v>11</v>
      </c>
      <c r="AA309" s="28" t="s">
        <v>2285</v>
      </c>
      <c r="AB309" s="28" t="s">
        <v>2286</v>
      </c>
      <c r="AC309" s="28" t="s">
        <v>2276</v>
      </c>
      <c r="AD309" s="28" t="s">
        <v>2287</v>
      </c>
      <c r="AE309" s="28" t="s">
        <v>2401</v>
      </c>
      <c r="AF309" s="30" t="s">
        <v>69</v>
      </c>
      <c r="AG309" s="28" t="s">
        <v>2398</v>
      </c>
    </row>
    <row r="310" spans="1:33" x14ac:dyDescent="0.3">
      <c r="A310" s="28" t="s">
        <v>1587</v>
      </c>
      <c r="B310" s="34"/>
      <c r="C310" s="30" t="s">
        <v>11</v>
      </c>
      <c r="D310" s="28" t="s">
        <v>5</v>
      </c>
      <c r="E310" s="28">
        <v>200</v>
      </c>
      <c r="F310" s="30" t="s">
        <v>11</v>
      </c>
      <c r="G310" s="28" t="s">
        <v>1588</v>
      </c>
      <c r="H310" s="30" t="s">
        <v>11</v>
      </c>
      <c r="I310" s="28" t="s">
        <v>1589</v>
      </c>
      <c r="J310" s="30" t="s">
        <v>11</v>
      </c>
      <c r="K310" s="28" t="s">
        <v>1590</v>
      </c>
      <c r="L310" s="28" t="s">
        <v>157</v>
      </c>
      <c r="M310" s="30" t="s">
        <v>11</v>
      </c>
      <c r="N310" s="28" t="s">
        <v>1587</v>
      </c>
      <c r="O310" s="30" t="s">
        <v>11</v>
      </c>
      <c r="P310" s="28" t="s">
        <v>1591</v>
      </c>
      <c r="Q310" s="28" t="s">
        <v>1589</v>
      </c>
      <c r="R310" s="28" t="s">
        <v>981</v>
      </c>
      <c r="S310" s="28" t="s">
        <v>150</v>
      </c>
      <c r="T310" s="28" t="s">
        <v>1592</v>
      </c>
      <c r="U310" s="28" t="s">
        <v>1593</v>
      </c>
      <c r="V310" s="28" t="s">
        <v>1587</v>
      </c>
      <c r="W310" s="28" t="s">
        <v>1591</v>
      </c>
      <c r="X310" s="28" t="s">
        <v>1589</v>
      </c>
      <c r="Y310" s="28" t="s">
        <v>156</v>
      </c>
      <c r="Z310" s="30" t="s">
        <v>11</v>
      </c>
      <c r="AA310" s="28" t="s">
        <v>2285</v>
      </c>
      <c r="AB310" s="28" t="s">
        <v>2286</v>
      </c>
      <c r="AC310" s="28" t="s">
        <v>2276</v>
      </c>
      <c r="AD310" s="28" t="s">
        <v>2287</v>
      </c>
      <c r="AE310" s="28" t="s">
        <v>2401</v>
      </c>
      <c r="AF310" s="30" t="s">
        <v>69</v>
      </c>
      <c r="AG310" s="28" t="s">
        <v>2398</v>
      </c>
    </row>
    <row r="311" spans="1:33" x14ac:dyDescent="0.3">
      <c r="A311" s="28" t="s">
        <v>1595</v>
      </c>
      <c r="B311" s="34"/>
      <c r="C311" s="30" t="s">
        <v>11</v>
      </c>
      <c r="D311" s="28" t="s">
        <v>5</v>
      </c>
      <c r="E311" s="28">
        <v>200</v>
      </c>
      <c r="F311" s="30" t="s">
        <v>11</v>
      </c>
      <c r="G311" s="28" t="s">
        <v>1596</v>
      </c>
      <c r="H311" s="30" t="s">
        <v>11</v>
      </c>
      <c r="I311" s="28" t="s">
        <v>1597</v>
      </c>
      <c r="J311" s="30" t="s">
        <v>11</v>
      </c>
      <c r="K311" s="28" t="s">
        <v>1598</v>
      </c>
      <c r="L311" s="28" t="s">
        <v>157</v>
      </c>
      <c r="M311" s="30" t="s">
        <v>11</v>
      </c>
      <c r="N311" s="28" t="s">
        <v>1595</v>
      </c>
      <c r="O311" s="30" t="s">
        <v>11</v>
      </c>
      <c r="P311" s="28" t="s">
        <v>1599</v>
      </c>
      <c r="Q311" s="28" t="s">
        <v>1597</v>
      </c>
      <c r="R311" s="28" t="s">
        <v>981</v>
      </c>
      <c r="S311" s="28" t="s">
        <v>150</v>
      </c>
      <c r="T311" s="28" t="s">
        <v>1600</v>
      </c>
      <c r="U311" s="28" t="s">
        <v>1601</v>
      </c>
      <c r="V311" s="28" t="s">
        <v>1595</v>
      </c>
      <c r="W311" s="28" t="s">
        <v>1599</v>
      </c>
      <c r="X311" s="28" t="s">
        <v>1597</v>
      </c>
      <c r="Y311" s="28" t="s">
        <v>156</v>
      </c>
      <c r="Z311" s="30" t="s">
        <v>11</v>
      </c>
      <c r="AA311" s="28" t="s">
        <v>2285</v>
      </c>
      <c r="AB311" s="28" t="s">
        <v>2286</v>
      </c>
      <c r="AC311" s="28" t="s">
        <v>2276</v>
      </c>
      <c r="AD311" s="28" t="s">
        <v>2287</v>
      </c>
      <c r="AE311" s="28" t="s">
        <v>2401</v>
      </c>
      <c r="AF311" s="30" t="s">
        <v>69</v>
      </c>
      <c r="AG311" s="28" t="s">
        <v>2398</v>
      </c>
    </row>
    <row r="312" spans="1:33" x14ac:dyDescent="0.3">
      <c r="A312" s="28" t="s">
        <v>1603</v>
      </c>
      <c r="B312" s="34"/>
      <c r="C312" s="30" t="s">
        <v>11</v>
      </c>
      <c r="D312" s="28" t="s">
        <v>5</v>
      </c>
      <c r="E312" s="28">
        <v>200</v>
      </c>
      <c r="F312" s="30" t="s">
        <v>11</v>
      </c>
      <c r="G312" s="28" t="s">
        <v>1604</v>
      </c>
      <c r="H312" s="30" t="s">
        <v>11</v>
      </c>
      <c r="I312" s="28" t="s">
        <v>1605</v>
      </c>
      <c r="J312" s="30" t="s">
        <v>11</v>
      </c>
      <c r="K312" s="28" t="s">
        <v>1606</v>
      </c>
      <c r="L312" s="28" t="s">
        <v>157</v>
      </c>
      <c r="M312" s="30" t="s">
        <v>11</v>
      </c>
      <c r="N312" s="28" t="s">
        <v>1603</v>
      </c>
      <c r="O312" s="30" t="s">
        <v>11</v>
      </c>
      <c r="P312" s="28" t="s">
        <v>1607</v>
      </c>
      <c r="Q312" s="28" t="s">
        <v>1605</v>
      </c>
      <c r="R312" s="28" t="s">
        <v>981</v>
      </c>
      <c r="S312" s="28" t="s">
        <v>150</v>
      </c>
      <c r="T312" s="28" t="s">
        <v>1608</v>
      </c>
      <c r="U312" s="28" t="s">
        <v>1609</v>
      </c>
      <c r="V312" s="28" t="s">
        <v>1603</v>
      </c>
      <c r="W312" s="28" t="s">
        <v>1607</v>
      </c>
      <c r="X312" s="28" t="s">
        <v>1605</v>
      </c>
      <c r="Y312" s="28" t="s">
        <v>156</v>
      </c>
      <c r="Z312" s="30" t="s">
        <v>11</v>
      </c>
      <c r="AA312" s="28" t="s">
        <v>2285</v>
      </c>
      <c r="AB312" s="28" t="s">
        <v>2286</v>
      </c>
      <c r="AC312" s="28" t="s">
        <v>2276</v>
      </c>
      <c r="AD312" s="28" t="s">
        <v>2287</v>
      </c>
      <c r="AE312" s="28" t="s">
        <v>2401</v>
      </c>
      <c r="AF312" s="30" t="s">
        <v>69</v>
      </c>
      <c r="AG312" s="28" t="s">
        <v>2398</v>
      </c>
    </row>
    <row r="313" spans="1:33" x14ac:dyDescent="0.3">
      <c r="A313" s="28" t="s">
        <v>1611</v>
      </c>
      <c r="B313" s="34"/>
      <c r="C313" s="30" t="s">
        <v>11</v>
      </c>
      <c r="D313" s="28" t="s">
        <v>5</v>
      </c>
      <c r="E313" s="28">
        <v>200</v>
      </c>
      <c r="F313" s="30" t="s">
        <v>11</v>
      </c>
      <c r="G313" s="28" t="s">
        <v>1612</v>
      </c>
      <c r="H313" s="30" t="s">
        <v>11</v>
      </c>
      <c r="I313" s="28" t="s">
        <v>1613</v>
      </c>
      <c r="J313" s="30" t="s">
        <v>11</v>
      </c>
      <c r="K313" s="28" t="s">
        <v>1614</v>
      </c>
      <c r="L313" s="28" t="s">
        <v>157</v>
      </c>
      <c r="M313" s="30" t="s">
        <v>11</v>
      </c>
      <c r="N313" s="28" t="s">
        <v>1611</v>
      </c>
      <c r="O313" s="30" t="s">
        <v>11</v>
      </c>
      <c r="P313" s="28" t="s">
        <v>1615</v>
      </c>
      <c r="Q313" s="28" t="s">
        <v>1613</v>
      </c>
      <c r="R313" s="28" t="s">
        <v>981</v>
      </c>
      <c r="S313" s="28" t="s">
        <v>150</v>
      </c>
      <c r="T313" s="28" t="s">
        <v>1616</v>
      </c>
      <c r="U313" s="28" t="s">
        <v>1617</v>
      </c>
      <c r="V313" s="28" t="s">
        <v>1611</v>
      </c>
      <c r="W313" s="28" t="s">
        <v>1615</v>
      </c>
      <c r="X313" s="28" t="s">
        <v>1613</v>
      </c>
      <c r="Y313" s="28" t="s">
        <v>156</v>
      </c>
      <c r="Z313" s="30" t="s">
        <v>11</v>
      </c>
      <c r="AA313" s="28" t="s">
        <v>2285</v>
      </c>
      <c r="AB313" s="28" t="s">
        <v>2286</v>
      </c>
      <c r="AC313" s="28" t="s">
        <v>2276</v>
      </c>
      <c r="AD313" s="28" t="s">
        <v>2287</v>
      </c>
      <c r="AE313" s="28" t="s">
        <v>2401</v>
      </c>
      <c r="AF313" s="30" t="s">
        <v>69</v>
      </c>
      <c r="AG313" s="28" t="s">
        <v>2398</v>
      </c>
    </row>
    <row r="314" spans="1:33" x14ac:dyDescent="0.3">
      <c r="A314" s="28" t="s">
        <v>1618</v>
      </c>
      <c r="B314" s="34"/>
      <c r="C314" s="30" t="s">
        <v>11</v>
      </c>
      <c r="D314" s="28" t="s">
        <v>5</v>
      </c>
      <c r="E314" s="28">
        <v>200</v>
      </c>
      <c r="F314" s="30" t="s">
        <v>11</v>
      </c>
      <c r="G314" s="28" t="s">
        <v>1619</v>
      </c>
      <c r="H314" s="30" t="s">
        <v>11</v>
      </c>
      <c r="I314" s="28" t="s">
        <v>1620</v>
      </c>
      <c r="J314" s="30" t="s">
        <v>11</v>
      </c>
      <c r="K314" s="28" t="s">
        <v>1621</v>
      </c>
      <c r="L314" s="28" t="s">
        <v>157</v>
      </c>
      <c r="M314" s="30" t="s">
        <v>11</v>
      </c>
      <c r="N314" s="28" t="s">
        <v>1618</v>
      </c>
      <c r="O314" s="30" t="s">
        <v>11</v>
      </c>
      <c r="P314" s="28" t="s">
        <v>1622</v>
      </c>
      <c r="Q314" s="28" t="s">
        <v>1620</v>
      </c>
      <c r="R314" s="28" t="s">
        <v>981</v>
      </c>
      <c r="S314" s="28" t="s">
        <v>150</v>
      </c>
      <c r="T314" s="28" t="s">
        <v>1623</v>
      </c>
      <c r="U314" s="28" t="s">
        <v>1624</v>
      </c>
      <c r="V314" s="28" t="s">
        <v>1618</v>
      </c>
      <c r="W314" s="28" t="s">
        <v>1622</v>
      </c>
      <c r="X314" s="28" t="s">
        <v>1620</v>
      </c>
      <c r="Y314" s="28" t="s">
        <v>156</v>
      </c>
      <c r="Z314" s="30" t="s">
        <v>11</v>
      </c>
      <c r="AA314" s="28" t="s">
        <v>2285</v>
      </c>
      <c r="AB314" s="28" t="s">
        <v>2286</v>
      </c>
      <c r="AC314" s="28" t="s">
        <v>2276</v>
      </c>
      <c r="AD314" s="28" t="s">
        <v>2287</v>
      </c>
      <c r="AE314" s="28" t="s">
        <v>2401</v>
      </c>
      <c r="AF314" s="30" t="s">
        <v>69</v>
      </c>
      <c r="AG314" s="28" t="s">
        <v>2398</v>
      </c>
    </row>
    <row r="315" spans="1:33" x14ac:dyDescent="0.3">
      <c r="A315" s="28" t="s">
        <v>1625</v>
      </c>
      <c r="B315" s="34"/>
      <c r="C315" s="30" t="s">
        <v>11</v>
      </c>
      <c r="D315" s="28" t="s">
        <v>5</v>
      </c>
      <c r="E315" s="28">
        <v>200</v>
      </c>
      <c r="F315" s="30" t="s">
        <v>11</v>
      </c>
      <c r="G315" s="28" t="s">
        <v>1626</v>
      </c>
      <c r="H315" s="30" t="s">
        <v>11</v>
      </c>
      <c r="I315" s="28" t="s">
        <v>1627</v>
      </c>
      <c r="J315" s="30" t="s">
        <v>11</v>
      </c>
      <c r="K315" s="28" t="s">
        <v>1628</v>
      </c>
      <c r="L315" s="28" t="s">
        <v>157</v>
      </c>
      <c r="M315" s="30" t="s">
        <v>11</v>
      </c>
      <c r="N315" s="28" t="s">
        <v>1625</v>
      </c>
      <c r="O315" s="30" t="s">
        <v>11</v>
      </c>
      <c r="P315" s="28" t="s">
        <v>1629</v>
      </c>
      <c r="Q315" s="28" t="s">
        <v>1627</v>
      </c>
      <c r="R315" s="28" t="s">
        <v>981</v>
      </c>
      <c r="S315" s="28" t="s">
        <v>150</v>
      </c>
      <c r="T315" s="28" t="s">
        <v>1630</v>
      </c>
      <c r="U315" s="28" t="s">
        <v>1631</v>
      </c>
      <c r="V315" s="28" t="s">
        <v>1625</v>
      </c>
      <c r="W315" s="28" t="s">
        <v>1629</v>
      </c>
      <c r="X315" s="28" t="s">
        <v>1627</v>
      </c>
      <c r="Y315" s="28" t="s">
        <v>156</v>
      </c>
      <c r="Z315" s="30" t="s">
        <v>11</v>
      </c>
      <c r="AA315" s="28" t="s">
        <v>2285</v>
      </c>
      <c r="AB315" s="28" t="s">
        <v>2286</v>
      </c>
      <c r="AC315" s="28" t="s">
        <v>2276</v>
      </c>
      <c r="AD315" s="28" t="s">
        <v>2287</v>
      </c>
      <c r="AE315" s="28" t="s">
        <v>2289</v>
      </c>
      <c r="AF315" s="30" t="s">
        <v>69</v>
      </c>
      <c r="AG315" s="28" t="s">
        <v>2398</v>
      </c>
    </row>
    <row r="316" spans="1:33" x14ac:dyDescent="0.3">
      <c r="A316" s="28" t="s">
        <v>1632</v>
      </c>
      <c r="B316" s="34"/>
      <c r="C316" s="30" t="s">
        <v>11</v>
      </c>
      <c r="D316" s="28" t="s">
        <v>5</v>
      </c>
      <c r="E316" s="28">
        <v>200</v>
      </c>
      <c r="F316" s="30" t="s">
        <v>11</v>
      </c>
      <c r="G316" s="28" t="s">
        <v>1633</v>
      </c>
      <c r="H316" s="30" t="s">
        <v>11</v>
      </c>
      <c r="I316" s="28" t="s">
        <v>1634</v>
      </c>
      <c r="J316" s="30" t="s">
        <v>11</v>
      </c>
      <c r="K316" s="28" t="s">
        <v>1635</v>
      </c>
      <c r="L316" s="28" t="s">
        <v>157</v>
      </c>
      <c r="M316" s="30" t="s">
        <v>11</v>
      </c>
      <c r="N316" s="28" t="s">
        <v>1632</v>
      </c>
      <c r="O316" s="30" t="s">
        <v>11</v>
      </c>
      <c r="P316" s="28" t="s">
        <v>1636</v>
      </c>
      <c r="Q316" s="28" t="s">
        <v>1634</v>
      </c>
      <c r="R316" s="28" t="s">
        <v>981</v>
      </c>
      <c r="S316" s="28" t="s">
        <v>150</v>
      </c>
      <c r="T316" s="28" t="s">
        <v>1637</v>
      </c>
      <c r="U316" s="28" t="s">
        <v>1638</v>
      </c>
      <c r="V316" s="28" t="s">
        <v>1632</v>
      </c>
      <c r="W316" s="28" t="s">
        <v>1636</v>
      </c>
      <c r="X316" s="28" t="s">
        <v>1634</v>
      </c>
      <c r="Y316" s="28" t="s">
        <v>156</v>
      </c>
      <c r="Z316" s="30" t="s">
        <v>11</v>
      </c>
      <c r="AA316" s="28" t="s">
        <v>2285</v>
      </c>
      <c r="AB316" s="28" t="s">
        <v>2286</v>
      </c>
      <c r="AC316" s="28" t="s">
        <v>2276</v>
      </c>
      <c r="AD316" s="28" t="s">
        <v>2287</v>
      </c>
      <c r="AE316" s="28" t="s">
        <v>2289</v>
      </c>
      <c r="AF316" s="30" t="s">
        <v>69</v>
      </c>
      <c r="AG316" s="28" t="s">
        <v>2398</v>
      </c>
    </row>
    <row r="317" spans="1:33" x14ac:dyDescent="0.3">
      <c r="A317" s="28" t="s">
        <v>1639</v>
      </c>
      <c r="B317" s="34"/>
      <c r="C317" s="30" t="s">
        <v>11</v>
      </c>
      <c r="D317" s="28" t="s">
        <v>5</v>
      </c>
      <c r="E317" s="28">
        <v>200</v>
      </c>
      <c r="F317" s="30" t="s">
        <v>11</v>
      </c>
      <c r="G317" s="28" t="s">
        <v>1640</v>
      </c>
      <c r="H317" s="30" t="s">
        <v>11</v>
      </c>
      <c r="I317" s="28" t="s">
        <v>1641</v>
      </c>
      <c r="J317" s="30" t="s">
        <v>11</v>
      </c>
      <c r="K317" s="28" t="s">
        <v>1642</v>
      </c>
      <c r="L317" s="28" t="s">
        <v>157</v>
      </c>
      <c r="M317" s="30" t="s">
        <v>11</v>
      </c>
      <c r="N317" s="28" t="s">
        <v>1639</v>
      </c>
      <c r="O317" s="30" t="s">
        <v>11</v>
      </c>
      <c r="P317" s="28" t="s">
        <v>1643</v>
      </c>
      <c r="Q317" s="28" t="s">
        <v>1641</v>
      </c>
      <c r="R317" s="28" t="s">
        <v>981</v>
      </c>
      <c r="S317" s="28" t="s">
        <v>150</v>
      </c>
      <c r="T317" s="28" t="s">
        <v>1644</v>
      </c>
      <c r="U317" s="28" t="s">
        <v>1645</v>
      </c>
      <c r="V317" s="28" t="s">
        <v>1639</v>
      </c>
      <c r="W317" s="28" t="s">
        <v>1643</v>
      </c>
      <c r="X317" s="28" t="s">
        <v>1641</v>
      </c>
      <c r="Y317" s="28" t="s">
        <v>156</v>
      </c>
      <c r="Z317" s="30" t="s">
        <v>11</v>
      </c>
      <c r="AA317" s="28" t="s">
        <v>2285</v>
      </c>
      <c r="AB317" s="28" t="s">
        <v>2286</v>
      </c>
      <c r="AC317" s="28" t="s">
        <v>2276</v>
      </c>
      <c r="AD317" s="28" t="s">
        <v>2287</v>
      </c>
      <c r="AE317" s="28" t="s">
        <v>2289</v>
      </c>
      <c r="AF317" s="30" t="s">
        <v>69</v>
      </c>
      <c r="AG317" s="28" t="s">
        <v>2398</v>
      </c>
    </row>
    <row r="318" spans="1:33" x14ac:dyDescent="0.3">
      <c r="A318" s="28" t="s">
        <v>1647</v>
      </c>
      <c r="B318" s="34"/>
      <c r="C318" s="30" t="s">
        <v>11</v>
      </c>
      <c r="D318" s="28" t="s">
        <v>5</v>
      </c>
      <c r="E318" s="28">
        <v>200</v>
      </c>
      <c r="F318" s="30" t="s">
        <v>11</v>
      </c>
      <c r="G318" s="28" t="s">
        <v>1648</v>
      </c>
      <c r="H318" s="30" t="s">
        <v>11</v>
      </c>
      <c r="I318" s="28" t="s">
        <v>1649</v>
      </c>
      <c r="J318" s="30" t="s">
        <v>11</v>
      </c>
      <c r="K318" s="28" t="s">
        <v>1650</v>
      </c>
      <c r="L318" s="28" t="s">
        <v>157</v>
      </c>
      <c r="M318" s="30" t="s">
        <v>11</v>
      </c>
      <c r="N318" s="28" t="s">
        <v>1647</v>
      </c>
      <c r="O318" s="30" t="s">
        <v>11</v>
      </c>
      <c r="P318" s="28" t="s">
        <v>1651</v>
      </c>
      <c r="Q318" s="28" t="s">
        <v>1649</v>
      </c>
      <c r="R318" s="28" t="s">
        <v>981</v>
      </c>
      <c r="S318" s="28" t="s">
        <v>150</v>
      </c>
      <c r="T318" s="28" t="s">
        <v>1652</v>
      </c>
      <c r="U318" s="28" t="s">
        <v>1653</v>
      </c>
      <c r="V318" s="28" t="s">
        <v>1647</v>
      </c>
      <c r="W318" s="28" t="s">
        <v>1651</v>
      </c>
      <c r="X318" s="28" t="s">
        <v>1649</v>
      </c>
      <c r="Y318" s="28" t="s">
        <v>156</v>
      </c>
      <c r="Z318" s="30" t="s">
        <v>11</v>
      </c>
      <c r="AA318" s="28" t="s">
        <v>2285</v>
      </c>
      <c r="AB318" s="28" t="s">
        <v>2286</v>
      </c>
      <c r="AC318" s="28" t="s">
        <v>2276</v>
      </c>
      <c r="AD318" s="28" t="s">
        <v>2287</v>
      </c>
      <c r="AE318" s="28" t="s">
        <v>2401</v>
      </c>
      <c r="AF318" s="30" t="s">
        <v>69</v>
      </c>
      <c r="AG318" s="28" t="s">
        <v>2398</v>
      </c>
    </row>
    <row r="319" spans="1:33" x14ac:dyDescent="0.3">
      <c r="A319" s="28" t="s">
        <v>1655</v>
      </c>
      <c r="B319" s="34"/>
      <c r="C319" s="30" t="s">
        <v>70</v>
      </c>
      <c r="D319" s="28" t="s">
        <v>5</v>
      </c>
      <c r="E319" s="28">
        <v>200</v>
      </c>
      <c r="F319" s="30" t="s">
        <v>11</v>
      </c>
      <c r="G319" s="28" t="s">
        <v>1656</v>
      </c>
      <c r="H319" s="30" t="s">
        <v>11</v>
      </c>
      <c r="I319" s="28" t="s">
        <v>1657</v>
      </c>
      <c r="J319" s="30" t="s">
        <v>11</v>
      </c>
      <c r="K319" s="28" t="s">
        <v>1658</v>
      </c>
      <c r="L319" s="28" t="s">
        <v>157</v>
      </c>
      <c r="M319" s="30" t="s">
        <v>11</v>
      </c>
      <c r="N319" s="28" t="s">
        <v>1655</v>
      </c>
      <c r="O319" s="30" t="s">
        <v>11</v>
      </c>
      <c r="P319" s="28" t="s">
        <v>1659</v>
      </c>
      <c r="Q319" s="28" t="s">
        <v>1657</v>
      </c>
      <c r="R319" s="28" t="s">
        <v>981</v>
      </c>
      <c r="S319" s="28" t="s">
        <v>150</v>
      </c>
      <c r="T319" s="28" t="s">
        <v>1660</v>
      </c>
      <c r="U319" s="28" t="s">
        <v>1661</v>
      </c>
      <c r="V319" s="28" t="s">
        <v>1655</v>
      </c>
      <c r="W319" s="28" t="s">
        <v>1659</v>
      </c>
      <c r="X319" s="28" t="s">
        <v>1657</v>
      </c>
      <c r="Y319" s="28" t="s">
        <v>156</v>
      </c>
      <c r="Z319" s="30" t="s">
        <v>11</v>
      </c>
      <c r="AA319" s="28" t="s">
        <v>2285</v>
      </c>
      <c r="AB319" s="28" t="s">
        <v>2286</v>
      </c>
      <c r="AC319" s="28" t="s">
        <v>2276</v>
      </c>
      <c r="AD319" s="28" t="s">
        <v>2287</v>
      </c>
      <c r="AE319" s="28" t="s">
        <v>2401</v>
      </c>
      <c r="AF319" s="30" t="s">
        <v>69</v>
      </c>
      <c r="AG319" s="28" t="s">
        <v>2398</v>
      </c>
    </row>
    <row r="320" spans="1:33" x14ac:dyDescent="0.3">
      <c r="A320" s="28" t="s">
        <v>1662</v>
      </c>
      <c r="B320" s="34"/>
      <c r="C320" s="30" t="s">
        <v>11</v>
      </c>
      <c r="D320" s="28" t="s">
        <v>5</v>
      </c>
      <c r="E320" s="28">
        <v>200</v>
      </c>
      <c r="F320" s="30" t="s">
        <v>11</v>
      </c>
      <c r="G320" s="28" t="s">
        <v>1663</v>
      </c>
      <c r="H320" s="30" t="s">
        <v>11</v>
      </c>
      <c r="I320" s="28" t="s">
        <v>1664</v>
      </c>
      <c r="J320" s="30" t="s">
        <v>11</v>
      </c>
      <c r="K320" s="28" t="s">
        <v>1665</v>
      </c>
      <c r="L320" s="28" t="s">
        <v>157</v>
      </c>
      <c r="M320" s="30" t="s">
        <v>11</v>
      </c>
      <c r="N320" s="28" t="s">
        <v>1662</v>
      </c>
      <c r="O320" s="30" t="s">
        <v>11</v>
      </c>
      <c r="P320" s="28" t="s">
        <v>1666</v>
      </c>
      <c r="Q320" s="28" t="s">
        <v>1664</v>
      </c>
      <c r="R320" s="28" t="s">
        <v>981</v>
      </c>
      <c r="S320" s="28" t="s">
        <v>150</v>
      </c>
      <c r="T320" s="28" t="s">
        <v>1667</v>
      </c>
      <c r="U320" s="28" t="s">
        <v>1668</v>
      </c>
      <c r="V320" s="28" t="s">
        <v>1662</v>
      </c>
      <c r="W320" s="28" t="s">
        <v>1666</v>
      </c>
      <c r="X320" s="28" t="s">
        <v>1664</v>
      </c>
      <c r="Y320" s="28" t="s">
        <v>156</v>
      </c>
      <c r="Z320" s="30" t="s">
        <v>11</v>
      </c>
      <c r="AA320" s="28" t="s">
        <v>2285</v>
      </c>
      <c r="AB320" s="28" t="s">
        <v>2286</v>
      </c>
      <c r="AC320" s="28" t="s">
        <v>2276</v>
      </c>
      <c r="AD320" s="28" t="s">
        <v>2287</v>
      </c>
      <c r="AE320" s="28" t="s">
        <v>2401</v>
      </c>
      <c r="AF320" s="30" t="s">
        <v>69</v>
      </c>
      <c r="AG320" s="28" t="s">
        <v>2398</v>
      </c>
    </row>
    <row r="321" spans="1:33" x14ac:dyDescent="0.3">
      <c r="A321" s="28" t="s">
        <v>1669</v>
      </c>
      <c r="B321" s="34"/>
      <c r="C321" s="30" t="s">
        <v>11</v>
      </c>
      <c r="D321" s="28" t="s">
        <v>5</v>
      </c>
      <c r="E321" s="28">
        <v>200</v>
      </c>
      <c r="F321" s="30" t="s">
        <v>11</v>
      </c>
      <c r="G321" s="28" t="s">
        <v>1670</v>
      </c>
      <c r="H321" s="30" t="s">
        <v>11</v>
      </c>
      <c r="I321" s="28" t="s">
        <v>2401</v>
      </c>
      <c r="J321" s="30" t="s">
        <v>2382</v>
      </c>
      <c r="K321" s="28" t="s">
        <v>1671</v>
      </c>
      <c r="L321" s="28" t="s">
        <v>157</v>
      </c>
      <c r="M321" s="30" t="s">
        <v>11</v>
      </c>
      <c r="N321" s="28" t="s">
        <v>1669</v>
      </c>
      <c r="O321" s="30" t="s">
        <v>11</v>
      </c>
      <c r="P321" s="28" t="s">
        <v>1672</v>
      </c>
      <c r="Q321" s="28" t="s">
        <v>149</v>
      </c>
      <c r="R321" s="28" t="s">
        <v>981</v>
      </c>
      <c r="S321" s="28" t="s">
        <v>150</v>
      </c>
      <c r="T321" s="28" t="s">
        <v>1673</v>
      </c>
      <c r="U321" s="28" t="s">
        <v>1674</v>
      </c>
      <c r="V321" s="28" t="s">
        <v>1669</v>
      </c>
      <c r="W321" s="28" t="s">
        <v>1672</v>
      </c>
      <c r="X321" s="28" t="s">
        <v>149</v>
      </c>
      <c r="Y321" s="28" t="s">
        <v>156</v>
      </c>
      <c r="Z321" s="30" t="s">
        <v>56</v>
      </c>
      <c r="AA321" s="28" t="s">
        <v>2285</v>
      </c>
      <c r="AB321" s="28" t="s">
        <v>2286</v>
      </c>
      <c r="AC321" s="28" t="s">
        <v>2276</v>
      </c>
      <c r="AD321" s="28" t="s">
        <v>2287</v>
      </c>
      <c r="AE321" s="28" t="s">
        <v>2401</v>
      </c>
      <c r="AF321" s="30" t="s">
        <v>69</v>
      </c>
      <c r="AG321" s="28" t="s">
        <v>2398</v>
      </c>
    </row>
    <row r="322" spans="1:33" x14ac:dyDescent="0.3">
      <c r="A322" s="28" t="s">
        <v>1676</v>
      </c>
      <c r="B322" s="34"/>
      <c r="C322" s="30" t="s">
        <v>11</v>
      </c>
      <c r="D322" s="28" t="s">
        <v>5</v>
      </c>
      <c r="E322" s="28">
        <v>200</v>
      </c>
      <c r="F322" s="30" t="s">
        <v>11</v>
      </c>
      <c r="G322" s="28" t="s">
        <v>1677</v>
      </c>
      <c r="H322" s="30" t="s">
        <v>11</v>
      </c>
      <c r="I322" s="28" t="s">
        <v>1678</v>
      </c>
      <c r="J322" s="30" t="s">
        <v>11</v>
      </c>
      <c r="K322" s="28" t="s">
        <v>1679</v>
      </c>
      <c r="L322" s="28" t="s">
        <v>157</v>
      </c>
      <c r="M322" s="30" t="s">
        <v>11</v>
      </c>
      <c r="N322" s="28" t="s">
        <v>1676</v>
      </c>
      <c r="O322" s="30" t="s">
        <v>11</v>
      </c>
      <c r="P322" s="28" t="s">
        <v>1680</v>
      </c>
      <c r="Q322" s="28" t="s">
        <v>1678</v>
      </c>
      <c r="R322" s="28" t="s">
        <v>981</v>
      </c>
      <c r="S322" s="28" t="s">
        <v>150</v>
      </c>
      <c r="T322" s="28" t="s">
        <v>1681</v>
      </c>
      <c r="U322" s="28" t="s">
        <v>1682</v>
      </c>
      <c r="V322" s="28" t="s">
        <v>1676</v>
      </c>
      <c r="W322" s="28" t="s">
        <v>1680</v>
      </c>
      <c r="X322" s="28" t="s">
        <v>1678</v>
      </c>
      <c r="Y322" s="28" t="s">
        <v>156</v>
      </c>
      <c r="Z322" s="30" t="s">
        <v>11</v>
      </c>
      <c r="AA322" s="28" t="s">
        <v>2285</v>
      </c>
      <c r="AB322" s="28" t="s">
        <v>2286</v>
      </c>
      <c r="AC322" s="28" t="s">
        <v>2276</v>
      </c>
      <c r="AD322" s="28" t="s">
        <v>2287</v>
      </c>
      <c r="AE322" s="28" t="s">
        <v>2401</v>
      </c>
      <c r="AF322" s="30" t="s">
        <v>69</v>
      </c>
      <c r="AG322" s="28" t="s">
        <v>2398</v>
      </c>
    </row>
    <row r="323" spans="1:33" x14ac:dyDescent="0.3">
      <c r="A323" s="28" t="s">
        <v>1684</v>
      </c>
      <c r="B323" s="34"/>
      <c r="C323" s="30" t="s">
        <v>11</v>
      </c>
      <c r="D323" s="28" t="s">
        <v>5</v>
      </c>
      <c r="E323" s="28">
        <v>200</v>
      </c>
      <c r="F323" s="30" t="s">
        <v>11</v>
      </c>
      <c r="G323" s="28" t="s">
        <v>1685</v>
      </c>
      <c r="H323" s="30" t="s">
        <v>11</v>
      </c>
      <c r="I323" s="28" t="s">
        <v>1686</v>
      </c>
      <c r="J323" s="30" t="s">
        <v>11</v>
      </c>
      <c r="K323" s="28" t="s">
        <v>1687</v>
      </c>
      <c r="L323" s="28" t="s">
        <v>157</v>
      </c>
      <c r="M323" s="30" t="s">
        <v>11</v>
      </c>
      <c r="N323" s="28" t="s">
        <v>1684</v>
      </c>
      <c r="O323" s="30" t="s">
        <v>11</v>
      </c>
      <c r="P323" s="28" t="s">
        <v>1688</v>
      </c>
      <c r="Q323" s="28" t="s">
        <v>1686</v>
      </c>
      <c r="R323" s="28" t="s">
        <v>981</v>
      </c>
      <c r="S323" s="28" t="s">
        <v>150</v>
      </c>
      <c r="T323" s="28" t="s">
        <v>1689</v>
      </c>
      <c r="U323" s="28" t="s">
        <v>1690</v>
      </c>
      <c r="V323" s="28" t="s">
        <v>1684</v>
      </c>
      <c r="W323" s="28" t="s">
        <v>1688</v>
      </c>
      <c r="X323" s="28" t="s">
        <v>1686</v>
      </c>
      <c r="Y323" s="28" t="s">
        <v>156</v>
      </c>
      <c r="Z323" s="30" t="s">
        <v>11</v>
      </c>
      <c r="AA323" s="28" t="s">
        <v>2285</v>
      </c>
      <c r="AB323" s="28" t="s">
        <v>2286</v>
      </c>
      <c r="AC323" s="28" t="s">
        <v>2276</v>
      </c>
      <c r="AD323" s="28" t="s">
        <v>2287</v>
      </c>
      <c r="AE323" s="28" t="s">
        <v>2401</v>
      </c>
      <c r="AF323" s="30" t="s">
        <v>69</v>
      </c>
      <c r="AG323" s="28" t="s">
        <v>2398</v>
      </c>
    </row>
    <row r="324" spans="1:33" x14ac:dyDescent="0.3">
      <c r="A324" s="28" t="s">
        <v>1691</v>
      </c>
      <c r="B324" s="34"/>
      <c r="C324" s="30" t="s">
        <v>11</v>
      </c>
      <c r="D324" s="28" t="s">
        <v>5</v>
      </c>
      <c r="E324" s="28">
        <v>200</v>
      </c>
      <c r="F324" s="30" t="s">
        <v>11</v>
      </c>
      <c r="G324" s="28" t="s">
        <v>1692</v>
      </c>
      <c r="H324" s="30" t="s">
        <v>11</v>
      </c>
      <c r="I324" s="28" t="s">
        <v>1693</v>
      </c>
      <c r="J324" s="30" t="s">
        <v>11</v>
      </c>
      <c r="K324" s="28" t="s">
        <v>1694</v>
      </c>
      <c r="L324" s="28" t="s">
        <v>157</v>
      </c>
      <c r="M324" s="30" t="s">
        <v>11</v>
      </c>
      <c r="N324" s="28" t="s">
        <v>1691</v>
      </c>
      <c r="O324" s="30" t="s">
        <v>11</v>
      </c>
      <c r="P324" s="28" t="s">
        <v>1695</v>
      </c>
      <c r="Q324" s="28" t="s">
        <v>1693</v>
      </c>
      <c r="R324" s="28" t="s">
        <v>981</v>
      </c>
      <c r="S324" s="28" t="s">
        <v>150</v>
      </c>
      <c r="T324" s="28" t="s">
        <v>1696</v>
      </c>
      <c r="U324" s="28" t="s">
        <v>1697</v>
      </c>
      <c r="V324" s="28" t="s">
        <v>1691</v>
      </c>
      <c r="W324" s="28" t="s">
        <v>1695</v>
      </c>
      <c r="X324" s="28" t="s">
        <v>1693</v>
      </c>
      <c r="Y324" s="28" t="s">
        <v>156</v>
      </c>
      <c r="Z324" s="30" t="s">
        <v>11</v>
      </c>
      <c r="AA324" s="28" t="s">
        <v>2285</v>
      </c>
      <c r="AB324" s="28" t="s">
        <v>2286</v>
      </c>
      <c r="AC324" s="28" t="s">
        <v>2276</v>
      </c>
      <c r="AD324" s="28" t="s">
        <v>2287</v>
      </c>
      <c r="AE324" s="28" t="s">
        <v>2401</v>
      </c>
      <c r="AF324" s="30" t="s">
        <v>69</v>
      </c>
      <c r="AG324" s="28" t="s">
        <v>2398</v>
      </c>
    </row>
    <row r="325" spans="1:33" x14ac:dyDescent="0.3">
      <c r="A325" s="28" t="s">
        <v>1699</v>
      </c>
      <c r="B325" s="34"/>
      <c r="C325" s="30" t="s">
        <v>11</v>
      </c>
      <c r="D325" s="28" t="s">
        <v>5</v>
      </c>
      <c r="E325" s="28">
        <v>200</v>
      </c>
      <c r="F325" s="30" t="s">
        <v>11</v>
      </c>
      <c r="G325" s="28" t="s">
        <v>1700</v>
      </c>
      <c r="H325" s="30" t="s">
        <v>11</v>
      </c>
      <c r="I325" s="28" t="s">
        <v>1701</v>
      </c>
      <c r="J325" s="30" t="s">
        <v>11</v>
      </c>
      <c r="K325" s="28" t="s">
        <v>1702</v>
      </c>
      <c r="L325" s="28" t="s">
        <v>157</v>
      </c>
      <c r="M325" s="30" t="s">
        <v>11</v>
      </c>
      <c r="N325" s="28" t="s">
        <v>1699</v>
      </c>
      <c r="O325" s="30" t="s">
        <v>11</v>
      </c>
      <c r="P325" s="28" t="s">
        <v>1703</v>
      </c>
      <c r="Q325" s="28" t="s">
        <v>1701</v>
      </c>
      <c r="R325" s="28" t="s">
        <v>981</v>
      </c>
      <c r="S325" s="28" t="s">
        <v>150</v>
      </c>
      <c r="T325" s="28" t="s">
        <v>1704</v>
      </c>
      <c r="U325" s="28" t="s">
        <v>1705</v>
      </c>
      <c r="V325" s="28" t="s">
        <v>1699</v>
      </c>
      <c r="W325" s="28" t="s">
        <v>1703</v>
      </c>
      <c r="X325" s="28" t="s">
        <v>1701</v>
      </c>
      <c r="Y325" s="28" t="s">
        <v>156</v>
      </c>
      <c r="Z325" s="30" t="s">
        <v>11</v>
      </c>
      <c r="AA325" s="28" t="s">
        <v>2285</v>
      </c>
      <c r="AB325" s="28" t="s">
        <v>2286</v>
      </c>
      <c r="AC325" s="28" t="s">
        <v>2276</v>
      </c>
      <c r="AD325" s="28" t="s">
        <v>2287</v>
      </c>
      <c r="AE325" s="28" t="s">
        <v>2289</v>
      </c>
      <c r="AF325" s="30" t="s">
        <v>69</v>
      </c>
      <c r="AG325" s="28" t="s">
        <v>2398</v>
      </c>
    </row>
    <row r="326" spans="1:33" x14ac:dyDescent="0.3">
      <c r="A326" s="28" t="s">
        <v>1706</v>
      </c>
      <c r="B326" s="34"/>
      <c r="C326" s="30" t="s">
        <v>11</v>
      </c>
      <c r="D326" s="28" t="s">
        <v>5</v>
      </c>
      <c r="E326" s="28">
        <v>200</v>
      </c>
      <c r="F326" s="30" t="s">
        <v>11</v>
      </c>
      <c r="G326" s="28" t="s">
        <v>1707</v>
      </c>
      <c r="H326" s="30" t="s">
        <v>11</v>
      </c>
      <c r="I326" s="28" t="s">
        <v>1708</v>
      </c>
      <c r="J326" s="30" t="s">
        <v>11</v>
      </c>
      <c r="K326" s="28" t="s">
        <v>1709</v>
      </c>
      <c r="L326" s="28" t="s">
        <v>157</v>
      </c>
      <c r="M326" s="30" t="s">
        <v>11</v>
      </c>
      <c r="N326" s="28" t="s">
        <v>1706</v>
      </c>
      <c r="O326" s="30" t="s">
        <v>11</v>
      </c>
      <c r="P326" s="28" t="s">
        <v>1710</v>
      </c>
      <c r="Q326" s="28" t="s">
        <v>1708</v>
      </c>
      <c r="R326" s="28" t="s">
        <v>981</v>
      </c>
      <c r="S326" s="28" t="s">
        <v>150</v>
      </c>
      <c r="T326" s="28" t="s">
        <v>1711</v>
      </c>
      <c r="U326" s="28" t="s">
        <v>1712</v>
      </c>
      <c r="V326" s="28" t="s">
        <v>1706</v>
      </c>
      <c r="W326" s="28" t="s">
        <v>1710</v>
      </c>
      <c r="X326" s="28" t="s">
        <v>1708</v>
      </c>
      <c r="Y326" s="28" t="s">
        <v>156</v>
      </c>
      <c r="Z326" s="30" t="s">
        <v>11</v>
      </c>
      <c r="AA326" s="28" t="s">
        <v>2285</v>
      </c>
      <c r="AB326" s="28" t="s">
        <v>2286</v>
      </c>
      <c r="AC326" s="28" t="s">
        <v>2276</v>
      </c>
      <c r="AD326" s="28" t="s">
        <v>2287</v>
      </c>
      <c r="AE326" s="28" t="s">
        <v>2289</v>
      </c>
      <c r="AF326" s="30" t="s">
        <v>69</v>
      </c>
      <c r="AG326" s="28" t="s">
        <v>2398</v>
      </c>
    </row>
    <row r="327" spans="1:33" x14ac:dyDescent="0.3">
      <c r="A327" s="28" t="s">
        <v>1713</v>
      </c>
      <c r="B327" s="34"/>
      <c r="C327" s="30" t="s">
        <v>11</v>
      </c>
      <c r="D327" s="28" t="s">
        <v>5</v>
      </c>
      <c r="E327" s="28">
        <v>200</v>
      </c>
      <c r="F327" s="30" t="s">
        <v>11</v>
      </c>
      <c r="G327" s="28" t="s">
        <v>1714</v>
      </c>
      <c r="H327" s="30" t="s">
        <v>11</v>
      </c>
      <c r="I327" s="28" t="s">
        <v>1715</v>
      </c>
      <c r="J327" s="30" t="s">
        <v>11</v>
      </c>
      <c r="K327" s="28" t="s">
        <v>1716</v>
      </c>
      <c r="L327" s="28" t="s">
        <v>157</v>
      </c>
      <c r="M327" s="30" t="s">
        <v>11</v>
      </c>
      <c r="N327" s="28" t="s">
        <v>1713</v>
      </c>
      <c r="O327" s="30" t="s">
        <v>11</v>
      </c>
      <c r="P327" s="28" t="s">
        <v>1717</v>
      </c>
      <c r="Q327" s="28" t="s">
        <v>1715</v>
      </c>
      <c r="R327" s="28" t="s">
        <v>981</v>
      </c>
      <c r="S327" s="28" t="s">
        <v>150</v>
      </c>
      <c r="T327" s="28" t="s">
        <v>1718</v>
      </c>
      <c r="U327" s="28" t="s">
        <v>1719</v>
      </c>
      <c r="V327" s="28" t="s">
        <v>1713</v>
      </c>
      <c r="W327" s="28" t="s">
        <v>1717</v>
      </c>
      <c r="X327" s="28" t="s">
        <v>1715</v>
      </c>
      <c r="Y327" s="28" t="s">
        <v>156</v>
      </c>
      <c r="Z327" s="30" t="s">
        <v>11</v>
      </c>
      <c r="AA327" s="28" t="s">
        <v>2285</v>
      </c>
      <c r="AB327" s="28" t="s">
        <v>2286</v>
      </c>
      <c r="AC327" s="28" t="s">
        <v>2276</v>
      </c>
      <c r="AD327" s="28" t="s">
        <v>2287</v>
      </c>
      <c r="AE327" s="28" t="s">
        <v>2289</v>
      </c>
      <c r="AF327" s="30" t="s">
        <v>69</v>
      </c>
      <c r="AG327" s="28" t="s">
        <v>2398</v>
      </c>
    </row>
    <row r="328" spans="1:33" x14ac:dyDescent="0.3">
      <c r="A328" s="28" t="s">
        <v>1720</v>
      </c>
      <c r="B328" s="34"/>
      <c r="C328" s="30" t="s">
        <v>11</v>
      </c>
      <c r="D328" s="28" t="s">
        <v>5</v>
      </c>
      <c r="E328" s="28">
        <v>200</v>
      </c>
      <c r="F328" s="30" t="s">
        <v>11</v>
      </c>
      <c r="G328" s="28" t="s">
        <v>1721</v>
      </c>
      <c r="H328" s="30" t="s">
        <v>11</v>
      </c>
      <c r="I328" s="28" t="s">
        <v>1722</v>
      </c>
      <c r="J328" s="30" t="s">
        <v>11</v>
      </c>
      <c r="K328" s="28" t="s">
        <v>1723</v>
      </c>
      <c r="L328" s="28" t="s">
        <v>157</v>
      </c>
      <c r="M328" s="30" t="s">
        <v>11</v>
      </c>
      <c r="N328" s="28" t="s">
        <v>1720</v>
      </c>
      <c r="O328" s="30" t="s">
        <v>11</v>
      </c>
      <c r="P328" s="28" t="s">
        <v>1724</v>
      </c>
      <c r="Q328" s="28" t="s">
        <v>1722</v>
      </c>
      <c r="R328" s="28" t="s">
        <v>981</v>
      </c>
      <c r="S328" s="28" t="s">
        <v>150</v>
      </c>
      <c r="T328" s="28" t="s">
        <v>1725</v>
      </c>
      <c r="U328" s="28" t="s">
        <v>1726</v>
      </c>
      <c r="V328" s="28" t="s">
        <v>1720</v>
      </c>
      <c r="W328" s="28" t="s">
        <v>1724</v>
      </c>
      <c r="X328" s="28" t="s">
        <v>1722</v>
      </c>
      <c r="Y328" s="28" t="s">
        <v>156</v>
      </c>
      <c r="Z328" s="30" t="s">
        <v>11</v>
      </c>
      <c r="AA328" s="28" t="s">
        <v>2285</v>
      </c>
      <c r="AB328" s="28" t="s">
        <v>2286</v>
      </c>
      <c r="AC328" s="28" t="s">
        <v>2276</v>
      </c>
      <c r="AD328" s="28" t="s">
        <v>2287</v>
      </c>
      <c r="AE328" s="28" t="s">
        <v>2289</v>
      </c>
      <c r="AF328" s="30" t="s">
        <v>69</v>
      </c>
      <c r="AG328" s="28" t="s">
        <v>2398</v>
      </c>
    </row>
    <row r="329" spans="1:33" x14ac:dyDescent="0.3">
      <c r="A329" s="28" t="s">
        <v>1727</v>
      </c>
      <c r="B329" s="34"/>
      <c r="C329" s="30" t="s">
        <v>11</v>
      </c>
      <c r="D329" s="28" t="s">
        <v>5</v>
      </c>
      <c r="E329" s="28">
        <v>200</v>
      </c>
      <c r="F329" s="30" t="s">
        <v>11</v>
      </c>
      <c r="G329" s="28" t="s">
        <v>1728</v>
      </c>
      <c r="H329" s="30" t="s">
        <v>11</v>
      </c>
      <c r="I329" s="28" t="s">
        <v>1729</v>
      </c>
      <c r="J329" s="30" t="s">
        <v>11</v>
      </c>
      <c r="K329" s="28" t="s">
        <v>1730</v>
      </c>
      <c r="L329" s="28" t="s">
        <v>157</v>
      </c>
      <c r="M329" s="30" t="s">
        <v>11</v>
      </c>
      <c r="N329" s="28" t="s">
        <v>1727</v>
      </c>
      <c r="O329" s="30" t="s">
        <v>11</v>
      </c>
      <c r="P329" s="28" t="s">
        <v>1731</v>
      </c>
      <c r="Q329" s="28" t="s">
        <v>1729</v>
      </c>
      <c r="R329" s="28" t="s">
        <v>981</v>
      </c>
      <c r="S329" s="28" t="s">
        <v>150</v>
      </c>
      <c r="T329" s="28" t="s">
        <v>1732</v>
      </c>
      <c r="U329" s="28" t="s">
        <v>1733</v>
      </c>
      <c r="V329" s="28" t="s">
        <v>1727</v>
      </c>
      <c r="W329" s="28" t="s">
        <v>1731</v>
      </c>
      <c r="X329" s="28" t="s">
        <v>1729</v>
      </c>
      <c r="Y329" s="28" t="s">
        <v>156</v>
      </c>
      <c r="Z329" s="30" t="s">
        <v>11</v>
      </c>
      <c r="AA329" s="28" t="s">
        <v>2285</v>
      </c>
      <c r="AB329" s="28" t="s">
        <v>2286</v>
      </c>
      <c r="AC329" s="28" t="s">
        <v>2276</v>
      </c>
      <c r="AD329" s="28" t="s">
        <v>2287</v>
      </c>
      <c r="AE329" s="28" t="s">
        <v>2401</v>
      </c>
      <c r="AF329" s="30" t="s">
        <v>69</v>
      </c>
      <c r="AG329" s="28" t="s">
        <v>2398</v>
      </c>
    </row>
    <row r="330" spans="1:33" x14ac:dyDescent="0.3">
      <c r="A330" s="28" t="s">
        <v>1735</v>
      </c>
      <c r="B330" s="34"/>
      <c r="C330" s="30" t="s">
        <v>11</v>
      </c>
      <c r="D330" s="28" t="s">
        <v>5</v>
      </c>
      <c r="E330" s="28">
        <v>200</v>
      </c>
      <c r="F330" s="30" t="s">
        <v>11</v>
      </c>
      <c r="G330" s="28" t="s">
        <v>1736</v>
      </c>
      <c r="H330" s="30" t="s">
        <v>11</v>
      </c>
      <c r="I330" s="28" t="s">
        <v>1737</v>
      </c>
      <c r="J330" s="30" t="s">
        <v>11</v>
      </c>
      <c r="K330" s="28" t="s">
        <v>1738</v>
      </c>
      <c r="L330" s="28" t="s">
        <v>157</v>
      </c>
      <c r="M330" s="30" t="s">
        <v>11</v>
      </c>
      <c r="N330" s="28" t="s">
        <v>1735</v>
      </c>
      <c r="O330" s="30" t="s">
        <v>11</v>
      </c>
      <c r="P330" s="28" t="s">
        <v>1739</v>
      </c>
      <c r="Q330" s="28" t="s">
        <v>1737</v>
      </c>
      <c r="R330" s="28" t="s">
        <v>981</v>
      </c>
      <c r="S330" s="28" t="s">
        <v>150</v>
      </c>
      <c r="T330" s="28" t="s">
        <v>1740</v>
      </c>
      <c r="U330" s="28" t="s">
        <v>1741</v>
      </c>
      <c r="V330" s="28" t="s">
        <v>1735</v>
      </c>
      <c r="W330" s="28" t="s">
        <v>1739</v>
      </c>
      <c r="X330" s="28" t="s">
        <v>1737</v>
      </c>
      <c r="Y330" s="28" t="s">
        <v>156</v>
      </c>
      <c r="Z330" s="30" t="s">
        <v>11</v>
      </c>
      <c r="AA330" s="28" t="s">
        <v>2285</v>
      </c>
      <c r="AB330" s="28" t="s">
        <v>2286</v>
      </c>
      <c r="AC330" s="28" t="s">
        <v>2276</v>
      </c>
      <c r="AD330" s="28" t="s">
        <v>2287</v>
      </c>
      <c r="AE330" s="28" t="s">
        <v>2401</v>
      </c>
      <c r="AF330" s="30" t="s">
        <v>69</v>
      </c>
      <c r="AG330" s="28" t="s">
        <v>2398</v>
      </c>
    </row>
    <row r="331" spans="1:33" x14ac:dyDescent="0.3">
      <c r="A331" s="28" t="s">
        <v>1742</v>
      </c>
      <c r="B331" s="34"/>
      <c r="C331" s="30" t="s">
        <v>11</v>
      </c>
      <c r="D331" s="28" t="s">
        <v>5</v>
      </c>
      <c r="E331" s="28">
        <v>200</v>
      </c>
      <c r="F331" s="30" t="s">
        <v>11</v>
      </c>
      <c r="G331" s="28" t="s">
        <v>1743</v>
      </c>
      <c r="H331" s="30" t="s">
        <v>11</v>
      </c>
      <c r="I331" s="28" t="s">
        <v>1744</v>
      </c>
      <c r="J331" s="30" t="s">
        <v>11</v>
      </c>
      <c r="K331" s="28" t="s">
        <v>1745</v>
      </c>
      <c r="L331" s="28" t="s">
        <v>157</v>
      </c>
      <c r="M331" s="30" t="s">
        <v>11</v>
      </c>
      <c r="N331" s="28" t="s">
        <v>1742</v>
      </c>
      <c r="O331" s="30" t="s">
        <v>11</v>
      </c>
      <c r="P331" s="28" t="s">
        <v>1746</v>
      </c>
      <c r="Q331" s="28" t="s">
        <v>1744</v>
      </c>
      <c r="R331" s="28" t="s">
        <v>981</v>
      </c>
      <c r="S331" s="28" t="s">
        <v>150</v>
      </c>
      <c r="T331" s="28" t="s">
        <v>1747</v>
      </c>
      <c r="U331" s="28" t="s">
        <v>1748</v>
      </c>
      <c r="V331" s="28" t="s">
        <v>1742</v>
      </c>
      <c r="W331" s="28" t="s">
        <v>1746</v>
      </c>
      <c r="X331" s="28" t="s">
        <v>1744</v>
      </c>
      <c r="Y331" s="28" t="s">
        <v>156</v>
      </c>
      <c r="Z331" s="30" t="s">
        <v>11</v>
      </c>
      <c r="AA331" s="28" t="s">
        <v>2285</v>
      </c>
      <c r="AB331" s="28" t="s">
        <v>2286</v>
      </c>
      <c r="AC331" s="28" t="s">
        <v>2276</v>
      </c>
      <c r="AD331" s="28" t="s">
        <v>2287</v>
      </c>
      <c r="AE331" s="28" t="s">
        <v>2289</v>
      </c>
      <c r="AF331" s="30" t="s">
        <v>69</v>
      </c>
      <c r="AG331" s="28" t="s">
        <v>2398</v>
      </c>
    </row>
    <row r="332" spans="1:33" x14ac:dyDescent="0.3">
      <c r="A332" s="28" t="s">
        <v>1750</v>
      </c>
      <c r="B332" s="34"/>
      <c r="C332" s="30" t="s">
        <v>11</v>
      </c>
      <c r="D332" s="28" t="s">
        <v>5</v>
      </c>
      <c r="E332" s="28">
        <v>200</v>
      </c>
      <c r="F332" s="30" t="s">
        <v>11</v>
      </c>
      <c r="G332" s="28" t="s">
        <v>1751</v>
      </c>
      <c r="H332" s="30" t="s">
        <v>11</v>
      </c>
      <c r="I332" s="28" t="s">
        <v>1752</v>
      </c>
      <c r="J332" s="30" t="s">
        <v>60</v>
      </c>
      <c r="K332" s="28" t="s">
        <v>1753</v>
      </c>
      <c r="L332" s="28" t="s">
        <v>157</v>
      </c>
      <c r="M332" s="30" t="s">
        <v>11</v>
      </c>
      <c r="N332" s="28" t="s">
        <v>1750</v>
      </c>
      <c r="O332" s="30" t="s">
        <v>11</v>
      </c>
      <c r="P332" s="28" t="s">
        <v>1754</v>
      </c>
      <c r="Q332" s="28" t="s">
        <v>1752</v>
      </c>
      <c r="R332" s="28" t="s">
        <v>981</v>
      </c>
      <c r="S332" s="28" t="s">
        <v>150</v>
      </c>
      <c r="T332" s="28" t="s">
        <v>1755</v>
      </c>
      <c r="U332" s="28" t="s">
        <v>1756</v>
      </c>
      <c r="V332" s="28" t="s">
        <v>1750</v>
      </c>
      <c r="W332" s="28" t="s">
        <v>1754</v>
      </c>
      <c r="X332" s="28" t="s">
        <v>1752</v>
      </c>
      <c r="Y332" s="28" t="s">
        <v>156</v>
      </c>
      <c r="Z332" s="30" t="s">
        <v>56</v>
      </c>
      <c r="AA332" s="28" t="s">
        <v>2285</v>
      </c>
      <c r="AB332" s="28" t="s">
        <v>2286</v>
      </c>
      <c r="AC332" s="28" t="s">
        <v>2276</v>
      </c>
      <c r="AD332" s="28" t="s">
        <v>2287</v>
      </c>
      <c r="AE332" s="28" t="s">
        <v>2401</v>
      </c>
      <c r="AF332" s="30" t="s">
        <v>69</v>
      </c>
      <c r="AG332" s="28" t="s">
        <v>2398</v>
      </c>
    </row>
    <row r="333" spans="1:33" x14ac:dyDescent="0.3">
      <c r="A333" s="28" t="s">
        <v>1757</v>
      </c>
      <c r="B333" s="34"/>
      <c r="C333" s="30" t="s">
        <v>11</v>
      </c>
      <c r="D333" s="28" t="s">
        <v>5</v>
      </c>
      <c r="E333" s="28">
        <v>200</v>
      </c>
      <c r="F333" s="30" t="s">
        <v>11</v>
      </c>
      <c r="G333" s="28" t="s">
        <v>1758</v>
      </c>
      <c r="H333" s="30" t="s">
        <v>11</v>
      </c>
      <c r="I333" s="28" t="s">
        <v>1759</v>
      </c>
      <c r="J333" s="30" t="s">
        <v>11</v>
      </c>
      <c r="K333" s="28" t="s">
        <v>1760</v>
      </c>
      <c r="L333" s="28" t="s">
        <v>157</v>
      </c>
      <c r="M333" s="30" t="s">
        <v>11</v>
      </c>
      <c r="N333" s="28" t="s">
        <v>1757</v>
      </c>
      <c r="O333" s="30" t="s">
        <v>11</v>
      </c>
      <c r="P333" s="28" t="s">
        <v>1761</v>
      </c>
      <c r="Q333" s="28" t="s">
        <v>1759</v>
      </c>
      <c r="R333" s="28" t="s">
        <v>981</v>
      </c>
      <c r="S333" s="28" t="s">
        <v>150</v>
      </c>
      <c r="T333" s="28" t="s">
        <v>1762</v>
      </c>
      <c r="U333" s="28" t="s">
        <v>1763</v>
      </c>
      <c r="V333" s="28" t="s">
        <v>1757</v>
      </c>
      <c r="W333" s="28" t="s">
        <v>1761</v>
      </c>
      <c r="X333" s="28" t="s">
        <v>1759</v>
      </c>
      <c r="Y333" s="28" t="s">
        <v>156</v>
      </c>
      <c r="Z333" s="30" t="s">
        <v>11</v>
      </c>
      <c r="AA333" s="28" t="s">
        <v>2285</v>
      </c>
      <c r="AB333" s="28" t="s">
        <v>2286</v>
      </c>
      <c r="AC333" s="28" t="s">
        <v>2276</v>
      </c>
      <c r="AD333" s="28" t="s">
        <v>2287</v>
      </c>
      <c r="AE333" s="28" t="s">
        <v>2401</v>
      </c>
      <c r="AF333" s="30" t="s">
        <v>69</v>
      </c>
      <c r="AG333" s="28" t="s">
        <v>2398</v>
      </c>
    </row>
    <row r="334" spans="1:33" x14ac:dyDescent="0.3">
      <c r="A334" s="28" t="s">
        <v>1764</v>
      </c>
      <c r="B334" s="34"/>
      <c r="C334" s="30" t="s">
        <v>11</v>
      </c>
      <c r="D334" s="28" t="s">
        <v>5</v>
      </c>
      <c r="E334" s="28">
        <v>200</v>
      </c>
      <c r="F334" s="30" t="s">
        <v>11</v>
      </c>
      <c r="G334" s="28" t="s">
        <v>1765</v>
      </c>
      <c r="H334" s="30" t="s">
        <v>11</v>
      </c>
      <c r="I334" s="28" t="s">
        <v>1766</v>
      </c>
      <c r="J334" s="30" t="s">
        <v>11</v>
      </c>
      <c r="K334" s="28" t="s">
        <v>1767</v>
      </c>
      <c r="L334" s="28" t="s">
        <v>157</v>
      </c>
      <c r="M334" s="30" t="s">
        <v>11</v>
      </c>
      <c r="N334" s="28" t="s">
        <v>1764</v>
      </c>
      <c r="O334" s="30" t="s">
        <v>11</v>
      </c>
      <c r="P334" s="28" t="s">
        <v>1768</v>
      </c>
      <c r="Q334" s="28" t="s">
        <v>1766</v>
      </c>
      <c r="R334" s="28" t="s">
        <v>981</v>
      </c>
      <c r="S334" s="28" t="s">
        <v>150</v>
      </c>
      <c r="T334" s="28" t="s">
        <v>1769</v>
      </c>
      <c r="U334" s="28" t="s">
        <v>1770</v>
      </c>
      <c r="V334" s="28" t="s">
        <v>1764</v>
      </c>
      <c r="W334" s="28" t="s">
        <v>1768</v>
      </c>
      <c r="X334" s="28" t="s">
        <v>1766</v>
      </c>
      <c r="Y334" s="28" t="s">
        <v>156</v>
      </c>
      <c r="Z334" s="30" t="s">
        <v>11</v>
      </c>
      <c r="AA334" s="28" t="s">
        <v>2285</v>
      </c>
      <c r="AB334" s="28" t="s">
        <v>2286</v>
      </c>
      <c r="AC334" s="28" t="s">
        <v>2276</v>
      </c>
      <c r="AD334" s="28" t="s">
        <v>2287</v>
      </c>
      <c r="AE334" s="28" t="s">
        <v>2401</v>
      </c>
      <c r="AF334" s="30" t="s">
        <v>69</v>
      </c>
      <c r="AG334" s="28" t="s">
        <v>2398</v>
      </c>
    </row>
    <row r="335" spans="1:33" x14ac:dyDescent="0.3">
      <c r="A335" s="28" t="s">
        <v>1771</v>
      </c>
      <c r="B335" s="34"/>
      <c r="C335" s="30" t="s">
        <v>11</v>
      </c>
      <c r="D335" s="28" t="s">
        <v>5</v>
      </c>
      <c r="E335" s="28">
        <v>200</v>
      </c>
      <c r="F335" s="30" t="s">
        <v>11</v>
      </c>
      <c r="G335" s="28" t="s">
        <v>1772</v>
      </c>
      <c r="H335" s="30" t="s">
        <v>11</v>
      </c>
      <c r="I335" s="28" t="s">
        <v>1773</v>
      </c>
      <c r="J335" s="30" t="s">
        <v>11</v>
      </c>
      <c r="K335" s="28" t="s">
        <v>1774</v>
      </c>
      <c r="L335" s="28" t="s">
        <v>157</v>
      </c>
      <c r="M335" s="30" t="s">
        <v>11</v>
      </c>
      <c r="N335" s="28" t="s">
        <v>1771</v>
      </c>
      <c r="O335" s="30" t="s">
        <v>11</v>
      </c>
      <c r="P335" s="28" t="s">
        <v>1775</v>
      </c>
      <c r="Q335" s="28" t="s">
        <v>1773</v>
      </c>
      <c r="R335" s="28" t="s">
        <v>981</v>
      </c>
      <c r="S335" s="28" t="s">
        <v>150</v>
      </c>
      <c r="T335" s="28" t="s">
        <v>1776</v>
      </c>
      <c r="U335" s="28" t="s">
        <v>1777</v>
      </c>
      <c r="V335" s="28" t="s">
        <v>1771</v>
      </c>
      <c r="W335" s="28" t="s">
        <v>1775</v>
      </c>
      <c r="X335" s="28" t="s">
        <v>1773</v>
      </c>
      <c r="Y335" s="28" t="s">
        <v>156</v>
      </c>
      <c r="Z335" s="30" t="s">
        <v>11</v>
      </c>
      <c r="AA335" s="28" t="s">
        <v>2285</v>
      </c>
      <c r="AB335" s="28" t="s">
        <v>2286</v>
      </c>
      <c r="AC335" s="28" t="s">
        <v>2276</v>
      </c>
      <c r="AD335" s="28" t="s">
        <v>2287</v>
      </c>
      <c r="AE335" s="28" t="s">
        <v>2401</v>
      </c>
      <c r="AF335" s="30" t="s">
        <v>69</v>
      </c>
      <c r="AG335" s="28" t="s">
        <v>2398</v>
      </c>
    </row>
    <row r="336" spans="1:33" x14ac:dyDescent="0.3">
      <c r="A336" s="28" t="s">
        <v>1778</v>
      </c>
      <c r="B336" s="34"/>
      <c r="C336" s="30" t="s">
        <v>11</v>
      </c>
      <c r="D336" s="28" t="s">
        <v>5</v>
      </c>
      <c r="E336" s="28">
        <v>200</v>
      </c>
      <c r="F336" s="30" t="s">
        <v>11</v>
      </c>
      <c r="G336" s="28" t="s">
        <v>1779</v>
      </c>
      <c r="H336" s="30" t="s">
        <v>11</v>
      </c>
      <c r="I336" s="28" t="s">
        <v>1780</v>
      </c>
      <c r="J336" s="30" t="s">
        <v>11</v>
      </c>
      <c r="K336" s="28" t="s">
        <v>1781</v>
      </c>
      <c r="L336" s="28" t="s">
        <v>157</v>
      </c>
      <c r="M336" s="30" t="s">
        <v>11</v>
      </c>
      <c r="N336" s="28" t="s">
        <v>1778</v>
      </c>
      <c r="O336" s="30" t="s">
        <v>11</v>
      </c>
      <c r="P336" s="28" t="s">
        <v>1782</v>
      </c>
      <c r="Q336" s="28" t="s">
        <v>1780</v>
      </c>
      <c r="R336" s="28" t="s">
        <v>981</v>
      </c>
      <c r="S336" s="28" t="s">
        <v>150</v>
      </c>
      <c r="T336" s="28" t="s">
        <v>1783</v>
      </c>
      <c r="U336" s="28" t="s">
        <v>1784</v>
      </c>
      <c r="V336" s="28" t="s">
        <v>1778</v>
      </c>
      <c r="W336" s="28" t="s">
        <v>1782</v>
      </c>
      <c r="X336" s="28" t="s">
        <v>1780</v>
      </c>
      <c r="Y336" s="28" t="s">
        <v>156</v>
      </c>
      <c r="Z336" s="30" t="s">
        <v>11</v>
      </c>
      <c r="AA336" s="28" t="s">
        <v>2285</v>
      </c>
      <c r="AB336" s="28" t="s">
        <v>2286</v>
      </c>
      <c r="AC336" s="28" t="s">
        <v>2276</v>
      </c>
      <c r="AD336" s="28" t="s">
        <v>2287</v>
      </c>
      <c r="AE336" s="28" t="s">
        <v>2401</v>
      </c>
      <c r="AF336" s="30" t="s">
        <v>69</v>
      </c>
      <c r="AG336" s="28" t="s">
        <v>2398</v>
      </c>
    </row>
    <row r="337" spans="1:33" x14ac:dyDescent="0.3">
      <c r="A337" s="28" t="s">
        <v>1785</v>
      </c>
      <c r="B337" s="34"/>
      <c r="C337" s="30" t="s">
        <v>11</v>
      </c>
      <c r="D337" s="28" t="s">
        <v>5</v>
      </c>
      <c r="E337" s="28">
        <v>200</v>
      </c>
      <c r="F337" s="30" t="s">
        <v>11</v>
      </c>
      <c r="G337" s="28" t="s">
        <v>1786</v>
      </c>
      <c r="H337" s="30" t="s">
        <v>11</v>
      </c>
      <c r="I337" s="28" t="s">
        <v>1787</v>
      </c>
      <c r="J337" s="30" t="s">
        <v>11</v>
      </c>
      <c r="K337" s="28" t="s">
        <v>1788</v>
      </c>
      <c r="L337" s="28" t="s">
        <v>157</v>
      </c>
      <c r="M337" s="30" t="s">
        <v>11</v>
      </c>
      <c r="N337" s="28" t="s">
        <v>1785</v>
      </c>
      <c r="O337" s="30" t="s">
        <v>11</v>
      </c>
      <c r="P337" s="28" t="s">
        <v>1789</v>
      </c>
      <c r="Q337" s="28" t="s">
        <v>1787</v>
      </c>
      <c r="R337" s="28" t="s">
        <v>981</v>
      </c>
      <c r="S337" s="28" t="s">
        <v>150</v>
      </c>
      <c r="T337" s="28" t="s">
        <v>1790</v>
      </c>
      <c r="U337" s="28" t="s">
        <v>1791</v>
      </c>
      <c r="V337" s="28" t="s">
        <v>1785</v>
      </c>
      <c r="W337" s="28" t="s">
        <v>1789</v>
      </c>
      <c r="X337" s="28" t="s">
        <v>1787</v>
      </c>
      <c r="Y337" s="28" t="s">
        <v>156</v>
      </c>
      <c r="Z337" s="30" t="s">
        <v>11</v>
      </c>
      <c r="AA337" s="28" t="s">
        <v>2285</v>
      </c>
      <c r="AB337" s="28" t="s">
        <v>2286</v>
      </c>
      <c r="AC337" s="28" t="s">
        <v>2276</v>
      </c>
      <c r="AD337" s="28" t="s">
        <v>2287</v>
      </c>
      <c r="AE337" s="28" t="s">
        <v>2401</v>
      </c>
      <c r="AF337" s="30" t="s">
        <v>69</v>
      </c>
      <c r="AG337" s="28" t="s">
        <v>2398</v>
      </c>
    </row>
    <row r="338" spans="1:33" x14ac:dyDescent="0.3">
      <c r="A338" s="28" t="s">
        <v>1792</v>
      </c>
      <c r="B338" s="34"/>
      <c r="C338" s="30" t="s">
        <v>11</v>
      </c>
      <c r="D338" s="28" t="s">
        <v>5</v>
      </c>
      <c r="E338" s="28">
        <v>200</v>
      </c>
      <c r="F338" s="30" t="s">
        <v>11</v>
      </c>
      <c r="G338" s="28" t="s">
        <v>1793</v>
      </c>
      <c r="H338" s="30" t="s">
        <v>11</v>
      </c>
      <c r="I338" s="28" t="s">
        <v>1794</v>
      </c>
      <c r="J338" s="30" t="s">
        <v>11</v>
      </c>
      <c r="K338" s="28" t="s">
        <v>1795</v>
      </c>
      <c r="L338" s="28" t="s">
        <v>157</v>
      </c>
      <c r="M338" s="30" t="s">
        <v>11</v>
      </c>
      <c r="N338" s="28" t="s">
        <v>1792</v>
      </c>
      <c r="O338" s="30" t="s">
        <v>11</v>
      </c>
      <c r="P338" s="28" t="s">
        <v>1796</v>
      </c>
      <c r="Q338" s="28" t="s">
        <v>1794</v>
      </c>
      <c r="R338" s="28" t="s">
        <v>981</v>
      </c>
      <c r="S338" s="28" t="s">
        <v>150</v>
      </c>
      <c r="T338" s="28" t="s">
        <v>1797</v>
      </c>
      <c r="U338" s="28" t="s">
        <v>1798</v>
      </c>
      <c r="V338" s="28" t="s">
        <v>1792</v>
      </c>
      <c r="W338" s="28" t="s">
        <v>1796</v>
      </c>
      <c r="X338" s="28" t="s">
        <v>1794</v>
      </c>
      <c r="Y338" s="28" t="s">
        <v>156</v>
      </c>
      <c r="Z338" s="30" t="s">
        <v>11</v>
      </c>
      <c r="AA338" s="28" t="s">
        <v>2285</v>
      </c>
      <c r="AB338" s="28" t="s">
        <v>2286</v>
      </c>
      <c r="AC338" s="28" t="s">
        <v>2276</v>
      </c>
      <c r="AD338" s="28" t="s">
        <v>2287</v>
      </c>
      <c r="AE338" s="28" t="s">
        <v>2401</v>
      </c>
      <c r="AF338" s="30" t="s">
        <v>69</v>
      </c>
      <c r="AG338" s="28" t="s">
        <v>2398</v>
      </c>
    </row>
    <row r="339" spans="1:33" x14ac:dyDescent="0.3">
      <c r="A339" s="28" t="s">
        <v>1799</v>
      </c>
      <c r="B339" s="34"/>
      <c r="C339" s="30" t="s">
        <v>11</v>
      </c>
      <c r="D339" s="28" t="s">
        <v>5</v>
      </c>
      <c r="E339" s="28">
        <v>200</v>
      </c>
      <c r="F339" s="30" t="s">
        <v>11</v>
      </c>
      <c r="G339" s="28" t="s">
        <v>1800</v>
      </c>
      <c r="H339" s="30" t="s">
        <v>11</v>
      </c>
      <c r="I339" s="28" t="s">
        <v>1801</v>
      </c>
      <c r="J339" s="30" t="s">
        <v>11</v>
      </c>
      <c r="K339" s="28" t="s">
        <v>1802</v>
      </c>
      <c r="L339" s="28" t="s">
        <v>157</v>
      </c>
      <c r="M339" s="30" t="s">
        <v>11</v>
      </c>
      <c r="N339" s="28" t="s">
        <v>1799</v>
      </c>
      <c r="O339" s="30" t="s">
        <v>11</v>
      </c>
      <c r="P339" s="28" t="s">
        <v>1803</v>
      </c>
      <c r="Q339" s="28" t="s">
        <v>1801</v>
      </c>
      <c r="R339" s="28" t="s">
        <v>981</v>
      </c>
      <c r="S339" s="28" t="s">
        <v>150</v>
      </c>
      <c r="T339" s="28" t="s">
        <v>1804</v>
      </c>
      <c r="U339" s="28" t="s">
        <v>1805</v>
      </c>
      <c r="V339" s="28" t="s">
        <v>1799</v>
      </c>
      <c r="W339" s="28" t="s">
        <v>1803</v>
      </c>
      <c r="X339" s="28" t="s">
        <v>1801</v>
      </c>
      <c r="Y339" s="28" t="s">
        <v>156</v>
      </c>
      <c r="Z339" s="30" t="s">
        <v>11</v>
      </c>
      <c r="AA339" s="28" t="s">
        <v>2285</v>
      </c>
      <c r="AB339" s="28" t="s">
        <v>2286</v>
      </c>
      <c r="AC339" s="28" t="s">
        <v>2276</v>
      </c>
      <c r="AD339" s="28" t="s">
        <v>2287</v>
      </c>
      <c r="AE339" s="28" t="s">
        <v>2289</v>
      </c>
      <c r="AF339" s="30" t="s">
        <v>69</v>
      </c>
      <c r="AG339" s="28" t="s">
        <v>2398</v>
      </c>
    </row>
    <row r="340" spans="1:33" x14ac:dyDescent="0.3">
      <c r="A340" s="28" t="s">
        <v>1806</v>
      </c>
      <c r="B340" s="34"/>
      <c r="C340" s="30" t="s">
        <v>11</v>
      </c>
      <c r="D340" s="28" t="s">
        <v>5</v>
      </c>
      <c r="E340" s="28">
        <v>200</v>
      </c>
      <c r="F340" s="30" t="s">
        <v>11</v>
      </c>
      <c r="G340" s="28" t="s">
        <v>1807</v>
      </c>
      <c r="H340" s="30" t="s">
        <v>11</v>
      </c>
      <c r="I340" s="28" t="s">
        <v>1808</v>
      </c>
      <c r="J340" s="30" t="s">
        <v>11</v>
      </c>
      <c r="K340" s="28" t="s">
        <v>1809</v>
      </c>
      <c r="L340" s="28" t="s">
        <v>157</v>
      </c>
      <c r="M340" s="30" t="s">
        <v>11</v>
      </c>
      <c r="N340" s="28" t="s">
        <v>1806</v>
      </c>
      <c r="O340" s="30" t="s">
        <v>11</v>
      </c>
      <c r="P340" s="28" t="s">
        <v>1810</v>
      </c>
      <c r="Q340" s="28" t="s">
        <v>1808</v>
      </c>
      <c r="R340" s="28" t="s">
        <v>981</v>
      </c>
      <c r="S340" s="28" t="s">
        <v>150</v>
      </c>
      <c r="T340" s="28" t="s">
        <v>1811</v>
      </c>
      <c r="U340" s="28" t="s">
        <v>1812</v>
      </c>
      <c r="V340" s="28" t="s">
        <v>1806</v>
      </c>
      <c r="W340" s="28" t="s">
        <v>1810</v>
      </c>
      <c r="X340" s="28" t="s">
        <v>1808</v>
      </c>
      <c r="Y340" s="28" t="s">
        <v>156</v>
      </c>
      <c r="Z340" s="30" t="s">
        <v>11</v>
      </c>
      <c r="AA340" s="28" t="s">
        <v>2285</v>
      </c>
      <c r="AB340" s="28" t="s">
        <v>2286</v>
      </c>
      <c r="AC340" s="28" t="s">
        <v>2276</v>
      </c>
      <c r="AD340" s="28" t="s">
        <v>2287</v>
      </c>
      <c r="AE340" s="28" t="s">
        <v>2289</v>
      </c>
      <c r="AF340" s="30" t="s">
        <v>69</v>
      </c>
      <c r="AG340" s="28" t="s">
        <v>2398</v>
      </c>
    </row>
    <row r="341" spans="1:33" x14ac:dyDescent="0.3">
      <c r="A341" s="28" t="s">
        <v>1814</v>
      </c>
      <c r="B341" s="34"/>
      <c r="C341" s="30" t="s">
        <v>11</v>
      </c>
      <c r="D341" s="28" t="s">
        <v>5</v>
      </c>
      <c r="E341" s="28">
        <v>200</v>
      </c>
      <c r="F341" s="30" t="s">
        <v>11</v>
      </c>
      <c r="G341" s="28" t="s">
        <v>1815</v>
      </c>
      <c r="H341" s="30" t="s">
        <v>11</v>
      </c>
      <c r="I341" s="28" t="s">
        <v>1816</v>
      </c>
      <c r="J341" s="30" t="s">
        <v>11</v>
      </c>
      <c r="K341" s="28" t="s">
        <v>1817</v>
      </c>
      <c r="L341" s="28" t="s">
        <v>157</v>
      </c>
      <c r="M341" s="30" t="s">
        <v>11</v>
      </c>
      <c r="N341" s="28" t="s">
        <v>1814</v>
      </c>
      <c r="O341" s="30" t="s">
        <v>11</v>
      </c>
      <c r="P341" s="28" t="s">
        <v>1818</v>
      </c>
      <c r="Q341" s="28" t="s">
        <v>1816</v>
      </c>
      <c r="R341" s="28" t="s">
        <v>981</v>
      </c>
      <c r="S341" s="28" t="s">
        <v>150</v>
      </c>
      <c r="T341" s="28" t="s">
        <v>1819</v>
      </c>
      <c r="U341" s="28" t="s">
        <v>1820</v>
      </c>
      <c r="V341" s="28" t="s">
        <v>1814</v>
      </c>
      <c r="W341" s="28" t="s">
        <v>1818</v>
      </c>
      <c r="X341" s="28" t="s">
        <v>1816</v>
      </c>
      <c r="Y341" s="28" t="s">
        <v>156</v>
      </c>
      <c r="Z341" s="30" t="s">
        <v>11</v>
      </c>
      <c r="AA341" s="28" t="s">
        <v>2285</v>
      </c>
      <c r="AB341" s="28" t="s">
        <v>2286</v>
      </c>
      <c r="AC341" s="28" t="s">
        <v>2276</v>
      </c>
      <c r="AD341" s="28" t="s">
        <v>2287</v>
      </c>
      <c r="AE341" s="28" t="s">
        <v>2401</v>
      </c>
      <c r="AF341" s="30" t="s">
        <v>69</v>
      </c>
      <c r="AG341" s="28" t="s">
        <v>2398</v>
      </c>
    </row>
    <row r="342" spans="1:33" x14ac:dyDescent="0.3">
      <c r="A342" s="28" t="s">
        <v>1821</v>
      </c>
      <c r="B342" s="34"/>
      <c r="C342" s="30" t="s">
        <v>70</v>
      </c>
      <c r="D342" s="28" t="s">
        <v>5</v>
      </c>
      <c r="E342" s="28">
        <v>200</v>
      </c>
      <c r="F342" s="30" t="s">
        <v>11</v>
      </c>
      <c r="G342" s="28" t="s">
        <v>1822</v>
      </c>
      <c r="H342" s="30" t="s">
        <v>11</v>
      </c>
      <c r="I342" s="28" t="s">
        <v>1823</v>
      </c>
      <c r="J342" s="30" t="s">
        <v>11</v>
      </c>
      <c r="K342" s="28" t="s">
        <v>1824</v>
      </c>
      <c r="L342" s="28" t="s">
        <v>157</v>
      </c>
      <c r="M342" s="30" t="s">
        <v>11</v>
      </c>
      <c r="N342" s="28" t="s">
        <v>1821</v>
      </c>
      <c r="O342" s="30" t="s">
        <v>11</v>
      </c>
      <c r="P342" s="28" t="s">
        <v>1825</v>
      </c>
      <c r="Q342" s="28" t="s">
        <v>1823</v>
      </c>
      <c r="R342" s="28" t="s">
        <v>981</v>
      </c>
      <c r="S342" s="28" t="s">
        <v>150</v>
      </c>
      <c r="T342" s="28" t="s">
        <v>1826</v>
      </c>
      <c r="U342" s="28" t="s">
        <v>1827</v>
      </c>
      <c r="V342" s="28" t="s">
        <v>1821</v>
      </c>
      <c r="W342" s="28" t="s">
        <v>1825</v>
      </c>
      <c r="X342" s="28" t="s">
        <v>1823</v>
      </c>
      <c r="Y342" s="28" t="s">
        <v>156</v>
      </c>
      <c r="Z342" s="30" t="s">
        <v>11</v>
      </c>
      <c r="AA342" s="28" t="s">
        <v>2285</v>
      </c>
      <c r="AB342" s="28" t="s">
        <v>2286</v>
      </c>
      <c r="AC342" s="28" t="s">
        <v>2276</v>
      </c>
      <c r="AD342" s="28" t="s">
        <v>2287</v>
      </c>
      <c r="AE342" s="28" t="s">
        <v>2401</v>
      </c>
      <c r="AF342" s="30" t="s">
        <v>69</v>
      </c>
      <c r="AG342" s="28" t="s">
        <v>2398</v>
      </c>
    </row>
    <row r="343" spans="1:33" x14ac:dyDescent="0.3">
      <c r="A343" s="28" t="s">
        <v>1828</v>
      </c>
      <c r="B343" s="34"/>
      <c r="C343" s="30" t="s">
        <v>11</v>
      </c>
      <c r="D343" s="28" t="s">
        <v>5</v>
      </c>
      <c r="E343" s="28">
        <v>200</v>
      </c>
      <c r="F343" s="30" t="s">
        <v>11</v>
      </c>
      <c r="G343" s="28" t="s">
        <v>1829</v>
      </c>
      <c r="H343" s="30" t="s">
        <v>11</v>
      </c>
      <c r="I343" s="28" t="s">
        <v>1830</v>
      </c>
      <c r="J343" s="30" t="s">
        <v>11</v>
      </c>
      <c r="K343" s="28" t="s">
        <v>1831</v>
      </c>
      <c r="L343" s="28" t="s">
        <v>157</v>
      </c>
      <c r="M343" s="30" t="s">
        <v>11</v>
      </c>
      <c r="N343" s="28" t="s">
        <v>1828</v>
      </c>
      <c r="O343" s="30" t="s">
        <v>11</v>
      </c>
      <c r="P343" s="28" t="s">
        <v>1832</v>
      </c>
      <c r="Q343" s="28" t="s">
        <v>1830</v>
      </c>
      <c r="R343" s="28" t="s">
        <v>981</v>
      </c>
      <c r="S343" s="28" t="s">
        <v>150</v>
      </c>
      <c r="T343" s="28" t="s">
        <v>1833</v>
      </c>
      <c r="U343" s="28" t="s">
        <v>1834</v>
      </c>
      <c r="V343" s="28" t="s">
        <v>1828</v>
      </c>
      <c r="W343" s="28" t="s">
        <v>1832</v>
      </c>
      <c r="X343" s="28" t="s">
        <v>1830</v>
      </c>
      <c r="Y343" s="28" t="s">
        <v>156</v>
      </c>
      <c r="Z343" s="30" t="s">
        <v>11</v>
      </c>
      <c r="AA343" s="28" t="s">
        <v>2285</v>
      </c>
      <c r="AB343" s="28" t="s">
        <v>2286</v>
      </c>
      <c r="AC343" s="28" t="s">
        <v>2276</v>
      </c>
      <c r="AD343" s="28" t="s">
        <v>2287</v>
      </c>
      <c r="AE343" s="28" t="s">
        <v>2401</v>
      </c>
      <c r="AF343" s="30" t="s">
        <v>69</v>
      </c>
      <c r="AG343" s="28" t="s">
        <v>2398</v>
      </c>
    </row>
    <row r="344" spans="1:33" x14ac:dyDescent="0.3">
      <c r="A344" s="28" t="s">
        <v>1835</v>
      </c>
      <c r="B344" s="34"/>
      <c r="C344" s="30" t="s">
        <v>11</v>
      </c>
      <c r="D344" s="28" t="s">
        <v>5</v>
      </c>
      <c r="E344" s="28">
        <v>200</v>
      </c>
      <c r="F344" s="30" t="s">
        <v>11</v>
      </c>
      <c r="G344" s="28" t="s">
        <v>1836</v>
      </c>
      <c r="H344" s="30" t="s">
        <v>11</v>
      </c>
      <c r="I344" s="28" t="s">
        <v>1837</v>
      </c>
      <c r="J344" s="30" t="s">
        <v>11</v>
      </c>
      <c r="K344" s="28" t="s">
        <v>1838</v>
      </c>
      <c r="L344" s="28" t="s">
        <v>157</v>
      </c>
      <c r="M344" s="30" t="s">
        <v>11</v>
      </c>
      <c r="N344" s="28" t="s">
        <v>1835</v>
      </c>
      <c r="O344" s="30" t="s">
        <v>11</v>
      </c>
      <c r="P344" s="28" t="s">
        <v>1839</v>
      </c>
      <c r="Q344" s="28" t="s">
        <v>1837</v>
      </c>
      <c r="R344" s="28" t="s">
        <v>981</v>
      </c>
      <c r="S344" s="28" t="s">
        <v>150</v>
      </c>
      <c r="T344" s="28" t="s">
        <v>1840</v>
      </c>
      <c r="U344" s="28" t="s">
        <v>1841</v>
      </c>
      <c r="V344" s="28" t="s">
        <v>1835</v>
      </c>
      <c r="W344" s="28" t="s">
        <v>1839</v>
      </c>
      <c r="X344" s="28" t="s">
        <v>1837</v>
      </c>
      <c r="Y344" s="28" t="s">
        <v>156</v>
      </c>
      <c r="Z344" s="30" t="s">
        <v>11</v>
      </c>
      <c r="AA344" s="28" t="s">
        <v>2285</v>
      </c>
      <c r="AB344" s="28" t="s">
        <v>2286</v>
      </c>
      <c r="AC344" s="28" t="s">
        <v>2276</v>
      </c>
      <c r="AD344" s="28" t="s">
        <v>2287</v>
      </c>
      <c r="AE344" s="28" t="s">
        <v>2401</v>
      </c>
      <c r="AF344" s="30" t="s">
        <v>69</v>
      </c>
      <c r="AG344" s="28" t="s">
        <v>2398</v>
      </c>
    </row>
    <row r="345" spans="1:33" x14ac:dyDescent="0.3">
      <c r="A345" s="28" t="s">
        <v>1842</v>
      </c>
      <c r="B345" s="34"/>
      <c r="C345" s="30" t="s">
        <v>11</v>
      </c>
      <c r="D345" s="28" t="s">
        <v>5</v>
      </c>
      <c r="E345" s="28">
        <v>200</v>
      </c>
      <c r="F345" s="30" t="s">
        <v>11</v>
      </c>
      <c r="G345" s="28" t="s">
        <v>1843</v>
      </c>
      <c r="H345" s="30" t="s">
        <v>11</v>
      </c>
      <c r="I345" s="28" t="s">
        <v>1844</v>
      </c>
      <c r="J345" s="30" t="s">
        <v>11</v>
      </c>
      <c r="K345" s="28" t="s">
        <v>1845</v>
      </c>
      <c r="L345" s="28" t="s">
        <v>157</v>
      </c>
      <c r="M345" s="30" t="s">
        <v>11</v>
      </c>
      <c r="N345" s="28" t="s">
        <v>1842</v>
      </c>
      <c r="O345" s="30" t="s">
        <v>11</v>
      </c>
      <c r="P345" s="28" t="s">
        <v>1846</v>
      </c>
      <c r="Q345" s="28" t="s">
        <v>1844</v>
      </c>
      <c r="R345" s="28" t="s">
        <v>981</v>
      </c>
      <c r="S345" s="28" t="s">
        <v>150</v>
      </c>
      <c r="T345" s="28" t="s">
        <v>1847</v>
      </c>
      <c r="U345" s="28" t="s">
        <v>1848</v>
      </c>
      <c r="V345" s="28" t="s">
        <v>1842</v>
      </c>
      <c r="W345" s="28" t="s">
        <v>1846</v>
      </c>
      <c r="X345" s="28" t="s">
        <v>1844</v>
      </c>
      <c r="Y345" s="28" t="s">
        <v>156</v>
      </c>
      <c r="Z345" s="30" t="s">
        <v>11</v>
      </c>
      <c r="AA345" s="28" t="s">
        <v>2285</v>
      </c>
      <c r="AB345" s="28" t="s">
        <v>2286</v>
      </c>
      <c r="AC345" s="28" t="s">
        <v>2276</v>
      </c>
      <c r="AD345" s="28" t="s">
        <v>2287</v>
      </c>
      <c r="AE345" s="28" t="s">
        <v>2401</v>
      </c>
      <c r="AF345" s="30" t="s">
        <v>69</v>
      </c>
      <c r="AG345" s="28" t="s">
        <v>2398</v>
      </c>
    </row>
    <row r="346" spans="1:33" x14ac:dyDescent="0.3">
      <c r="A346" s="28" t="s">
        <v>1849</v>
      </c>
      <c r="B346" s="34"/>
      <c r="C346" s="30" t="s">
        <v>11</v>
      </c>
      <c r="D346" s="28" t="s">
        <v>5</v>
      </c>
      <c r="E346" s="28">
        <v>200</v>
      </c>
      <c r="F346" s="30" t="s">
        <v>11</v>
      </c>
      <c r="G346" s="28" t="s">
        <v>1850</v>
      </c>
      <c r="H346" s="30" t="s">
        <v>11</v>
      </c>
      <c r="I346" s="28" t="s">
        <v>1851</v>
      </c>
      <c r="J346" s="30" t="s">
        <v>11</v>
      </c>
      <c r="K346" s="28" t="s">
        <v>1852</v>
      </c>
      <c r="L346" s="28" t="s">
        <v>157</v>
      </c>
      <c r="M346" s="30" t="s">
        <v>11</v>
      </c>
      <c r="N346" s="28" t="s">
        <v>1849</v>
      </c>
      <c r="O346" s="30" t="s">
        <v>11</v>
      </c>
      <c r="P346" s="28" t="s">
        <v>1853</v>
      </c>
      <c r="Q346" s="28" t="s">
        <v>1851</v>
      </c>
      <c r="R346" s="28" t="s">
        <v>981</v>
      </c>
      <c r="S346" s="28" t="s">
        <v>150</v>
      </c>
      <c r="T346" s="28" t="s">
        <v>1854</v>
      </c>
      <c r="U346" s="28" t="s">
        <v>1855</v>
      </c>
      <c r="V346" s="28" t="s">
        <v>1849</v>
      </c>
      <c r="W346" s="28" t="s">
        <v>1853</v>
      </c>
      <c r="X346" s="28" t="s">
        <v>1851</v>
      </c>
      <c r="Y346" s="28" t="s">
        <v>156</v>
      </c>
      <c r="Z346" s="30" t="s">
        <v>11</v>
      </c>
      <c r="AA346" s="28" t="s">
        <v>2285</v>
      </c>
      <c r="AB346" s="28" t="s">
        <v>2286</v>
      </c>
      <c r="AC346" s="28" t="s">
        <v>2276</v>
      </c>
      <c r="AD346" s="28" t="s">
        <v>2287</v>
      </c>
      <c r="AE346" s="28" t="s">
        <v>2289</v>
      </c>
      <c r="AF346" s="30" t="s">
        <v>69</v>
      </c>
      <c r="AG346" s="28" t="s">
        <v>2398</v>
      </c>
    </row>
    <row r="347" spans="1:33" x14ac:dyDescent="0.3">
      <c r="A347" s="28" t="s">
        <v>1856</v>
      </c>
      <c r="B347" s="34"/>
      <c r="C347" s="30" t="s">
        <v>11</v>
      </c>
      <c r="D347" s="28" t="s">
        <v>5</v>
      </c>
      <c r="E347" s="28">
        <v>200</v>
      </c>
      <c r="F347" s="30" t="s">
        <v>11</v>
      </c>
      <c r="G347" s="28" t="s">
        <v>1857</v>
      </c>
      <c r="H347" s="30" t="s">
        <v>11</v>
      </c>
      <c r="I347" s="28" t="s">
        <v>1858</v>
      </c>
      <c r="J347" s="30" t="s">
        <v>11</v>
      </c>
      <c r="K347" s="28" t="s">
        <v>1859</v>
      </c>
      <c r="L347" s="28" t="s">
        <v>157</v>
      </c>
      <c r="M347" s="30" t="s">
        <v>11</v>
      </c>
      <c r="N347" s="28" t="s">
        <v>1856</v>
      </c>
      <c r="O347" s="30" t="s">
        <v>11</v>
      </c>
      <c r="P347" s="28" t="s">
        <v>1860</v>
      </c>
      <c r="Q347" s="28" t="s">
        <v>1858</v>
      </c>
      <c r="R347" s="28" t="s">
        <v>981</v>
      </c>
      <c r="S347" s="28" t="s">
        <v>150</v>
      </c>
      <c r="T347" s="28" t="s">
        <v>1861</v>
      </c>
      <c r="U347" s="28" t="s">
        <v>1862</v>
      </c>
      <c r="V347" s="28" t="s">
        <v>1856</v>
      </c>
      <c r="W347" s="28" t="s">
        <v>1860</v>
      </c>
      <c r="X347" s="28" t="s">
        <v>1858</v>
      </c>
      <c r="Y347" s="28" t="s">
        <v>156</v>
      </c>
      <c r="Z347" s="30" t="s">
        <v>11</v>
      </c>
      <c r="AA347" s="28" t="s">
        <v>2285</v>
      </c>
      <c r="AB347" s="28" t="s">
        <v>2286</v>
      </c>
      <c r="AC347" s="28" t="s">
        <v>2276</v>
      </c>
      <c r="AD347" s="28" t="s">
        <v>2287</v>
      </c>
      <c r="AE347" s="28" t="s">
        <v>2289</v>
      </c>
      <c r="AF347" s="30" t="s">
        <v>69</v>
      </c>
      <c r="AG347" s="28" t="s">
        <v>2398</v>
      </c>
    </row>
    <row r="348" spans="1:33" x14ac:dyDescent="0.3">
      <c r="A348" s="28" t="s">
        <v>1863</v>
      </c>
      <c r="B348" s="34"/>
      <c r="C348" s="30" t="s">
        <v>11</v>
      </c>
      <c r="D348" s="28" t="s">
        <v>5</v>
      </c>
      <c r="E348" s="28">
        <v>200</v>
      </c>
      <c r="F348" s="30" t="s">
        <v>11</v>
      </c>
      <c r="G348" s="28" t="s">
        <v>1864</v>
      </c>
      <c r="H348" s="30" t="s">
        <v>11</v>
      </c>
      <c r="I348" s="28" t="s">
        <v>1865</v>
      </c>
      <c r="J348" s="30" t="s">
        <v>11</v>
      </c>
      <c r="K348" s="28" t="s">
        <v>1866</v>
      </c>
      <c r="L348" s="28" t="s">
        <v>157</v>
      </c>
      <c r="M348" s="30" t="s">
        <v>11</v>
      </c>
      <c r="N348" s="28" t="s">
        <v>1863</v>
      </c>
      <c r="O348" s="30" t="s">
        <v>11</v>
      </c>
      <c r="P348" s="28" t="s">
        <v>1867</v>
      </c>
      <c r="Q348" s="28" t="s">
        <v>1865</v>
      </c>
      <c r="R348" s="28" t="s">
        <v>981</v>
      </c>
      <c r="S348" s="28" t="s">
        <v>150</v>
      </c>
      <c r="T348" s="28" t="s">
        <v>1868</v>
      </c>
      <c r="U348" s="28" t="s">
        <v>1869</v>
      </c>
      <c r="V348" s="28" t="s">
        <v>1863</v>
      </c>
      <c r="W348" s="28" t="s">
        <v>1867</v>
      </c>
      <c r="X348" s="28" t="s">
        <v>1865</v>
      </c>
      <c r="Y348" s="28" t="s">
        <v>156</v>
      </c>
      <c r="Z348" s="30" t="s">
        <v>11</v>
      </c>
      <c r="AA348" s="28" t="s">
        <v>2285</v>
      </c>
      <c r="AB348" s="28" t="s">
        <v>2286</v>
      </c>
      <c r="AC348" s="28" t="s">
        <v>2276</v>
      </c>
      <c r="AD348" s="28" t="s">
        <v>2287</v>
      </c>
      <c r="AE348" s="28" t="s">
        <v>2401</v>
      </c>
      <c r="AF348" s="30" t="s">
        <v>69</v>
      </c>
      <c r="AG348" s="28" t="s">
        <v>2398</v>
      </c>
    </row>
    <row r="349" spans="1:33" x14ac:dyDescent="0.3">
      <c r="A349" s="28" t="s">
        <v>1870</v>
      </c>
      <c r="B349" s="34"/>
      <c r="C349" s="30" t="s">
        <v>11</v>
      </c>
      <c r="D349" s="28" t="s">
        <v>5</v>
      </c>
      <c r="E349" s="28">
        <v>200</v>
      </c>
      <c r="F349" s="30" t="s">
        <v>11</v>
      </c>
      <c r="G349" s="28" t="s">
        <v>1871</v>
      </c>
      <c r="H349" s="30" t="s">
        <v>11</v>
      </c>
      <c r="I349" s="28" t="s">
        <v>1872</v>
      </c>
      <c r="J349" s="30" t="s">
        <v>11</v>
      </c>
      <c r="K349" s="28" t="s">
        <v>1873</v>
      </c>
      <c r="L349" s="28" t="s">
        <v>157</v>
      </c>
      <c r="M349" s="30" t="s">
        <v>11</v>
      </c>
      <c r="N349" s="28" t="s">
        <v>1870</v>
      </c>
      <c r="O349" s="30" t="s">
        <v>11</v>
      </c>
      <c r="P349" s="28" t="s">
        <v>1874</v>
      </c>
      <c r="Q349" s="28" t="s">
        <v>1872</v>
      </c>
      <c r="R349" s="28" t="s">
        <v>981</v>
      </c>
      <c r="S349" s="28" t="s">
        <v>150</v>
      </c>
      <c r="T349" s="28" t="s">
        <v>1875</v>
      </c>
      <c r="U349" s="28" t="s">
        <v>1876</v>
      </c>
      <c r="V349" s="28" t="s">
        <v>1870</v>
      </c>
      <c r="W349" s="28" t="s">
        <v>1874</v>
      </c>
      <c r="X349" s="28" t="s">
        <v>1872</v>
      </c>
      <c r="Y349" s="28" t="s">
        <v>156</v>
      </c>
      <c r="Z349" s="30" t="s">
        <v>11</v>
      </c>
      <c r="AA349" s="28" t="s">
        <v>2285</v>
      </c>
      <c r="AB349" s="28" t="s">
        <v>2286</v>
      </c>
      <c r="AC349" s="28" t="s">
        <v>2276</v>
      </c>
      <c r="AD349" s="28" t="s">
        <v>2287</v>
      </c>
      <c r="AE349" s="28" t="s">
        <v>2401</v>
      </c>
      <c r="AF349" s="30" t="s">
        <v>69</v>
      </c>
      <c r="AG349" s="28" t="s">
        <v>2398</v>
      </c>
    </row>
    <row r="350" spans="1:33" x14ac:dyDescent="0.3">
      <c r="A350" s="28" t="s">
        <v>1877</v>
      </c>
      <c r="B350" s="34"/>
      <c r="C350" s="30" t="s">
        <v>11</v>
      </c>
      <c r="D350" s="28" t="s">
        <v>5</v>
      </c>
      <c r="E350" s="28">
        <v>200</v>
      </c>
      <c r="F350" s="30" t="s">
        <v>11</v>
      </c>
      <c r="G350" s="28" t="s">
        <v>1878</v>
      </c>
      <c r="H350" s="30" t="s">
        <v>11</v>
      </c>
      <c r="I350" s="28" t="s">
        <v>1879</v>
      </c>
      <c r="J350" s="30" t="s">
        <v>11</v>
      </c>
      <c r="K350" s="28" t="s">
        <v>1880</v>
      </c>
      <c r="L350" s="28" t="s">
        <v>157</v>
      </c>
      <c r="M350" s="30" t="s">
        <v>11</v>
      </c>
      <c r="N350" s="28" t="s">
        <v>1877</v>
      </c>
      <c r="O350" s="30" t="s">
        <v>11</v>
      </c>
      <c r="P350" s="28" t="s">
        <v>1881</v>
      </c>
      <c r="Q350" s="28" t="s">
        <v>1879</v>
      </c>
      <c r="R350" s="28" t="s">
        <v>981</v>
      </c>
      <c r="S350" s="28" t="s">
        <v>150</v>
      </c>
      <c r="T350" s="28" t="s">
        <v>1882</v>
      </c>
      <c r="U350" s="28" t="s">
        <v>1883</v>
      </c>
      <c r="V350" s="28" t="s">
        <v>1877</v>
      </c>
      <c r="W350" s="28" t="s">
        <v>1881</v>
      </c>
      <c r="X350" s="28" t="s">
        <v>1879</v>
      </c>
      <c r="Y350" s="28" t="s">
        <v>156</v>
      </c>
      <c r="Z350" s="30" t="s">
        <v>11</v>
      </c>
      <c r="AA350" s="28" t="s">
        <v>2285</v>
      </c>
      <c r="AB350" s="28" t="s">
        <v>2286</v>
      </c>
      <c r="AC350" s="28" t="s">
        <v>2276</v>
      </c>
      <c r="AD350" s="28" t="s">
        <v>2287</v>
      </c>
      <c r="AE350" s="28" t="s">
        <v>2401</v>
      </c>
      <c r="AF350" s="30" t="s">
        <v>69</v>
      </c>
      <c r="AG350" s="28" t="s">
        <v>2398</v>
      </c>
    </row>
    <row r="351" spans="1:33" x14ac:dyDescent="0.3">
      <c r="A351" s="28" t="s">
        <v>1884</v>
      </c>
      <c r="B351" s="34"/>
      <c r="C351" s="30" t="s">
        <v>11</v>
      </c>
      <c r="D351" s="28" t="s">
        <v>5</v>
      </c>
      <c r="E351" s="28">
        <v>200</v>
      </c>
      <c r="F351" s="30" t="s">
        <v>11</v>
      </c>
      <c r="G351" s="28" t="s">
        <v>1885</v>
      </c>
      <c r="H351" s="30" t="s">
        <v>11</v>
      </c>
      <c r="I351" s="28" t="s">
        <v>1886</v>
      </c>
      <c r="J351" s="30" t="s">
        <v>60</v>
      </c>
      <c r="K351" s="28" t="s">
        <v>1887</v>
      </c>
      <c r="L351" s="28" t="s">
        <v>157</v>
      </c>
      <c r="M351" s="30" t="s">
        <v>11</v>
      </c>
      <c r="N351" s="28" t="s">
        <v>1884</v>
      </c>
      <c r="O351" s="30" t="s">
        <v>11</v>
      </c>
      <c r="P351" s="28" t="s">
        <v>1888</v>
      </c>
      <c r="Q351" s="28" t="s">
        <v>1886</v>
      </c>
      <c r="R351" s="28" t="s">
        <v>981</v>
      </c>
      <c r="S351" s="28" t="s">
        <v>150</v>
      </c>
      <c r="T351" s="28" t="s">
        <v>1889</v>
      </c>
      <c r="U351" s="28" t="s">
        <v>1890</v>
      </c>
      <c r="V351" s="28" t="s">
        <v>1884</v>
      </c>
      <c r="W351" s="28" t="s">
        <v>1888</v>
      </c>
      <c r="X351" s="28" t="s">
        <v>1886</v>
      </c>
      <c r="Y351" s="28" t="s">
        <v>156</v>
      </c>
      <c r="Z351" s="30" t="s">
        <v>56</v>
      </c>
      <c r="AA351" s="28" t="s">
        <v>2285</v>
      </c>
      <c r="AB351" s="28" t="s">
        <v>2286</v>
      </c>
      <c r="AC351" s="28" t="s">
        <v>2276</v>
      </c>
      <c r="AD351" s="28" t="s">
        <v>2287</v>
      </c>
      <c r="AE351" s="28" t="s">
        <v>2401</v>
      </c>
      <c r="AF351" s="30" t="s">
        <v>69</v>
      </c>
      <c r="AG351" s="28" t="s">
        <v>2398</v>
      </c>
    </row>
    <row r="352" spans="1:33" x14ac:dyDescent="0.3">
      <c r="A352" s="28" t="s">
        <v>1891</v>
      </c>
      <c r="B352" s="34"/>
      <c r="C352" s="30" t="s">
        <v>11</v>
      </c>
      <c r="D352" s="28" t="s">
        <v>5</v>
      </c>
      <c r="E352" s="28">
        <v>200</v>
      </c>
      <c r="F352" s="30" t="s">
        <v>11</v>
      </c>
      <c r="G352" s="28" t="s">
        <v>1892</v>
      </c>
      <c r="H352" s="30" t="s">
        <v>11</v>
      </c>
      <c r="I352" s="28" t="s">
        <v>1893</v>
      </c>
      <c r="J352" s="30" t="s">
        <v>11</v>
      </c>
      <c r="K352" s="28" t="s">
        <v>1894</v>
      </c>
      <c r="L352" s="28" t="s">
        <v>157</v>
      </c>
      <c r="M352" s="30" t="s">
        <v>11</v>
      </c>
      <c r="N352" s="28" t="s">
        <v>1891</v>
      </c>
      <c r="O352" s="30" t="s">
        <v>11</v>
      </c>
      <c r="P352" s="28" t="s">
        <v>1895</v>
      </c>
      <c r="Q352" s="28" t="s">
        <v>1893</v>
      </c>
      <c r="R352" s="28" t="s">
        <v>981</v>
      </c>
      <c r="S352" s="28" t="s">
        <v>150</v>
      </c>
      <c r="T352" s="28" t="s">
        <v>1896</v>
      </c>
      <c r="U352" s="28" t="s">
        <v>1897</v>
      </c>
      <c r="V352" s="28" t="s">
        <v>1891</v>
      </c>
      <c r="W352" s="28" t="s">
        <v>1895</v>
      </c>
      <c r="X352" s="28" t="s">
        <v>1893</v>
      </c>
      <c r="Y352" s="28" t="s">
        <v>156</v>
      </c>
      <c r="Z352" s="30" t="s">
        <v>11</v>
      </c>
      <c r="AA352" s="28" t="s">
        <v>2285</v>
      </c>
      <c r="AB352" s="28" t="s">
        <v>2286</v>
      </c>
      <c r="AC352" s="28" t="s">
        <v>2276</v>
      </c>
      <c r="AD352" s="28" t="s">
        <v>2287</v>
      </c>
      <c r="AE352" s="28" t="s">
        <v>2401</v>
      </c>
      <c r="AF352" s="30" t="s">
        <v>69</v>
      </c>
      <c r="AG352" s="28" t="s">
        <v>2398</v>
      </c>
    </row>
    <row r="353" spans="1:33" x14ac:dyDescent="0.3">
      <c r="A353" s="28" t="s">
        <v>1898</v>
      </c>
      <c r="B353" s="34"/>
      <c r="C353" s="30" t="s">
        <v>11</v>
      </c>
      <c r="D353" s="28" t="s">
        <v>5</v>
      </c>
      <c r="E353" s="28">
        <v>200</v>
      </c>
      <c r="F353" s="30" t="s">
        <v>11</v>
      </c>
      <c r="G353" s="28" t="s">
        <v>1899</v>
      </c>
      <c r="H353" s="30" t="s">
        <v>11</v>
      </c>
      <c r="I353" s="28" t="s">
        <v>1900</v>
      </c>
      <c r="J353" s="30" t="s">
        <v>11</v>
      </c>
      <c r="K353" s="28" t="s">
        <v>1901</v>
      </c>
      <c r="L353" s="28" t="s">
        <v>157</v>
      </c>
      <c r="M353" s="30" t="s">
        <v>11</v>
      </c>
      <c r="N353" s="28" t="s">
        <v>1898</v>
      </c>
      <c r="O353" s="30" t="s">
        <v>11</v>
      </c>
      <c r="P353" s="28" t="s">
        <v>1902</v>
      </c>
      <c r="Q353" s="28" t="s">
        <v>1900</v>
      </c>
      <c r="R353" s="28" t="s">
        <v>981</v>
      </c>
      <c r="S353" s="28" t="s">
        <v>150</v>
      </c>
      <c r="T353" s="28" t="s">
        <v>1903</v>
      </c>
      <c r="U353" s="28" t="s">
        <v>1904</v>
      </c>
      <c r="V353" s="28" t="s">
        <v>1898</v>
      </c>
      <c r="W353" s="28" t="s">
        <v>1902</v>
      </c>
      <c r="X353" s="28" t="s">
        <v>1900</v>
      </c>
      <c r="Y353" s="28" t="s">
        <v>156</v>
      </c>
      <c r="Z353" s="30" t="s">
        <v>11</v>
      </c>
      <c r="AA353" s="28" t="s">
        <v>2285</v>
      </c>
      <c r="AB353" s="28" t="s">
        <v>2286</v>
      </c>
      <c r="AC353" s="28" t="s">
        <v>2276</v>
      </c>
      <c r="AD353" s="28" t="s">
        <v>2287</v>
      </c>
      <c r="AE353" s="28" t="s">
        <v>2401</v>
      </c>
      <c r="AF353" s="30" t="s">
        <v>69</v>
      </c>
      <c r="AG353" s="28" t="s">
        <v>2398</v>
      </c>
    </row>
    <row r="354" spans="1:33" x14ac:dyDescent="0.3">
      <c r="A354" s="28" t="s">
        <v>1905</v>
      </c>
      <c r="B354" s="34"/>
      <c r="C354" s="30" t="s">
        <v>11</v>
      </c>
      <c r="D354" s="28" t="s">
        <v>5</v>
      </c>
      <c r="E354" s="28">
        <v>200</v>
      </c>
      <c r="F354" s="30" t="s">
        <v>11</v>
      </c>
      <c r="G354" s="28" t="s">
        <v>1906</v>
      </c>
      <c r="H354" s="30" t="s">
        <v>11</v>
      </c>
      <c r="I354" s="28" t="s">
        <v>1907</v>
      </c>
      <c r="J354" s="30" t="s">
        <v>11</v>
      </c>
      <c r="K354" s="28" t="s">
        <v>1908</v>
      </c>
      <c r="L354" s="28" t="s">
        <v>157</v>
      </c>
      <c r="M354" s="30" t="s">
        <v>11</v>
      </c>
      <c r="N354" s="28" t="s">
        <v>1905</v>
      </c>
      <c r="O354" s="30" t="s">
        <v>11</v>
      </c>
      <c r="P354" s="28" t="s">
        <v>1909</v>
      </c>
      <c r="Q354" s="28" t="s">
        <v>1907</v>
      </c>
      <c r="R354" s="28" t="s">
        <v>981</v>
      </c>
      <c r="S354" s="28" t="s">
        <v>150</v>
      </c>
      <c r="T354" s="28" t="s">
        <v>1910</v>
      </c>
      <c r="U354" s="28" t="s">
        <v>1911</v>
      </c>
      <c r="V354" s="28" t="s">
        <v>1905</v>
      </c>
      <c r="W354" s="28" t="s">
        <v>1909</v>
      </c>
      <c r="X354" s="28" t="s">
        <v>1907</v>
      </c>
      <c r="Y354" s="28" t="s">
        <v>156</v>
      </c>
      <c r="Z354" s="30" t="s">
        <v>11</v>
      </c>
      <c r="AA354" s="28" t="s">
        <v>2285</v>
      </c>
      <c r="AB354" s="28" t="s">
        <v>2286</v>
      </c>
      <c r="AC354" s="28" t="s">
        <v>2276</v>
      </c>
      <c r="AD354" s="28" t="s">
        <v>2287</v>
      </c>
      <c r="AE354" s="28" t="s">
        <v>2401</v>
      </c>
      <c r="AF354" s="30" t="s">
        <v>69</v>
      </c>
      <c r="AG354" s="28" t="s">
        <v>2398</v>
      </c>
    </row>
    <row r="355" spans="1:33" x14ac:dyDescent="0.3">
      <c r="A355" s="28" t="s">
        <v>1912</v>
      </c>
      <c r="B355" s="34"/>
      <c r="C355" s="30" t="s">
        <v>11</v>
      </c>
      <c r="D355" s="28" t="s">
        <v>5</v>
      </c>
      <c r="E355" s="28">
        <v>200</v>
      </c>
      <c r="F355" s="30" t="s">
        <v>11</v>
      </c>
      <c r="G355" s="28" t="s">
        <v>1913</v>
      </c>
      <c r="H355" s="30" t="s">
        <v>11</v>
      </c>
      <c r="I355" s="28" t="s">
        <v>1914</v>
      </c>
      <c r="J355" s="30" t="s">
        <v>11</v>
      </c>
      <c r="K355" s="28" t="s">
        <v>1915</v>
      </c>
      <c r="L355" s="28" t="s">
        <v>157</v>
      </c>
      <c r="M355" s="30" t="s">
        <v>11</v>
      </c>
      <c r="N355" s="28" t="s">
        <v>1912</v>
      </c>
      <c r="O355" s="30" t="s">
        <v>11</v>
      </c>
      <c r="P355" s="28" t="s">
        <v>1916</v>
      </c>
      <c r="Q355" s="28" t="s">
        <v>1914</v>
      </c>
      <c r="R355" s="28" t="s">
        <v>981</v>
      </c>
      <c r="S355" s="28" t="s">
        <v>150</v>
      </c>
      <c r="T355" s="28" t="s">
        <v>1917</v>
      </c>
      <c r="U355" s="28" t="s">
        <v>1918</v>
      </c>
      <c r="V355" s="28" t="s">
        <v>1912</v>
      </c>
      <c r="W355" s="28" t="s">
        <v>1916</v>
      </c>
      <c r="X355" s="28" t="s">
        <v>1914</v>
      </c>
      <c r="Y355" s="28" t="s">
        <v>156</v>
      </c>
      <c r="Z355" s="30" t="s">
        <v>11</v>
      </c>
      <c r="AA355" s="28" t="s">
        <v>2285</v>
      </c>
      <c r="AB355" s="28" t="s">
        <v>2286</v>
      </c>
      <c r="AC355" s="28" t="s">
        <v>2276</v>
      </c>
      <c r="AD355" s="28" t="s">
        <v>2287</v>
      </c>
      <c r="AE355" s="28" t="s">
        <v>2401</v>
      </c>
      <c r="AF355" s="30" t="s">
        <v>69</v>
      </c>
      <c r="AG355" s="28" t="s">
        <v>2398</v>
      </c>
    </row>
    <row r="356" spans="1:33" x14ac:dyDescent="0.3">
      <c r="A356" s="28" t="s">
        <v>1919</v>
      </c>
      <c r="B356" s="34"/>
      <c r="C356" s="30" t="s">
        <v>11</v>
      </c>
      <c r="D356" s="28" t="s">
        <v>5</v>
      </c>
      <c r="E356" s="28">
        <v>200</v>
      </c>
      <c r="F356" s="30" t="s">
        <v>11</v>
      </c>
      <c r="G356" s="28" t="s">
        <v>1920</v>
      </c>
      <c r="H356" s="30" t="s">
        <v>11</v>
      </c>
      <c r="I356" s="28" t="s">
        <v>1921</v>
      </c>
      <c r="J356" s="30" t="s">
        <v>60</v>
      </c>
      <c r="K356" s="28" t="s">
        <v>1922</v>
      </c>
      <c r="L356" s="28" t="s">
        <v>157</v>
      </c>
      <c r="M356" s="30" t="s">
        <v>11</v>
      </c>
      <c r="N356" s="28" t="s">
        <v>1919</v>
      </c>
      <c r="O356" s="30" t="s">
        <v>11</v>
      </c>
      <c r="P356" s="28" t="s">
        <v>1923</v>
      </c>
      <c r="Q356" s="28" t="s">
        <v>1921</v>
      </c>
      <c r="R356" s="28" t="s">
        <v>981</v>
      </c>
      <c r="S356" s="28" t="s">
        <v>150</v>
      </c>
      <c r="T356" s="28" t="s">
        <v>1924</v>
      </c>
      <c r="U356" s="28" t="s">
        <v>1925</v>
      </c>
      <c r="V356" s="28" t="s">
        <v>1919</v>
      </c>
      <c r="W356" s="28" t="s">
        <v>1923</v>
      </c>
      <c r="X356" s="28" t="s">
        <v>1921</v>
      </c>
      <c r="Y356" s="28" t="s">
        <v>156</v>
      </c>
      <c r="Z356" s="30" t="s">
        <v>56</v>
      </c>
      <c r="AA356" s="28" t="s">
        <v>2285</v>
      </c>
      <c r="AB356" s="28" t="s">
        <v>2286</v>
      </c>
      <c r="AC356" s="28" t="s">
        <v>2276</v>
      </c>
      <c r="AD356" s="28" t="s">
        <v>2287</v>
      </c>
      <c r="AE356" s="28" t="s">
        <v>2401</v>
      </c>
      <c r="AF356" s="30" t="s">
        <v>69</v>
      </c>
      <c r="AG356" s="28" t="s">
        <v>2398</v>
      </c>
    </row>
    <row r="357" spans="1:33" x14ac:dyDescent="0.3">
      <c r="A357" s="28" t="s">
        <v>1927</v>
      </c>
      <c r="B357" s="34"/>
      <c r="C357" s="30" t="s">
        <v>11</v>
      </c>
      <c r="D357" s="28" t="s">
        <v>5</v>
      </c>
      <c r="E357" s="28">
        <v>200</v>
      </c>
      <c r="F357" s="30" t="s">
        <v>11</v>
      </c>
      <c r="G357" s="28" t="s">
        <v>1928</v>
      </c>
      <c r="H357" s="30" t="s">
        <v>11</v>
      </c>
      <c r="I357" s="28" t="s">
        <v>1921</v>
      </c>
      <c r="J357" s="30" t="s">
        <v>60</v>
      </c>
      <c r="K357" s="28" t="s">
        <v>1929</v>
      </c>
      <c r="L357" s="28" t="s">
        <v>157</v>
      </c>
      <c r="M357" s="30" t="s">
        <v>11</v>
      </c>
      <c r="N357" s="28" t="s">
        <v>1927</v>
      </c>
      <c r="O357" s="30" t="s">
        <v>11</v>
      </c>
      <c r="P357" s="28" t="s">
        <v>1930</v>
      </c>
      <c r="Q357" s="28" t="s">
        <v>1921</v>
      </c>
      <c r="R357" s="28" t="s">
        <v>981</v>
      </c>
      <c r="S357" s="28" t="s">
        <v>150</v>
      </c>
      <c r="T357" s="28" t="s">
        <v>1931</v>
      </c>
      <c r="U357" s="28" t="s">
        <v>1932</v>
      </c>
      <c r="V357" s="28" t="s">
        <v>1927</v>
      </c>
      <c r="W357" s="28" t="s">
        <v>1930</v>
      </c>
      <c r="X357" s="28" t="s">
        <v>1921</v>
      </c>
      <c r="Y357" s="28" t="s">
        <v>156</v>
      </c>
      <c r="Z357" s="30" t="s">
        <v>56</v>
      </c>
      <c r="AA357" s="28" t="s">
        <v>2285</v>
      </c>
      <c r="AB357" s="28" t="s">
        <v>2286</v>
      </c>
      <c r="AC357" s="28" t="s">
        <v>2276</v>
      </c>
      <c r="AD357" s="28" t="s">
        <v>2287</v>
      </c>
      <c r="AE357" s="28" t="s">
        <v>2401</v>
      </c>
      <c r="AF357" s="30" t="s">
        <v>69</v>
      </c>
      <c r="AG357" s="28" t="s">
        <v>2398</v>
      </c>
    </row>
    <row r="358" spans="1:33" x14ac:dyDescent="0.3">
      <c r="A358" s="28" t="s">
        <v>1933</v>
      </c>
      <c r="B358" s="34"/>
      <c r="C358" s="30" t="s">
        <v>11</v>
      </c>
      <c r="D358" s="28" t="s">
        <v>5</v>
      </c>
      <c r="E358" s="28">
        <v>200</v>
      </c>
      <c r="F358" s="30" t="s">
        <v>11</v>
      </c>
      <c r="G358" s="28" t="s">
        <v>1934</v>
      </c>
      <c r="H358" s="30" t="s">
        <v>11</v>
      </c>
      <c r="I358" s="28" t="s">
        <v>1935</v>
      </c>
      <c r="J358" s="30" t="s">
        <v>11</v>
      </c>
      <c r="K358" s="28" t="s">
        <v>1936</v>
      </c>
      <c r="L358" s="28" t="s">
        <v>157</v>
      </c>
      <c r="M358" s="30" t="s">
        <v>11</v>
      </c>
      <c r="N358" s="28" t="s">
        <v>1933</v>
      </c>
      <c r="O358" s="30" t="s">
        <v>11</v>
      </c>
      <c r="P358" s="28" t="s">
        <v>1937</v>
      </c>
      <c r="Q358" s="28" t="s">
        <v>1935</v>
      </c>
      <c r="R358" s="28" t="s">
        <v>981</v>
      </c>
      <c r="S358" s="28" t="s">
        <v>150</v>
      </c>
      <c r="T358" s="28" t="s">
        <v>1938</v>
      </c>
      <c r="U358" s="28" t="s">
        <v>1939</v>
      </c>
      <c r="V358" s="28" t="s">
        <v>1933</v>
      </c>
      <c r="W358" s="28" t="s">
        <v>1937</v>
      </c>
      <c r="X358" s="28" t="s">
        <v>1935</v>
      </c>
      <c r="Y358" s="28" t="s">
        <v>156</v>
      </c>
      <c r="Z358" s="30" t="s">
        <v>11</v>
      </c>
      <c r="AA358" s="28" t="s">
        <v>2285</v>
      </c>
      <c r="AB358" s="28" t="s">
        <v>2286</v>
      </c>
      <c r="AC358" s="28" t="s">
        <v>2276</v>
      </c>
      <c r="AD358" s="28" t="s">
        <v>2287</v>
      </c>
      <c r="AE358" s="28" t="s">
        <v>2401</v>
      </c>
      <c r="AF358" s="30" t="s">
        <v>69</v>
      </c>
      <c r="AG358" s="28" t="s">
        <v>2398</v>
      </c>
    </row>
    <row r="359" spans="1:33" x14ac:dyDescent="0.3">
      <c r="A359" s="28" t="s">
        <v>1940</v>
      </c>
      <c r="B359" s="34"/>
      <c r="C359" s="30" t="s">
        <v>11</v>
      </c>
      <c r="D359" s="28" t="s">
        <v>5</v>
      </c>
      <c r="E359" s="28">
        <v>200</v>
      </c>
      <c r="F359" s="30" t="s">
        <v>11</v>
      </c>
      <c r="G359" s="28" t="s">
        <v>1941</v>
      </c>
      <c r="H359" s="30" t="s">
        <v>11</v>
      </c>
      <c r="I359" s="28" t="s">
        <v>1942</v>
      </c>
      <c r="J359" s="30" t="s">
        <v>11</v>
      </c>
      <c r="K359" s="28" t="s">
        <v>1943</v>
      </c>
      <c r="L359" s="28" t="s">
        <v>157</v>
      </c>
      <c r="M359" s="30" t="s">
        <v>11</v>
      </c>
      <c r="N359" s="28" t="s">
        <v>1940</v>
      </c>
      <c r="O359" s="30" t="s">
        <v>11</v>
      </c>
      <c r="P359" s="28" t="s">
        <v>1944</v>
      </c>
      <c r="Q359" s="28" t="s">
        <v>1942</v>
      </c>
      <c r="R359" s="28" t="s">
        <v>981</v>
      </c>
      <c r="S359" s="28" t="s">
        <v>150</v>
      </c>
      <c r="T359" s="28" t="s">
        <v>1945</v>
      </c>
      <c r="U359" s="28" t="s">
        <v>1946</v>
      </c>
      <c r="V359" s="28" t="s">
        <v>1940</v>
      </c>
      <c r="W359" s="28" t="s">
        <v>1944</v>
      </c>
      <c r="X359" s="28" t="s">
        <v>1942</v>
      </c>
      <c r="Y359" s="28" t="s">
        <v>156</v>
      </c>
      <c r="Z359" s="30" t="s">
        <v>11</v>
      </c>
      <c r="AA359" s="28" t="s">
        <v>2285</v>
      </c>
      <c r="AB359" s="28" t="s">
        <v>2286</v>
      </c>
      <c r="AC359" s="28" t="s">
        <v>2276</v>
      </c>
      <c r="AD359" s="28" t="s">
        <v>2287</v>
      </c>
      <c r="AE359" s="28" t="s">
        <v>2401</v>
      </c>
      <c r="AF359" s="30" t="s">
        <v>69</v>
      </c>
      <c r="AG359" s="28" t="s">
        <v>2398</v>
      </c>
    </row>
    <row r="360" spans="1:33" x14ac:dyDescent="0.3">
      <c r="A360" s="28" t="s">
        <v>1947</v>
      </c>
      <c r="B360" s="34"/>
      <c r="C360" s="30" t="s">
        <v>11</v>
      </c>
      <c r="D360" s="28" t="s">
        <v>5</v>
      </c>
      <c r="E360" s="28">
        <v>200</v>
      </c>
      <c r="F360" s="30" t="s">
        <v>11</v>
      </c>
      <c r="G360" s="28" t="s">
        <v>1948</v>
      </c>
      <c r="H360" s="30" t="s">
        <v>11</v>
      </c>
      <c r="I360" s="28" t="s">
        <v>1949</v>
      </c>
      <c r="J360" s="30" t="s">
        <v>11</v>
      </c>
      <c r="K360" s="28" t="s">
        <v>1950</v>
      </c>
      <c r="L360" s="28" t="s">
        <v>157</v>
      </c>
      <c r="M360" s="30" t="s">
        <v>11</v>
      </c>
      <c r="N360" s="28" t="s">
        <v>1947</v>
      </c>
      <c r="O360" s="30" t="s">
        <v>11</v>
      </c>
      <c r="P360" s="28" t="s">
        <v>1951</v>
      </c>
      <c r="Q360" s="28" t="s">
        <v>1949</v>
      </c>
      <c r="R360" s="28" t="s">
        <v>981</v>
      </c>
      <c r="S360" s="28" t="s">
        <v>150</v>
      </c>
      <c r="T360" s="28" t="s">
        <v>1952</v>
      </c>
      <c r="U360" s="28" t="s">
        <v>1953</v>
      </c>
      <c r="V360" s="28" t="s">
        <v>1947</v>
      </c>
      <c r="W360" s="28" t="s">
        <v>1951</v>
      </c>
      <c r="X360" s="28" t="s">
        <v>1949</v>
      </c>
      <c r="Y360" s="28" t="s">
        <v>156</v>
      </c>
      <c r="Z360" s="30" t="s">
        <v>11</v>
      </c>
      <c r="AA360" s="28" t="s">
        <v>2285</v>
      </c>
      <c r="AB360" s="28" t="s">
        <v>2286</v>
      </c>
      <c r="AC360" s="28" t="s">
        <v>2276</v>
      </c>
      <c r="AD360" s="28" t="s">
        <v>2287</v>
      </c>
      <c r="AE360" s="28" t="s">
        <v>2401</v>
      </c>
      <c r="AF360" s="30" t="s">
        <v>69</v>
      </c>
      <c r="AG360" s="28" t="s">
        <v>2398</v>
      </c>
    </row>
    <row r="361" spans="1:33" x14ac:dyDescent="0.3">
      <c r="A361" s="28" t="s">
        <v>1954</v>
      </c>
      <c r="B361" s="34"/>
      <c r="C361" s="30" t="s">
        <v>11</v>
      </c>
      <c r="D361" s="28" t="s">
        <v>5</v>
      </c>
      <c r="E361" s="28">
        <v>200</v>
      </c>
      <c r="F361" s="30" t="s">
        <v>11</v>
      </c>
      <c r="G361" s="28" t="s">
        <v>1955</v>
      </c>
      <c r="H361" s="30" t="s">
        <v>11</v>
      </c>
      <c r="I361" s="28" t="s">
        <v>1956</v>
      </c>
      <c r="J361" s="30" t="s">
        <v>11</v>
      </c>
      <c r="K361" s="28" t="s">
        <v>1957</v>
      </c>
      <c r="L361" s="28" t="s">
        <v>157</v>
      </c>
      <c r="M361" s="30" t="s">
        <v>11</v>
      </c>
      <c r="N361" s="28" t="s">
        <v>1954</v>
      </c>
      <c r="O361" s="30" t="s">
        <v>11</v>
      </c>
      <c r="P361" s="28" t="s">
        <v>1958</v>
      </c>
      <c r="Q361" s="28" t="s">
        <v>1956</v>
      </c>
      <c r="R361" s="28" t="s">
        <v>981</v>
      </c>
      <c r="S361" s="28" t="s">
        <v>150</v>
      </c>
      <c r="T361" s="28" t="s">
        <v>1959</v>
      </c>
      <c r="U361" s="28" t="s">
        <v>1960</v>
      </c>
      <c r="V361" s="28" t="s">
        <v>1954</v>
      </c>
      <c r="W361" s="28" t="s">
        <v>1958</v>
      </c>
      <c r="X361" s="28" t="s">
        <v>1956</v>
      </c>
      <c r="Y361" s="28" t="s">
        <v>156</v>
      </c>
      <c r="Z361" s="30" t="s">
        <v>11</v>
      </c>
      <c r="AA361" s="28" t="s">
        <v>2285</v>
      </c>
      <c r="AB361" s="28" t="s">
        <v>2286</v>
      </c>
      <c r="AC361" s="28" t="s">
        <v>2276</v>
      </c>
      <c r="AD361" s="28" t="s">
        <v>2287</v>
      </c>
      <c r="AE361" s="28" t="s">
        <v>2401</v>
      </c>
      <c r="AF361" s="30" t="s">
        <v>69</v>
      </c>
      <c r="AG361" s="28" t="s">
        <v>2398</v>
      </c>
    </row>
    <row r="362" spans="1:33" x14ac:dyDescent="0.3">
      <c r="A362" s="28" t="s">
        <v>1961</v>
      </c>
      <c r="B362" s="34"/>
      <c r="C362" s="30" t="s">
        <v>11</v>
      </c>
      <c r="D362" s="28" t="s">
        <v>5</v>
      </c>
      <c r="E362" s="28">
        <v>200</v>
      </c>
      <c r="F362" s="30" t="s">
        <v>11</v>
      </c>
      <c r="G362" s="28" t="s">
        <v>1962</v>
      </c>
      <c r="H362" s="30" t="s">
        <v>11</v>
      </c>
      <c r="I362" s="28" t="s">
        <v>1963</v>
      </c>
      <c r="J362" s="30" t="s">
        <v>11</v>
      </c>
      <c r="K362" s="28" t="s">
        <v>1964</v>
      </c>
      <c r="L362" s="28" t="s">
        <v>157</v>
      </c>
      <c r="M362" s="30" t="s">
        <v>11</v>
      </c>
      <c r="N362" s="28" t="s">
        <v>1961</v>
      </c>
      <c r="O362" s="30" t="s">
        <v>11</v>
      </c>
      <c r="P362" s="28" t="s">
        <v>1965</v>
      </c>
      <c r="Q362" s="28" t="s">
        <v>1963</v>
      </c>
      <c r="R362" s="28" t="s">
        <v>981</v>
      </c>
      <c r="S362" s="28" t="s">
        <v>150</v>
      </c>
      <c r="T362" s="28" t="s">
        <v>1966</v>
      </c>
      <c r="U362" s="28" t="s">
        <v>1967</v>
      </c>
      <c r="V362" s="28" t="s">
        <v>1961</v>
      </c>
      <c r="W362" s="28" t="s">
        <v>1965</v>
      </c>
      <c r="X362" s="28" t="s">
        <v>1963</v>
      </c>
      <c r="Y362" s="28" t="s">
        <v>156</v>
      </c>
      <c r="Z362" s="30" t="s">
        <v>11</v>
      </c>
      <c r="AA362" s="28" t="s">
        <v>2285</v>
      </c>
      <c r="AB362" s="28" t="s">
        <v>2286</v>
      </c>
      <c r="AC362" s="28" t="s">
        <v>2276</v>
      </c>
      <c r="AD362" s="28" t="s">
        <v>2287</v>
      </c>
      <c r="AE362" s="28" t="s">
        <v>2401</v>
      </c>
      <c r="AF362" s="30" t="s">
        <v>69</v>
      </c>
      <c r="AG362" s="28" t="s">
        <v>2398</v>
      </c>
    </row>
    <row r="363" spans="1:33" x14ac:dyDescent="0.3">
      <c r="A363" s="28" t="s">
        <v>1968</v>
      </c>
      <c r="B363" s="34"/>
      <c r="C363" s="30" t="s">
        <v>11</v>
      </c>
      <c r="D363" s="28" t="s">
        <v>5</v>
      </c>
      <c r="E363" s="28">
        <v>200</v>
      </c>
      <c r="F363" s="30" t="s">
        <v>11</v>
      </c>
      <c r="G363" s="28" t="s">
        <v>1969</v>
      </c>
      <c r="H363" s="30" t="s">
        <v>11</v>
      </c>
      <c r="I363" s="28" t="s">
        <v>1970</v>
      </c>
      <c r="J363" s="30" t="s">
        <v>60</v>
      </c>
      <c r="K363" s="28" t="s">
        <v>1971</v>
      </c>
      <c r="L363" s="28" t="s">
        <v>157</v>
      </c>
      <c r="M363" s="30" t="s">
        <v>11</v>
      </c>
      <c r="N363" s="28" t="s">
        <v>1968</v>
      </c>
      <c r="O363" s="30" t="s">
        <v>11</v>
      </c>
      <c r="P363" s="28" t="s">
        <v>1972</v>
      </c>
      <c r="Q363" s="28" t="s">
        <v>1970</v>
      </c>
      <c r="R363" s="28" t="s">
        <v>981</v>
      </c>
      <c r="S363" s="28" t="s">
        <v>150</v>
      </c>
      <c r="T363" s="28" t="s">
        <v>1973</v>
      </c>
      <c r="U363" s="28" t="s">
        <v>1974</v>
      </c>
      <c r="V363" s="28" t="s">
        <v>1968</v>
      </c>
      <c r="W363" s="28" t="s">
        <v>1972</v>
      </c>
      <c r="X363" s="28" t="s">
        <v>1970</v>
      </c>
      <c r="Y363" s="28" t="s">
        <v>156</v>
      </c>
      <c r="Z363" s="30" t="s">
        <v>56</v>
      </c>
      <c r="AA363" s="28" t="s">
        <v>2285</v>
      </c>
      <c r="AB363" s="28" t="s">
        <v>2286</v>
      </c>
      <c r="AC363" s="28" t="s">
        <v>2276</v>
      </c>
      <c r="AD363" s="28" t="s">
        <v>2287</v>
      </c>
      <c r="AE363" s="28" t="s">
        <v>2401</v>
      </c>
      <c r="AF363" s="30" t="s">
        <v>69</v>
      </c>
      <c r="AG363" s="28" t="s">
        <v>2398</v>
      </c>
    </row>
    <row r="364" spans="1:33" x14ac:dyDescent="0.3">
      <c r="A364" s="28" t="s">
        <v>1975</v>
      </c>
      <c r="B364" s="34"/>
      <c r="C364" s="30" t="s">
        <v>11</v>
      </c>
      <c r="D364" s="28" t="s">
        <v>5</v>
      </c>
      <c r="E364" s="28">
        <v>200</v>
      </c>
      <c r="F364" s="30" t="s">
        <v>11</v>
      </c>
      <c r="G364" s="28" t="s">
        <v>1976</v>
      </c>
      <c r="H364" s="30" t="s">
        <v>11</v>
      </c>
      <c r="I364" s="28" t="s">
        <v>1977</v>
      </c>
      <c r="J364" s="30" t="s">
        <v>11</v>
      </c>
      <c r="K364" s="28" t="s">
        <v>1978</v>
      </c>
      <c r="L364" s="28" t="s">
        <v>157</v>
      </c>
      <c r="M364" s="30" t="s">
        <v>11</v>
      </c>
      <c r="N364" s="28" t="s">
        <v>1975</v>
      </c>
      <c r="O364" s="30" t="s">
        <v>11</v>
      </c>
      <c r="P364" s="28" t="s">
        <v>1979</v>
      </c>
      <c r="Q364" s="28" t="s">
        <v>1977</v>
      </c>
      <c r="R364" s="28" t="s">
        <v>981</v>
      </c>
      <c r="S364" s="28" t="s">
        <v>150</v>
      </c>
      <c r="T364" s="28" t="s">
        <v>1980</v>
      </c>
      <c r="U364" s="28" t="s">
        <v>1981</v>
      </c>
      <c r="V364" s="28" t="s">
        <v>1975</v>
      </c>
      <c r="W364" s="28" t="s">
        <v>1979</v>
      </c>
      <c r="X364" s="28" t="s">
        <v>1977</v>
      </c>
      <c r="Y364" s="28" t="s">
        <v>156</v>
      </c>
      <c r="Z364" s="30" t="s">
        <v>11</v>
      </c>
      <c r="AA364" s="28" t="s">
        <v>2285</v>
      </c>
      <c r="AB364" s="28" t="s">
        <v>2286</v>
      </c>
      <c r="AC364" s="28" t="s">
        <v>2276</v>
      </c>
      <c r="AD364" s="28" t="s">
        <v>2287</v>
      </c>
      <c r="AE364" s="28" t="s">
        <v>2401</v>
      </c>
      <c r="AF364" s="30" t="s">
        <v>69</v>
      </c>
      <c r="AG364" s="28" t="s">
        <v>2398</v>
      </c>
    </row>
    <row r="365" spans="1:33" x14ac:dyDescent="0.3">
      <c r="A365" s="28" t="s">
        <v>1983</v>
      </c>
      <c r="B365" s="34"/>
      <c r="C365" s="30" t="s">
        <v>11</v>
      </c>
      <c r="D365" s="28" t="s">
        <v>5</v>
      </c>
      <c r="E365" s="28">
        <v>200</v>
      </c>
      <c r="F365" s="30" t="s">
        <v>11</v>
      </c>
      <c r="G365" s="28" t="s">
        <v>1984</v>
      </c>
      <c r="H365" s="30" t="s">
        <v>11</v>
      </c>
      <c r="I365" s="28" t="s">
        <v>1066</v>
      </c>
      <c r="J365" s="30" t="s">
        <v>60</v>
      </c>
      <c r="K365" s="28" t="s">
        <v>1985</v>
      </c>
      <c r="L365" s="28" t="s">
        <v>157</v>
      </c>
      <c r="M365" s="30" t="s">
        <v>11</v>
      </c>
      <c r="N365" s="28" t="s">
        <v>1983</v>
      </c>
      <c r="O365" s="30" t="s">
        <v>11</v>
      </c>
      <c r="P365" s="28" t="s">
        <v>1986</v>
      </c>
      <c r="Q365" s="28" t="s">
        <v>1066</v>
      </c>
      <c r="R365" s="28" t="s">
        <v>981</v>
      </c>
      <c r="S365" s="28" t="s">
        <v>150</v>
      </c>
      <c r="T365" s="28" t="s">
        <v>1987</v>
      </c>
      <c r="U365" s="28" t="s">
        <v>1988</v>
      </c>
      <c r="V365" s="28" t="s">
        <v>1983</v>
      </c>
      <c r="W365" s="28" t="s">
        <v>1986</v>
      </c>
      <c r="X365" s="28" t="s">
        <v>1066</v>
      </c>
      <c r="Y365" s="28" t="s">
        <v>156</v>
      </c>
      <c r="Z365" s="30" t="s">
        <v>56</v>
      </c>
      <c r="AA365" s="28" t="s">
        <v>2285</v>
      </c>
      <c r="AB365" s="28" t="s">
        <v>2286</v>
      </c>
      <c r="AC365" s="28" t="s">
        <v>2276</v>
      </c>
      <c r="AD365" s="28" t="s">
        <v>2287</v>
      </c>
      <c r="AE365" s="28" t="s">
        <v>2401</v>
      </c>
      <c r="AF365" s="30" t="s">
        <v>69</v>
      </c>
      <c r="AG365" s="28" t="s">
        <v>2398</v>
      </c>
    </row>
    <row r="366" spans="1:33" x14ac:dyDescent="0.3">
      <c r="A366" s="28" t="s">
        <v>1989</v>
      </c>
      <c r="B366" s="34"/>
      <c r="C366" s="30" t="s">
        <v>11</v>
      </c>
      <c r="D366" s="28" t="s">
        <v>5</v>
      </c>
      <c r="E366" s="28">
        <v>200</v>
      </c>
      <c r="F366" s="30" t="s">
        <v>11</v>
      </c>
      <c r="G366" s="28" t="s">
        <v>1990</v>
      </c>
      <c r="H366" s="30" t="s">
        <v>11</v>
      </c>
      <c r="I366" s="28" t="s">
        <v>1991</v>
      </c>
      <c r="J366" s="30" t="s">
        <v>11</v>
      </c>
      <c r="K366" s="28" t="s">
        <v>1992</v>
      </c>
      <c r="L366" s="28" t="s">
        <v>157</v>
      </c>
      <c r="M366" s="30" t="s">
        <v>11</v>
      </c>
      <c r="N366" s="28" t="s">
        <v>1989</v>
      </c>
      <c r="O366" s="30" t="s">
        <v>11</v>
      </c>
      <c r="P366" s="28" t="s">
        <v>1993</v>
      </c>
      <c r="Q366" s="28" t="s">
        <v>1991</v>
      </c>
      <c r="R366" s="28" t="s">
        <v>981</v>
      </c>
      <c r="S366" s="28" t="s">
        <v>150</v>
      </c>
      <c r="T366" s="28" t="s">
        <v>1994</v>
      </c>
      <c r="U366" s="28" t="s">
        <v>1995</v>
      </c>
      <c r="V366" s="28" t="s">
        <v>1989</v>
      </c>
      <c r="W366" s="28" t="s">
        <v>1993</v>
      </c>
      <c r="X366" s="28" t="s">
        <v>1991</v>
      </c>
      <c r="Y366" s="28" t="s">
        <v>156</v>
      </c>
      <c r="Z366" s="30" t="s">
        <v>11</v>
      </c>
      <c r="AA366" s="28" t="s">
        <v>2285</v>
      </c>
      <c r="AB366" s="28" t="s">
        <v>2286</v>
      </c>
      <c r="AC366" s="28" t="s">
        <v>2276</v>
      </c>
      <c r="AD366" s="28" t="s">
        <v>2287</v>
      </c>
      <c r="AE366" s="28" t="s">
        <v>2289</v>
      </c>
      <c r="AF366" s="30" t="s">
        <v>69</v>
      </c>
      <c r="AG366" s="28" t="s">
        <v>2398</v>
      </c>
    </row>
    <row r="367" spans="1:33" x14ac:dyDescent="0.3">
      <c r="A367" s="28" t="s">
        <v>1996</v>
      </c>
      <c r="B367" s="34"/>
      <c r="C367" s="30" t="s">
        <v>11</v>
      </c>
      <c r="D367" s="28" t="s">
        <v>5</v>
      </c>
      <c r="E367" s="28">
        <v>200</v>
      </c>
      <c r="F367" s="30" t="s">
        <v>11</v>
      </c>
      <c r="G367" s="28" t="s">
        <v>1997</v>
      </c>
      <c r="H367" s="30" t="s">
        <v>11</v>
      </c>
      <c r="I367" s="28" t="s">
        <v>1752</v>
      </c>
      <c r="J367" s="30" t="s">
        <v>60</v>
      </c>
      <c r="K367" s="28" t="s">
        <v>1998</v>
      </c>
      <c r="L367" s="28" t="s">
        <v>157</v>
      </c>
      <c r="M367" s="30" t="s">
        <v>11</v>
      </c>
      <c r="N367" s="28" t="s">
        <v>1996</v>
      </c>
      <c r="O367" s="30" t="s">
        <v>11</v>
      </c>
      <c r="P367" s="28" t="s">
        <v>1999</v>
      </c>
      <c r="Q367" s="28" t="s">
        <v>1752</v>
      </c>
      <c r="R367" s="28" t="s">
        <v>981</v>
      </c>
      <c r="S367" s="28" t="s">
        <v>150</v>
      </c>
      <c r="T367" s="28" t="s">
        <v>2000</v>
      </c>
      <c r="U367" s="28" t="s">
        <v>2001</v>
      </c>
      <c r="V367" s="28" t="s">
        <v>1996</v>
      </c>
      <c r="W367" s="28" t="s">
        <v>1999</v>
      </c>
      <c r="X367" s="28" t="s">
        <v>1752</v>
      </c>
      <c r="Y367" s="28" t="s">
        <v>156</v>
      </c>
      <c r="Z367" s="30" t="s">
        <v>56</v>
      </c>
      <c r="AA367" s="28" t="s">
        <v>2285</v>
      </c>
      <c r="AB367" s="28" t="s">
        <v>2286</v>
      </c>
      <c r="AC367" s="28" t="s">
        <v>2276</v>
      </c>
      <c r="AD367" s="28" t="s">
        <v>2287</v>
      </c>
      <c r="AE367" s="28" t="s">
        <v>2401</v>
      </c>
      <c r="AF367" s="30" t="s">
        <v>69</v>
      </c>
      <c r="AG367" s="28" t="s">
        <v>2398</v>
      </c>
    </row>
    <row r="368" spans="1:33" x14ac:dyDescent="0.3">
      <c r="A368" s="28" t="s">
        <v>2002</v>
      </c>
      <c r="B368" s="34"/>
      <c r="C368" s="30" t="s">
        <v>11</v>
      </c>
      <c r="D368" s="28" t="s">
        <v>5</v>
      </c>
      <c r="E368" s="28">
        <v>200</v>
      </c>
      <c r="F368" s="30" t="s">
        <v>11</v>
      </c>
      <c r="G368" s="28" t="s">
        <v>2003</v>
      </c>
      <c r="H368" s="30" t="s">
        <v>11</v>
      </c>
      <c r="I368" s="28" t="s">
        <v>1752</v>
      </c>
      <c r="J368" s="30" t="s">
        <v>60</v>
      </c>
      <c r="K368" s="28" t="s">
        <v>2004</v>
      </c>
      <c r="L368" s="28" t="s">
        <v>157</v>
      </c>
      <c r="M368" s="30" t="s">
        <v>11</v>
      </c>
      <c r="N368" s="28" t="s">
        <v>2002</v>
      </c>
      <c r="O368" s="30" t="s">
        <v>11</v>
      </c>
      <c r="P368" s="28" t="s">
        <v>2005</v>
      </c>
      <c r="Q368" s="28" t="s">
        <v>1752</v>
      </c>
      <c r="R368" s="28" t="s">
        <v>981</v>
      </c>
      <c r="S368" s="28" t="s">
        <v>150</v>
      </c>
      <c r="T368" s="28" t="s">
        <v>2006</v>
      </c>
      <c r="U368" s="28" t="s">
        <v>2007</v>
      </c>
      <c r="V368" s="28" t="s">
        <v>2002</v>
      </c>
      <c r="W368" s="28" t="s">
        <v>2005</v>
      </c>
      <c r="X368" s="28" t="s">
        <v>1752</v>
      </c>
      <c r="Y368" s="28" t="s">
        <v>156</v>
      </c>
      <c r="Z368" s="30" t="s">
        <v>56</v>
      </c>
      <c r="AA368" s="28" t="s">
        <v>2285</v>
      </c>
      <c r="AB368" s="28" t="s">
        <v>2286</v>
      </c>
      <c r="AC368" s="28" t="s">
        <v>2276</v>
      </c>
      <c r="AD368" s="28" t="s">
        <v>2287</v>
      </c>
      <c r="AE368" s="28" t="s">
        <v>2289</v>
      </c>
      <c r="AF368" s="30" t="s">
        <v>69</v>
      </c>
      <c r="AG368" s="28" t="s">
        <v>2398</v>
      </c>
    </row>
    <row r="369" spans="1:33" x14ac:dyDescent="0.3">
      <c r="A369" s="28" t="s">
        <v>2008</v>
      </c>
      <c r="B369" s="34"/>
      <c r="C369" s="30" t="s">
        <v>11</v>
      </c>
      <c r="D369" s="28" t="s">
        <v>5</v>
      </c>
      <c r="E369" s="28">
        <v>200</v>
      </c>
      <c r="F369" s="30" t="s">
        <v>11</v>
      </c>
      <c r="G369" s="28" t="s">
        <v>2009</v>
      </c>
      <c r="H369" s="30" t="s">
        <v>11</v>
      </c>
      <c r="I369" s="28" t="s">
        <v>2010</v>
      </c>
      <c r="J369" s="30" t="s">
        <v>11</v>
      </c>
      <c r="K369" s="28" t="s">
        <v>2011</v>
      </c>
      <c r="L369" s="28" t="s">
        <v>157</v>
      </c>
      <c r="M369" s="30" t="s">
        <v>11</v>
      </c>
      <c r="N369" s="28" t="s">
        <v>2008</v>
      </c>
      <c r="O369" s="30" t="s">
        <v>11</v>
      </c>
      <c r="P369" s="28" t="s">
        <v>2012</v>
      </c>
      <c r="Q369" s="28" t="s">
        <v>2010</v>
      </c>
      <c r="R369" s="28" t="s">
        <v>981</v>
      </c>
      <c r="S369" s="28" t="s">
        <v>150</v>
      </c>
      <c r="T369" s="28" t="s">
        <v>2013</v>
      </c>
      <c r="U369" s="28" t="s">
        <v>2014</v>
      </c>
      <c r="V369" s="28" t="s">
        <v>2008</v>
      </c>
      <c r="W369" s="28" t="s">
        <v>2012</v>
      </c>
      <c r="X369" s="28" t="s">
        <v>2010</v>
      </c>
      <c r="Y369" s="28" t="s">
        <v>156</v>
      </c>
      <c r="Z369" s="30" t="s">
        <v>11</v>
      </c>
      <c r="AA369" s="28" t="s">
        <v>2285</v>
      </c>
      <c r="AB369" s="28" t="s">
        <v>2286</v>
      </c>
      <c r="AC369" s="28" t="s">
        <v>2276</v>
      </c>
      <c r="AD369" s="28" t="s">
        <v>2287</v>
      </c>
      <c r="AE369" s="28" t="s">
        <v>2289</v>
      </c>
      <c r="AF369" s="30" t="s">
        <v>69</v>
      </c>
      <c r="AG369" s="28" t="s">
        <v>2398</v>
      </c>
    </row>
    <row r="370" spans="1:33" x14ac:dyDescent="0.3">
      <c r="A370" s="28" t="s">
        <v>2015</v>
      </c>
      <c r="B370" s="34"/>
      <c r="C370" s="30" t="s">
        <v>11</v>
      </c>
      <c r="D370" s="28" t="s">
        <v>5</v>
      </c>
      <c r="E370" s="28">
        <v>200</v>
      </c>
      <c r="F370" s="30" t="s">
        <v>11</v>
      </c>
      <c r="G370" s="28" t="s">
        <v>2016</v>
      </c>
      <c r="H370" s="30" t="s">
        <v>11</v>
      </c>
      <c r="I370" s="28" t="s">
        <v>2017</v>
      </c>
      <c r="J370" s="30" t="s">
        <v>11</v>
      </c>
      <c r="K370" s="28" t="s">
        <v>2018</v>
      </c>
      <c r="L370" s="28" t="s">
        <v>157</v>
      </c>
      <c r="M370" s="30" t="s">
        <v>11</v>
      </c>
      <c r="N370" s="28" t="s">
        <v>2015</v>
      </c>
      <c r="O370" s="30" t="s">
        <v>11</v>
      </c>
      <c r="P370" s="28" t="s">
        <v>2019</v>
      </c>
      <c r="Q370" s="28" t="s">
        <v>2017</v>
      </c>
      <c r="R370" s="28" t="s">
        <v>981</v>
      </c>
      <c r="S370" s="28" t="s">
        <v>150</v>
      </c>
      <c r="T370" s="28" t="s">
        <v>2020</v>
      </c>
      <c r="U370" s="28" t="s">
        <v>2021</v>
      </c>
      <c r="V370" s="28" t="s">
        <v>2015</v>
      </c>
      <c r="W370" s="28" t="s">
        <v>2019</v>
      </c>
      <c r="X370" s="28" t="s">
        <v>2017</v>
      </c>
      <c r="Y370" s="28" t="s">
        <v>156</v>
      </c>
      <c r="Z370" s="30" t="s">
        <v>11</v>
      </c>
      <c r="AA370" s="28" t="s">
        <v>2285</v>
      </c>
      <c r="AB370" s="28" t="s">
        <v>2286</v>
      </c>
      <c r="AC370" s="28" t="s">
        <v>2276</v>
      </c>
      <c r="AD370" s="28" t="s">
        <v>2287</v>
      </c>
      <c r="AE370" s="28" t="s">
        <v>2289</v>
      </c>
      <c r="AF370" s="30" t="s">
        <v>69</v>
      </c>
      <c r="AG370" s="28" t="s">
        <v>2398</v>
      </c>
    </row>
    <row r="371" spans="1:33" x14ac:dyDescent="0.3">
      <c r="A371" s="28" t="s">
        <v>2022</v>
      </c>
      <c r="B371" s="34"/>
      <c r="C371" s="30" t="s">
        <v>11</v>
      </c>
      <c r="D371" s="28" t="s">
        <v>5</v>
      </c>
      <c r="E371" s="28">
        <v>200</v>
      </c>
      <c r="F371" s="30" t="s">
        <v>11</v>
      </c>
      <c r="G371" s="28" t="s">
        <v>2023</v>
      </c>
      <c r="H371" s="30" t="s">
        <v>11</v>
      </c>
      <c r="I371" s="28" t="s">
        <v>2024</v>
      </c>
      <c r="J371" s="30" t="s">
        <v>11</v>
      </c>
      <c r="K371" s="28" t="s">
        <v>2025</v>
      </c>
      <c r="L371" s="28" t="s">
        <v>157</v>
      </c>
      <c r="M371" s="30" t="s">
        <v>11</v>
      </c>
      <c r="N371" s="28" t="s">
        <v>2022</v>
      </c>
      <c r="O371" s="30" t="s">
        <v>11</v>
      </c>
      <c r="P371" s="28" t="s">
        <v>2026</v>
      </c>
      <c r="Q371" s="28" t="s">
        <v>2024</v>
      </c>
      <c r="R371" s="28" t="s">
        <v>981</v>
      </c>
      <c r="S371" s="28" t="s">
        <v>150</v>
      </c>
      <c r="T371" s="28" t="s">
        <v>2027</v>
      </c>
      <c r="U371" s="28" t="s">
        <v>2028</v>
      </c>
      <c r="V371" s="28" t="s">
        <v>2022</v>
      </c>
      <c r="W371" s="28" t="s">
        <v>2026</v>
      </c>
      <c r="X371" s="28" t="s">
        <v>2024</v>
      </c>
      <c r="Y371" s="28" t="s">
        <v>156</v>
      </c>
      <c r="Z371" s="30" t="s">
        <v>11</v>
      </c>
      <c r="AA371" s="28" t="s">
        <v>2285</v>
      </c>
      <c r="AB371" s="28" t="s">
        <v>2286</v>
      </c>
      <c r="AC371" s="28" t="s">
        <v>2276</v>
      </c>
      <c r="AD371" s="28" t="s">
        <v>2287</v>
      </c>
      <c r="AE371" s="28" t="s">
        <v>2401</v>
      </c>
      <c r="AF371" s="30" t="s">
        <v>69</v>
      </c>
      <c r="AG371" s="28" t="s">
        <v>2398</v>
      </c>
    </row>
    <row r="372" spans="1:33" x14ac:dyDescent="0.3">
      <c r="A372" s="28" t="s">
        <v>2029</v>
      </c>
      <c r="B372" s="34"/>
      <c r="C372" s="30" t="s">
        <v>11</v>
      </c>
      <c r="D372" s="28" t="s">
        <v>5</v>
      </c>
      <c r="E372" s="28">
        <v>200</v>
      </c>
      <c r="F372" s="30" t="s">
        <v>11</v>
      </c>
      <c r="G372" s="28" t="s">
        <v>2030</v>
      </c>
      <c r="H372" s="30" t="s">
        <v>11</v>
      </c>
      <c r="I372" s="28" t="s">
        <v>2031</v>
      </c>
      <c r="J372" s="30" t="s">
        <v>11</v>
      </c>
      <c r="K372" s="28" t="s">
        <v>2032</v>
      </c>
      <c r="L372" s="28" t="s">
        <v>157</v>
      </c>
      <c r="M372" s="30" t="s">
        <v>11</v>
      </c>
      <c r="N372" s="28" t="s">
        <v>2029</v>
      </c>
      <c r="O372" s="30" t="s">
        <v>11</v>
      </c>
      <c r="P372" s="28" t="s">
        <v>2033</v>
      </c>
      <c r="Q372" s="28" t="s">
        <v>2031</v>
      </c>
      <c r="R372" s="28" t="s">
        <v>981</v>
      </c>
      <c r="S372" s="28" t="s">
        <v>150</v>
      </c>
      <c r="T372" s="28" t="s">
        <v>2034</v>
      </c>
      <c r="U372" s="28" t="s">
        <v>2035</v>
      </c>
      <c r="V372" s="28" t="s">
        <v>2029</v>
      </c>
      <c r="W372" s="28" t="s">
        <v>2033</v>
      </c>
      <c r="X372" s="28" t="s">
        <v>2031</v>
      </c>
      <c r="Y372" s="28" t="s">
        <v>156</v>
      </c>
      <c r="Z372" s="30" t="s">
        <v>11</v>
      </c>
      <c r="AA372" s="28" t="s">
        <v>2285</v>
      </c>
      <c r="AB372" s="28" t="s">
        <v>2286</v>
      </c>
      <c r="AC372" s="28" t="s">
        <v>2276</v>
      </c>
      <c r="AD372" s="28" t="s">
        <v>2287</v>
      </c>
      <c r="AE372" s="28" t="s">
        <v>2401</v>
      </c>
      <c r="AF372" s="30" t="s">
        <v>69</v>
      </c>
      <c r="AG372" s="28" t="s">
        <v>2398</v>
      </c>
    </row>
    <row r="373" spans="1:33" x14ac:dyDescent="0.3">
      <c r="A373" s="28" t="s">
        <v>2036</v>
      </c>
      <c r="B373" s="34"/>
      <c r="C373" s="30" t="s">
        <v>11</v>
      </c>
      <c r="D373" s="28" t="s">
        <v>5</v>
      </c>
      <c r="E373" s="28">
        <v>200</v>
      </c>
      <c r="F373" s="30" t="s">
        <v>11</v>
      </c>
      <c r="G373" s="28" t="s">
        <v>2037</v>
      </c>
      <c r="H373" s="30" t="s">
        <v>11</v>
      </c>
      <c r="I373" s="28" t="s">
        <v>2038</v>
      </c>
      <c r="J373" s="30" t="s">
        <v>11</v>
      </c>
      <c r="K373" s="28" t="s">
        <v>2039</v>
      </c>
      <c r="L373" s="28" t="s">
        <v>157</v>
      </c>
      <c r="M373" s="30" t="s">
        <v>11</v>
      </c>
      <c r="N373" s="28" t="s">
        <v>2036</v>
      </c>
      <c r="O373" s="30" t="s">
        <v>11</v>
      </c>
      <c r="P373" s="28" t="s">
        <v>2040</v>
      </c>
      <c r="Q373" s="28" t="s">
        <v>2038</v>
      </c>
      <c r="R373" s="28" t="s">
        <v>981</v>
      </c>
      <c r="S373" s="28" t="s">
        <v>150</v>
      </c>
      <c r="T373" s="28" t="s">
        <v>2041</v>
      </c>
      <c r="U373" s="28" t="s">
        <v>2042</v>
      </c>
      <c r="V373" s="28" t="s">
        <v>2036</v>
      </c>
      <c r="W373" s="28" t="s">
        <v>2040</v>
      </c>
      <c r="X373" s="28" t="s">
        <v>2038</v>
      </c>
      <c r="Y373" s="28" t="s">
        <v>156</v>
      </c>
      <c r="Z373" s="30" t="s">
        <v>11</v>
      </c>
      <c r="AA373" s="28" t="s">
        <v>2285</v>
      </c>
      <c r="AB373" s="28" t="s">
        <v>2286</v>
      </c>
      <c r="AC373" s="28" t="s">
        <v>2276</v>
      </c>
      <c r="AD373" s="28" t="s">
        <v>2287</v>
      </c>
      <c r="AE373" s="28" t="s">
        <v>2401</v>
      </c>
      <c r="AF373" s="30" t="s">
        <v>69</v>
      </c>
      <c r="AG373" s="28" t="s">
        <v>2398</v>
      </c>
    </row>
    <row r="374" spans="1:33" x14ac:dyDescent="0.3">
      <c r="A374" s="28" t="s">
        <v>2043</v>
      </c>
      <c r="B374" s="34"/>
      <c r="C374" s="30" t="s">
        <v>11</v>
      </c>
      <c r="D374" s="28" t="s">
        <v>5</v>
      </c>
      <c r="E374" s="28">
        <v>200</v>
      </c>
      <c r="F374" s="30" t="s">
        <v>11</v>
      </c>
      <c r="G374" s="28" t="s">
        <v>2044</v>
      </c>
      <c r="H374" s="30" t="s">
        <v>11</v>
      </c>
      <c r="I374" s="28" t="s">
        <v>2045</v>
      </c>
      <c r="J374" s="30" t="s">
        <v>11</v>
      </c>
      <c r="K374" s="28" t="s">
        <v>2046</v>
      </c>
      <c r="L374" s="28" t="s">
        <v>157</v>
      </c>
      <c r="M374" s="30" t="s">
        <v>11</v>
      </c>
      <c r="N374" s="28" t="s">
        <v>2043</v>
      </c>
      <c r="O374" s="30" t="s">
        <v>11</v>
      </c>
      <c r="P374" s="28" t="s">
        <v>2047</v>
      </c>
      <c r="Q374" s="28" t="s">
        <v>2045</v>
      </c>
      <c r="R374" s="28" t="s">
        <v>981</v>
      </c>
      <c r="S374" s="28" t="s">
        <v>150</v>
      </c>
      <c r="T374" s="28" t="s">
        <v>2048</v>
      </c>
      <c r="U374" s="28" t="s">
        <v>2049</v>
      </c>
      <c r="V374" s="28" t="s">
        <v>2043</v>
      </c>
      <c r="W374" s="28" t="s">
        <v>2047</v>
      </c>
      <c r="X374" s="28" t="s">
        <v>2045</v>
      </c>
      <c r="Y374" s="28" t="s">
        <v>156</v>
      </c>
      <c r="Z374" s="30" t="s">
        <v>11</v>
      </c>
      <c r="AA374" s="28" t="s">
        <v>2285</v>
      </c>
      <c r="AB374" s="28" t="s">
        <v>2286</v>
      </c>
      <c r="AC374" s="28" t="s">
        <v>2276</v>
      </c>
      <c r="AD374" s="28" t="s">
        <v>2287</v>
      </c>
      <c r="AE374" s="28" t="s">
        <v>2401</v>
      </c>
      <c r="AF374" s="30" t="s">
        <v>69</v>
      </c>
      <c r="AG374" s="28" t="s">
        <v>2398</v>
      </c>
    </row>
    <row r="375" spans="1:33" x14ac:dyDescent="0.3">
      <c r="A375" s="28" t="s">
        <v>2050</v>
      </c>
      <c r="B375" s="34"/>
      <c r="C375" s="30" t="s">
        <v>11</v>
      </c>
      <c r="D375" s="28" t="s">
        <v>5</v>
      </c>
      <c r="E375" s="28">
        <v>200</v>
      </c>
      <c r="F375" s="30" t="s">
        <v>11</v>
      </c>
      <c r="G375" s="28" t="s">
        <v>2051</v>
      </c>
      <c r="H375" s="30" t="s">
        <v>11</v>
      </c>
      <c r="I375" s="28" t="s">
        <v>2052</v>
      </c>
      <c r="J375" s="30" t="s">
        <v>11</v>
      </c>
      <c r="K375" s="28" t="s">
        <v>2053</v>
      </c>
      <c r="L375" s="28" t="s">
        <v>157</v>
      </c>
      <c r="M375" s="30" t="s">
        <v>11</v>
      </c>
      <c r="N375" s="28" t="s">
        <v>2050</v>
      </c>
      <c r="O375" s="30" t="s">
        <v>11</v>
      </c>
      <c r="P375" s="28" t="s">
        <v>2054</v>
      </c>
      <c r="Q375" s="28" t="s">
        <v>2052</v>
      </c>
      <c r="R375" s="28" t="s">
        <v>981</v>
      </c>
      <c r="S375" s="28" t="s">
        <v>150</v>
      </c>
      <c r="T375" s="28" t="s">
        <v>2055</v>
      </c>
      <c r="U375" s="28" t="s">
        <v>2056</v>
      </c>
      <c r="V375" s="28" t="s">
        <v>2050</v>
      </c>
      <c r="W375" s="28" t="s">
        <v>2054</v>
      </c>
      <c r="X375" s="28" t="s">
        <v>2052</v>
      </c>
      <c r="Y375" s="28" t="s">
        <v>156</v>
      </c>
      <c r="Z375" s="30" t="s">
        <v>11</v>
      </c>
      <c r="AA375" s="28" t="s">
        <v>2285</v>
      </c>
      <c r="AB375" s="28" t="s">
        <v>2286</v>
      </c>
      <c r="AC375" s="28" t="s">
        <v>2276</v>
      </c>
      <c r="AD375" s="28" t="s">
        <v>2287</v>
      </c>
      <c r="AE375" s="28" t="s">
        <v>2401</v>
      </c>
      <c r="AF375" s="30" t="s">
        <v>69</v>
      </c>
      <c r="AG375" s="28" t="s">
        <v>2398</v>
      </c>
    </row>
    <row r="376" spans="1:33" x14ac:dyDescent="0.3">
      <c r="A376" s="28" t="s">
        <v>2057</v>
      </c>
      <c r="B376" s="34"/>
      <c r="C376" s="30" t="s">
        <v>11</v>
      </c>
      <c r="D376" s="28" t="s">
        <v>5</v>
      </c>
      <c r="E376" s="28">
        <v>200</v>
      </c>
      <c r="F376" s="30" t="s">
        <v>11</v>
      </c>
      <c r="G376" s="28" t="s">
        <v>2058</v>
      </c>
      <c r="H376" s="30" t="s">
        <v>11</v>
      </c>
      <c r="I376" s="28" t="s">
        <v>2059</v>
      </c>
      <c r="J376" s="30" t="s">
        <v>11</v>
      </c>
      <c r="K376" s="28" t="s">
        <v>2060</v>
      </c>
      <c r="L376" s="28" t="s">
        <v>157</v>
      </c>
      <c r="M376" s="30" t="s">
        <v>11</v>
      </c>
      <c r="N376" s="28" t="s">
        <v>2057</v>
      </c>
      <c r="O376" s="30" t="s">
        <v>11</v>
      </c>
      <c r="P376" s="28" t="s">
        <v>2061</v>
      </c>
      <c r="Q376" s="28" t="s">
        <v>2059</v>
      </c>
      <c r="R376" s="28" t="s">
        <v>981</v>
      </c>
      <c r="S376" s="28" t="s">
        <v>150</v>
      </c>
      <c r="T376" s="28" t="s">
        <v>2062</v>
      </c>
      <c r="U376" s="28" t="s">
        <v>2063</v>
      </c>
      <c r="V376" s="28" t="s">
        <v>2057</v>
      </c>
      <c r="W376" s="28" t="s">
        <v>2061</v>
      </c>
      <c r="X376" s="28" t="s">
        <v>2059</v>
      </c>
      <c r="Y376" s="28" t="s">
        <v>156</v>
      </c>
      <c r="Z376" s="30" t="s">
        <v>11</v>
      </c>
      <c r="AA376" s="28" t="s">
        <v>2285</v>
      </c>
      <c r="AB376" s="28" t="s">
        <v>2286</v>
      </c>
      <c r="AC376" s="28" t="s">
        <v>2276</v>
      </c>
      <c r="AD376" s="28" t="s">
        <v>2287</v>
      </c>
      <c r="AE376" s="28" t="s">
        <v>2401</v>
      </c>
      <c r="AF376" s="30" t="s">
        <v>69</v>
      </c>
      <c r="AG376" s="28" t="s">
        <v>2398</v>
      </c>
    </row>
    <row r="377" spans="1:33" x14ac:dyDescent="0.3">
      <c r="A377" s="28" t="s">
        <v>2064</v>
      </c>
      <c r="B377" s="34"/>
      <c r="C377" s="30" t="s">
        <v>11</v>
      </c>
      <c r="D377" s="28" t="s">
        <v>5</v>
      </c>
      <c r="E377" s="28">
        <v>200</v>
      </c>
      <c r="F377" s="30" t="s">
        <v>11</v>
      </c>
      <c r="G377" s="28" t="s">
        <v>2065</v>
      </c>
      <c r="H377" s="30" t="s">
        <v>11</v>
      </c>
      <c r="I377" s="28" t="s">
        <v>2066</v>
      </c>
      <c r="J377" s="30" t="s">
        <v>11</v>
      </c>
      <c r="K377" s="28" t="s">
        <v>2067</v>
      </c>
      <c r="L377" s="28" t="s">
        <v>157</v>
      </c>
      <c r="M377" s="30" t="s">
        <v>11</v>
      </c>
      <c r="N377" s="28" t="s">
        <v>2064</v>
      </c>
      <c r="O377" s="30" t="s">
        <v>11</v>
      </c>
      <c r="P377" s="28" t="s">
        <v>2068</v>
      </c>
      <c r="Q377" s="28" t="s">
        <v>2066</v>
      </c>
      <c r="R377" s="28" t="s">
        <v>981</v>
      </c>
      <c r="S377" s="28" t="s">
        <v>150</v>
      </c>
      <c r="T377" s="28" t="s">
        <v>2069</v>
      </c>
      <c r="U377" s="28" t="s">
        <v>2070</v>
      </c>
      <c r="V377" s="28" t="s">
        <v>2064</v>
      </c>
      <c r="W377" s="28" t="s">
        <v>2068</v>
      </c>
      <c r="X377" s="28" t="s">
        <v>2066</v>
      </c>
      <c r="Y377" s="28" t="s">
        <v>156</v>
      </c>
      <c r="Z377" s="30" t="s">
        <v>11</v>
      </c>
      <c r="AA377" s="28" t="s">
        <v>2285</v>
      </c>
      <c r="AB377" s="28" t="s">
        <v>2286</v>
      </c>
      <c r="AC377" s="28" t="s">
        <v>2276</v>
      </c>
      <c r="AD377" s="28" t="s">
        <v>2287</v>
      </c>
      <c r="AE377" s="28" t="s">
        <v>2401</v>
      </c>
      <c r="AF377" s="30" t="s">
        <v>69</v>
      </c>
      <c r="AG377" s="28" t="s">
        <v>2398</v>
      </c>
    </row>
    <row r="378" spans="1:33" x14ac:dyDescent="0.3">
      <c r="A378" s="28" t="s">
        <v>2071</v>
      </c>
      <c r="B378" s="34"/>
      <c r="C378" s="30" t="s">
        <v>11</v>
      </c>
      <c r="D378" s="28" t="s">
        <v>5</v>
      </c>
      <c r="E378" s="28">
        <v>200</v>
      </c>
      <c r="F378" s="30" t="s">
        <v>11</v>
      </c>
      <c r="G378" s="28" t="s">
        <v>2072</v>
      </c>
      <c r="H378" s="30" t="s">
        <v>11</v>
      </c>
      <c r="I378" s="28" t="s">
        <v>2073</v>
      </c>
      <c r="J378" s="30" t="s">
        <v>11</v>
      </c>
      <c r="K378" s="28" t="s">
        <v>2074</v>
      </c>
      <c r="L378" s="28" t="s">
        <v>157</v>
      </c>
      <c r="M378" s="30" t="s">
        <v>11</v>
      </c>
      <c r="N378" s="28" t="s">
        <v>2071</v>
      </c>
      <c r="O378" s="30" t="s">
        <v>11</v>
      </c>
      <c r="P378" s="28" t="s">
        <v>2075</v>
      </c>
      <c r="Q378" s="28" t="s">
        <v>2073</v>
      </c>
      <c r="R378" s="28" t="s">
        <v>981</v>
      </c>
      <c r="S378" s="28" t="s">
        <v>150</v>
      </c>
      <c r="T378" s="28" t="s">
        <v>2076</v>
      </c>
      <c r="U378" s="28" t="s">
        <v>2077</v>
      </c>
      <c r="V378" s="28" t="s">
        <v>2071</v>
      </c>
      <c r="W378" s="28" t="s">
        <v>2075</v>
      </c>
      <c r="X378" s="28" t="s">
        <v>2073</v>
      </c>
      <c r="Y378" s="28" t="s">
        <v>156</v>
      </c>
      <c r="Z378" s="30" t="s">
        <v>11</v>
      </c>
      <c r="AA378" s="28" t="s">
        <v>2285</v>
      </c>
      <c r="AB378" s="28" t="s">
        <v>2286</v>
      </c>
      <c r="AC378" s="28" t="s">
        <v>2276</v>
      </c>
      <c r="AD378" s="28" t="s">
        <v>2287</v>
      </c>
      <c r="AE378" s="28" t="s">
        <v>2401</v>
      </c>
      <c r="AF378" s="30" t="s">
        <v>69</v>
      </c>
      <c r="AG378" s="28" t="s">
        <v>2398</v>
      </c>
    </row>
    <row r="379" spans="1:33" x14ac:dyDescent="0.3">
      <c r="A379" s="28" t="s">
        <v>2078</v>
      </c>
      <c r="B379" s="34"/>
      <c r="C379" s="30" t="s">
        <v>11</v>
      </c>
      <c r="D379" s="28" t="s">
        <v>5</v>
      </c>
      <c r="E379" s="28">
        <v>200</v>
      </c>
      <c r="F379" s="30" t="s">
        <v>11</v>
      </c>
      <c r="G379" s="28" t="s">
        <v>2079</v>
      </c>
      <c r="H379" s="30" t="s">
        <v>11</v>
      </c>
      <c r="I379" s="28" t="s">
        <v>2080</v>
      </c>
      <c r="J379" s="30" t="s">
        <v>11</v>
      </c>
      <c r="K379" s="28" t="s">
        <v>2081</v>
      </c>
      <c r="L379" s="28" t="s">
        <v>157</v>
      </c>
      <c r="M379" s="30" t="s">
        <v>11</v>
      </c>
      <c r="N379" s="28" t="s">
        <v>2078</v>
      </c>
      <c r="O379" s="30" t="s">
        <v>11</v>
      </c>
      <c r="P379" s="28" t="s">
        <v>2082</v>
      </c>
      <c r="Q379" s="28" t="s">
        <v>2080</v>
      </c>
      <c r="R379" s="28" t="s">
        <v>981</v>
      </c>
      <c r="S379" s="28" t="s">
        <v>150</v>
      </c>
      <c r="T379" s="28" t="s">
        <v>2083</v>
      </c>
      <c r="U379" s="28" t="s">
        <v>2084</v>
      </c>
      <c r="V379" s="28" t="s">
        <v>2078</v>
      </c>
      <c r="W379" s="28" t="s">
        <v>2082</v>
      </c>
      <c r="X379" s="28" t="s">
        <v>2080</v>
      </c>
      <c r="Y379" s="28" t="s">
        <v>156</v>
      </c>
      <c r="Z379" s="30" t="s">
        <v>11</v>
      </c>
      <c r="AA379" s="28" t="s">
        <v>2285</v>
      </c>
      <c r="AB379" s="28" t="s">
        <v>2286</v>
      </c>
      <c r="AC379" s="28" t="s">
        <v>2276</v>
      </c>
      <c r="AD379" s="28" t="s">
        <v>2287</v>
      </c>
      <c r="AE379" s="28" t="s">
        <v>2401</v>
      </c>
      <c r="AF379" s="30" t="s">
        <v>69</v>
      </c>
      <c r="AG379" s="28" t="s">
        <v>2398</v>
      </c>
    </row>
    <row r="380" spans="1:33" x14ac:dyDescent="0.3">
      <c r="A380" s="28" t="s">
        <v>2085</v>
      </c>
      <c r="B380" s="34"/>
      <c r="C380" s="30" t="s">
        <v>72</v>
      </c>
      <c r="D380" s="28" t="s">
        <v>5</v>
      </c>
      <c r="E380" s="28">
        <v>200</v>
      </c>
      <c r="F380" s="30" t="s">
        <v>11</v>
      </c>
      <c r="G380" s="28" t="s">
        <v>2086</v>
      </c>
      <c r="H380" s="30" t="s">
        <v>11</v>
      </c>
      <c r="I380" s="28" t="s">
        <v>2087</v>
      </c>
      <c r="J380" s="30" t="s">
        <v>11</v>
      </c>
      <c r="K380" s="28" t="s">
        <v>2088</v>
      </c>
      <c r="L380" s="28" t="s">
        <v>157</v>
      </c>
      <c r="M380" s="30" t="s">
        <v>11</v>
      </c>
      <c r="N380" s="28" t="s">
        <v>2085</v>
      </c>
      <c r="O380" s="30" t="s">
        <v>11</v>
      </c>
      <c r="P380" s="28" t="s">
        <v>2089</v>
      </c>
      <c r="Q380" s="28" t="s">
        <v>2087</v>
      </c>
      <c r="R380" s="28" t="s">
        <v>981</v>
      </c>
      <c r="S380" s="28" t="s">
        <v>150</v>
      </c>
      <c r="T380" s="28" t="s">
        <v>2090</v>
      </c>
      <c r="U380" s="28" t="s">
        <v>2091</v>
      </c>
      <c r="V380" s="28" t="s">
        <v>2085</v>
      </c>
      <c r="W380" s="28" t="s">
        <v>2089</v>
      </c>
      <c r="X380" s="28" t="s">
        <v>2087</v>
      </c>
      <c r="Y380" s="28" t="s">
        <v>156</v>
      </c>
      <c r="Z380" s="30" t="s">
        <v>11</v>
      </c>
      <c r="AA380" s="28" t="s">
        <v>2285</v>
      </c>
      <c r="AB380" s="28" t="s">
        <v>2286</v>
      </c>
      <c r="AC380" s="28" t="s">
        <v>2276</v>
      </c>
      <c r="AD380" s="28" t="s">
        <v>2287</v>
      </c>
      <c r="AE380" s="28" t="s">
        <v>2401</v>
      </c>
      <c r="AF380" s="30" t="s">
        <v>69</v>
      </c>
      <c r="AG380" s="28" t="s">
        <v>2398</v>
      </c>
    </row>
    <row r="381" spans="1:33" x14ac:dyDescent="0.3">
      <c r="A381" s="28" t="s">
        <v>2092</v>
      </c>
      <c r="B381" s="34"/>
      <c r="C381" s="30" t="s">
        <v>11</v>
      </c>
      <c r="D381" s="28" t="s">
        <v>5</v>
      </c>
      <c r="E381" s="28">
        <v>200</v>
      </c>
      <c r="F381" s="30" t="s">
        <v>11</v>
      </c>
      <c r="G381" s="28" t="s">
        <v>2093</v>
      </c>
      <c r="H381" s="30" t="s">
        <v>11</v>
      </c>
      <c r="I381" s="28" t="s">
        <v>2094</v>
      </c>
      <c r="J381" s="30" t="s">
        <v>60</v>
      </c>
      <c r="K381" s="28" t="s">
        <v>2095</v>
      </c>
      <c r="L381" s="28" t="s">
        <v>157</v>
      </c>
      <c r="M381" s="30" t="s">
        <v>11</v>
      </c>
      <c r="N381" s="28" t="s">
        <v>2092</v>
      </c>
      <c r="O381" s="30" t="s">
        <v>11</v>
      </c>
      <c r="P381" s="28" t="s">
        <v>2096</v>
      </c>
      <c r="Q381" s="28" t="s">
        <v>2094</v>
      </c>
      <c r="R381" s="28" t="s">
        <v>981</v>
      </c>
      <c r="S381" s="28" t="s">
        <v>150</v>
      </c>
      <c r="T381" s="28" t="s">
        <v>2097</v>
      </c>
      <c r="U381" s="28" t="s">
        <v>2098</v>
      </c>
      <c r="V381" s="28" t="s">
        <v>2092</v>
      </c>
      <c r="W381" s="28" t="s">
        <v>2096</v>
      </c>
      <c r="X381" s="28" t="s">
        <v>2094</v>
      </c>
      <c r="Y381" s="28" t="s">
        <v>156</v>
      </c>
      <c r="Z381" s="30" t="s">
        <v>56</v>
      </c>
      <c r="AA381" s="28" t="s">
        <v>2285</v>
      </c>
      <c r="AB381" s="28" t="s">
        <v>2286</v>
      </c>
      <c r="AC381" s="28" t="s">
        <v>2276</v>
      </c>
      <c r="AD381" s="28" t="s">
        <v>2287</v>
      </c>
      <c r="AE381" s="28" t="s">
        <v>2401</v>
      </c>
      <c r="AF381" s="30" t="s">
        <v>69</v>
      </c>
      <c r="AG381" s="28" t="s">
        <v>2398</v>
      </c>
    </row>
    <row r="382" spans="1:33" x14ac:dyDescent="0.3">
      <c r="A382" s="28" t="s">
        <v>2099</v>
      </c>
      <c r="B382" s="34"/>
      <c r="C382" s="30" t="s">
        <v>11</v>
      </c>
      <c r="D382" s="28" t="s">
        <v>5</v>
      </c>
      <c r="E382" s="28">
        <v>200</v>
      </c>
      <c r="F382" s="30" t="s">
        <v>11</v>
      </c>
      <c r="G382" s="28" t="s">
        <v>2100</v>
      </c>
      <c r="H382" s="30" t="s">
        <v>11</v>
      </c>
      <c r="I382" s="28" t="s">
        <v>2094</v>
      </c>
      <c r="J382" s="30" t="s">
        <v>60</v>
      </c>
      <c r="K382" s="28" t="s">
        <v>2101</v>
      </c>
      <c r="L382" s="28" t="s">
        <v>157</v>
      </c>
      <c r="M382" s="30" t="s">
        <v>11</v>
      </c>
      <c r="N382" s="28" t="s">
        <v>2099</v>
      </c>
      <c r="O382" s="30" t="s">
        <v>11</v>
      </c>
      <c r="P382" s="28" t="s">
        <v>2102</v>
      </c>
      <c r="Q382" s="28" t="s">
        <v>2094</v>
      </c>
      <c r="R382" s="28" t="s">
        <v>981</v>
      </c>
      <c r="S382" s="28" t="s">
        <v>150</v>
      </c>
      <c r="T382" s="28" t="s">
        <v>2103</v>
      </c>
      <c r="U382" s="28" t="s">
        <v>2104</v>
      </c>
      <c r="V382" s="28" t="s">
        <v>2099</v>
      </c>
      <c r="W382" s="28" t="s">
        <v>2102</v>
      </c>
      <c r="X382" s="28" t="s">
        <v>2094</v>
      </c>
      <c r="Y382" s="28" t="s">
        <v>156</v>
      </c>
      <c r="Z382" s="30" t="s">
        <v>56</v>
      </c>
      <c r="AA382" s="28" t="s">
        <v>2285</v>
      </c>
      <c r="AB382" s="28" t="s">
        <v>2286</v>
      </c>
      <c r="AC382" s="28" t="s">
        <v>2276</v>
      </c>
      <c r="AD382" s="28" t="s">
        <v>2287</v>
      </c>
      <c r="AE382" s="28" t="s">
        <v>2401</v>
      </c>
      <c r="AF382" s="30" t="s">
        <v>69</v>
      </c>
      <c r="AG382" s="28" t="s">
        <v>2398</v>
      </c>
    </row>
    <row r="383" spans="1:33" x14ac:dyDescent="0.3">
      <c r="A383" s="28" t="s">
        <v>2105</v>
      </c>
      <c r="B383" s="34"/>
      <c r="C383" s="30" t="s">
        <v>11</v>
      </c>
      <c r="D383" s="28" t="s">
        <v>5</v>
      </c>
      <c r="E383" s="28">
        <v>200</v>
      </c>
      <c r="F383" s="30" t="s">
        <v>11</v>
      </c>
      <c r="G383" s="28" t="s">
        <v>2106</v>
      </c>
      <c r="H383" s="30" t="s">
        <v>11</v>
      </c>
      <c r="I383" s="28" t="s">
        <v>2107</v>
      </c>
      <c r="J383" s="30" t="s">
        <v>11</v>
      </c>
      <c r="K383" s="28" t="s">
        <v>2108</v>
      </c>
      <c r="L383" s="28" t="s">
        <v>157</v>
      </c>
      <c r="M383" s="30" t="s">
        <v>11</v>
      </c>
      <c r="N383" s="28" t="s">
        <v>2105</v>
      </c>
      <c r="O383" s="30" t="s">
        <v>11</v>
      </c>
      <c r="P383" s="28" t="s">
        <v>2109</v>
      </c>
      <c r="Q383" s="28" t="s">
        <v>2107</v>
      </c>
      <c r="R383" s="28" t="s">
        <v>981</v>
      </c>
      <c r="S383" s="28" t="s">
        <v>150</v>
      </c>
      <c r="T383" s="28" t="s">
        <v>2110</v>
      </c>
      <c r="U383" s="28" t="s">
        <v>2111</v>
      </c>
      <c r="V383" s="28" t="s">
        <v>2105</v>
      </c>
      <c r="W383" s="28" t="s">
        <v>2109</v>
      </c>
      <c r="X383" s="28" t="s">
        <v>2107</v>
      </c>
      <c r="Y383" s="28" t="s">
        <v>156</v>
      </c>
      <c r="Z383" s="30" t="s">
        <v>11</v>
      </c>
      <c r="AA383" s="28" t="s">
        <v>2285</v>
      </c>
      <c r="AB383" s="28" t="s">
        <v>2286</v>
      </c>
      <c r="AC383" s="28" t="s">
        <v>2276</v>
      </c>
      <c r="AD383" s="28" t="s">
        <v>2287</v>
      </c>
      <c r="AE383" s="28" t="s">
        <v>2401</v>
      </c>
      <c r="AF383" s="30" t="s">
        <v>69</v>
      </c>
      <c r="AG383" s="28" t="s">
        <v>2398</v>
      </c>
    </row>
    <row r="384" spans="1:33" x14ac:dyDescent="0.3">
      <c r="A384" s="28" t="s">
        <v>2113</v>
      </c>
      <c r="B384" s="34"/>
      <c r="C384" s="30" t="s">
        <v>11</v>
      </c>
      <c r="D384" s="28" t="s">
        <v>5</v>
      </c>
      <c r="E384" s="28">
        <v>200</v>
      </c>
      <c r="F384" s="30" t="s">
        <v>11</v>
      </c>
      <c r="G384" s="28" t="s">
        <v>2114</v>
      </c>
      <c r="H384" s="30" t="s">
        <v>11</v>
      </c>
      <c r="I384" s="28" t="s">
        <v>2115</v>
      </c>
      <c r="J384" s="30" t="s">
        <v>11</v>
      </c>
      <c r="K384" s="28" t="s">
        <v>2116</v>
      </c>
      <c r="L384" s="28" t="s">
        <v>157</v>
      </c>
      <c r="M384" s="30" t="s">
        <v>11</v>
      </c>
      <c r="N384" s="28" t="s">
        <v>2113</v>
      </c>
      <c r="O384" s="30" t="s">
        <v>11</v>
      </c>
      <c r="P384" s="28" t="s">
        <v>2117</v>
      </c>
      <c r="Q384" s="28" t="s">
        <v>2115</v>
      </c>
      <c r="R384" s="28" t="s">
        <v>981</v>
      </c>
      <c r="S384" s="28" t="s">
        <v>150</v>
      </c>
      <c r="T384" s="28" t="s">
        <v>2118</v>
      </c>
      <c r="U384" s="28" t="s">
        <v>2119</v>
      </c>
      <c r="V384" s="28" t="s">
        <v>2113</v>
      </c>
      <c r="W384" s="28" t="s">
        <v>2117</v>
      </c>
      <c r="X384" s="28" t="s">
        <v>2115</v>
      </c>
      <c r="Y384" s="28" t="s">
        <v>156</v>
      </c>
      <c r="Z384" s="30" t="s">
        <v>11</v>
      </c>
      <c r="AA384" s="28" t="s">
        <v>2285</v>
      </c>
      <c r="AB384" s="28" t="s">
        <v>2286</v>
      </c>
      <c r="AC384" s="28" t="s">
        <v>2276</v>
      </c>
      <c r="AD384" s="28" t="s">
        <v>2287</v>
      </c>
      <c r="AE384" s="28" t="s">
        <v>2401</v>
      </c>
      <c r="AF384" s="30" t="s">
        <v>69</v>
      </c>
      <c r="AG384" s="28" t="s">
        <v>2398</v>
      </c>
    </row>
    <row r="385" spans="1:33" x14ac:dyDescent="0.3">
      <c r="A385" s="28" t="s">
        <v>2120</v>
      </c>
      <c r="B385" s="34"/>
      <c r="C385" s="30" t="s">
        <v>11</v>
      </c>
      <c r="D385" s="28" t="s">
        <v>5</v>
      </c>
      <c r="E385" s="28">
        <v>200</v>
      </c>
      <c r="F385" s="30" t="s">
        <v>11</v>
      </c>
      <c r="G385" s="28" t="s">
        <v>2121</v>
      </c>
      <c r="H385" s="30" t="s">
        <v>11</v>
      </c>
      <c r="I385" s="28" t="s">
        <v>1970</v>
      </c>
      <c r="J385" s="30" t="s">
        <v>60</v>
      </c>
      <c r="K385" s="28" t="s">
        <v>2122</v>
      </c>
      <c r="L385" s="28" t="s">
        <v>157</v>
      </c>
      <c r="M385" s="30" t="s">
        <v>11</v>
      </c>
      <c r="N385" s="28" t="s">
        <v>2120</v>
      </c>
      <c r="O385" s="30" t="s">
        <v>11</v>
      </c>
      <c r="P385" s="28" t="s">
        <v>2123</v>
      </c>
      <c r="Q385" s="28" t="s">
        <v>1970</v>
      </c>
      <c r="R385" s="28" t="s">
        <v>981</v>
      </c>
      <c r="S385" s="28" t="s">
        <v>150</v>
      </c>
      <c r="T385" s="28" t="s">
        <v>2124</v>
      </c>
      <c r="U385" s="28" t="s">
        <v>2125</v>
      </c>
      <c r="V385" s="28" t="s">
        <v>2120</v>
      </c>
      <c r="W385" s="28" t="s">
        <v>2123</v>
      </c>
      <c r="X385" s="28" t="s">
        <v>1970</v>
      </c>
      <c r="Y385" s="28" t="s">
        <v>156</v>
      </c>
      <c r="Z385" s="30" t="s">
        <v>56</v>
      </c>
      <c r="AA385" s="28" t="s">
        <v>2285</v>
      </c>
      <c r="AB385" s="28" t="s">
        <v>2286</v>
      </c>
      <c r="AC385" s="28" t="s">
        <v>2276</v>
      </c>
      <c r="AD385" s="28" t="s">
        <v>2287</v>
      </c>
      <c r="AE385" s="28" t="s">
        <v>2401</v>
      </c>
      <c r="AF385" s="30" t="s">
        <v>69</v>
      </c>
      <c r="AG385" s="28" t="s">
        <v>2398</v>
      </c>
    </row>
    <row r="386" spans="1:33" x14ac:dyDescent="0.3">
      <c r="A386" s="28" t="s">
        <v>2126</v>
      </c>
      <c r="B386" s="34"/>
      <c r="C386" s="30" t="s">
        <v>11</v>
      </c>
      <c r="D386" s="28" t="s">
        <v>5</v>
      </c>
      <c r="E386" s="28">
        <v>200</v>
      </c>
      <c r="F386" s="30" t="s">
        <v>11</v>
      </c>
      <c r="G386" s="28" t="s">
        <v>2127</v>
      </c>
      <c r="H386" s="30" t="s">
        <v>11</v>
      </c>
      <c r="I386" s="28" t="s">
        <v>1970</v>
      </c>
      <c r="J386" s="30" t="s">
        <v>60</v>
      </c>
      <c r="K386" s="28" t="s">
        <v>2128</v>
      </c>
      <c r="L386" s="28" t="s">
        <v>157</v>
      </c>
      <c r="M386" s="30" t="s">
        <v>11</v>
      </c>
      <c r="N386" s="28" t="s">
        <v>2126</v>
      </c>
      <c r="O386" s="30" t="s">
        <v>11</v>
      </c>
      <c r="P386" s="28" t="s">
        <v>2129</v>
      </c>
      <c r="Q386" s="28" t="s">
        <v>1970</v>
      </c>
      <c r="R386" s="28" t="s">
        <v>981</v>
      </c>
      <c r="S386" s="28" t="s">
        <v>150</v>
      </c>
      <c r="T386" s="28" t="s">
        <v>2130</v>
      </c>
      <c r="U386" s="28" t="s">
        <v>2131</v>
      </c>
      <c r="V386" s="28" t="s">
        <v>2126</v>
      </c>
      <c r="W386" s="28" t="s">
        <v>2129</v>
      </c>
      <c r="X386" s="28" t="s">
        <v>1970</v>
      </c>
      <c r="Y386" s="28" t="s">
        <v>156</v>
      </c>
      <c r="Z386" s="30" t="s">
        <v>56</v>
      </c>
      <c r="AA386" s="28" t="s">
        <v>2285</v>
      </c>
      <c r="AB386" s="28" t="s">
        <v>2286</v>
      </c>
      <c r="AC386" s="28" t="s">
        <v>2276</v>
      </c>
      <c r="AD386" s="28" t="s">
        <v>2287</v>
      </c>
      <c r="AE386" s="28" t="s">
        <v>2401</v>
      </c>
      <c r="AF386" s="30" t="s">
        <v>69</v>
      </c>
      <c r="AG386" s="28" t="s">
        <v>2398</v>
      </c>
    </row>
    <row r="387" spans="1:33" x14ac:dyDescent="0.3">
      <c r="A387" s="28" t="s">
        <v>2133</v>
      </c>
      <c r="B387" s="34"/>
      <c r="C387" s="30" t="s">
        <v>11</v>
      </c>
      <c r="D387" s="28" t="s">
        <v>5</v>
      </c>
      <c r="E387" s="28">
        <v>200</v>
      </c>
      <c r="F387" s="30" t="s">
        <v>11</v>
      </c>
      <c r="G387" s="28" t="s">
        <v>2134</v>
      </c>
      <c r="H387" s="30" t="s">
        <v>11</v>
      </c>
      <c r="I387" s="28" t="s">
        <v>2135</v>
      </c>
      <c r="J387" s="30" t="s">
        <v>11</v>
      </c>
      <c r="K387" s="28" t="s">
        <v>2136</v>
      </c>
      <c r="L387" s="28" t="s">
        <v>157</v>
      </c>
      <c r="M387" s="30" t="s">
        <v>11</v>
      </c>
      <c r="N387" s="28" t="s">
        <v>2133</v>
      </c>
      <c r="O387" s="30" t="s">
        <v>11</v>
      </c>
      <c r="P387" s="28" t="s">
        <v>2137</v>
      </c>
      <c r="Q387" s="28" t="s">
        <v>2135</v>
      </c>
      <c r="R387" s="28" t="s">
        <v>981</v>
      </c>
      <c r="S387" s="28" t="s">
        <v>150</v>
      </c>
      <c r="T387" s="28" t="s">
        <v>2138</v>
      </c>
      <c r="U387" s="28" t="s">
        <v>2139</v>
      </c>
      <c r="V387" s="28" t="s">
        <v>2133</v>
      </c>
      <c r="W387" s="28" t="s">
        <v>2137</v>
      </c>
      <c r="X387" s="28" t="s">
        <v>2135</v>
      </c>
      <c r="Y387" s="28" t="s">
        <v>156</v>
      </c>
      <c r="Z387" s="30" t="s">
        <v>11</v>
      </c>
      <c r="AA387" s="28" t="s">
        <v>2285</v>
      </c>
      <c r="AB387" s="28" t="s">
        <v>2286</v>
      </c>
      <c r="AC387" s="28" t="s">
        <v>2276</v>
      </c>
      <c r="AD387" s="28" t="s">
        <v>2287</v>
      </c>
      <c r="AE387" s="28" t="s">
        <v>2401</v>
      </c>
      <c r="AF387" s="30" t="s">
        <v>69</v>
      </c>
      <c r="AG387" s="28" t="s">
        <v>2398</v>
      </c>
    </row>
    <row r="388" spans="1:33" x14ac:dyDescent="0.3">
      <c r="A388" s="28" t="s">
        <v>2140</v>
      </c>
      <c r="B388" s="34"/>
      <c r="C388" s="30" t="s">
        <v>11</v>
      </c>
      <c r="D388" s="28" t="s">
        <v>5</v>
      </c>
      <c r="E388" s="28">
        <v>200</v>
      </c>
      <c r="F388" s="30" t="s">
        <v>11</v>
      </c>
      <c r="G388" s="28" t="s">
        <v>2141</v>
      </c>
      <c r="H388" s="30" t="s">
        <v>11</v>
      </c>
      <c r="I388" s="28" t="s">
        <v>2142</v>
      </c>
      <c r="J388" s="30" t="s">
        <v>11</v>
      </c>
      <c r="K388" s="28" t="s">
        <v>2143</v>
      </c>
      <c r="L388" s="28" t="s">
        <v>157</v>
      </c>
      <c r="M388" s="30" t="s">
        <v>11</v>
      </c>
      <c r="N388" s="28" t="s">
        <v>2140</v>
      </c>
      <c r="O388" s="30" t="s">
        <v>11</v>
      </c>
      <c r="P388" s="28" t="s">
        <v>2144</v>
      </c>
      <c r="Q388" s="28" t="s">
        <v>2142</v>
      </c>
      <c r="R388" s="28" t="s">
        <v>981</v>
      </c>
      <c r="S388" s="28" t="s">
        <v>150</v>
      </c>
      <c r="T388" s="28" t="s">
        <v>2145</v>
      </c>
      <c r="U388" s="28" t="s">
        <v>2146</v>
      </c>
      <c r="V388" s="28" t="s">
        <v>2140</v>
      </c>
      <c r="W388" s="28" t="s">
        <v>2144</v>
      </c>
      <c r="X388" s="28" t="s">
        <v>2142</v>
      </c>
      <c r="Y388" s="28" t="s">
        <v>156</v>
      </c>
      <c r="Z388" s="30" t="s">
        <v>11</v>
      </c>
      <c r="AA388" s="28" t="s">
        <v>2285</v>
      </c>
      <c r="AB388" s="28" t="s">
        <v>2286</v>
      </c>
      <c r="AC388" s="28" t="s">
        <v>2276</v>
      </c>
      <c r="AD388" s="28" t="s">
        <v>2287</v>
      </c>
      <c r="AE388" s="28" t="s">
        <v>2401</v>
      </c>
      <c r="AF388" s="30" t="s">
        <v>69</v>
      </c>
      <c r="AG388" s="28" t="s">
        <v>2398</v>
      </c>
    </row>
    <row r="389" spans="1:33" x14ac:dyDescent="0.3">
      <c r="A389" s="28" t="s">
        <v>2147</v>
      </c>
      <c r="B389" s="34"/>
      <c r="C389" s="30" t="s">
        <v>11</v>
      </c>
      <c r="D389" s="28" t="s">
        <v>5</v>
      </c>
      <c r="E389" s="28">
        <v>200</v>
      </c>
      <c r="F389" s="30" t="s">
        <v>11</v>
      </c>
      <c r="G389" s="28" t="s">
        <v>2148</v>
      </c>
      <c r="H389" s="30" t="s">
        <v>11</v>
      </c>
      <c r="I389" s="28" t="s">
        <v>2149</v>
      </c>
      <c r="J389" s="30" t="s">
        <v>11</v>
      </c>
      <c r="K389" s="28" t="s">
        <v>2150</v>
      </c>
      <c r="L389" s="28" t="s">
        <v>157</v>
      </c>
      <c r="M389" s="30" t="s">
        <v>11</v>
      </c>
      <c r="N389" s="28" t="s">
        <v>2147</v>
      </c>
      <c r="O389" s="30" t="s">
        <v>11</v>
      </c>
      <c r="P389" s="28" t="s">
        <v>2151</v>
      </c>
      <c r="Q389" s="28" t="s">
        <v>2149</v>
      </c>
      <c r="R389" s="28" t="s">
        <v>981</v>
      </c>
      <c r="S389" s="28" t="s">
        <v>150</v>
      </c>
      <c r="T389" s="28" t="s">
        <v>2152</v>
      </c>
      <c r="U389" s="28" t="s">
        <v>2153</v>
      </c>
      <c r="V389" s="28" t="s">
        <v>2147</v>
      </c>
      <c r="W389" s="28" t="s">
        <v>2151</v>
      </c>
      <c r="X389" s="28" t="s">
        <v>2149</v>
      </c>
      <c r="Y389" s="28" t="s">
        <v>156</v>
      </c>
      <c r="Z389" s="30" t="s">
        <v>11</v>
      </c>
      <c r="AA389" s="28" t="s">
        <v>2285</v>
      </c>
      <c r="AB389" s="28" t="s">
        <v>2286</v>
      </c>
      <c r="AC389" s="28" t="s">
        <v>2276</v>
      </c>
      <c r="AD389" s="28" t="s">
        <v>2287</v>
      </c>
      <c r="AE389" s="28" t="s">
        <v>2289</v>
      </c>
      <c r="AF389" s="30" t="s">
        <v>69</v>
      </c>
      <c r="AG389" s="28" t="s">
        <v>2398</v>
      </c>
    </row>
    <row r="390" spans="1:33" x14ac:dyDescent="0.3">
      <c r="A390" s="28" t="s">
        <v>2155</v>
      </c>
      <c r="B390" s="34"/>
      <c r="C390" s="30" t="s">
        <v>11</v>
      </c>
      <c r="D390" s="28" t="s">
        <v>5</v>
      </c>
      <c r="E390" s="28">
        <v>200</v>
      </c>
      <c r="F390" s="30" t="s">
        <v>11</v>
      </c>
      <c r="G390" s="28" t="s">
        <v>2156</v>
      </c>
      <c r="H390" s="30" t="s">
        <v>11</v>
      </c>
      <c r="I390" s="28" t="s">
        <v>2157</v>
      </c>
      <c r="J390" s="30" t="s">
        <v>11</v>
      </c>
      <c r="K390" s="28" t="s">
        <v>2158</v>
      </c>
      <c r="L390" s="28" t="s">
        <v>157</v>
      </c>
      <c r="M390" s="30" t="s">
        <v>11</v>
      </c>
      <c r="N390" s="28" t="s">
        <v>2155</v>
      </c>
      <c r="O390" s="30" t="s">
        <v>11</v>
      </c>
      <c r="P390" s="28" t="s">
        <v>2159</v>
      </c>
      <c r="Q390" s="28" t="s">
        <v>2157</v>
      </c>
      <c r="R390" s="28" t="s">
        <v>981</v>
      </c>
      <c r="S390" s="28" t="s">
        <v>150</v>
      </c>
      <c r="T390" s="28" t="s">
        <v>2160</v>
      </c>
      <c r="U390" s="28" t="s">
        <v>2161</v>
      </c>
      <c r="V390" s="28" t="s">
        <v>2155</v>
      </c>
      <c r="W390" s="28" t="s">
        <v>2159</v>
      </c>
      <c r="X390" s="28" t="s">
        <v>2157</v>
      </c>
      <c r="Y390" s="28" t="s">
        <v>156</v>
      </c>
      <c r="Z390" s="30" t="s">
        <v>11</v>
      </c>
      <c r="AA390" s="28" t="s">
        <v>2285</v>
      </c>
      <c r="AB390" s="28" t="s">
        <v>2286</v>
      </c>
      <c r="AC390" s="28" t="s">
        <v>2276</v>
      </c>
      <c r="AD390" s="28" t="s">
        <v>2287</v>
      </c>
      <c r="AE390" s="28" t="s">
        <v>2289</v>
      </c>
      <c r="AF390" s="30" t="s">
        <v>69</v>
      </c>
      <c r="AG390" s="28" t="s">
        <v>2398</v>
      </c>
    </row>
    <row r="391" spans="1:33" x14ac:dyDescent="0.3">
      <c r="A391" s="28" t="s">
        <v>2162</v>
      </c>
      <c r="B391" s="34"/>
      <c r="C391" s="30" t="s">
        <v>11</v>
      </c>
      <c r="D391" s="28" t="s">
        <v>5</v>
      </c>
      <c r="E391" s="28">
        <v>200</v>
      </c>
      <c r="F391" s="30" t="s">
        <v>11</v>
      </c>
      <c r="G391" s="28" t="s">
        <v>2163</v>
      </c>
      <c r="H391" s="30" t="s">
        <v>11</v>
      </c>
      <c r="I391" s="28" t="s">
        <v>2164</v>
      </c>
      <c r="J391" s="30" t="s">
        <v>11</v>
      </c>
      <c r="K391" s="28" t="s">
        <v>2165</v>
      </c>
      <c r="L391" s="28" t="s">
        <v>157</v>
      </c>
      <c r="M391" s="30" t="s">
        <v>11</v>
      </c>
      <c r="N391" s="28" t="s">
        <v>2162</v>
      </c>
      <c r="O391" s="30" t="s">
        <v>11</v>
      </c>
      <c r="P391" s="28" t="s">
        <v>2166</v>
      </c>
      <c r="Q391" s="28" t="s">
        <v>2164</v>
      </c>
      <c r="R391" s="28" t="s">
        <v>981</v>
      </c>
      <c r="S391" s="28" t="s">
        <v>150</v>
      </c>
      <c r="T391" s="28" t="s">
        <v>2167</v>
      </c>
      <c r="U391" s="28" t="s">
        <v>2168</v>
      </c>
      <c r="V391" s="28" t="s">
        <v>2162</v>
      </c>
      <c r="W391" s="28" t="s">
        <v>2166</v>
      </c>
      <c r="X391" s="28" t="s">
        <v>2164</v>
      </c>
      <c r="Y391" s="28" t="s">
        <v>156</v>
      </c>
      <c r="Z391" s="30" t="s">
        <v>11</v>
      </c>
      <c r="AA391" s="28" t="s">
        <v>2285</v>
      </c>
      <c r="AB391" s="28" t="s">
        <v>2286</v>
      </c>
      <c r="AC391" s="28" t="s">
        <v>2276</v>
      </c>
      <c r="AD391" s="28" t="s">
        <v>2287</v>
      </c>
      <c r="AE391" s="28" t="s">
        <v>2289</v>
      </c>
      <c r="AF391" s="30" t="s">
        <v>69</v>
      </c>
      <c r="AG391" s="28" t="s">
        <v>2398</v>
      </c>
    </row>
    <row r="392" spans="1:33" x14ac:dyDescent="0.3">
      <c r="A392" s="28" t="s">
        <v>2169</v>
      </c>
      <c r="B392" s="34"/>
      <c r="C392" s="30" t="s">
        <v>11</v>
      </c>
      <c r="D392" s="28" t="s">
        <v>5</v>
      </c>
      <c r="E392" s="28">
        <v>200</v>
      </c>
      <c r="F392" s="30" t="s">
        <v>11</v>
      </c>
      <c r="G392" s="28" t="s">
        <v>2170</v>
      </c>
      <c r="H392" s="30" t="s">
        <v>11</v>
      </c>
      <c r="I392" s="28" t="s">
        <v>2401</v>
      </c>
      <c r="J392" s="30" t="s">
        <v>2382</v>
      </c>
      <c r="K392" s="28" t="s">
        <v>2171</v>
      </c>
      <c r="L392" s="28" t="s">
        <v>157</v>
      </c>
      <c r="M392" s="30" t="s">
        <v>11</v>
      </c>
      <c r="N392" s="28" t="s">
        <v>2169</v>
      </c>
      <c r="O392" s="30" t="s">
        <v>11</v>
      </c>
      <c r="P392" s="28" t="s">
        <v>2172</v>
      </c>
      <c r="Q392" s="28" t="s">
        <v>149</v>
      </c>
      <c r="R392" s="28" t="s">
        <v>981</v>
      </c>
      <c r="S392" s="28" t="s">
        <v>150</v>
      </c>
      <c r="T392" s="28" t="s">
        <v>154</v>
      </c>
      <c r="U392" s="28" t="s">
        <v>155</v>
      </c>
      <c r="V392" s="28" t="s">
        <v>2169</v>
      </c>
      <c r="W392" s="28" t="s">
        <v>2172</v>
      </c>
      <c r="X392" s="28" t="s">
        <v>149</v>
      </c>
      <c r="Y392" s="28" t="s">
        <v>156</v>
      </c>
      <c r="Z392" s="30" t="s">
        <v>56</v>
      </c>
      <c r="AA392" s="28" t="s">
        <v>2285</v>
      </c>
      <c r="AB392" s="28" t="s">
        <v>2286</v>
      </c>
      <c r="AC392" s="28" t="s">
        <v>2276</v>
      </c>
      <c r="AD392" s="28" t="s">
        <v>2287</v>
      </c>
      <c r="AE392" s="28" t="s">
        <v>2401</v>
      </c>
      <c r="AF392" s="30" t="s">
        <v>69</v>
      </c>
      <c r="AG392" s="28" t="s">
        <v>2398</v>
      </c>
    </row>
    <row r="393" spans="1:33" x14ac:dyDescent="0.3">
      <c r="A393" s="28" t="s">
        <v>2173</v>
      </c>
      <c r="B393" s="34"/>
      <c r="C393" s="30" t="s">
        <v>11</v>
      </c>
      <c r="D393" s="28" t="s">
        <v>5</v>
      </c>
      <c r="E393" s="28">
        <v>200</v>
      </c>
      <c r="F393" s="30" t="s">
        <v>11</v>
      </c>
      <c r="G393" s="28" t="s">
        <v>2174</v>
      </c>
      <c r="H393" s="30" t="s">
        <v>11</v>
      </c>
      <c r="I393" s="28" t="s">
        <v>2175</v>
      </c>
      <c r="J393" s="30" t="s">
        <v>11</v>
      </c>
      <c r="K393" s="28" t="s">
        <v>2176</v>
      </c>
      <c r="L393" s="28" t="s">
        <v>157</v>
      </c>
      <c r="M393" s="30" t="s">
        <v>11</v>
      </c>
      <c r="N393" s="28" t="s">
        <v>2173</v>
      </c>
      <c r="O393" s="30" t="s">
        <v>11</v>
      </c>
      <c r="P393" s="28" t="s">
        <v>2177</v>
      </c>
      <c r="Q393" s="28" t="s">
        <v>2175</v>
      </c>
      <c r="R393" s="28" t="s">
        <v>981</v>
      </c>
      <c r="S393" s="28" t="s">
        <v>150</v>
      </c>
      <c r="T393" s="28" t="s">
        <v>2178</v>
      </c>
      <c r="U393" s="28" t="s">
        <v>2179</v>
      </c>
      <c r="V393" s="28" t="s">
        <v>2173</v>
      </c>
      <c r="W393" s="28" t="s">
        <v>2177</v>
      </c>
      <c r="X393" s="28" t="s">
        <v>2175</v>
      </c>
      <c r="Y393" s="28" t="s">
        <v>156</v>
      </c>
      <c r="Z393" s="30" t="s">
        <v>11</v>
      </c>
      <c r="AA393" s="28" t="s">
        <v>2285</v>
      </c>
      <c r="AB393" s="28" t="s">
        <v>2286</v>
      </c>
      <c r="AC393" s="28" t="s">
        <v>2276</v>
      </c>
      <c r="AD393" s="28" t="s">
        <v>2287</v>
      </c>
      <c r="AE393" s="28" t="s">
        <v>2401</v>
      </c>
      <c r="AF393" s="30" t="s">
        <v>69</v>
      </c>
      <c r="AG393" s="28" t="s">
        <v>2398</v>
      </c>
    </row>
    <row r="394" spans="1:33" x14ac:dyDescent="0.3">
      <c r="A394" s="28" t="s">
        <v>2180</v>
      </c>
      <c r="B394" s="34" t="s">
        <v>71</v>
      </c>
      <c r="C394" s="30"/>
      <c r="D394" s="28" t="s">
        <v>5</v>
      </c>
      <c r="E394" s="28">
        <v>200</v>
      </c>
      <c r="F394" s="30" t="s">
        <v>11</v>
      </c>
      <c r="G394" s="28" t="s">
        <v>2181</v>
      </c>
      <c r="H394" s="30"/>
      <c r="I394" s="28" t="s">
        <v>2401</v>
      </c>
      <c r="J394" s="30"/>
      <c r="K394" s="28" t="s">
        <v>2182</v>
      </c>
      <c r="L394" s="28" t="s">
        <v>157</v>
      </c>
      <c r="M394" s="30"/>
      <c r="N394" s="28" t="s">
        <v>2180</v>
      </c>
      <c r="O394" s="30" t="s">
        <v>11</v>
      </c>
      <c r="P394" s="28" t="s">
        <v>2183</v>
      </c>
      <c r="Q394" s="28" t="s">
        <v>149</v>
      </c>
      <c r="R394" s="28" t="s">
        <v>981</v>
      </c>
      <c r="S394" s="28" t="s">
        <v>150</v>
      </c>
      <c r="T394" s="28" t="s">
        <v>154</v>
      </c>
      <c r="U394" s="28" t="s">
        <v>155</v>
      </c>
      <c r="V394" s="28" t="s">
        <v>2180</v>
      </c>
      <c r="W394" s="28" t="s">
        <v>2183</v>
      </c>
      <c r="X394" s="28" t="s">
        <v>149</v>
      </c>
      <c r="Y394" s="28" t="s">
        <v>156</v>
      </c>
      <c r="Z394" s="30"/>
      <c r="AA394" s="28" t="s">
        <v>2285</v>
      </c>
      <c r="AB394" s="28" t="s">
        <v>2286</v>
      </c>
      <c r="AC394" s="28" t="s">
        <v>2276</v>
      </c>
      <c r="AD394" s="28" t="s">
        <v>2287</v>
      </c>
      <c r="AE394" s="28" t="s">
        <v>2401</v>
      </c>
      <c r="AF394" s="30"/>
      <c r="AG394" s="30"/>
    </row>
    <row r="395" spans="1:33" x14ac:dyDescent="0.3">
      <c r="A395" s="28" t="s">
        <v>2184</v>
      </c>
      <c r="B395" s="34" t="s">
        <v>71</v>
      </c>
      <c r="C395" s="30"/>
      <c r="D395" s="28" t="s">
        <v>5</v>
      </c>
      <c r="E395" s="28">
        <v>200</v>
      </c>
      <c r="F395" s="30" t="s">
        <v>11</v>
      </c>
      <c r="G395" s="28" t="s">
        <v>2185</v>
      </c>
      <c r="H395" s="30"/>
      <c r="I395" s="28" t="s">
        <v>2186</v>
      </c>
      <c r="J395" s="30"/>
      <c r="K395" s="28" t="s">
        <v>2187</v>
      </c>
      <c r="L395" s="28" t="s">
        <v>157</v>
      </c>
      <c r="M395" s="30"/>
      <c r="N395" s="28" t="s">
        <v>2184</v>
      </c>
      <c r="O395" s="30" t="s">
        <v>11</v>
      </c>
      <c r="P395" s="28" t="s">
        <v>2188</v>
      </c>
      <c r="Q395" s="28" t="s">
        <v>2186</v>
      </c>
      <c r="R395" s="28" t="s">
        <v>981</v>
      </c>
      <c r="S395" s="28" t="s">
        <v>150</v>
      </c>
      <c r="T395" s="28" t="s">
        <v>2189</v>
      </c>
      <c r="U395" s="28" t="s">
        <v>2190</v>
      </c>
      <c r="V395" s="28" t="s">
        <v>2184</v>
      </c>
      <c r="W395" s="28" t="s">
        <v>2188</v>
      </c>
      <c r="X395" s="28" t="s">
        <v>2186</v>
      </c>
      <c r="Y395" s="28" t="s">
        <v>156</v>
      </c>
      <c r="Z395" s="30"/>
      <c r="AA395" s="28" t="s">
        <v>2285</v>
      </c>
      <c r="AB395" s="28" t="s">
        <v>2286</v>
      </c>
      <c r="AC395" s="28" t="s">
        <v>2276</v>
      </c>
      <c r="AD395" s="28" t="s">
        <v>2287</v>
      </c>
      <c r="AE395" s="28" t="s">
        <v>2289</v>
      </c>
      <c r="AF395" s="30"/>
      <c r="AG395" s="30"/>
    </row>
    <row r="396" spans="1:33" x14ac:dyDescent="0.3">
      <c r="A396" s="28" t="s">
        <v>2191</v>
      </c>
      <c r="B396" s="34"/>
      <c r="C396" s="30" t="s">
        <v>11</v>
      </c>
      <c r="D396" s="28" t="s">
        <v>5</v>
      </c>
      <c r="E396" s="28">
        <v>200</v>
      </c>
      <c r="F396" s="30" t="s">
        <v>11</v>
      </c>
      <c r="G396" s="28" t="s">
        <v>2192</v>
      </c>
      <c r="H396" s="30" t="s">
        <v>11</v>
      </c>
      <c r="I396" s="28" t="s">
        <v>1886</v>
      </c>
      <c r="J396" s="30" t="s">
        <v>60</v>
      </c>
      <c r="K396" s="28" t="s">
        <v>2193</v>
      </c>
      <c r="L396" s="28" t="s">
        <v>157</v>
      </c>
      <c r="M396" s="30" t="s">
        <v>11</v>
      </c>
      <c r="N396" s="28" t="s">
        <v>2191</v>
      </c>
      <c r="O396" s="30" t="s">
        <v>11</v>
      </c>
      <c r="P396" s="28" t="s">
        <v>2194</v>
      </c>
      <c r="Q396" s="28" t="s">
        <v>1886</v>
      </c>
      <c r="R396" s="28" t="s">
        <v>981</v>
      </c>
      <c r="S396" s="28" t="s">
        <v>150</v>
      </c>
      <c r="T396" s="28" t="s">
        <v>2195</v>
      </c>
      <c r="U396" s="28" t="s">
        <v>2196</v>
      </c>
      <c r="V396" s="28" t="s">
        <v>2191</v>
      </c>
      <c r="W396" s="28" t="s">
        <v>2194</v>
      </c>
      <c r="X396" s="28" t="s">
        <v>1886</v>
      </c>
      <c r="Y396" s="28" t="s">
        <v>156</v>
      </c>
      <c r="Z396" s="30" t="s">
        <v>56</v>
      </c>
      <c r="AA396" s="28" t="s">
        <v>2285</v>
      </c>
      <c r="AB396" s="28" t="s">
        <v>2286</v>
      </c>
      <c r="AC396" s="28" t="s">
        <v>2276</v>
      </c>
      <c r="AD396" s="28" t="s">
        <v>2287</v>
      </c>
      <c r="AE396" s="28" t="s">
        <v>2401</v>
      </c>
      <c r="AF396" s="30" t="s">
        <v>69</v>
      </c>
      <c r="AG396" s="28" t="s">
        <v>2398</v>
      </c>
    </row>
    <row r="397" spans="1:33" x14ac:dyDescent="0.3">
      <c r="A397" s="28" t="s">
        <v>2197</v>
      </c>
      <c r="B397" s="34"/>
      <c r="C397" s="30" t="s">
        <v>11</v>
      </c>
      <c r="D397" s="28" t="s">
        <v>5</v>
      </c>
      <c r="E397" s="28">
        <v>200</v>
      </c>
      <c r="F397" s="30" t="s">
        <v>11</v>
      </c>
      <c r="G397" s="28" t="s">
        <v>2198</v>
      </c>
      <c r="H397" s="30" t="s">
        <v>11</v>
      </c>
      <c r="I397" s="28" t="s">
        <v>2199</v>
      </c>
      <c r="J397" s="30" t="s">
        <v>60</v>
      </c>
      <c r="K397" s="28" t="s">
        <v>2200</v>
      </c>
      <c r="L397" s="28" t="s">
        <v>157</v>
      </c>
      <c r="M397" s="30" t="s">
        <v>11</v>
      </c>
      <c r="N397" s="28" t="s">
        <v>2197</v>
      </c>
      <c r="O397" s="30" t="s">
        <v>11</v>
      </c>
      <c r="P397" s="28" t="s">
        <v>2201</v>
      </c>
      <c r="Q397" s="28" t="s">
        <v>2199</v>
      </c>
      <c r="R397" s="28" t="s">
        <v>981</v>
      </c>
      <c r="S397" s="28" t="s">
        <v>150</v>
      </c>
      <c r="T397" s="28" t="s">
        <v>2202</v>
      </c>
      <c r="U397" s="28" t="s">
        <v>2203</v>
      </c>
      <c r="V397" s="28" t="s">
        <v>2197</v>
      </c>
      <c r="W397" s="28" t="s">
        <v>2201</v>
      </c>
      <c r="X397" s="28" t="s">
        <v>2199</v>
      </c>
      <c r="Y397" s="28" t="s">
        <v>156</v>
      </c>
      <c r="Z397" s="30" t="s">
        <v>56</v>
      </c>
      <c r="AA397" s="28" t="s">
        <v>2285</v>
      </c>
      <c r="AB397" s="28" t="s">
        <v>2286</v>
      </c>
      <c r="AC397" s="28" t="s">
        <v>2276</v>
      </c>
      <c r="AD397" s="28" t="s">
        <v>2287</v>
      </c>
      <c r="AE397" s="28" t="s">
        <v>2401</v>
      </c>
      <c r="AF397" s="30" t="s">
        <v>69</v>
      </c>
      <c r="AG397" s="28" t="s">
        <v>2398</v>
      </c>
    </row>
    <row r="398" spans="1:33" x14ac:dyDescent="0.3">
      <c r="A398" s="28" t="s">
        <v>2204</v>
      </c>
      <c r="B398" s="34"/>
      <c r="C398" s="30" t="s">
        <v>72</v>
      </c>
      <c r="D398" s="28" t="s">
        <v>5</v>
      </c>
      <c r="E398" s="28">
        <v>200</v>
      </c>
      <c r="F398" s="30" t="s">
        <v>11</v>
      </c>
      <c r="G398" s="28" t="s">
        <v>2205</v>
      </c>
      <c r="H398" s="30" t="s">
        <v>11</v>
      </c>
      <c r="I398" s="28" t="s">
        <v>2199</v>
      </c>
      <c r="J398" s="30" t="s">
        <v>60</v>
      </c>
      <c r="K398" s="28" t="s">
        <v>2206</v>
      </c>
      <c r="L398" s="28" t="s">
        <v>157</v>
      </c>
      <c r="M398" s="30" t="s">
        <v>11</v>
      </c>
      <c r="N398" s="28" t="s">
        <v>2204</v>
      </c>
      <c r="O398" s="30" t="s">
        <v>11</v>
      </c>
      <c r="P398" s="28" t="s">
        <v>2207</v>
      </c>
      <c r="Q398" s="28" t="s">
        <v>2199</v>
      </c>
      <c r="R398" s="28" t="s">
        <v>981</v>
      </c>
      <c r="S398" s="28" t="s">
        <v>150</v>
      </c>
      <c r="T398" s="28" t="s">
        <v>2208</v>
      </c>
      <c r="U398" s="28" t="s">
        <v>2209</v>
      </c>
      <c r="V398" s="28" t="s">
        <v>2204</v>
      </c>
      <c r="W398" s="28" t="s">
        <v>2207</v>
      </c>
      <c r="X398" s="28" t="s">
        <v>2199</v>
      </c>
      <c r="Y398" s="28" t="s">
        <v>156</v>
      </c>
      <c r="Z398" s="30" t="s">
        <v>56</v>
      </c>
      <c r="AA398" s="28" t="s">
        <v>2285</v>
      </c>
      <c r="AB398" s="28" t="s">
        <v>2286</v>
      </c>
      <c r="AC398" s="28" t="s">
        <v>2276</v>
      </c>
      <c r="AD398" s="28" t="s">
        <v>2287</v>
      </c>
      <c r="AE398" s="28" t="s">
        <v>2401</v>
      </c>
      <c r="AF398" s="30" t="s">
        <v>69</v>
      </c>
      <c r="AG398" s="28" t="s">
        <v>2398</v>
      </c>
    </row>
    <row r="399" spans="1:33" x14ac:dyDescent="0.3">
      <c r="A399" s="28" t="s">
        <v>2210</v>
      </c>
      <c r="B399" s="34"/>
      <c r="C399" s="30" t="s">
        <v>11</v>
      </c>
      <c r="D399" s="28" t="s">
        <v>5</v>
      </c>
      <c r="E399" s="28">
        <v>200</v>
      </c>
      <c r="F399" s="30" t="s">
        <v>11</v>
      </c>
      <c r="G399" s="28" t="s">
        <v>2211</v>
      </c>
      <c r="H399" s="30" t="s">
        <v>11</v>
      </c>
      <c r="I399" s="28" t="s">
        <v>2212</v>
      </c>
      <c r="J399" s="30" t="s">
        <v>60</v>
      </c>
      <c r="K399" s="28" t="s">
        <v>2213</v>
      </c>
      <c r="L399" s="28" t="s">
        <v>157</v>
      </c>
      <c r="M399" s="30" t="s">
        <v>11</v>
      </c>
      <c r="N399" s="28" t="s">
        <v>2210</v>
      </c>
      <c r="O399" s="30" t="s">
        <v>11</v>
      </c>
      <c r="P399" s="28" t="s">
        <v>2214</v>
      </c>
      <c r="Q399" s="28" t="s">
        <v>2212</v>
      </c>
      <c r="R399" s="28" t="s">
        <v>981</v>
      </c>
      <c r="S399" s="28" t="s">
        <v>150</v>
      </c>
      <c r="T399" s="28" t="s">
        <v>2215</v>
      </c>
      <c r="U399" s="28" t="s">
        <v>2216</v>
      </c>
      <c r="V399" s="28" t="s">
        <v>2210</v>
      </c>
      <c r="W399" s="28" t="s">
        <v>2214</v>
      </c>
      <c r="X399" s="28" t="s">
        <v>2212</v>
      </c>
      <c r="Y399" s="28" t="s">
        <v>156</v>
      </c>
      <c r="Z399" s="30" t="s">
        <v>56</v>
      </c>
      <c r="AA399" s="28" t="s">
        <v>2285</v>
      </c>
      <c r="AB399" s="28" t="s">
        <v>2286</v>
      </c>
      <c r="AC399" s="28" t="s">
        <v>2276</v>
      </c>
      <c r="AD399" s="28" t="s">
        <v>2287</v>
      </c>
      <c r="AE399" s="28" t="s">
        <v>2401</v>
      </c>
      <c r="AF399" s="30" t="s">
        <v>69</v>
      </c>
      <c r="AG399" s="28" t="s">
        <v>2398</v>
      </c>
    </row>
    <row r="400" spans="1:33" x14ac:dyDescent="0.3">
      <c r="A400" s="28" t="s">
        <v>2217</v>
      </c>
      <c r="B400" s="34"/>
      <c r="C400" s="30" t="s">
        <v>72</v>
      </c>
      <c r="D400" s="28" t="s">
        <v>5</v>
      </c>
      <c r="E400" s="28">
        <v>200</v>
      </c>
      <c r="F400" s="30" t="s">
        <v>11</v>
      </c>
      <c r="G400" s="28" t="s">
        <v>2218</v>
      </c>
      <c r="H400" s="30" t="s">
        <v>11</v>
      </c>
      <c r="I400" s="28" t="s">
        <v>2212</v>
      </c>
      <c r="J400" s="30" t="s">
        <v>60</v>
      </c>
      <c r="K400" s="28" t="s">
        <v>2219</v>
      </c>
      <c r="L400" s="28" t="s">
        <v>157</v>
      </c>
      <c r="M400" s="30" t="s">
        <v>11</v>
      </c>
      <c r="N400" s="28" t="s">
        <v>2217</v>
      </c>
      <c r="O400" s="30" t="s">
        <v>11</v>
      </c>
      <c r="P400" s="28" t="s">
        <v>2220</v>
      </c>
      <c r="Q400" s="28" t="s">
        <v>2212</v>
      </c>
      <c r="R400" s="28" t="s">
        <v>981</v>
      </c>
      <c r="S400" s="28" t="s">
        <v>150</v>
      </c>
      <c r="T400" s="28" t="s">
        <v>2221</v>
      </c>
      <c r="U400" s="28" t="s">
        <v>2222</v>
      </c>
      <c r="V400" s="28" t="s">
        <v>2217</v>
      </c>
      <c r="W400" s="28" t="s">
        <v>2220</v>
      </c>
      <c r="X400" s="28" t="s">
        <v>2212</v>
      </c>
      <c r="Y400" s="28" t="s">
        <v>156</v>
      </c>
      <c r="Z400" s="30" t="s">
        <v>56</v>
      </c>
      <c r="AA400" s="28" t="s">
        <v>2285</v>
      </c>
      <c r="AB400" s="28" t="s">
        <v>2286</v>
      </c>
      <c r="AC400" s="28" t="s">
        <v>2276</v>
      </c>
      <c r="AD400" s="28" t="s">
        <v>2287</v>
      </c>
      <c r="AE400" s="28" t="s">
        <v>2401</v>
      </c>
      <c r="AF400" s="30" t="s">
        <v>69</v>
      </c>
      <c r="AG400" s="28" t="s">
        <v>2398</v>
      </c>
    </row>
    <row r="401" spans="1:33" x14ac:dyDescent="0.3">
      <c r="A401" s="28" t="s">
        <v>2223</v>
      </c>
      <c r="B401" s="34"/>
      <c r="C401" s="30" t="s">
        <v>11</v>
      </c>
      <c r="D401" s="28" t="s">
        <v>5</v>
      </c>
      <c r="E401" s="28">
        <v>200</v>
      </c>
      <c r="F401" s="30" t="s">
        <v>11</v>
      </c>
      <c r="G401" s="28" t="s">
        <v>2224</v>
      </c>
      <c r="H401" s="30" t="s">
        <v>11</v>
      </c>
      <c r="I401" s="28" t="s">
        <v>2225</v>
      </c>
      <c r="J401" s="30" t="s">
        <v>11</v>
      </c>
      <c r="K401" s="28" t="s">
        <v>2226</v>
      </c>
      <c r="L401" s="28" t="s">
        <v>157</v>
      </c>
      <c r="M401" s="30" t="s">
        <v>11</v>
      </c>
      <c r="N401" s="28" t="s">
        <v>2223</v>
      </c>
      <c r="O401" s="30" t="s">
        <v>11</v>
      </c>
      <c r="P401" s="28" t="s">
        <v>2227</v>
      </c>
      <c r="Q401" s="28" t="s">
        <v>2225</v>
      </c>
      <c r="R401" s="28" t="s">
        <v>981</v>
      </c>
      <c r="S401" s="28" t="s">
        <v>150</v>
      </c>
      <c r="T401" s="28" t="s">
        <v>2228</v>
      </c>
      <c r="U401" s="28" t="s">
        <v>2229</v>
      </c>
      <c r="V401" s="28" t="s">
        <v>2223</v>
      </c>
      <c r="W401" s="28" t="s">
        <v>2227</v>
      </c>
      <c r="X401" s="28" t="s">
        <v>2225</v>
      </c>
      <c r="Y401" s="28" t="s">
        <v>156</v>
      </c>
      <c r="Z401" s="30" t="s">
        <v>11</v>
      </c>
      <c r="AA401" s="28" t="s">
        <v>2285</v>
      </c>
      <c r="AB401" s="28" t="s">
        <v>2286</v>
      </c>
      <c r="AC401" s="28" t="s">
        <v>2276</v>
      </c>
      <c r="AD401" s="28" t="s">
        <v>2287</v>
      </c>
      <c r="AE401" s="28" t="s">
        <v>2401</v>
      </c>
      <c r="AF401" s="30" t="s">
        <v>69</v>
      </c>
      <c r="AG401" s="28" t="s">
        <v>2398</v>
      </c>
    </row>
    <row r="402" spans="1:33" x14ac:dyDescent="0.3">
      <c r="A402" s="28" t="str">
        <f t="array" ref="A402">INDEX('raw-sheet'!$A$2:$ZZ$1000, ROW(A401), MATCH(A$1, 'raw-sheet'!$A$1:$ZZ$1, 0))</f>
        <v>https://innisfree-taiwan.myshopify.com/products/vitamin-c-green-tea-brightening-serum-gel-mask</v>
      </c>
      <c r="B402" s="34"/>
      <c r="C402" s="30" t="s">
        <v>11</v>
      </c>
      <c r="D402" s="28" t="str">
        <f t="array" ref="D402">INDEX('raw-sheet'!$A$2:$ZZ$1000, ROW(D401), MATCH(D$1, 'raw-sheet'!$A$1:$ZZ$1, 0))</f>
        <v>Product Detail</v>
      </c>
      <c r="E402" s="28">
        <f t="array" ref="E402">INDEX('raw-sheet'!$A$2:$ZZ$1000, ROW(E401), MATCH(E$1, 'raw-sheet'!$A$1:$ZZ$1, 0))</f>
        <v>200</v>
      </c>
      <c r="F402" s="30" t="s">
        <v>11</v>
      </c>
      <c r="G402" s="28" t="str">
        <f t="array" ref="G402">INDEX('raw-sheet'!$A$2:$ZZ$1000, ROW(G401), MATCH(G$1, 'raw-sheet'!$A$1:$ZZ$1, 0))</f>
        <v>維他命C淨亮精華果凍面膜 25ml_x000D_ | INNISFREE Taiwan</v>
      </c>
      <c r="H402" s="30" t="s">
        <v>11</v>
      </c>
      <c r="I402" s="28" t="str">
        <f t="array" ref="I402">INDEX('raw-sheet'!$A$2:$ZZ$1000, ROW(I401), MATCH(I$1, 'raw-sheet'!$A$1:$ZZ$1, 0))</f>
        <v>富含維他命C、穀胱甘肽與維他命B3三大亮白成分，有助於改善暗沉，促進肌膚淨透亮澤。在三款精華凝膠面膜中，輕盈清爽的質地，適合春夏等炎熱季節使用。</v>
      </c>
      <c r="J402" s="30" t="s">
        <v>11</v>
      </c>
      <c r="K402" s="28" t="str">
        <f t="array" ref="K402">INDEX('raw-sheet'!$A$2:$ZZ$1000, ROW(K401), MATCH(K$1, 'raw-sheet'!$A$1:$ZZ$1, 0))</f>
        <v>維他命C淨亮精華果凍面膜 25ml</v>
      </c>
      <c r="L402" s="28" t="str">
        <f t="array" ref="L402">INDEX('raw-sheet'!$A$2:$ZZ$1000, ROW(L401), MATCH(L$1, 'raw-sheet'!$A$1:$ZZ$1, 0))</f>
        <v>1</v>
      </c>
      <c r="M402" s="30" t="s">
        <v>11</v>
      </c>
      <c r="N402" s="28" t="str">
        <f t="array" ref="N402">INDEX('raw-sheet'!$A$2:$ZZ$1000, ROW(N401), MATCH(N$1, 'raw-sheet'!$A$1:$ZZ$1, 0))</f>
        <v>https://innisfree-taiwan.myshopify.com/products/vitamin-c-green-tea-brightening-serum-gel-mask</v>
      </c>
      <c r="O402" s="30" t="str">
        <f t="shared" ref="O402:O424" si="15">IF(B402=N402,"Pass","Not")</f>
        <v>Not</v>
      </c>
      <c r="P402" s="28" t="str">
        <f t="array" ref="P402">INDEX('raw-sheet'!$A$2:$ZZ$1000, ROW(P401), MATCH(P$1, 'raw-sheet'!$A$1:$ZZ$1, 0))</f>
        <v>維他命C淨亮精華果凍面膜 25ml | INNISFREE Taiwan</v>
      </c>
      <c r="Q402" s="28" t="str">
        <f t="array" ref="Q402">INDEX('raw-sheet'!$A$2:$ZZ$1000, ROW(Q401), MATCH(Q$1, 'raw-sheet'!$A$1:$ZZ$1, 0))</f>
        <v>富含維他命C、穀胱甘肽與維他命B3三大亮白成分，有助於改善暗沉，促進肌膚淨透亮澤。在三款精華凝膠面膜中，輕盈清爽的質地，適合春夏等炎熱季節使用。</v>
      </c>
      <c r="R402" s="28" t="str">
        <f t="array" ref="R402">INDEX('raw-sheet'!$A$2:$ZZ$1000, ROW(R401), MATCH(R$1, 'raw-sheet'!$A$1:$ZZ$1, 0))</f>
        <v>product</v>
      </c>
      <c r="S402" s="28" t="str">
        <f t="array" ref="S402">INDEX('raw-sheet'!$A$2:$ZZ$1000, ROW(S401), MATCH(S$1, 'raw-sheet'!$A$1:$ZZ$1, 0))</f>
        <v>INNISFREE Taiwan</v>
      </c>
      <c r="T402" s="28" t="str">
        <f t="array" ref="T402">INDEX('raw-sheet'!$A$2:$ZZ$1000, ROW(T401), MATCH(T$1, 'raw-sheet'!$A$1:$ZZ$1, 0))</f>
        <v>http://innisfree-taiwan.myshopify.com/cdn/shop/files/pdp_mig_4c0f0ef8_20250620_1586_ID0101_1_jpg.jpg?v=1768543072</v>
      </c>
      <c r="U402" s="28" t="str">
        <f t="array" ref="U402">INDEX('raw-sheet'!$A$2:$ZZ$1000, ROW(U401), MATCH(U$1, 'raw-sheet'!$A$1:$ZZ$1, 0))</f>
        <v>https://innisfree-taiwan.myshopify.com/cdn/shop/files/pdp_mig_4c0f0ef8_20250620_1586_ID0101_1_jpg.jpg?v=1768543072</v>
      </c>
      <c r="V402" s="28" t="str">
        <f t="array" ref="V402">INDEX('raw-sheet'!$A$2:$ZZ$1000, ROW(V401), MATCH(V$1, 'raw-sheet'!$A$1:$ZZ$1, 0))</f>
        <v>https://innisfree-taiwan.myshopify.com/products/vitamin-c-green-tea-brightening-serum-gel-mask</v>
      </c>
      <c r="W402" s="28" t="str">
        <f t="array" ref="W402">INDEX('raw-sheet'!$A$2:$ZZ$1000, ROW(W401), MATCH(W$1, 'raw-sheet'!$A$1:$ZZ$1, 0))</f>
        <v>維他命C淨亮精華果凍面膜 25ml | INNISFREE Taiwan</v>
      </c>
      <c r="X402" s="28" t="str">
        <f t="array" ref="X402">INDEX('raw-sheet'!$A$2:$ZZ$1000, ROW(X401), MATCH(X$1, 'raw-sheet'!$A$1:$ZZ$1, 0))</f>
        <v>富含維他命C、穀胱甘肽與維他命B3三大亮白成分，有助於改善暗沉，促進肌膚淨透亮澤。在三款精華凝膠面膜中，輕盈清爽的質地，適合春夏等炎熱季節使用。</v>
      </c>
      <c r="Y402" s="28" t="str">
        <f t="array" ref="Y402">INDEX('raw-sheet'!$A$2:$ZZ$1000, ROW(Y401), MATCH(Y$1, 'raw-sheet'!$A$1:$ZZ$1, 0))</f>
        <v>summary_large_image</v>
      </c>
      <c r="Z402" s="30" t="s">
        <v>11</v>
      </c>
      <c r="AA402" s="28" t="str">
        <f>VLOOKUP($A402,'raw-schema'!$A:$R,14,0)</f>
        <v>Brand</v>
      </c>
      <c r="AB402" s="28" t="str">
        <f>VLOOKUP($A402,'raw-schema'!$A:$R,15,0)</f>
        <v>Offer</v>
      </c>
      <c r="AC402" s="28" t="str">
        <f>VLOOKUP($A402,'raw-schema'!$A:$R,16,0)</f>
        <v>Organization</v>
      </c>
      <c r="AD402" s="28" t="str">
        <f>VLOOKUP($A402,'raw-schema'!$A:$R,17,0)</f>
        <v>Product</v>
      </c>
      <c r="AE402" s="28" t="s">
        <v>2401</v>
      </c>
      <c r="AF402" s="30" t="s">
        <v>69</v>
      </c>
      <c r="AG402" s="28" t="s">
        <v>2398</v>
      </c>
    </row>
    <row r="403" spans="1:33" x14ac:dyDescent="0.3">
      <c r="A403" s="28" t="str">
        <f t="array" ref="A403">INDEX('raw-sheet'!$A$2:$ZZ$1000, ROW(A402), MATCH(A$1, 'raw-sheet'!$A$1:$ZZ$1, 0))</f>
        <v>https://innisfree-taiwan.myshopify.com/products/vitamin-c-green-tea-enzyme-brightening</v>
      </c>
      <c r="B403" s="34"/>
      <c r="C403" s="30" t="s">
        <v>11</v>
      </c>
      <c r="D403" s="28" t="str">
        <f t="array" ref="D403">INDEX('raw-sheet'!$A$2:$ZZ$1000, ROW(D402), MATCH(D$1, 'raw-sheet'!$A$1:$ZZ$1, 0))</f>
        <v>Product Detail</v>
      </c>
      <c r="E403" s="28">
        <f t="array" ref="E403">INDEX('raw-sheet'!$A$2:$ZZ$1000, ROW(E402), MATCH(E$1, 'raw-sheet'!$A$1:$ZZ$1, 0))</f>
        <v>200</v>
      </c>
      <c r="F403" s="30" t="s">
        <v>11</v>
      </c>
      <c r="G403" s="28" t="str">
        <f t="array" ref="G403">INDEX('raw-sheet'!$A$2:$ZZ$1000, ROW(G402), MATCH(G$1, 'raw-sheet'!$A$1:$ZZ$1, 0))</f>
        <v>維他命C淨亮精華 50ml_x000D_ | INNISFREE Taiwan</v>
      </c>
      <c r="H403" s="30" t="s">
        <v>11</v>
      </c>
      <c r="I403" s="28" t="str">
        <f t="array" ref="I403">INDEX('raw-sheet'!$A$2:$ZZ$1000, ROW(I402), MATCH(I$1,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J403" s="30" t="s">
        <v>60</v>
      </c>
      <c r="K403" s="28" t="str">
        <f t="array" ref="K403">INDEX('raw-sheet'!$A$2:$ZZ$1000, ROW(K402), MATCH(K$1, 'raw-sheet'!$A$1:$ZZ$1, 0))</f>
        <v>維他命C淨亮精華 50ml</v>
      </c>
      <c r="L403" s="28" t="str">
        <f t="array" ref="L403">INDEX('raw-sheet'!$A$2:$ZZ$1000, ROW(L402), MATCH(L$1, 'raw-sheet'!$A$1:$ZZ$1, 0))</f>
        <v>1</v>
      </c>
      <c r="M403" s="30" t="s">
        <v>11</v>
      </c>
      <c r="N403" s="28" t="str">
        <f t="array" ref="N403">INDEX('raw-sheet'!$A$2:$ZZ$1000, ROW(N402), MATCH(N$1, 'raw-sheet'!$A$1:$ZZ$1, 0))</f>
        <v>https://innisfree-taiwan.myshopify.com/products/vitamin-c-green-tea-enzyme-brightening</v>
      </c>
      <c r="O403" s="30" t="str">
        <f t="shared" si="15"/>
        <v>Not</v>
      </c>
      <c r="P403" s="28" t="str">
        <f t="array" ref="P403">INDEX('raw-sheet'!$A$2:$ZZ$1000, ROW(P402), MATCH(P$1, 'raw-sheet'!$A$1:$ZZ$1, 0))</f>
        <v>維他命C淨亮精華 50ml | INNISFREE Taiwan</v>
      </c>
      <c r="Q403" s="28" t="str">
        <f t="array" ref="Q403">INDEX('raw-sheet'!$A$2:$ZZ$1000, ROW(Q402), MATCH(Q$1,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R403" s="28" t="str">
        <f t="array" ref="R403">INDEX('raw-sheet'!$A$2:$ZZ$1000, ROW(R402), MATCH(R$1, 'raw-sheet'!$A$1:$ZZ$1, 0))</f>
        <v>product</v>
      </c>
      <c r="S403" s="28" t="str">
        <f t="array" ref="S403">INDEX('raw-sheet'!$A$2:$ZZ$1000, ROW(S402), MATCH(S$1, 'raw-sheet'!$A$1:$ZZ$1, 0))</f>
        <v>INNISFREE Taiwan</v>
      </c>
      <c r="T403" s="28" t="str">
        <f t="array" ref="T403">INDEX('raw-sheet'!$A$2:$ZZ$1000, ROW(T402), MATCH(T$1, 'raw-sheet'!$A$1:$ZZ$1, 0))</f>
        <v>http://innisfree-taiwan.myshopify.com/cdn/shop/files/pdp_mig_fbbe1d09_20250930_1353_ID0101_1_png.png?v=1768543074</v>
      </c>
      <c r="U403" s="28" t="str">
        <f t="array" ref="U403">INDEX('raw-sheet'!$A$2:$ZZ$1000, ROW(U402), MATCH(U$1, 'raw-sheet'!$A$1:$ZZ$1, 0))</f>
        <v>https://innisfree-taiwan.myshopify.com/cdn/shop/files/pdp_mig_fbbe1d09_20250930_1353_ID0101_1_png.png?v=1768543074</v>
      </c>
      <c r="V403" s="28" t="str">
        <f t="array" ref="V403">INDEX('raw-sheet'!$A$2:$ZZ$1000, ROW(V402), MATCH(V$1, 'raw-sheet'!$A$1:$ZZ$1, 0))</f>
        <v>https://innisfree-taiwan.myshopify.com/products/vitamin-c-green-tea-enzyme-brightening</v>
      </c>
      <c r="W403" s="28" t="str">
        <f t="array" ref="W403">INDEX('raw-sheet'!$A$2:$ZZ$1000, ROW(W402), MATCH(W$1, 'raw-sheet'!$A$1:$ZZ$1, 0))</f>
        <v>維他命C淨亮精華 50ml | INNISFREE Taiwan</v>
      </c>
      <c r="X403" s="28" t="str">
        <f t="array" ref="X403">INDEX('raw-sheet'!$A$2:$ZZ$1000, ROW(X402), MATCH(X$1,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Y403" s="28" t="str">
        <f t="array" ref="Y403">INDEX('raw-sheet'!$A$2:$ZZ$1000, ROW(Y402), MATCH(Y$1, 'raw-sheet'!$A$1:$ZZ$1, 0))</f>
        <v>summary_large_image</v>
      </c>
      <c r="Z403" s="30" t="s">
        <v>11</v>
      </c>
      <c r="AA403" s="28" t="str">
        <f>VLOOKUP($A403,'raw-schema'!$A:$R,14,0)</f>
        <v>Brand</v>
      </c>
      <c r="AB403" s="28" t="str">
        <f>VLOOKUP($A403,'raw-schema'!$A:$R,15,0)</f>
        <v>Offer</v>
      </c>
      <c r="AC403" s="28" t="str">
        <f>VLOOKUP($A403,'raw-schema'!$A:$R,16,0)</f>
        <v>Organization</v>
      </c>
      <c r="AD403" s="28" t="str">
        <f>VLOOKUP($A403,'raw-schema'!$A:$R,17,0)</f>
        <v>Product</v>
      </c>
      <c r="AE403" s="28" t="s">
        <v>2401</v>
      </c>
      <c r="AF403" s="30" t="s">
        <v>69</v>
      </c>
      <c r="AG403" s="28" t="s">
        <v>2398</v>
      </c>
    </row>
    <row r="404" spans="1:33" x14ac:dyDescent="0.3">
      <c r="A404" s="28" t="str">
        <f t="array" ref="A404">INDEX('raw-sheet'!$A$2:$ZZ$1000, ROW(A403), MATCH(A$1, 'raw-sheet'!$A$1:$ZZ$1, 0))</f>
        <v>https://innisfree-taiwan.myshopify.com/products/vitamin-c-green-tea-enzyme-brightening-cream</v>
      </c>
      <c r="B404" s="34"/>
      <c r="C404" s="30" t="s">
        <v>11</v>
      </c>
      <c r="D404" s="28" t="str">
        <f t="array" ref="D404">INDEX('raw-sheet'!$A$2:$ZZ$1000, ROW(D403), MATCH(D$1, 'raw-sheet'!$A$1:$ZZ$1, 0))</f>
        <v>Product Detail</v>
      </c>
      <c r="E404" s="28">
        <f t="array" ref="E404">INDEX('raw-sheet'!$A$2:$ZZ$1000, ROW(E403), MATCH(E$1, 'raw-sheet'!$A$1:$ZZ$1, 0))</f>
        <v>200</v>
      </c>
      <c r="F404" s="30" t="s">
        <v>11</v>
      </c>
      <c r="G404" s="28" t="str">
        <f t="array" ref="G404">INDEX('raw-sheet'!$A$2:$ZZ$1000, ROW(G403), MATCH(G$1, 'raw-sheet'!$A$1:$ZZ$1, 0))</f>
        <v>維他命C淨亮淡斑凝霜 50ml_x000D_ | INNISFREE Taiwan</v>
      </c>
      <c r="H404" s="30" t="s">
        <v>11</v>
      </c>
      <c r="I404" s="28" t="str">
        <f t="array" ref="I404">INDEX('raw-sheet'!$A$2:$ZZ$1000, ROW(I403), MATCH(I$1, 'raw-sheet'!$A$1:$ZZ$1, 0))</f>
        <v>維他命C和綠茶酵素的亮白凝霜，可針對淡化斑點、改善膚色不均，打造淨透亮的肌膚。適合想改善斑點、提亮膚色，希望霜類產品保濕但不油膩且好吸收的顧客。</v>
      </c>
      <c r="J404" s="30" t="s">
        <v>11</v>
      </c>
      <c r="K404" s="28" t="str">
        <f t="array" ref="K404">INDEX('raw-sheet'!$A$2:$ZZ$1000, ROW(K403), MATCH(K$1, 'raw-sheet'!$A$1:$ZZ$1, 0))</f>
        <v>維他命C淨亮淡斑凝霜 50ml</v>
      </c>
      <c r="L404" s="28" t="str">
        <f t="array" ref="L404">INDEX('raw-sheet'!$A$2:$ZZ$1000, ROW(L403), MATCH(L$1, 'raw-sheet'!$A$1:$ZZ$1, 0))</f>
        <v>1</v>
      </c>
      <c r="M404" s="30" t="s">
        <v>11</v>
      </c>
      <c r="N404" s="28" t="str">
        <f t="array" ref="N404">INDEX('raw-sheet'!$A$2:$ZZ$1000, ROW(N403), MATCH(N$1, 'raw-sheet'!$A$1:$ZZ$1, 0))</f>
        <v>https://innisfree-taiwan.myshopify.com/products/vitamin-c-green-tea-enzyme-brightening-cream</v>
      </c>
      <c r="O404" s="30" t="str">
        <f t="shared" si="15"/>
        <v>Not</v>
      </c>
      <c r="P404" s="28" t="str">
        <f t="array" ref="P404">INDEX('raw-sheet'!$A$2:$ZZ$1000, ROW(P403), MATCH(P$1, 'raw-sheet'!$A$1:$ZZ$1, 0))</f>
        <v>維他命C淨亮淡斑凝霜 50ml | INNISFREE Taiwan</v>
      </c>
      <c r="Q404" s="28" t="str">
        <f t="array" ref="Q404">INDEX('raw-sheet'!$A$2:$ZZ$1000, ROW(Q403), MATCH(Q$1, 'raw-sheet'!$A$1:$ZZ$1, 0))</f>
        <v>維他命C和綠茶酵素的亮白凝霜，可針對淡化斑點、改善膚色不均，打造淨透亮的肌膚。適合想改善斑點、提亮膚色，希望霜類產品保濕但不油膩且好吸收的顧客。</v>
      </c>
      <c r="R404" s="28" t="str">
        <f t="array" ref="R404">INDEX('raw-sheet'!$A$2:$ZZ$1000, ROW(R403), MATCH(R$1, 'raw-sheet'!$A$1:$ZZ$1, 0))</f>
        <v>product</v>
      </c>
      <c r="S404" s="28" t="str">
        <f t="array" ref="S404">INDEX('raw-sheet'!$A$2:$ZZ$1000, ROW(S403), MATCH(S$1, 'raw-sheet'!$A$1:$ZZ$1, 0))</f>
        <v>INNISFREE Taiwan</v>
      </c>
      <c r="T404" s="28" t="str">
        <f t="array" ref="T404">INDEX('raw-sheet'!$A$2:$ZZ$1000, ROW(T403), MATCH(T$1, 'raw-sheet'!$A$1:$ZZ$1, 0))</f>
        <v>http://innisfree-taiwan.myshopify.com/cdn/shop/files/pdp_mig_44a05e10_20260109_1517_ID0101_1_jpg.jpg?v=1768543073</v>
      </c>
      <c r="U404" s="28" t="str">
        <f t="array" ref="U404">INDEX('raw-sheet'!$A$2:$ZZ$1000, ROW(U403), MATCH(U$1, 'raw-sheet'!$A$1:$ZZ$1, 0))</f>
        <v>https://innisfree-taiwan.myshopify.com/cdn/shop/files/pdp_mig_44a05e10_20260109_1517_ID0101_1_jpg.jpg?v=1768543073</v>
      </c>
      <c r="V404" s="28" t="str">
        <f t="array" ref="V404">INDEX('raw-sheet'!$A$2:$ZZ$1000, ROW(V403), MATCH(V$1, 'raw-sheet'!$A$1:$ZZ$1, 0))</f>
        <v>https://innisfree-taiwan.myshopify.com/products/vitamin-c-green-tea-enzyme-brightening-cream</v>
      </c>
      <c r="W404" s="28" t="str">
        <f t="array" ref="W404">INDEX('raw-sheet'!$A$2:$ZZ$1000, ROW(W403), MATCH(W$1, 'raw-sheet'!$A$1:$ZZ$1, 0))</f>
        <v>維他命C淨亮淡斑凝霜 50ml | INNISFREE Taiwan</v>
      </c>
      <c r="X404" s="28" t="str">
        <f t="array" ref="X404">INDEX('raw-sheet'!$A$2:$ZZ$1000, ROW(X403), MATCH(X$1, 'raw-sheet'!$A$1:$ZZ$1, 0))</f>
        <v>維他命C和綠茶酵素的亮白凝霜，可針對淡化斑點、改善膚色不均，打造淨透亮的肌膚。適合想改善斑點、提亮膚色，希望霜類產品保濕但不油膩且好吸收的顧客。</v>
      </c>
      <c r="Y404" s="28" t="str">
        <f t="array" ref="Y404">INDEX('raw-sheet'!$A$2:$ZZ$1000, ROW(Y403), MATCH(Y$1, 'raw-sheet'!$A$1:$ZZ$1, 0))</f>
        <v>summary_large_image</v>
      </c>
      <c r="Z404" s="30" t="s">
        <v>11</v>
      </c>
      <c r="AA404" s="28" t="str">
        <f>VLOOKUP($A404,'raw-schema'!$A:$R,14,0)</f>
        <v>Brand</v>
      </c>
      <c r="AB404" s="28" t="str">
        <f>VLOOKUP($A404,'raw-schema'!$A:$R,15,0)</f>
        <v>Offer</v>
      </c>
      <c r="AC404" s="28" t="str">
        <f>VLOOKUP($A404,'raw-schema'!$A:$R,16,0)</f>
        <v>Organization</v>
      </c>
      <c r="AD404" s="28" t="str">
        <f>VLOOKUP($A404,'raw-schema'!$A:$R,17,0)</f>
        <v>Product</v>
      </c>
      <c r="AE404" s="28" t="s">
        <v>2401</v>
      </c>
      <c r="AF404" s="30" t="s">
        <v>69</v>
      </c>
      <c r="AG404" s="28" t="s">
        <v>2398</v>
      </c>
    </row>
    <row r="405" spans="1:33" x14ac:dyDescent="0.3">
      <c r="A405" s="28" t="str">
        <f t="array" ref="A405">INDEX('raw-sheet'!$A$2:$ZZ$1000, ROW(A404), MATCH(A$1, 'raw-sheet'!$A$1:$ZZ$1, 0))</f>
        <v>https://innisfree-taiwan.myshopify.com/products/vitamin-c-green-tea-enzyme-brightening-pad</v>
      </c>
      <c r="B405" s="34"/>
      <c r="C405" s="30" t="s">
        <v>11</v>
      </c>
      <c r="D405" s="28" t="str">
        <f t="array" ref="D405">INDEX('raw-sheet'!$A$2:$ZZ$1000, ROW(D404), MATCH(D$1, 'raw-sheet'!$A$1:$ZZ$1, 0))</f>
        <v>Product Detail</v>
      </c>
      <c r="E405" s="28">
        <f t="array" ref="E405">INDEX('raw-sheet'!$A$2:$ZZ$1000, ROW(E404), MATCH(E$1, 'raw-sheet'!$A$1:$ZZ$1, 0))</f>
        <v>200</v>
      </c>
      <c r="F405" s="30" t="s">
        <v>11</v>
      </c>
      <c r="G405" s="28" t="str">
        <f t="array" ref="G405">INDEX('raw-sheet'!$A$2:$ZZ$1000, ROW(G404), MATCH(G$1, 'raw-sheet'!$A$1:$ZZ$1, 0))</f>
        <v>維他命C淨亮棉片170ml &amp;#40;60片&amp;#41;_x000D_ | INNISFREE Taiwan</v>
      </c>
      <c r="H405" s="30" t="s">
        <v>11</v>
      </c>
      <c r="I405" s="28" t="str">
        <f t="array" ref="I405">INDEX('raw-sheet'!$A$2:$ZZ$1000, ROW(I404), MATCH(I$1, 'raw-sheet'!$A$1:$ZZ$1, 0))</f>
        <v>富含維生素C淨亮精華的棉片，有助於淡化斑點、改善暗沉、均勻膚色，讓肌膚更光滑透亮。 全膚質適用，適合在意膚色不均、斑點問題，想要尋找溫和低敏亮白成分產品的顧客。</v>
      </c>
      <c r="J405" s="30" t="s">
        <v>11</v>
      </c>
      <c r="K405" s="28" t="str">
        <f t="array" ref="K405">INDEX('raw-sheet'!$A$2:$ZZ$1000, ROW(K404), MATCH(K$1, 'raw-sheet'!$A$1:$ZZ$1, 0))</f>
        <v>維他命C淨亮棉片170ml (60片)</v>
      </c>
      <c r="L405" s="28" t="str">
        <f t="array" ref="L405">INDEX('raw-sheet'!$A$2:$ZZ$1000, ROW(L404), MATCH(L$1, 'raw-sheet'!$A$1:$ZZ$1, 0))</f>
        <v>1</v>
      </c>
      <c r="M405" s="30" t="s">
        <v>11</v>
      </c>
      <c r="N405" s="28" t="str">
        <f t="array" ref="N405">INDEX('raw-sheet'!$A$2:$ZZ$1000, ROW(N404), MATCH(N$1, 'raw-sheet'!$A$1:$ZZ$1, 0))</f>
        <v>https://innisfree-taiwan.myshopify.com/products/vitamin-c-green-tea-enzyme-brightening-pad</v>
      </c>
      <c r="O405" s="30" t="str">
        <f t="shared" si="15"/>
        <v>Not</v>
      </c>
      <c r="P405" s="28" t="str">
        <f t="array" ref="P405">INDEX('raw-sheet'!$A$2:$ZZ$1000, ROW(P404), MATCH(P$1, 'raw-sheet'!$A$1:$ZZ$1, 0))</f>
        <v>維他命C淨亮棉片170ml &amp;#40;60片&amp;#41; | INNISFREE Taiwan</v>
      </c>
      <c r="Q405" s="28" t="str">
        <f t="array" ref="Q405">INDEX('raw-sheet'!$A$2:$ZZ$1000, ROW(Q404), MATCH(Q$1, 'raw-sheet'!$A$1:$ZZ$1, 0))</f>
        <v>富含維生素C淨亮精華的棉片，有助於淡化斑點、改善暗沉、均勻膚色，讓肌膚更光滑透亮。 全膚質適用，適合在意膚色不均、斑點問題，想要尋找溫和低敏亮白成分產品的顧客。</v>
      </c>
      <c r="R405" s="28" t="str">
        <f t="array" ref="R405">INDEX('raw-sheet'!$A$2:$ZZ$1000, ROW(R404), MATCH(R$1, 'raw-sheet'!$A$1:$ZZ$1, 0))</f>
        <v>product</v>
      </c>
      <c r="S405" s="28" t="str">
        <f t="array" ref="S405">INDEX('raw-sheet'!$A$2:$ZZ$1000, ROW(S404), MATCH(S$1, 'raw-sheet'!$A$1:$ZZ$1, 0))</f>
        <v>INNISFREE Taiwan</v>
      </c>
      <c r="T405" s="28" t="str">
        <f t="array" ref="T405">INDEX('raw-sheet'!$A$2:$ZZ$1000, ROW(T404), MATCH(T$1, 'raw-sheet'!$A$1:$ZZ$1, 0))</f>
        <v>http://innisfree-taiwan.myshopify.com/cdn/shop/files/pdp_mig_bd408ff4_20240422_1351_ID0101_1_jpg.jpg?v=1768543073</v>
      </c>
      <c r="U405" s="28" t="str">
        <f t="array" ref="U405">INDEX('raw-sheet'!$A$2:$ZZ$1000, ROW(U404), MATCH(U$1, 'raw-sheet'!$A$1:$ZZ$1, 0))</f>
        <v>https://innisfree-taiwan.myshopify.com/cdn/shop/files/pdp_mig_bd408ff4_20240422_1351_ID0101_1_jpg.jpg?v=1768543073</v>
      </c>
      <c r="V405" s="28" t="str">
        <f t="array" ref="V405">INDEX('raw-sheet'!$A$2:$ZZ$1000, ROW(V404), MATCH(V$1, 'raw-sheet'!$A$1:$ZZ$1, 0))</f>
        <v>https://innisfree-taiwan.myshopify.com/products/vitamin-c-green-tea-enzyme-brightening-pad</v>
      </c>
      <c r="W405" s="28" t="str">
        <f t="array" ref="W405">INDEX('raw-sheet'!$A$2:$ZZ$1000, ROW(W404), MATCH(W$1, 'raw-sheet'!$A$1:$ZZ$1, 0))</f>
        <v>維他命C淨亮棉片170ml &amp;#40;60片&amp;#41; | INNISFREE Taiwan</v>
      </c>
      <c r="X405" s="28" t="str">
        <f t="array" ref="X405">INDEX('raw-sheet'!$A$2:$ZZ$1000, ROW(X404), MATCH(X$1, 'raw-sheet'!$A$1:$ZZ$1, 0))</f>
        <v>富含維生素C淨亮精華的棉片，有助於淡化斑點、改善暗沉、均勻膚色，讓肌膚更光滑透亮。 全膚質適用，適合在意膚色不均、斑點問題，想要尋找溫和低敏亮白成分產品的顧客。</v>
      </c>
      <c r="Y405" s="28" t="str">
        <f t="array" ref="Y405">INDEX('raw-sheet'!$A$2:$ZZ$1000, ROW(Y404), MATCH(Y$1, 'raw-sheet'!$A$1:$ZZ$1, 0))</f>
        <v>summary_large_image</v>
      </c>
      <c r="Z405" s="30" t="s">
        <v>11</v>
      </c>
      <c r="AA405" s="28" t="str">
        <f>VLOOKUP($A405,'raw-schema'!$A:$R,14,0)</f>
        <v>Brand</v>
      </c>
      <c r="AB405" s="28" t="str">
        <f>VLOOKUP($A405,'raw-schema'!$A:$R,15,0)</f>
        <v>Offer</v>
      </c>
      <c r="AC405" s="28" t="str">
        <f>VLOOKUP($A405,'raw-schema'!$A:$R,16,0)</f>
        <v>Organization</v>
      </c>
      <c r="AD405" s="28" t="str">
        <f>VLOOKUP($A405,'raw-schema'!$A:$R,17,0)</f>
        <v>Product</v>
      </c>
      <c r="AE405" s="28" t="s">
        <v>2401</v>
      </c>
      <c r="AF405" s="30" t="s">
        <v>69</v>
      </c>
      <c r="AG405" s="28" t="s">
        <v>2398</v>
      </c>
    </row>
    <row r="406" spans="1:33" x14ac:dyDescent="0.3">
      <c r="A406" s="28" t="str">
        <f t="array" ref="A406">INDEX('raw-sheet'!$A$2:$ZZ$1000, ROW(A405), MATCH(A$1, 'raw-sheet'!$A$1:$ZZ$1, 0))</f>
        <v>https://innisfree-taiwan.myshopify.com/products/vitamin-c-green-tea-enzyme-brightening-serum</v>
      </c>
      <c r="B406" s="34"/>
      <c r="C406" s="30" t="s">
        <v>11</v>
      </c>
      <c r="D406" s="28" t="str">
        <f t="array" ref="D406">INDEX('raw-sheet'!$A$2:$ZZ$1000, ROW(D405), MATCH(D$1, 'raw-sheet'!$A$1:$ZZ$1, 0))</f>
        <v>Product Detail</v>
      </c>
      <c r="E406" s="28">
        <f t="array" ref="E406">INDEX('raw-sheet'!$A$2:$ZZ$1000, ROW(E405), MATCH(E$1, 'raw-sheet'!$A$1:$ZZ$1, 0))</f>
        <v>200</v>
      </c>
      <c r="F406" s="30" t="s">
        <v>11</v>
      </c>
      <c r="G406" s="28" t="str">
        <f t="array" ref="G406">INDEX('raw-sheet'!$A$2:$ZZ$1000, ROW(G405), MATCH(G$1, 'raw-sheet'!$A$1:$ZZ$1, 0))</f>
        <v>維他命C淨亮精華 30ml_x000D_ | INNISFREE Taiwan</v>
      </c>
      <c r="H406" s="30" t="s">
        <v>11</v>
      </c>
      <c r="I406" s="28" t="str">
        <f t="array" ref="I406">INDEX('raw-sheet'!$A$2:$ZZ$1000, ROW(I405), MATCH(I$1,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J406" s="30" t="s">
        <v>60</v>
      </c>
      <c r="K406" s="28" t="str">
        <f t="array" ref="K406">INDEX('raw-sheet'!$A$2:$ZZ$1000, ROW(K405), MATCH(K$1, 'raw-sheet'!$A$1:$ZZ$1, 0))</f>
        <v>維他命C淨亮精華 30ml</v>
      </c>
      <c r="L406" s="28" t="str">
        <f t="array" ref="L406">INDEX('raw-sheet'!$A$2:$ZZ$1000, ROW(L405), MATCH(L$1, 'raw-sheet'!$A$1:$ZZ$1, 0))</f>
        <v>1</v>
      </c>
      <c r="M406" s="30" t="s">
        <v>11</v>
      </c>
      <c r="N406" s="28" t="str">
        <f t="array" ref="N406">INDEX('raw-sheet'!$A$2:$ZZ$1000, ROW(N405), MATCH(N$1, 'raw-sheet'!$A$1:$ZZ$1, 0))</f>
        <v>https://innisfree-taiwan.myshopify.com/products/vitamin-c-green-tea-enzyme-brightening-serum</v>
      </c>
      <c r="O406" s="30" t="str">
        <f t="shared" si="15"/>
        <v>Not</v>
      </c>
      <c r="P406" s="28" t="str">
        <f t="array" ref="P406">INDEX('raw-sheet'!$A$2:$ZZ$1000, ROW(P405), MATCH(P$1, 'raw-sheet'!$A$1:$ZZ$1, 0))</f>
        <v>維他命C淨亮精華 30ml | INNISFREE Taiwan</v>
      </c>
      <c r="Q406" s="28" t="str">
        <f t="array" ref="Q406">INDEX('raw-sheet'!$A$2:$ZZ$1000, ROW(Q405), MATCH(Q$1,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R406" s="28" t="str">
        <f t="array" ref="R406">INDEX('raw-sheet'!$A$2:$ZZ$1000, ROW(R405), MATCH(R$1, 'raw-sheet'!$A$1:$ZZ$1, 0))</f>
        <v>product</v>
      </c>
      <c r="S406" s="28" t="str">
        <f t="array" ref="S406">INDEX('raw-sheet'!$A$2:$ZZ$1000, ROW(S405), MATCH(S$1, 'raw-sheet'!$A$1:$ZZ$1, 0))</f>
        <v>INNISFREE Taiwan</v>
      </c>
      <c r="T406" s="28" t="str">
        <f t="array" ref="T406">INDEX('raw-sheet'!$A$2:$ZZ$1000, ROW(T405), MATCH(T$1, 'raw-sheet'!$A$1:$ZZ$1, 0))</f>
        <v>http://innisfree-taiwan.myshopify.com/cdn/shop/files/pdp_mig_1fa1baef_20250930_1099_ID0101_1_jpg.jpg?v=1768543091</v>
      </c>
      <c r="U406" s="28" t="str">
        <f t="array" ref="U406">INDEX('raw-sheet'!$A$2:$ZZ$1000, ROW(U405), MATCH(U$1, 'raw-sheet'!$A$1:$ZZ$1, 0))</f>
        <v>https://innisfree-taiwan.myshopify.com/cdn/shop/files/pdp_mig_1fa1baef_20250930_1099_ID0101_1_jpg.jpg?v=1768543091</v>
      </c>
      <c r="V406" s="28" t="str">
        <f t="array" ref="V406">INDEX('raw-sheet'!$A$2:$ZZ$1000, ROW(V405), MATCH(V$1, 'raw-sheet'!$A$1:$ZZ$1, 0))</f>
        <v>https://innisfree-taiwan.myshopify.com/products/vitamin-c-green-tea-enzyme-brightening-serum</v>
      </c>
      <c r="W406" s="28" t="str">
        <f t="array" ref="W406">INDEX('raw-sheet'!$A$2:$ZZ$1000, ROW(W405), MATCH(W$1, 'raw-sheet'!$A$1:$ZZ$1, 0))</f>
        <v>維他命C淨亮精華 30ml | INNISFREE Taiwan</v>
      </c>
      <c r="X406" s="28" t="str">
        <f t="array" ref="X406">INDEX('raw-sheet'!$A$2:$ZZ$1000, ROW(X405), MATCH(X$1, 'raw-sheet'!$A$1:$ZZ$1, 0))</f>
        <v>富含維生素C和濟州綠茶中的酵素酶，有助於淡化斑點、改善暗沉、均勻膚色，讓肌膚更光滑透亮。 全膚質適用，適合在意膚色不均、斑點問題，想要尋找溫和低敏亮白成分產品的顧客。</v>
      </c>
      <c r="Y406" s="28" t="str">
        <f t="array" ref="Y406">INDEX('raw-sheet'!$A$2:$ZZ$1000, ROW(Y405), MATCH(Y$1, 'raw-sheet'!$A$1:$ZZ$1, 0))</f>
        <v>summary_large_image</v>
      </c>
      <c r="Z406" s="30" t="s">
        <v>11</v>
      </c>
      <c r="AA406" s="28" t="str">
        <f>VLOOKUP($A406,'raw-schema'!$A:$R,14,0)</f>
        <v>Brand</v>
      </c>
      <c r="AB406" s="28" t="str">
        <f>VLOOKUP($A406,'raw-schema'!$A:$R,15,0)</f>
        <v>Offer</v>
      </c>
      <c r="AC406" s="28" t="str">
        <f>VLOOKUP($A406,'raw-schema'!$A:$R,16,0)</f>
        <v>Organization</v>
      </c>
      <c r="AD406" s="28" t="str">
        <f>VLOOKUP($A406,'raw-schema'!$A:$R,17,0)</f>
        <v>Product</v>
      </c>
      <c r="AE406" s="28" t="s">
        <v>2401</v>
      </c>
      <c r="AF406" s="30" t="s">
        <v>69</v>
      </c>
      <c r="AG406" s="28" t="s">
        <v>2398</v>
      </c>
    </row>
    <row r="407" spans="1:33" x14ac:dyDescent="0.3">
      <c r="A407" s="28" t="str">
        <f t="array" ref="A407">INDEX('raw-sheet'!$A$2:$ZZ$1000, ROW(A406), MATCH(A$1, 'raw-sheet'!$A$1:$ZZ$1, 0))</f>
        <v>https://innisfree-taiwan.myshopify.com/password</v>
      </c>
      <c r="B407" s="34" t="s">
        <v>2494</v>
      </c>
      <c r="C407" s="30" t="s">
        <v>11</v>
      </c>
      <c r="D407" s="28" t="s">
        <v>8</v>
      </c>
      <c r="E407" s="28">
        <f t="array" ref="E407">INDEX('raw-sheet'!$A$2:$ZZ$1000, ROW(E406), MATCH(E$1, 'raw-sheet'!$A$1:$ZZ$1, 0))</f>
        <v>200</v>
      </c>
      <c r="F407" s="30" t="s">
        <v>11</v>
      </c>
      <c r="G407" s="28" t="str">
        <f t="array" ref="G407">INDEX('raw-sheet'!$A$2:$ZZ$1000, ROW(G406), MATCH(G$1, 'raw-sheet'!$A$1:$ZZ$1, 0))</f>
        <v>INNISFREE Taiwan</v>
      </c>
      <c r="H407" s="30" t="s">
        <v>11</v>
      </c>
      <c r="I407" s="28" t="s">
        <v>2402</v>
      </c>
      <c r="J407" s="30" t="s">
        <v>11</v>
      </c>
      <c r="K407" s="28" t="s">
        <v>2402</v>
      </c>
      <c r="L407" s="28" t="str">
        <f t="array" ref="L407">INDEX('raw-sheet'!$A$2:$ZZ$1000, ROW(L406), MATCH(L$1, 'raw-sheet'!$A$1:$ZZ$1, 0))</f>
        <v>0</v>
      </c>
      <c r="M407" s="30" t="s">
        <v>11</v>
      </c>
      <c r="N407" s="28" t="str">
        <f t="array" ref="N407">INDEX('raw-sheet'!$A$2:$ZZ$1000, ROW(N406), MATCH(N$1, 'raw-sheet'!$A$1:$ZZ$1, 0))</f>
        <v>https://innisfree-taiwan.myshopify.com/password</v>
      </c>
      <c r="O407" s="30" t="str">
        <f t="shared" si="15"/>
        <v>Not</v>
      </c>
      <c r="P407" s="28" t="str">
        <f t="array" ref="P407">INDEX('raw-sheet'!$A$2:$ZZ$1000, ROW(P406), MATCH(P$1, 'raw-sheet'!$A$1:$ZZ$1, 0))</f>
        <v>INNISFREE Taiwan</v>
      </c>
      <c r="Q407" s="28" t="str">
        <f t="array" ref="Q407">INDEX('raw-sheet'!$A$2:$ZZ$1000, ROW(Q406), MATCH(Q$1,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R407" s="28" t="str">
        <f t="array" ref="R407">INDEX('raw-sheet'!$A$2:$ZZ$1000, ROW(R406), MATCH(R$1, 'raw-sheet'!$A$1:$ZZ$1, 0))</f>
        <v>website</v>
      </c>
      <c r="S407" s="28" t="str">
        <f t="array" ref="S407">INDEX('raw-sheet'!$A$2:$ZZ$1000, ROW(S406), MATCH(S$1, 'raw-sheet'!$A$1:$ZZ$1, 0))</f>
        <v>INNISFREE Taiwan</v>
      </c>
      <c r="T407" s="28" t="str">
        <f t="array" ref="T407">INDEX('raw-sheet'!$A$2:$ZZ$1000, ROW(T406), MATCH(T$1, 'raw-sheet'!$A$1:$ZZ$1, 0))</f>
        <v>http://innisfree-taiwan.myshopify.com/cdn/shop/files/logo.png?v=1767594135</v>
      </c>
      <c r="U407" s="28" t="str">
        <f t="array" ref="U407">INDEX('raw-sheet'!$A$2:$ZZ$1000, ROW(U406), MATCH(U$1, 'raw-sheet'!$A$1:$ZZ$1, 0))</f>
        <v>https://innisfree-taiwan.myshopify.com/cdn/shop/files/logo.png?v=1767594135</v>
      </c>
      <c r="V407" s="28" t="str">
        <f t="array" ref="V407">INDEX('raw-sheet'!$A$2:$ZZ$1000, ROW(V406), MATCH(V$1, 'raw-sheet'!$A$1:$ZZ$1, 0))</f>
        <v>https://innisfree-taiwan.myshopify.com</v>
      </c>
      <c r="W407" s="28" t="str">
        <f t="array" ref="W407">INDEX('raw-sheet'!$A$2:$ZZ$1000, ROW(W406), MATCH(W$1, 'raw-sheet'!$A$1:$ZZ$1, 0))</f>
        <v>INNISFREE Taiwan</v>
      </c>
      <c r="X407" s="28" t="str">
        <f t="array" ref="X407">INDEX('raw-sheet'!$A$2:$ZZ$1000, ROW(X406), MATCH(X$1,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Y407" s="28" t="str">
        <f t="array" ref="Y407">INDEX('raw-sheet'!$A$2:$ZZ$1000, ROW(Y406), MATCH(Y$1, 'raw-sheet'!$A$1:$ZZ$1, 0))</f>
        <v>summary_large_image</v>
      </c>
      <c r="Z407" s="30" t="s">
        <v>11</v>
      </c>
      <c r="AA407" s="28" t="s">
        <v>2401</v>
      </c>
      <c r="AB407" s="28" t="s">
        <v>2401</v>
      </c>
      <c r="AC407" s="28" t="s">
        <v>2401</v>
      </c>
      <c r="AD407" s="28" t="s">
        <v>2401</v>
      </c>
      <c r="AE407" s="28" t="s">
        <v>2401</v>
      </c>
      <c r="AF407" s="30" t="s">
        <v>11</v>
      </c>
      <c r="AG407" s="28" t="s">
        <v>2401</v>
      </c>
    </row>
    <row r="408" spans="1:33" x14ac:dyDescent="0.3">
      <c r="A408" s="28" t="str">
        <f t="array" ref="A408">INDEX('raw-sheet'!$A$2:$ZZ$1000, ROW(A407), MATCH(A$1, 'raw-sheet'!$A$1:$ZZ$1, 0))</f>
        <v>https://innisfree-taiwan.myshopify.com/collections/value-gift-set-for-gifting-or-personal-use</v>
      </c>
      <c r="B408" s="34"/>
      <c r="C408" s="30" t="s">
        <v>11</v>
      </c>
      <c r="D408" s="28" t="str">
        <f t="array" ref="D408">INDEX('raw-sheet'!$A$2:$ZZ$1000, ROW(D407), MATCH(D$1, 'raw-sheet'!$A$1:$ZZ$1, 0))</f>
        <v>Product List</v>
      </c>
      <c r="E408" s="28">
        <f t="array" ref="E408">INDEX('raw-sheet'!$A$2:$ZZ$1000, ROW(E407), MATCH(E$1, 'raw-sheet'!$A$1:$ZZ$1, 0))</f>
        <v>200</v>
      </c>
      <c r="F408" s="30" t="s">
        <v>11</v>
      </c>
      <c r="G408" s="28" t="str">
        <f t="array" ref="G408">INDEX('raw-sheet'!$A$2:$ZZ$1000, ROW(G407), MATCH(G$1, 'raw-sheet'!$A$1:$ZZ$1, 0))</f>
        <v>超值精選禮盒💚 送禮自用超划算😍_x000D_ | INNISFREE Taiwan</v>
      </c>
      <c r="H408" s="30" t="s">
        <v>11</v>
      </c>
      <c r="I408" s="28" t="str">
        <f t="array" ref="I408">INDEX('raw-sheet'!$A$2:$ZZ$1000, ROW(I407), MATCH(I$1, 'raw-sheet'!$A$1:$ZZ$1, 0))</f>
        <v>[超值精選禮盒💚 送禮自用超划算😍 ] 溫和高效的保養禮盒✨</v>
      </c>
      <c r="J408" s="30" t="s">
        <v>11</v>
      </c>
      <c r="K408" s="28" t="str">
        <f t="array" ref="K408">INDEX('raw-sheet'!$A$2:$ZZ$1000, ROW(K407), MATCH(K$1, 'raw-sheet'!$A$1:$ZZ$1, 0))</f>
        <v>超值精選禮盒💚 送禮自用超划算😍</v>
      </c>
      <c r="L408" s="28" t="str">
        <f t="array" ref="L408">INDEX('raw-sheet'!$A$2:$ZZ$1000, ROW(L407), MATCH(L$1, 'raw-sheet'!$A$1:$ZZ$1, 0))</f>
        <v>1</v>
      </c>
      <c r="M408" s="30" t="s">
        <v>11</v>
      </c>
      <c r="N408" s="28" t="str">
        <f t="array" ref="N408">INDEX('raw-sheet'!$A$2:$ZZ$1000, ROW(N407), MATCH(N$1, 'raw-sheet'!$A$1:$ZZ$1, 0))</f>
        <v>https://innisfree-taiwan.myshopify.com/collections/value-gift-set-for-gifting-or-personal-use</v>
      </c>
      <c r="O408" s="30" t="str">
        <f t="shared" si="15"/>
        <v>Not</v>
      </c>
      <c r="P408" s="28" t="str">
        <f t="array" ref="P408">INDEX('raw-sheet'!$A$2:$ZZ$1000, ROW(P407), MATCH(P$1, 'raw-sheet'!$A$1:$ZZ$1, 0))</f>
        <v>超值精選禮盒💚 送禮自用超划算😍 | INNISFREE Taiwan</v>
      </c>
      <c r="Q408" s="28" t="str">
        <f t="array" ref="Q408">INDEX('raw-sheet'!$A$2:$ZZ$1000, ROW(Q407), MATCH(Q$1, 'raw-sheet'!$A$1:$ZZ$1, 0))</f>
        <v>[超值精選禮盒💚 送禮自用超划算😍 ] 溫和高效的保養禮盒✨</v>
      </c>
      <c r="R408" s="28" t="str">
        <f t="array" ref="R408">INDEX('raw-sheet'!$A$2:$ZZ$1000, ROW(R407), MATCH(R$1, 'raw-sheet'!$A$1:$ZZ$1, 0))</f>
        <v>website</v>
      </c>
      <c r="S408" s="28" t="str">
        <f t="array" ref="S408">INDEX('raw-sheet'!$A$2:$ZZ$1000, ROW(S407), MATCH(S$1, 'raw-sheet'!$A$1:$ZZ$1, 0))</f>
        <v>INNISFREE Taiwan</v>
      </c>
      <c r="T408" s="28" t="str">
        <f t="array" ref="T408">INDEX('raw-sheet'!$A$2:$ZZ$1000, ROW(T407), MATCH(T$1, 'raw-sheet'!$A$1:$ZZ$1, 0))</f>
        <v>http://innisfree-taiwan.myshopify.com/cdn/shop/files/logo.png?v=1767594135</v>
      </c>
      <c r="U408" s="28" t="str">
        <f t="array" ref="U408">INDEX('raw-sheet'!$A$2:$ZZ$1000, ROW(U407), MATCH(U$1, 'raw-sheet'!$A$1:$ZZ$1, 0))</f>
        <v>https://innisfree-taiwan.myshopify.com/cdn/shop/files/logo.png?v=1767594135</v>
      </c>
      <c r="V408" s="28" t="str">
        <f t="array" ref="V408">INDEX('raw-sheet'!$A$2:$ZZ$1000, ROW(V407), MATCH(V$1, 'raw-sheet'!$A$1:$ZZ$1, 0))</f>
        <v>https://innisfree-taiwan.myshopify.com/collections/value-gift-set-for-gifting-or-personal-use</v>
      </c>
      <c r="W408" s="28" t="str">
        <f t="array" ref="W408">INDEX('raw-sheet'!$A$2:$ZZ$1000, ROW(W407), MATCH(W$1, 'raw-sheet'!$A$1:$ZZ$1, 0))</f>
        <v>超值精選禮盒💚 送禮自用超划算😍 | INNISFREE Taiwan</v>
      </c>
      <c r="X408" s="28" t="str">
        <f t="array" ref="X408">INDEX('raw-sheet'!$A$2:$ZZ$1000, ROW(X407), MATCH(X$1, 'raw-sheet'!$A$1:$ZZ$1, 0))</f>
        <v>[超值精選禮盒💚 送禮自用超划算😍 ] 溫和高效的保養禮盒✨</v>
      </c>
      <c r="Y408" s="28" t="str">
        <f t="array" ref="Y408">INDEX('raw-sheet'!$A$2:$ZZ$1000, ROW(Y407), MATCH(Y$1, 'raw-sheet'!$A$1:$ZZ$1, 0))</f>
        <v>summary_large_image</v>
      </c>
      <c r="Z408" s="30" t="s">
        <v>11</v>
      </c>
      <c r="AA408" s="28" t="str">
        <f>VLOOKUP($A408,'raw-schema'!$A:$R,14,0)</f>
        <v>Organization</v>
      </c>
      <c r="AB408" s="28" t="s">
        <v>2401</v>
      </c>
      <c r="AC408" s="28" t="s">
        <v>2401</v>
      </c>
      <c r="AD408" s="28" t="s">
        <v>2401</v>
      </c>
      <c r="AE408" s="28" t="s">
        <v>2401</v>
      </c>
      <c r="AF408" s="30" t="s">
        <v>66</v>
      </c>
      <c r="AG408" s="28" t="s">
        <v>2400</v>
      </c>
    </row>
    <row r="409" spans="1:33" x14ac:dyDescent="0.3">
      <c r="A409" s="28" t="str">
        <f t="array" ref="A409">INDEX('raw-sheet'!$A$2:$ZZ$1000, ROW(A408), MATCH(A$1, 'raw-sheet'!$A$1:$ZZ$1, 0))</f>
        <v>https://innisfree-taiwan.myshopify.com/collections/leave-a-review-and-get-a-free-face-mask</v>
      </c>
      <c r="B409" s="34"/>
      <c r="C409" s="30" t="s">
        <v>11</v>
      </c>
      <c r="D409" s="28" t="str">
        <f t="array" ref="D409">INDEX('raw-sheet'!$A$2:$ZZ$1000, ROW(D408), MATCH(D$1, 'raw-sheet'!$A$1:$ZZ$1, 0))</f>
        <v>Product List</v>
      </c>
      <c r="E409" s="28">
        <f t="array" ref="E409">INDEX('raw-sheet'!$A$2:$ZZ$1000, ROW(E408), MATCH(E$1, 'raw-sheet'!$A$1:$ZZ$1, 0))</f>
        <v>200</v>
      </c>
      <c r="F409" s="30" t="s">
        <v>11</v>
      </c>
      <c r="G409" s="28" t="str">
        <f t="array" ref="G409">INDEX('raw-sheet'!$A$2:$ZZ$1000, ROW(G408), MATCH(G$1, 'raw-sheet'!$A$1:$ZZ$1, 0))</f>
        <v>填心得 領面膜！_x000D_ | INNISFREE Taiwan</v>
      </c>
      <c r="H409" s="30" t="s">
        <v>11</v>
      </c>
      <c r="I409" s="28" t="str">
        <f t="array" ref="I409">INDEX('raw-sheet'!$A$2:$ZZ$1000, ROW(I408), MATCH(I$1, 'raw-sheet'!$A$1:$ZZ$1, 0))</f>
        <v>[填心得 領面膜！ ] 前150名填寫可於2月中至門市免費兌換面膜3片</v>
      </c>
      <c r="J409" s="30" t="s">
        <v>11</v>
      </c>
      <c r="K409" s="28" t="str">
        <f t="array" ref="K409">INDEX('raw-sheet'!$A$2:$ZZ$1000, ROW(K408), MATCH(K$1, 'raw-sheet'!$A$1:$ZZ$1, 0))</f>
        <v>填心得 領面膜！</v>
      </c>
      <c r="L409" s="28" t="str">
        <f t="array" ref="L409">INDEX('raw-sheet'!$A$2:$ZZ$1000, ROW(L408), MATCH(L$1, 'raw-sheet'!$A$1:$ZZ$1, 0))</f>
        <v>1</v>
      </c>
      <c r="M409" s="30" t="s">
        <v>11</v>
      </c>
      <c r="N409" s="28" t="str">
        <f t="array" ref="N409">INDEX('raw-sheet'!$A$2:$ZZ$1000, ROW(N408), MATCH(N$1, 'raw-sheet'!$A$1:$ZZ$1, 0))</f>
        <v>https://innisfree-taiwan.myshopify.com/collections/leave-a-review-and-get-a-free-face-mask</v>
      </c>
      <c r="O409" s="30" t="str">
        <f t="shared" si="15"/>
        <v>Not</v>
      </c>
      <c r="P409" s="28" t="str">
        <f t="array" ref="P409">INDEX('raw-sheet'!$A$2:$ZZ$1000, ROW(P408), MATCH(P$1, 'raw-sheet'!$A$1:$ZZ$1, 0))</f>
        <v>填心得 領面膜！ | INNISFREE Taiwan</v>
      </c>
      <c r="Q409" s="28" t="str">
        <f t="array" ref="Q409">INDEX('raw-sheet'!$A$2:$ZZ$1000, ROW(Q408), MATCH(Q$1, 'raw-sheet'!$A$1:$ZZ$1, 0))</f>
        <v>[填心得 領面膜！ ] 前150名填寫可於2月中至門市免費兌換面膜3片</v>
      </c>
      <c r="R409" s="28" t="str">
        <f t="array" ref="R409">INDEX('raw-sheet'!$A$2:$ZZ$1000, ROW(R408), MATCH(R$1, 'raw-sheet'!$A$1:$ZZ$1, 0))</f>
        <v>website</v>
      </c>
      <c r="S409" s="28" t="str">
        <f t="array" ref="S409">INDEX('raw-sheet'!$A$2:$ZZ$1000, ROW(S408), MATCH(S$1, 'raw-sheet'!$A$1:$ZZ$1, 0))</f>
        <v>INNISFREE Taiwan</v>
      </c>
      <c r="T409" s="28" t="str">
        <f t="array" ref="T409">INDEX('raw-sheet'!$A$2:$ZZ$1000, ROW(T408), MATCH(T$1, 'raw-sheet'!$A$1:$ZZ$1, 0))</f>
        <v>http://innisfree-taiwan.myshopify.com/cdn/shop/files/logo.png?v=1767594135</v>
      </c>
      <c r="U409" s="28" t="str">
        <f t="array" ref="U409">INDEX('raw-sheet'!$A$2:$ZZ$1000, ROW(U408), MATCH(U$1, 'raw-sheet'!$A$1:$ZZ$1, 0))</f>
        <v>https://innisfree-taiwan.myshopify.com/cdn/shop/files/logo.png?v=1767594135</v>
      </c>
      <c r="V409" s="28" t="str">
        <f t="array" ref="V409">INDEX('raw-sheet'!$A$2:$ZZ$1000, ROW(V408), MATCH(V$1, 'raw-sheet'!$A$1:$ZZ$1, 0))</f>
        <v>https://innisfree-taiwan.myshopify.com/collections/leave-a-review-and-get-a-free-face-mask</v>
      </c>
      <c r="W409" s="28" t="str">
        <f t="array" ref="W409">INDEX('raw-sheet'!$A$2:$ZZ$1000, ROW(W408), MATCH(W$1, 'raw-sheet'!$A$1:$ZZ$1, 0))</f>
        <v>填心得 領面膜！ | INNISFREE Taiwan</v>
      </c>
      <c r="X409" s="28" t="str">
        <f t="array" ref="X409">INDEX('raw-sheet'!$A$2:$ZZ$1000, ROW(X408), MATCH(X$1, 'raw-sheet'!$A$1:$ZZ$1, 0))</f>
        <v>[填心得 領面膜！ ] 前150名填寫可於2月中至門市免費兌換面膜3片</v>
      </c>
      <c r="Y409" s="28" t="str">
        <f t="array" ref="Y409">INDEX('raw-sheet'!$A$2:$ZZ$1000, ROW(Y408), MATCH(Y$1, 'raw-sheet'!$A$1:$ZZ$1, 0))</f>
        <v>summary_large_image</v>
      </c>
      <c r="Z409" s="30" t="s">
        <v>11</v>
      </c>
      <c r="AA409" s="28" t="str">
        <f>VLOOKUP($A409,'raw-schema'!$A:$R,14,0)</f>
        <v>Organization</v>
      </c>
      <c r="AB409" s="28" t="s">
        <v>2401</v>
      </c>
      <c r="AC409" s="28" t="s">
        <v>2401</v>
      </c>
      <c r="AD409" s="28" t="s">
        <v>2401</v>
      </c>
      <c r="AE409" s="28" t="s">
        <v>2401</v>
      </c>
      <c r="AF409" s="30" t="s">
        <v>66</v>
      </c>
      <c r="AG409" s="28" t="s">
        <v>2400</v>
      </c>
    </row>
    <row r="410" spans="1:33" x14ac:dyDescent="0.3">
      <c r="A410" s="28" t="str">
        <f t="array" ref="A410">INDEX('raw-sheet'!$A$2:$ZZ$1000, ROW(A409), MATCH(A$1, 'raw-sheet'!$A$1:$ZZ$1, 0))</f>
        <v>https://innisfree-taiwan.myshopify.com/blogs/notice?page=2</v>
      </c>
      <c r="B410" s="34" t="s">
        <v>65</v>
      </c>
      <c r="C410" s="30" t="s">
        <v>11</v>
      </c>
      <c r="D410" s="28" t="str">
        <f t="array" ref="D410">INDEX('raw-sheet'!$A$2:$ZZ$1000, ROW(D409), MATCH(D$1, 'raw-sheet'!$A$1:$ZZ$1, 0))</f>
        <v>Blog Page</v>
      </c>
      <c r="E410" s="28">
        <f t="array" ref="E410">INDEX('raw-sheet'!$A$2:$ZZ$1000, ROW(E409), MATCH(E$1, 'raw-sheet'!$A$1:$ZZ$1, 0))</f>
        <v>200</v>
      </c>
      <c r="F410" s="30" t="s">
        <v>11</v>
      </c>
      <c r="G410" s="28" t="str">
        <f t="array" ref="G410">INDEX('raw-sheet'!$A$2:$ZZ$1000, ROW(G409), MATCH(G$1, 'raw-sheet'!$A$1:$ZZ$1, 0))</f>
        <v>公告_x000D_ – Page 2 | INNISFREE Taiwan</v>
      </c>
      <c r="H410" s="30" t="s">
        <v>11</v>
      </c>
      <c r="I410" s="28" t="s">
        <v>2402</v>
      </c>
      <c r="J410" s="30" t="s">
        <v>11</v>
      </c>
      <c r="K410" s="28" t="str">
        <f t="array" ref="K410">INDEX('raw-sheet'!$A$2:$ZZ$1000, ROW(K409), MATCH(K$1, 'raw-sheet'!$A$1:$ZZ$1, 0))</f>
        <v>公告</v>
      </c>
      <c r="L410" s="28" t="str">
        <f t="array" ref="L410">INDEX('raw-sheet'!$A$2:$ZZ$1000, ROW(L409), MATCH(L$1, 'raw-sheet'!$A$1:$ZZ$1, 0))</f>
        <v>1</v>
      </c>
      <c r="M410" s="30" t="s">
        <v>11</v>
      </c>
      <c r="N410" s="28" t="str">
        <f t="array" ref="N410">INDEX('raw-sheet'!$A$2:$ZZ$1000, ROW(N409), MATCH(N$1, 'raw-sheet'!$A$1:$ZZ$1, 0))</f>
        <v>https://innisfree-taiwan.myshopify.com/blogs/notice?page=2</v>
      </c>
      <c r="O410" s="30" t="s">
        <v>11</v>
      </c>
      <c r="P410" s="28" t="str">
        <f t="array" ref="P410">INDEX('raw-sheet'!$A$2:$ZZ$1000, ROW(P409), MATCH(P$1, 'raw-sheet'!$A$1:$ZZ$1, 0))</f>
        <v>公告 | INNISFREE Taiwan</v>
      </c>
      <c r="Q410" s="28" t="str">
        <f t="array" ref="Q410">INDEX('raw-sheet'!$A$2:$ZZ$1000, ROW(Q409), MATCH(Q$1,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R410" s="28" t="str">
        <f t="array" ref="R410">INDEX('raw-sheet'!$A$2:$ZZ$1000, ROW(R409), MATCH(R$1, 'raw-sheet'!$A$1:$ZZ$1, 0))</f>
        <v>website</v>
      </c>
      <c r="S410" s="28" t="str">
        <f t="array" ref="S410">INDEX('raw-sheet'!$A$2:$ZZ$1000, ROW(S409), MATCH(S$1, 'raw-sheet'!$A$1:$ZZ$1, 0))</f>
        <v>INNISFREE Taiwan</v>
      </c>
      <c r="T410" s="28" t="str">
        <f t="array" ref="T410">INDEX('raw-sheet'!$A$2:$ZZ$1000, ROW(T409), MATCH(T$1, 'raw-sheet'!$A$1:$ZZ$1, 0))</f>
        <v>http://innisfree-taiwan.myshopify.com/cdn/shop/files/logo.png?v=1767594135</v>
      </c>
      <c r="U410" s="28" t="str">
        <f t="array" ref="U410">INDEX('raw-sheet'!$A$2:$ZZ$1000, ROW(U409), MATCH(U$1, 'raw-sheet'!$A$1:$ZZ$1, 0))</f>
        <v>https://innisfree-taiwan.myshopify.com/cdn/shop/files/logo.png?v=1767594135</v>
      </c>
      <c r="V410" s="28" t="str">
        <f t="array" ref="V410">INDEX('raw-sheet'!$A$2:$ZZ$1000, ROW(V409), MATCH(V$1, 'raw-sheet'!$A$1:$ZZ$1, 0))</f>
        <v>https://innisfree-taiwan.myshopify.com/blogs/notice?page=2</v>
      </c>
      <c r="W410" s="28" t="str">
        <f t="array" ref="W410">INDEX('raw-sheet'!$A$2:$ZZ$1000, ROW(W409), MATCH(W$1, 'raw-sheet'!$A$1:$ZZ$1, 0))</f>
        <v>公告 | INNISFREE Taiwan</v>
      </c>
      <c r="X410" s="28" t="str">
        <f t="array" ref="X410">INDEX('raw-sheet'!$A$2:$ZZ$1000, ROW(X409), MATCH(X$1,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Y410" s="28" t="str">
        <f t="array" ref="Y410">INDEX('raw-sheet'!$A$2:$ZZ$1000, ROW(Y409), MATCH(Y$1, 'raw-sheet'!$A$1:$ZZ$1, 0))</f>
        <v>summary_large_image</v>
      </c>
      <c r="Z410" s="30" t="s">
        <v>11</v>
      </c>
      <c r="AA410" s="28" t="str">
        <f>VLOOKUP($A410,'raw-schema'!$A:$R,14,0)</f>
        <v>Organization</v>
      </c>
      <c r="AB410" s="28" t="s">
        <v>2401</v>
      </c>
      <c r="AC410" s="28" t="s">
        <v>2401</v>
      </c>
      <c r="AD410" s="28" t="s">
        <v>2401</v>
      </c>
      <c r="AE410" s="28" t="s">
        <v>2401</v>
      </c>
      <c r="AF410" s="30" t="s">
        <v>2492</v>
      </c>
      <c r="AG410" s="28" t="s">
        <v>2491</v>
      </c>
    </row>
    <row r="411" spans="1:33" x14ac:dyDescent="0.3">
      <c r="A411" s="28" t="str">
        <f t="array" ref="A411">INDEX('raw-sheet'!$A$2:$ZZ$1000, ROW(A410), MATCH(A$1, 'raw-sheet'!$A$1:$ZZ$1, 0))</f>
        <v>https://innisfree-taiwan.myshopify.com/blogs/notice?page=1</v>
      </c>
      <c r="B411" s="34" t="s">
        <v>65</v>
      </c>
      <c r="C411" s="30" t="s">
        <v>11</v>
      </c>
      <c r="D411" s="28" t="str">
        <f t="array" ref="D411">INDEX('raw-sheet'!$A$2:$ZZ$1000, ROW(D410), MATCH(D$1, 'raw-sheet'!$A$1:$ZZ$1, 0))</f>
        <v>Blog Page</v>
      </c>
      <c r="E411" s="28">
        <f t="array" ref="E411">INDEX('raw-sheet'!$A$2:$ZZ$1000, ROW(E410), MATCH(E$1, 'raw-sheet'!$A$1:$ZZ$1, 0))</f>
        <v>200</v>
      </c>
      <c r="F411" s="30" t="s">
        <v>11</v>
      </c>
      <c r="G411" s="28" t="str">
        <f t="array" ref="G411">INDEX('raw-sheet'!$A$2:$ZZ$1000, ROW(G410), MATCH(G$1, 'raw-sheet'!$A$1:$ZZ$1, 0))</f>
        <v>公告_x000D_ | INNISFREE Taiwan</v>
      </c>
      <c r="H411" s="30" t="s">
        <v>11</v>
      </c>
      <c r="I411" s="28" t="s">
        <v>2402</v>
      </c>
      <c r="J411" s="30" t="s">
        <v>11</v>
      </c>
      <c r="K411" s="28" t="str">
        <f t="array" ref="K411">INDEX('raw-sheet'!$A$2:$ZZ$1000, ROW(K410), MATCH(K$1, 'raw-sheet'!$A$1:$ZZ$1, 0))</f>
        <v>公告</v>
      </c>
      <c r="L411" s="28" t="str">
        <f t="array" ref="L411">INDEX('raw-sheet'!$A$2:$ZZ$1000, ROW(L410), MATCH(L$1, 'raw-sheet'!$A$1:$ZZ$1, 0))</f>
        <v>1</v>
      </c>
      <c r="M411" s="30" t="s">
        <v>11</v>
      </c>
      <c r="N411" s="28" t="str">
        <f t="array" ref="N411">INDEX('raw-sheet'!$A$2:$ZZ$1000, ROW(N410), MATCH(N$1, 'raw-sheet'!$A$1:$ZZ$1, 0))</f>
        <v>https://innisfree-taiwan.myshopify.com/blogs/notice</v>
      </c>
      <c r="O411" s="30" t="s">
        <v>11</v>
      </c>
      <c r="P411" s="28" t="str">
        <f t="array" ref="P411">INDEX('raw-sheet'!$A$2:$ZZ$1000, ROW(P410), MATCH(P$1, 'raw-sheet'!$A$1:$ZZ$1, 0))</f>
        <v>公告 | INNISFREE Taiwan</v>
      </c>
      <c r="Q411" s="28" t="str">
        <f t="array" ref="Q411">INDEX('raw-sheet'!$A$2:$ZZ$1000, ROW(Q410), MATCH(Q$1,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R411" s="28" t="str">
        <f t="array" ref="R411">INDEX('raw-sheet'!$A$2:$ZZ$1000, ROW(R410), MATCH(R$1, 'raw-sheet'!$A$1:$ZZ$1, 0))</f>
        <v>website</v>
      </c>
      <c r="S411" s="28" t="str">
        <f t="array" ref="S411">INDEX('raw-sheet'!$A$2:$ZZ$1000, ROW(S410), MATCH(S$1, 'raw-sheet'!$A$1:$ZZ$1, 0))</f>
        <v>INNISFREE Taiwan</v>
      </c>
      <c r="T411" s="28" t="str">
        <f t="array" ref="T411">INDEX('raw-sheet'!$A$2:$ZZ$1000, ROW(T410), MATCH(T$1, 'raw-sheet'!$A$1:$ZZ$1, 0))</f>
        <v>http://innisfree-taiwan.myshopify.com/cdn/shop/files/logo.png?v=1767594135</v>
      </c>
      <c r="U411" s="28" t="str">
        <f t="array" ref="U411">INDEX('raw-sheet'!$A$2:$ZZ$1000, ROW(U410), MATCH(U$1, 'raw-sheet'!$A$1:$ZZ$1, 0))</f>
        <v>https://innisfree-taiwan.myshopify.com/cdn/shop/files/logo.png?v=1767594135</v>
      </c>
      <c r="V411" s="28" t="str">
        <f t="array" ref="V411">INDEX('raw-sheet'!$A$2:$ZZ$1000, ROW(V410), MATCH(V$1, 'raw-sheet'!$A$1:$ZZ$1, 0))</f>
        <v>https://innisfree-taiwan.myshopify.com/blogs/notice</v>
      </c>
      <c r="W411" s="28" t="str">
        <f t="array" ref="W411">INDEX('raw-sheet'!$A$2:$ZZ$1000, ROW(W410), MATCH(W$1, 'raw-sheet'!$A$1:$ZZ$1, 0))</f>
        <v>公告 | INNISFREE Taiwan</v>
      </c>
      <c r="X411" s="28" t="str">
        <f t="array" ref="X411">INDEX('raw-sheet'!$A$2:$ZZ$1000, ROW(X410), MATCH(X$1,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Y411" s="28" t="str">
        <f t="array" ref="Y411">INDEX('raw-sheet'!$A$2:$ZZ$1000, ROW(Y410), MATCH(Y$1, 'raw-sheet'!$A$1:$ZZ$1, 0))</f>
        <v>summary_large_image</v>
      </c>
      <c r="Z411" s="30" t="s">
        <v>11</v>
      </c>
      <c r="AA411" s="28" t="str">
        <f>VLOOKUP($A411,'raw-schema'!$A:$R,14,0)</f>
        <v>Organization</v>
      </c>
      <c r="AB411" s="28" t="s">
        <v>2401</v>
      </c>
      <c r="AC411" s="28" t="s">
        <v>2401</v>
      </c>
      <c r="AD411" s="28" t="s">
        <v>2401</v>
      </c>
      <c r="AE411" s="28" t="s">
        <v>2401</v>
      </c>
      <c r="AF411" s="30" t="s">
        <v>2492</v>
      </c>
      <c r="AG411" s="28" t="s">
        <v>2491</v>
      </c>
    </row>
    <row r="412" spans="1:33" x14ac:dyDescent="0.3">
      <c r="A412" s="28" t="str">
        <f t="array" ref="A412">INDEX('raw-sheet'!$A$2:$ZZ$1000, ROW(A411), MATCH(A$1, 'raw-sheet'!$A$1:$ZZ$1, 0))</f>
        <v>https://innisfree-taiwan.myshopify.com/blogs/notice/notice_11</v>
      </c>
      <c r="B412" s="51" t="s">
        <v>2493</v>
      </c>
      <c r="C412" s="30" t="s">
        <v>11</v>
      </c>
      <c r="D412" s="28" t="str">
        <f t="array" ref="D412">INDEX('raw-sheet'!$A$2:$ZZ$1000, ROW(D411), MATCH(D$1, 'raw-sheet'!$A$1:$ZZ$1, 0))</f>
        <v>Blog Page</v>
      </c>
      <c r="E412" s="28">
        <f t="array" ref="E412">INDEX('raw-sheet'!$A$2:$ZZ$1000, ROW(E411), MATCH(E$1, 'raw-sheet'!$A$1:$ZZ$1, 0))</f>
        <v>200</v>
      </c>
      <c r="F412" s="30" t="s">
        <v>11</v>
      </c>
      <c r="G412" s="28" t="str">
        <f t="array" ref="G412">INDEX('raw-sheet'!$A$2:$ZZ$1000, ROW(G411), MATCH(G$1, 'raw-sheet'!$A$1:$ZZ$1, 0))</f>
        <v>notice_11_x000D_ | INNISFREE Taiwan</v>
      </c>
      <c r="H412" s="30" t="s">
        <v>11</v>
      </c>
      <c r="I412" s="45" t="str">
        <f t="array" ref="I412">INDEX('raw-sheet'!$A$2:$ZZ$1000, ROW(I411), MATCH(I$1, 'raw-sheet'!$A$1:$ZZ$1, 0))</f>
        <v>gggg</v>
      </c>
      <c r="J412" s="30" t="s">
        <v>2490</v>
      </c>
      <c r="K412" s="28" t="str">
        <f t="array" ref="K412">INDEX('raw-sheet'!$A$2:$ZZ$1000, ROW(K411), MATCH(K$1, 'raw-sheet'!$A$1:$ZZ$1, 0))</f>
        <v>notice_11</v>
      </c>
      <c r="L412" s="28" t="str">
        <f t="array" ref="L412">INDEX('raw-sheet'!$A$2:$ZZ$1000, ROW(L411), MATCH(L$1, 'raw-sheet'!$A$1:$ZZ$1, 0))</f>
        <v>1</v>
      </c>
      <c r="M412" s="30" t="s">
        <v>11</v>
      </c>
      <c r="N412" s="28" t="str">
        <f t="array" ref="N412">INDEX('raw-sheet'!$A$2:$ZZ$1000, ROW(N411), MATCH(N$1, 'raw-sheet'!$A$1:$ZZ$1, 0))</f>
        <v>https://innisfree-taiwan.myshopify.com/blogs/notice/notice_11</v>
      </c>
      <c r="O412" s="30" t="str">
        <f t="shared" si="15"/>
        <v>Not</v>
      </c>
      <c r="P412" s="28" t="str">
        <f t="array" ref="P412">INDEX('raw-sheet'!$A$2:$ZZ$1000, ROW(P411), MATCH(P$1, 'raw-sheet'!$A$1:$ZZ$1, 0))</f>
        <v>notice_11 | INNISFREE Taiwan</v>
      </c>
      <c r="Q412" s="28" t="str">
        <f t="array" ref="Q412">INDEX('raw-sheet'!$A$2:$ZZ$1000, ROW(Q411), MATCH(Q$1, 'raw-sheet'!$A$1:$ZZ$1, 0))</f>
        <v>gggg</v>
      </c>
      <c r="R412" s="28" t="str">
        <f t="array" ref="R412">INDEX('raw-sheet'!$A$2:$ZZ$1000, ROW(R411), MATCH(R$1, 'raw-sheet'!$A$1:$ZZ$1, 0))</f>
        <v>article</v>
      </c>
      <c r="S412" s="28" t="str">
        <f t="array" ref="S412">INDEX('raw-sheet'!$A$2:$ZZ$1000, ROW(S411), MATCH(S$1, 'raw-sheet'!$A$1:$ZZ$1, 0))</f>
        <v>INNISFREE Taiwan</v>
      </c>
      <c r="T412" s="28" t="str">
        <f t="array" ref="T412">INDEX('raw-sheet'!$A$2:$ZZ$1000, ROW(T411), MATCH(T$1, 'raw-sheet'!$A$1:$ZZ$1, 0))</f>
        <v>http://innisfree-taiwan.myshopify.com/cdn/shop/files/logo.png?v=1767594135</v>
      </c>
      <c r="U412" s="28" t="str">
        <f t="array" ref="U412">INDEX('raw-sheet'!$A$2:$ZZ$1000, ROW(U411), MATCH(U$1, 'raw-sheet'!$A$1:$ZZ$1, 0))</f>
        <v>https://innisfree-taiwan.myshopify.com/cdn/shop/files/logo.png?v=1767594135</v>
      </c>
      <c r="V412" s="28" t="str">
        <f t="array" ref="V412">INDEX('raw-sheet'!$A$2:$ZZ$1000, ROW(V411), MATCH(V$1, 'raw-sheet'!$A$1:$ZZ$1, 0))</f>
        <v>https://innisfree-taiwan.myshopify.com/blogs/notice/notice_11</v>
      </c>
      <c r="W412" s="28" t="str">
        <f t="array" ref="W412">INDEX('raw-sheet'!$A$2:$ZZ$1000, ROW(W411), MATCH(W$1, 'raw-sheet'!$A$1:$ZZ$1, 0))</f>
        <v>notice_11 | INNISFREE Taiwan</v>
      </c>
      <c r="X412" s="28" t="str">
        <f t="array" ref="X412">INDEX('raw-sheet'!$A$2:$ZZ$1000, ROW(X411), MATCH(X$1, 'raw-sheet'!$A$1:$ZZ$1, 0))</f>
        <v>gggg</v>
      </c>
      <c r="Y412" s="28" t="str">
        <f t="array" ref="Y412">INDEX('raw-sheet'!$A$2:$ZZ$1000, ROW(Y411), MATCH(Y$1, 'raw-sheet'!$A$1:$ZZ$1, 0))</f>
        <v>summary_large_image</v>
      </c>
      <c r="Z412" s="30" t="s">
        <v>11</v>
      </c>
      <c r="AA412" s="28" t="str">
        <f>VLOOKUP($A412,'raw-schema'!$A:$R,14,0)</f>
        <v>Article</v>
      </c>
      <c r="AB412" s="28" t="str">
        <f>VLOOKUP($A412,'raw-schema'!$A:$R,15,0)</f>
        <v>Organization</v>
      </c>
      <c r="AC412" s="28" t="str">
        <f>VLOOKUP($A412,'raw-schema'!$A:$R,16,0)</f>
        <v>Person</v>
      </c>
      <c r="AD412" s="28" t="str">
        <f>VLOOKUP($A412,'raw-schema'!$A:$R,17,0)</f>
        <v>WebPage</v>
      </c>
      <c r="AE412" s="28" t="s">
        <v>2401</v>
      </c>
      <c r="AF412" s="30"/>
      <c r="AG412" s="30"/>
    </row>
    <row r="413" spans="1:33" x14ac:dyDescent="0.3">
      <c r="A413" s="28" t="str">
        <f t="array" ref="A413">INDEX('raw-sheet'!$A$2:$ZZ$1000, ROW(A412), MATCH(A$1, 'raw-sheet'!$A$1:$ZZ$1, 0))</f>
        <v>https://innisfree-taiwan.myshopify.com/blogs/notice/notice_10</v>
      </c>
      <c r="B413" s="51" t="s">
        <v>2493</v>
      </c>
      <c r="C413" s="30" t="s">
        <v>11</v>
      </c>
      <c r="D413" s="28" t="str">
        <f t="array" ref="D413">INDEX('raw-sheet'!$A$2:$ZZ$1000, ROW(D412), MATCH(D$1, 'raw-sheet'!$A$1:$ZZ$1, 0))</f>
        <v>Blog Page</v>
      </c>
      <c r="E413" s="28">
        <f t="array" ref="E413">INDEX('raw-sheet'!$A$2:$ZZ$1000, ROW(E412), MATCH(E$1, 'raw-sheet'!$A$1:$ZZ$1, 0))</f>
        <v>200</v>
      </c>
      <c r="F413" s="30" t="s">
        <v>11</v>
      </c>
      <c r="G413" s="28" t="str">
        <f t="array" ref="G413">INDEX('raw-sheet'!$A$2:$ZZ$1000, ROW(G412), MATCH(G$1, 'raw-sheet'!$A$1:$ZZ$1, 0))</f>
        <v>notice_10_x000D_ | INNISFREE Taiwan</v>
      </c>
      <c r="H413" s="30" t="s">
        <v>11</v>
      </c>
      <c r="I413" s="45" t="str">
        <f t="array" ref="I413">INDEX('raw-sheet'!$A$2:$ZZ$1000, ROW(I412), MATCH(I$1, 'raw-sheet'!$A$1:$ZZ$1, 0))</f>
        <v>aaasdasdasdd   assssass</v>
      </c>
      <c r="J413" s="30" t="s">
        <v>2490</v>
      </c>
      <c r="K413" s="28" t="str">
        <f t="array" ref="K413">INDEX('raw-sheet'!$A$2:$ZZ$1000, ROW(K412), MATCH(K$1, 'raw-sheet'!$A$1:$ZZ$1, 0))</f>
        <v>notice_10</v>
      </c>
      <c r="L413" s="28" t="str">
        <f t="array" ref="L413">INDEX('raw-sheet'!$A$2:$ZZ$1000, ROW(L412), MATCH(L$1, 'raw-sheet'!$A$1:$ZZ$1, 0))</f>
        <v>1</v>
      </c>
      <c r="M413" s="30" t="s">
        <v>11</v>
      </c>
      <c r="N413" s="28" t="str">
        <f t="array" ref="N413">INDEX('raw-sheet'!$A$2:$ZZ$1000, ROW(N412), MATCH(N$1, 'raw-sheet'!$A$1:$ZZ$1, 0))</f>
        <v>https://innisfree-taiwan.myshopify.com/blogs/notice/notice_10</v>
      </c>
      <c r="O413" s="30" t="str">
        <f t="shared" si="15"/>
        <v>Not</v>
      </c>
      <c r="P413" s="28" t="str">
        <f t="array" ref="P413">INDEX('raw-sheet'!$A$2:$ZZ$1000, ROW(P412), MATCH(P$1, 'raw-sheet'!$A$1:$ZZ$1, 0))</f>
        <v>notice_10 | INNISFREE Taiwan</v>
      </c>
      <c r="Q413" s="28" t="str">
        <f t="array" ref="Q413">INDEX('raw-sheet'!$A$2:$ZZ$1000, ROW(Q412), MATCH(Q$1, 'raw-sheet'!$A$1:$ZZ$1, 0))</f>
        <v>aaasdasdasdd   assssass</v>
      </c>
      <c r="R413" s="28" t="str">
        <f t="array" ref="R413">INDEX('raw-sheet'!$A$2:$ZZ$1000, ROW(R412), MATCH(R$1, 'raw-sheet'!$A$1:$ZZ$1, 0))</f>
        <v>article</v>
      </c>
      <c r="S413" s="28" t="str">
        <f t="array" ref="S413">INDEX('raw-sheet'!$A$2:$ZZ$1000, ROW(S412), MATCH(S$1, 'raw-sheet'!$A$1:$ZZ$1, 0))</f>
        <v>INNISFREE Taiwan</v>
      </c>
      <c r="T413" s="28" t="str">
        <f t="array" ref="T413">INDEX('raw-sheet'!$A$2:$ZZ$1000, ROW(T412), MATCH(T$1, 'raw-sheet'!$A$1:$ZZ$1, 0))</f>
        <v>http://innisfree-taiwan.myshopify.com/cdn/shop/files/logo.png?v=1767594135</v>
      </c>
      <c r="U413" s="28" t="str">
        <f t="array" ref="U413">INDEX('raw-sheet'!$A$2:$ZZ$1000, ROW(U412), MATCH(U$1, 'raw-sheet'!$A$1:$ZZ$1, 0))</f>
        <v>https://innisfree-taiwan.myshopify.com/cdn/shop/files/logo.png?v=1767594135</v>
      </c>
      <c r="V413" s="28" t="str">
        <f t="array" ref="V413">INDEX('raw-sheet'!$A$2:$ZZ$1000, ROW(V412), MATCH(V$1, 'raw-sheet'!$A$1:$ZZ$1, 0))</f>
        <v>https://innisfree-taiwan.myshopify.com/blogs/notice/notice_10</v>
      </c>
      <c r="W413" s="28" t="str">
        <f t="array" ref="W413">INDEX('raw-sheet'!$A$2:$ZZ$1000, ROW(W412), MATCH(W$1, 'raw-sheet'!$A$1:$ZZ$1, 0))</f>
        <v>notice_10 | INNISFREE Taiwan</v>
      </c>
      <c r="X413" s="28" t="str">
        <f t="array" ref="X413">INDEX('raw-sheet'!$A$2:$ZZ$1000, ROW(X412), MATCH(X$1, 'raw-sheet'!$A$1:$ZZ$1, 0))</f>
        <v>aaasdasdasdd   assssass</v>
      </c>
      <c r="Y413" s="28" t="str">
        <f t="array" ref="Y413">INDEX('raw-sheet'!$A$2:$ZZ$1000, ROW(Y412), MATCH(Y$1, 'raw-sheet'!$A$1:$ZZ$1, 0))</f>
        <v>summary_large_image</v>
      </c>
      <c r="Z413" s="30" t="s">
        <v>11</v>
      </c>
      <c r="AA413" s="28" t="str">
        <f>VLOOKUP($A413,'raw-schema'!$A:$R,14,0)</f>
        <v>Article</v>
      </c>
      <c r="AB413" s="28" t="str">
        <f>VLOOKUP($A413,'raw-schema'!$A:$R,15,0)</f>
        <v>Organization</v>
      </c>
      <c r="AC413" s="28" t="str">
        <f>VLOOKUP($A413,'raw-schema'!$A:$R,16,0)</f>
        <v>Person</v>
      </c>
      <c r="AD413" s="28" t="str">
        <f>VLOOKUP($A413,'raw-schema'!$A:$R,17,0)</f>
        <v>WebPage</v>
      </c>
      <c r="AE413" s="28" t="s">
        <v>2401</v>
      </c>
      <c r="AF413" s="30" t="s">
        <v>11</v>
      </c>
      <c r="AG413" s="28" t="s">
        <v>2401</v>
      </c>
    </row>
    <row r="414" spans="1:33" x14ac:dyDescent="0.3">
      <c r="A414" s="28" t="str">
        <f t="array" ref="A414">INDEX('raw-sheet'!$A$2:$ZZ$1000, ROW(A413), MATCH(A$1, 'raw-sheet'!$A$1:$ZZ$1, 0))</f>
        <v>https://innisfree-taiwan.myshopify.com/blogs/notice/notice_09</v>
      </c>
      <c r="B414" s="51" t="s">
        <v>2493</v>
      </c>
      <c r="C414" s="30" t="s">
        <v>11</v>
      </c>
      <c r="D414" s="28" t="str">
        <f t="array" ref="D414">INDEX('raw-sheet'!$A$2:$ZZ$1000, ROW(D413), MATCH(D$1, 'raw-sheet'!$A$1:$ZZ$1, 0))</f>
        <v>Blog Page</v>
      </c>
      <c r="E414" s="28">
        <f t="array" ref="E414">INDEX('raw-sheet'!$A$2:$ZZ$1000, ROW(E413), MATCH(E$1, 'raw-sheet'!$A$1:$ZZ$1, 0))</f>
        <v>200</v>
      </c>
      <c r="F414" s="30" t="s">
        <v>11</v>
      </c>
      <c r="G414" s="28" t="str">
        <f t="array" ref="G414">INDEX('raw-sheet'!$A$2:$ZZ$1000, ROW(G413), MATCH(G$1, 'raw-sheet'!$A$1:$ZZ$1, 0))</f>
        <v>notice_09_x000D_ | INNISFREE Taiwan</v>
      </c>
      <c r="H414" s="30" t="s">
        <v>11</v>
      </c>
      <c r="I414" s="45" t="str">
        <f t="array" ref="I414">INDEX('raw-sheet'!$A$2:$ZZ$1000, ROW(I413), MATCH(I$1, 'raw-sheet'!$A$1:$ZZ$1, 0))</f>
        <v>aaaadwq 111111111 asdasd   xxxxza</v>
      </c>
      <c r="J414" s="30" t="s">
        <v>2490</v>
      </c>
      <c r="K414" s="28" t="str">
        <f t="array" ref="K414">INDEX('raw-sheet'!$A$2:$ZZ$1000, ROW(K413), MATCH(K$1, 'raw-sheet'!$A$1:$ZZ$1, 0))</f>
        <v>notice_09</v>
      </c>
      <c r="L414" s="28" t="str">
        <f t="array" ref="L414">INDEX('raw-sheet'!$A$2:$ZZ$1000, ROW(L413), MATCH(L$1, 'raw-sheet'!$A$1:$ZZ$1, 0))</f>
        <v>2</v>
      </c>
      <c r="M414" s="30" t="s">
        <v>11</v>
      </c>
      <c r="N414" s="28" t="str">
        <f t="array" ref="N414">INDEX('raw-sheet'!$A$2:$ZZ$1000, ROW(N413), MATCH(N$1, 'raw-sheet'!$A$1:$ZZ$1, 0))</f>
        <v>https://innisfree-taiwan.myshopify.com/blogs/notice/notice_09</v>
      </c>
      <c r="O414" s="30" t="str">
        <f t="shared" si="15"/>
        <v>Not</v>
      </c>
      <c r="P414" s="28" t="str">
        <f t="array" ref="P414">INDEX('raw-sheet'!$A$2:$ZZ$1000, ROW(P413), MATCH(P$1, 'raw-sheet'!$A$1:$ZZ$1, 0))</f>
        <v>notice_09 | INNISFREE Taiwan</v>
      </c>
      <c r="Q414" s="28" t="str">
        <f t="array" ref="Q414">INDEX('raw-sheet'!$A$2:$ZZ$1000, ROW(Q413), MATCH(Q$1, 'raw-sheet'!$A$1:$ZZ$1, 0))</f>
        <v>aaaadwq 111111111 asdasd   xxxxza</v>
      </c>
      <c r="R414" s="28" t="str">
        <f t="array" ref="R414">INDEX('raw-sheet'!$A$2:$ZZ$1000, ROW(R413), MATCH(R$1, 'raw-sheet'!$A$1:$ZZ$1, 0))</f>
        <v>article</v>
      </c>
      <c r="S414" s="28" t="str">
        <f t="array" ref="S414">INDEX('raw-sheet'!$A$2:$ZZ$1000, ROW(S413), MATCH(S$1, 'raw-sheet'!$A$1:$ZZ$1, 0))</f>
        <v>INNISFREE Taiwan</v>
      </c>
      <c r="T414" s="28" t="str">
        <f t="array" ref="T414">INDEX('raw-sheet'!$A$2:$ZZ$1000, ROW(T413), MATCH(T$1, 'raw-sheet'!$A$1:$ZZ$1, 0))</f>
        <v>http://innisfree-taiwan.myshopify.com/cdn/shop/files/logo.png?v=1767594135</v>
      </c>
      <c r="U414" s="28" t="str">
        <f t="array" ref="U414">INDEX('raw-sheet'!$A$2:$ZZ$1000, ROW(U413), MATCH(U$1, 'raw-sheet'!$A$1:$ZZ$1, 0))</f>
        <v>https://innisfree-taiwan.myshopify.com/cdn/shop/files/logo.png?v=1767594135</v>
      </c>
      <c r="V414" s="28" t="str">
        <f t="array" ref="V414">INDEX('raw-sheet'!$A$2:$ZZ$1000, ROW(V413), MATCH(V$1, 'raw-sheet'!$A$1:$ZZ$1, 0))</f>
        <v>https://innisfree-taiwan.myshopify.com/blogs/notice/notice_09</v>
      </c>
      <c r="W414" s="28" t="str">
        <f t="array" ref="W414">INDEX('raw-sheet'!$A$2:$ZZ$1000, ROW(W413), MATCH(W$1, 'raw-sheet'!$A$1:$ZZ$1, 0))</f>
        <v>notice_09 | INNISFREE Taiwan</v>
      </c>
      <c r="X414" s="28" t="str">
        <f t="array" ref="X414">INDEX('raw-sheet'!$A$2:$ZZ$1000, ROW(X413), MATCH(X$1, 'raw-sheet'!$A$1:$ZZ$1, 0))</f>
        <v>aaaadwq 111111111 asdasd   xxxxza</v>
      </c>
      <c r="Y414" s="28" t="str">
        <f t="array" ref="Y414">INDEX('raw-sheet'!$A$2:$ZZ$1000, ROW(Y413), MATCH(Y$1, 'raw-sheet'!$A$1:$ZZ$1, 0))</f>
        <v>summary_large_image</v>
      </c>
      <c r="Z414" s="30" t="s">
        <v>11</v>
      </c>
      <c r="AA414" s="28" t="str">
        <f>VLOOKUP($A414,'raw-schema'!$A:$R,14,0)</f>
        <v>Article</v>
      </c>
      <c r="AB414" s="28" t="str">
        <f>VLOOKUP($A414,'raw-schema'!$A:$R,15,0)</f>
        <v>Organization</v>
      </c>
      <c r="AC414" s="28" t="str">
        <f>VLOOKUP($A414,'raw-schema'!$A:$R,16,0)</f>
        <v>Person</v>
      </c>
      <c r="AD414" s="28" t="str">
        <f>VLOOKUP($A414,'raw-schema'!$A:$R,17,0)</f>
        <v>WebPage</v>
      </c>
      <c r="AE414" s="28" t="s">
        <v>2401</v>
      </c>
      <c r="AF414" s="30" t="s">
        <v>11</v>
      </c>
      <c r="AG414" s="28" t="s">
        <v>2401</v>
      </c>
    </row>
    <row r="415" spans="1:33" x14ac:dyDescent="0.3">
      <c r="A415" s="28" t="str">
        <f t="array" ref="A415">INDEX('raw-sheet'!$A$2:$ZZ$1000, ROW(A414), MATCH(A$1, 'raw-sheet'!$A$1:$ZZ$1, 0))</f>
        <v>https://innisfree-taiwan.myshopify.com/blogs/notice/notice_08</v>
      </c>
      <c r="B415" s="51" t="s">
        <v>2493</v>
      </c>
      <c r="C415" s="30" t="s">
        <v>11</v>
      </c>
      <c r="D415" s="28" t="str">
        <f t="array" ref="D415">INDEX('raw-sheet'!$A$2:$ZZ$1000, ROW(D414), MATCH(D$1, 'raw-sheet'!$A$1:$ZZ$1, 0))</f>
        <v>Blog Page</v>
      </c>
      <c r="E415" s="28">
        <f t="array" ref="E415">INDEX('raw-sheet'!$A$2:$ZZ$1000, ROW(E414), MATCH(E$1, 'raw-sheet'!$A$1:$ZZ$1, 0))</f>
        <v>200</v>
      </c>
      <c r="F415" s="30" t="s">
        <v>11</v>
      </c>
      <c r="G415" s="28" t="str">
        <f t="array" ref="G415">INDEX('raw-sheet'!$A$2:$ZZ$1000, ROW(G414), MATCH(G$1, 'raw-sheet'!$A$1:$ZZ$1, 0))</f>
        <v>notice_08_x000D_ | INNISFREE Taiwan</v>
      </c>
      <c r="H415" s="30" t="s">
        <v>11</v>
      </c>
      <c r="I415" s="45" t="str">
        <f t="array" ref="I415">INDEX('raw-sheet'!$A$2:$ZZ$1000, ROW(I414), MATCH(I$1, 'raw-sheet'!$A$1:$ZZ$1, 0))</f>
        <v>asd  asdasd asdasd1123123123213asaa</v>
      </c>
      <c r="J415" s="30" t="s">
        <v>2490</v>
      </c>
      <c r="K415" s="28" t="str">
        <f t="array" ref="K415">INDEX('raw-sheet'!$A$2:$ZZ$1000, ROW(K414), MATCH(K$1, 'raw-sheet'!$A$1:$ZZ$1, 0))</f>
        <v>notice_08</v>
      </c>
      <c r="L415" s="28" t="str">
        <f t="array" ref="L415">INDEX('raw-sheet'!$A$2:$ZZ$1000, ROW(L414), MATCH(L$1, 'raw-sheet'!$A$1:$ZZ$1, 0))</f>
        <v>1</v>
      </c>
      <c r="M415" s="30" t="s">
        <v>11</v>
      </c>
      <c r="N415" s="28" t="str">
        <f t="array" ref="N415">INDEX('raw-sheet'!$A$2:$ZZ$1000, ROW(N414), MATCH(N$1, 'raw-sheet'!$A$1:$ZZ$1, 0))</f>
        <v>https://innisfree-taiwan.myshopify.com/blogs/notice/notice_08</v>
      </c>
      <c r="O415" s="30" t="str">
        <f t="shared" si="15"/>
        <v>Not</v>
      </c>
      <c r="P415" s="28" t="str">
        <f t="array" ref="P415">INDEX('raw-sheet'!$A$2:$ZZ$1000, ROW(P414), MATCH(P$1, 'raw-sheet'!$A$1:$ZZ$1, 0))</f>
        <v>notice_08 | INNISFREE Taiwan</v>
      </c>
      <c r="Q415" s="28" t="str">
        <f t="array" ref="Q415">INDEX('raw-sheet'!$A$2:$ZZ$1000, ROW(Q414), MATCH(Q$1, 'raw-sheet'!$A$1:$ZZ$1, 0))</f>
        <v>asd  asdasd asdasd1123123123213asaa</v>
      </c>
      <c r="R415" s="28" t="str">
        <f t="array" ref="R415">INDEX('raw-sheet'!$A$2:$ZZ$1000, ROW(R414), MATCH(R$1, 'raw-sheet'!$A$1:$ZZ$1, 0))</f>
        <v>article</v>
      </c>
      <c r="S415" s="28" t="str">
        <f t="array" ref="S415">INDEX('raw-sheet'!$A$2:$ZZ$1000, ROW(S414), MATCH(S$1, 'raw-sheet'!$A$1:$ZZ$1, 0))</f>
        <v>INNISFREE Taiwan</v>
      </c>
      <c r="T415" s="28" t="str">
        <f t="array" ref="T415">INDEX('raw-sheet'!$A$2:$ZZ$1000, ROW(T414), MATCH(T$1, 'raw-sheet'!$A$1:$ZZ$1, 0))</f>
        <v>http://innisfree-taiwan.myshopify.com/cdn/shop/files/logo.png?v=1767594135</v>
      </c>
      <c r="U415" s="28" t="str">
        <f t="array" ref="U415">INDEX('raw-sheet'!$A$2:$ZZ$1000, ROW(U414), MATCH(U$1, 'raw-sheet'!$A$1:$ZZ$1, 0))</f>
        <v>https://innisfree-taiwan.myshopify.com/cdn/shop/files/logo.png?v=1767594135</v>
      </c>
      <c r="V415" s="28" t="str">
        <f t="array" ref="V415">INDEX('raw-sheet'!$A$2:$ZZ$1000, ROW(V414), MATCH(V$1, 'raw-sheet'!$A$1:$ZZ$1, 0))</f>
        <v>https://innisfree-taiwan.myshopify.com/blogs/notice/notice_08</v>
      </c>
      <c r="W415" s="28" t="str">
        <f t="array" ref="W415">INDEX('raw-sheet'!$A$2:$ZZ$1000, ROW(W414), MATCH(W$1, 'raw-sheet'!$A$1:$ZZ$1, 0))</f>
        <v>notice_08 | INNISFREE Taiwan</v>
      </c>
      <c r="X415" s="28" t="str">
        <f t="array" ref="X415">INDEX('raw-sheet'!$A$2:$ZZ$1000, ROW(X414), MATCH(X$1, 'raw-sheet'!$A$1:$ZZ$1, 0))</f>
        <v>asd  asdasd asdasd1123123123213asaa</v>
      </c>
      <c r="Y415" s="28" t="str">
        <f t="array" ref="Y415">INDEX('raw-sheet'!$A$2:$ZZ$1000, ROW(Y414), MATCH(Y$1, 'raw-sheet'!$A$1:$ZZ$1, 0))</f>
        <v>summary_large_image</v>
      </c>
      <c r="Z415" s="30" t="s">
        <v>11</v>
      </c>
      <c r="AA415" s="28" t="str">
        <f>VLOOKUP($A415,'raw-schema'!$A:$R,14,0)</f>
        <v>Article</v>
      </c>
      <c r="AB415" s="28" t="str">
        <f>VLOOKUP($A415,'raw-schema'!$A:$R,15,0)</f>
        <v>Organization</v>
      </c>
      <c r="AC415" s="28" t="str">
        <f>VLOOKUP($A415,'raw-schema'!$A:$R,16,0)</f>
        <v>Person</v>
      </c>
      <c r="AD415" s="28" t="str">
        <f>VLOOKUP($A415,'raw-schema'!$A:$R,17,0)</f>
        <v>WebPage</v>
      </c>
      <c r="AE415" s="28" t="s">
        <v>2401</v>
      </c>
      <c r="AF415" s="30" t="s">
        <v>11</v>
      </c>
      <c r="AG415" s="28" t="s">
        <v>2401</v>
      </c>
    </row>
    <row r="416" spans="1:33" x14ac:dyDescent="0.3">
      <c r="A416" s="28" t="str">
        <f t="array" ref="A416">INDEX('raw-sheet'!$A$2:$ZZ$1000, ROW(A415), MATCH(A$1, 'raw-sheet'!$A$1:$ZZ$1, 0))</f>
        <v>https://innisfree-taiwan.myshopify.com/blogs/notice/notice_07</v>
      </c>
      <c r="B416" s="51" t="s">
        <v>2493</v>
      </c>
      <c r="C416" s="30" t="s">
        <v>11</v>
      </c>
      <c r="D416" s="28" t="str">
        <f t="array" ref="D416">INDEX('raw-sheet'!$A$2:$ZZ$1000, ROW(D415), MATCH(D$1, 'raw-sheet'!$A$1:$ZZ$1, 0))</f>
        <v>Blog Page</v>
      </c>
      <c r="E416" s="28">
        <f t="array" ref="E416">INDEX('raw-sheet'!$A$2:$ZZ$1000, ROW(E415), MATCH(E$1, 'raw-sheet'!$A$1:$ZZ$1, 0))</f>
        <v>200</v>
      </c>
      <c r="F416" s="30" t="s">
        <v>11</v>
      </c>
      <c r="G416" s="28" t="str">
        <f t="array" ref="G416">INDEX('raw-sheet'!$A$2:$ZZ$1000, ROW(G415), MATCH(G$1, 'raw-sheet'!$A$1:$ZZ$1, 0))</f>
        <v>notice_07_x000D_ | INNISFREE Taiwan</v>
      </c>
      <c r="H416" s="30" t="s">
        <v>11</v>
      </c>
      <c r="I416" s="28" t="s">
        <v>2402</v>
      </c>
      <c r="J416" s="30" t="s">
        <v>2382</v>
      </c>
      <c r="K416" s="28" t="str">
        <f t="array" ref="K416">INDEX('raw-sheet'!$A$2:$ZZ$1000, ROW(K415), MATCH(K$1, 'raw-sheet'!$A$1:$ZZ$1, 0))</f>
        <v>notice_07</v>
      </c>
      <c r="L416" s="28" t="str">
        <f t="array" ref="L416">INDEX('raw-sheet'!$A$2:$ZZ$1000, ROW(L415), MATCH(L$1, 'raw-sheet'!$A$1:$ZZ$1, 0))</f>
        <v>1</v>
      </c>
      <c r="M416" s="30" t="s">
        <v>11</v>
      </c>
      <c r="N416" s="28" t="str">
        <f t="array" ref="N416">INDEX('raw-sheet'!$A$2:$ZZ$1000, ROW(N415), MATCH(N$1, 'raw-sheet'!$A$1:$ZZ$1, 0))</f>
        <v>https://innisfree-taiwan.myshopify.com/blogs/notice/notice_07</v>
      </c>
      <c r="O416" s="30" t="str">
        <f t="shared" si="15"/>
        <v>Not</v>
      </c>
      <c r="P416" s="28" t="str">
        <f t="array" ref="P416">INDEX('raw-sheet'!$A$2:$ZZ$1000, ROW(P415), MATCH(P$1, 'raw-sheet'!$A$1:$ZZ$1, 0))</f>
        <v>notice_07 | INNISFREE Taiwan</v>
      </c>
      <c r="Q416" s="28" t="str">
        <f t="array" ref="Q416">INDEX('raw-sheet'!$A$2:$ZZ$1000, ROW(Q415), MATCH(Q$1,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R416" s="28" t="str">
        <f t="array" ref="R416">INDEX('raw-sheet'!$A$2:$ZZ$1000, ROW(R415), MATCH(R$1, 'raw-sheet'!$A$1:$ZZ$1, 0))</f>
        <v>article</v>
      </c>
      <c r="S416" s="28" t="str">
        <f t="array" ref="S416">INDEX('raw-sheet'!$A$2:$ZZ$1000, ROW(S415), MATCH(S$1, 'raw-sheet'!$A$1:$ZZ$1, 0))</f>
        <v>INNISFREE Taiwan</v>
      </c>
      <c r="T416" s="28" t="str">
        <f t="array" ref="T416">INDEX('raw-sheet'!$A$2:$ZZ$1000, ROW(T415), MATCH(T$1, 'raw-sheet'!$A$1:$ZZ$1, 0))</f>
        <v>http://innisfree-taiwan.myshopify.com/cdn/shop/files/logo.png?v=1767594135</v>
      </c>
      <c r="U416" s="28" t="str">
        <f t="array" ref="U416">INDEX('raw-sheet'!$A$2:$ZZ$1000, ROW(U415), MATCH(U$1, 'raw-sheet'!$A$1:$ZZ$1, 0))</f>
        <v>https://innisfree-taiwan.myshopify.com/cdn/shop/files/logo.png?v=1767594135</v>
      </c>
      <c r="V416" s="28" t="str">
        <f t="array" ref="V416">INDEX('raw-sheet'!$A$2:$ZZ$1000, ROW(V415), MATCH(V$1, 'raw-sheet'!$A$1:$ZZ$1, 0))</f>
        <v>https://innisfree-taiwan.myshopify.com/blogs/notice/notice_07</v>
      </c>
      <c r="W416" s="28" t="str">
        <f t="array" ref="W416">INDEX('raw-sheet'!$A$2:$ZZ$1000, ROW(W415), MATCH(W$1, 'raw-sheet'!$A$1:$ZZ$1, 0))</f>
        <v>notice_07 | INNISFREE Taiwan</v>
      </c>
      <c r="X416" s="28" t="str">
        <f t="array" ref="X416">INDEX('raw-sheet'!$A$2:$ZZ$1000, ROW(X415), MATCH(X$1, 'raw-sheet'!$A$1:$ZZ$1, 0))</f>
        <v>innisfree 來自韓國濟州島的No.1自然主義美妝保養品牌，不僅將濟州島清新潔淨的空氣、溫暖和煦的陽光、純淨天然的水源、肥沃健康的土壤、自然純粹的植物養分注入保養品，更為消費者打造健康與美麗。| innisfree Taiwan</v>
      </c>
      <c r="Y416" s="28" t="str">
        <f t="array" ref="Y416">INDEX('raw-sheet'!$A$2:$ZZ$1000, ROW(Y415), MATCH(Y$1, 'raw-sheet'!$A$1:$ZZ$1, 0))</f>
        <v>summary_large_image</v>
      </c>
      <c r="Z416" s="30" t="s">
        <v>11</v>
      </c>
      <c r="AA416" s="28" t="str">
        <f>VLOOKUP($A416,'raw-schema'!$A:$R,14,0)</f>
        <v>Article</v>
      </c>
      <c r="AB416" s="28" t="str">
        <f>VLOOKUP($A416,'raw-schema'!$A:$R,15,0)</f>
        <v>Organization</v>
      </c>
      <c r="AC416" s="28" t="str">
        <f>VLOOKUP($A416,'raw-schema'!$A:$R,16,0)</f>
        <v>Person</v>
      </c>
      <c r="AD416" s="28" t="str">
        <f>VLOOKUP($A416,'raw-schema'!$A:$R,17,0)</f>
        <v>WebPage</v>
      </c>
      <c r="AE416" s="28" t="s">
        <v>2401</v>
      </c>
      <c r="AF416" s="30" t="s">
        <v>11</v>
      </c>
      <c r="AG416" s="28" t="s">
        <v>2401</v>
      </c>
    </row>
    <row r="417" spans="1:33" x14ac:dyDescent="0.3">
      <c r="A417" s="28" t="str">
        <f t="array" ref="A417">INDEX('raw-sheet'!$A$2:$ZZ$1000, ROW(A416), MATCH(A$1, 'raw-sheet'!$A$1:$ZZ$1, 0))</f>
        <v>https://innisfree-taiwan.myshopify.com/blogs/notice/notice_06</v>
      </c>
      <c r="B417" s="51" t="s">
        <v>2493</v>
      </c>
      <c r="C417" s="30" t="s">
        <v>11</v>
      </c>
      <c r="D417" s="28" t="str">
        <f t="array" ref="D417">INDEX('raw-sheet'!$A$2:$ZZ$1000, ROW(D416), MATCH(D$1, 'raw-sheet'!$A$1:$ZZ$1, 0))</f>
        <v>Blog Page</v>
      </c>
      <c r="E417" s="28">
        <f t="array" ref="E417">INDEX('raw-sheet'!$A$2:$ZZ$1000, ROW(E416), MATCH(E$1, 'raw-sheet'!$A$1:$ZZ$1, 0))</f>
        <v>200</v>
      </c>
      <c r="F417" s="30" t="s">
        <v>11</v>
      </c>
      <c r="G417" s="28" t="str">
        <f t="array" ref="G417">INDEX('raw-sheet'!$A$2:$ZZ$1000, ROW(G416), MATCH(G$1, 'raw-sheet'!$A$1:$ZZ$1, 0))</f>
        <v>notice_06_x000D_ | INNISFREE Taiwan</v>
      </c>
      <c r="H417" s="30" t="s">
        <v>11</v>
      </c>
      <c r="I417" s="45" t="str">
        <f t="array" ref="I417">INDEX('raw-sheet'!$A$2:$ZZ$1000, ROW(I416), MATCH(I$1, 'raw-sheet'!$A$1:$ZZ$1, 0))</f>
        <v>aaaa 12121213555   a12sd12asd12sadsad</v>
      </c>
      <c r="J417" s="30" t="s">
        <v>2490</v>
      </c>
      <c r="K417" s="28" t="str">
        <f t="array" ref="K417">INDEX('raw-sheet'!$A$2:$ZZ$1000, ROW(K416), MATCH(K$1, 'raw-sheet'!$A$1:$ZZ$1, 0))</f>
        <v>notice_06</v>
      </c>
      <c r="L417" s="28" t="str">
        <f t="array" ref="L417">INDEX('raw-sheet'!$A$2:$ZZ$1000, ROW(L416), MATCH(L$1, 'raw-sheet'!$A$1:$ZZ$1, 0))</f>
        <v>1</v>
      </c>
      <c r="M417" s="30" t="s">
        <v>11</v>
      </c>
      <c r="N417" s="28" t="str">
        <f t="array" ref="N417">INDEX('raw-sheet'!$A$2:$ZZ$1000, ROW(N416), MATCH(N$1, 'raw-sheet'!$A$1:$ZZ$1, 0))</f>
        <v>https://innisfree-taiwan.myshopify.com/blogs/notice/notice_06</v>
      </c>
      <c r="O417" s="30" t="str">
        <f t="shared" si="15"/>
        <v>Not</v>
      </c>
      <c r="P417" s="28" t="str">
        <f t="array" ref="P417">INDEX('raw-sheet'!$A$2:$ZZ$1000, ROW(P416), MATCH(P$1, 'raw-sheet'!$A$1:$ZZ$1, 0))</f>
        <v>notice_06 | INNISFREE Taiwan</v>
      </c>
      <c r="Q417" s="28" t="str">
        <f t="array" ref="Q417">INDEX('raw-sheet'!$A$2:$ZZ$1000, ROW(Q416), MATCH(Q$1, 'raw-sheet'!$A$1:$ZZ$1, 0))</f>
        <v>aaaa 12121213555   a12sd12asd12sadsad</v>
      </c>
      <c r="R417" s="28" t="str">
        <f t="array" ref="R417">INDEX('raw-sheet'!$A$2:$ZZ$1000, ROW(R416), MATCH(R$1, 'raw-sheet'!$A$1:$ZZ$1, 0))</f>
        <v>article</v>
      </c>
      <c r="S417" s="28" t="str">
        <f t="array" ref="S417">INDEX('raw-sheet'!$A$2:$ZZ$1000, ROW(S416), MATCH(S$1, 'raw-sheet'!$A$1:$ZZ$1, 0))</f>
        <v>INNISFREE Taiwan</v>
      </c>
      <c r="T417" s="28" t="str">
        <f t="array" ref="T417">INDEX('raw-sheet'!$A$2:$ZZ$1000, ROW(T416), MATCH(T$1, 'raw-sheet'!$A$1:$ZZ$1, 0))</f>
        <v>http://innisfree-taiwan.myshopify.com/cdn/shop/files/logo.png?v=1767594135</v>
      </c>
      <c r="U417" s="28" t="str">
        <f t="array" ref="U417">INDEX('raw-sheet'!$A$2:$ZZ$1000, ROW(U416), MATCH(U$1, 'raw-sheet'!$A$1:$ZZ$1, 0))</f>
        <v>https://innisfree-taiwan.myshopify.com/cdn/shop/files/logo.png?v=1767594135</v>
      </c>
      <c r="V417" s="28" t="str">
        <f t="array" ref="V417">INDEX('raw-sheet'!$A$2:$ZZ$1000, ROW(V416), MATCH(V$1, 'raw-sheet'!$A$1:$ZZ$1, 0))</f>
        <v>https://innisfree-taiwan.myshopify.com/blogs/notice/notice_06</v>
      </c>
      <c r="W417" s="28" t="str">
        <f t="array" ref="W417">INDEX('raw-sheet'!$A$2:$ZZ$1000, ROW(W416), MATCH(W$1, 'raw-sheet'!$A$1:$ZZ$1, 0))</f>
        <v>notice_06 | INNISFREE Taiwan</v>
      </c>
      <c r="X417" s="28" t="str">
        <f t="array" ref="X417">INDEX('raw-sheet'!$A$2:$ZZ$1000, ROW(X416), MATCH(X$1, 'raw-sheet'!$A$1:$ZZ$1, 0))</f>
        <v>aaaa 12121213555   a12sd12asd12sadsad</v>
      </c>
      <c r="Y417" s="28" t="str">
        <f t="array" ref="Y417">INDEX('raw-sheet'!$A$2:$ZZ$1000, ROW(Y416), MATCH(Y$1, 'raw-sheet'!$A$1:$ZZ$1, 0))</f>
        <v>summary_large_image</v>
      </c>
      <c r="Z417" s="30" t="s">
        <v>11</v>
      </c>
      <c r="AA417" s="28" t="str">
        <f>VLOOKUP($A417,'raw-schema'!$A:$R,14,0)</f>
        <v>Article</v>
      </c>
      <c r="AB417" s="28" t="str">
        <f>VLOOKUP($A417,'raw-schema'!$A:$R,15,0)</f>
        <v>Organization</v>
      </c>
      <c r="AC417" s="28" t="str">
        <f>VLOOKUP($A417,'raw-schema'!$A:$R,16,0)</f>
        <v>Person</v>
      </c>
      <c r="AD417" s="28" t="str">
        <f>VLOOKUP($A417,'raw-schema'!$A:$R,17,0)</f>
        <v>WebPage</v>
      </c>
      <c r="AE417" s="28" t="s">
        <v>2401</v>
      </c>
      <c r="AF417" s="30" t="s">
        <v>11</v>
      </c>
      <c r="AG417" s="28" t="s">
        <v>2401</v>
      </c>
    </row>
    <row r="418" spans="1:33" x14ac:dyDescent="0.3">
      <c r="A418" s="28" t="str">
        <f t="array" ref="A418">INDEX('raw-sheet'!$A$2:$ZZ$1000, ROW(A417), MATCH(A$1, 'raw-sheet'!$A$1:$ZZ$1, 0))</f>
        <v>https://innisfree-taiwan.myshopify.com/blogs/notice/notice_05</v>
      </c>
      <c r="B418" s="51" t="s">
        <v>2493</v>
      </c>
      <c r="C418" s="30" t="s">
        <v>11</v>
      </c>
      <c r="D418" s="28" t="str">
        <f t="array" ref="D418">INDEX('raw-sheet'!$A$2:$ZZ$1000, ROW(D417), MATCH(D$1, 'raw-sheet'!$A$1:$ZZ$1, 0))</f>
        <v>Blog Page</v>
      </c>
      <c r="E418" s="28">
        <f t="array" ref="E418">INDEX('raw-sheet'!$A$2:$ZZ$1000, ROW(E417), MATCH(E$1, 'raw-sheet'!$A$1:$ZZ$1, 0))</f>
        <v>200</v>
      </c>
      <c r="F418" s="30" t="s">
        <v>11</v>
      </c>
      <c r="G418" s="28" t="str">
        <f t="array" ref="G418">INDEX('raw-sheet'!$A$2:$ZZ$1000, ROW(G417), MATCH(G$1, 'raw-sheet'!$A$1:$ZZ$1, 0))</f>
        <v>notice_05_x000D_ | INNISFREE Taiwan</v>
      </c>
      <c r="H418" s="30" t="s">
        <v>11</v>
      </c>
      <c r="I418" s="45" t="str">
        <f t="array" ref="I418">INDEX('raw-sheet'!$A$2:$ZZ$1000, ROW(I417), MATCH(I$1, 'raw-sheet'!$A$1:$ZZ$1, 0))</f>
        <v>Link Test</v>
      </c>
      <c r="J418" s="30" t="s">
        <v>2490</v>
      </c>
      <c r="K418" s="28" t="str">
        <f t="array" ref="K418">INDEX('raw-sheet'!$A$2:$ZZ$1000, ROW(K417), MATCH(K$1, 'raw-sheet'!$A$1:$ZZ$1, 0))</f>
        <v>notice_05</v>
      </c>
      <c r="L418" s="28" t="str">
        <f t="array" ref="L418">INDEX('raw-sheet'!$A$2:$ZZ$1000, ROW(L417), MATCH(L$1, 'raw-sheet'!$A$1:$ZZ$1, 0))</f>
        <v>1</v>
      </c>
      <c r="M418" s="30" t="s">
        <v>11</v>
      </c>
      <c r="N418" s="28" t="str">
        <f t="array" ref="N418">INDEX('raw-sheet'!$A$2:$ZZ$1000, ROW(N417), MATCH(N$1, 'raw-sheet'!$A$1:$ZZ$1, 0))</f>
        <v>https://innisfree-taiwan.myshopify.com/blogs/notice/notice_05</v>
      </c>
      <c r="O418" s="30" t="str">
        <f t="shared" si="15"/>
        <v>Not</v>
      </c>
      <c r="P418" s="28" t="str">
        <f t="array" ref="P418">INDEX('raw-sheet'!$A$2:$ZZ$1000, ROW(P417), MATCH(P$1, 'raw-sheet'!$A$1:$ZZ$1, 0))</f>
        <v>notice_05 | INNISFREE Taiwan</v>
      </c>
      <c r="Q418" s="28" t="str">
        <f t="array" ref="Q418">INDEX('raw-sheet'!$A$2:$ZZ$1000, ROW(Q417), MATCH(Q$1, 'raw-sheet'!$A$1:$ZZ$1, 0))</f>
        <v>Link Test</v>
      </c>
      <c r="R418" s="28" t="str">
        <f t="array" ref="R418">INDEX('raw-sheet'!$A$2:$ZZ$1000, ROW(R417), MATCH(R$1, 'raw-sheet'!$A$1:$ZZ$1, 0))</f>
        <v>article</v>
      </c>
      <c r="S418" s="28" t="str">
        <f t="array" ref="S418">INDEX('raw-sheet'!$A$2:$ZZ$1000, ROW(S417), MATCH(S$1, 'raw-sheet'!$A$1:$ZZ$1, 0))</f>
        <v>INNISFREE Taiwan</v>
      </c>
      <c r="T418" s="28" t="str">
        <f t="array" ref="T418">INDEX('raw-sheet'!$A$2:$ZZ$1000, ROW(T417), MATCH(T$1, 'raw-sheet'!$A$1:$ZZ$1, 0))</f>
        <v>http://innisfree-taiwan.myshopify.com/cdn/shop/files/logo.png?v=1767594135</v>
      </c>
      <c r="U418" s="28" t="str">
        <f t="array" ref="U418">INDEX('raw-sheet'!$A$2:$ZZ$1000, ROW(U417), MATCH(U$1, 'raw-sheet'!$A$1:$ZZ$1, 0))</f>
        <v>https://innisfree-taiwan.myshopify.com/cdn/shop/files/logo.png?v=1767594135</v>
      </c>
      <c r="V418" s="28" t="str">
        <f t="array" ref="V418">INDEX('raw-sheet'!$A$2:$ZZ$1000, ROW(V417), MATCH(V$1, 'raw-sheet'!$A$1:$ZZ$1, 0))</f>
        <v>https://innisfree-taiwan.myshopify.com/blogs/notice/notice_05</v>
      </c>
      <c r="W418" s="28" t="str">
        <f t="array" ref="W418">INDEX('raw-sheet'!$A$2:$ZZ$1000, ROW(W417), MATCH(W$1, 'raw-sheet'!$A$1:$ZZ$1, 0))</f>
        <v>notice_05 | INNISFREE Taiwan</v>
      </c>
      <c r="X418" s="28" t="str">
        <f t="array" ref="X418">INDEX('raw-sheet'!$A$2:$ZZ$1000, ROW(X417), MATCH(X$1, 'raw-sheet'!$A$1:$ZZ$1, 0))</f>
        <v>Link Test</v>
      </c>
      <c r="Y418" s="28" t="str">
        <f t="array" ref="Y418">INDEX('raw-sheet'!$A$2:$ZZ$1000, ROW(Y417), MATCH(Y$1, 'raw-sheet'!$A$1:$ZZ$1, 0))</f>
        <v>summary_large_image</v>
      </c>
      <c r="Z418" s="30" t="s">
        <v>11</v>
      </c>
      <c r="AA418" s="28" t="str">
        <f>VLOOKUP($A418,'raw-schema'!$A:$R,14,0)</f>
        <v>Article</v>
      </c>
      <c r="AB418" s="28" t="str">
        <f>VLOOKUP($A418,'raw-schema'!$A:$R,15,0)</f>
        <v>Organization</v>
      </c>
      <c r="AC418" s="28" t="str">
        <f>VLOOKUP($A418,'raw-schema'!$A:$R,16,0)</f>
        <v>Person</v>
      </c>
      <c r="AD418" s="28" t="str">
        <f>VLOOKUP($A418,'raw-schema'!$A:$R,17,0)</f>
        <v>WebPage</v>
      </c>
      <c r="AE418" s="28" t="s">
        <v>2401</v>
      </c>
      <c r="AF418" s="30" t="s">
        <v>11</v>
      </c>
      <c r="AG418" s="28" t="s">
        <v>2401</v>
      </c>
    </row>
    <row r="419" spans="1:33" x14ac:dyDescent="0.3">
      <c r="A419" s="28" t="str">
        <f t="array" ref="A419">INDEX('raw-sheet'!$A$2:$ZZ$1000, ROW(A418), MATCH(A$1, 'raw-sheet'!$A$1:$ZZ$1, 0))</f>
        <v>https://innisfree-taiwan.myshopify.com/blogs/notice/notice_04</v>
      </c>
      <c r="B419" s="51" t="s">
        <v>2493</v>
      </c>
      <c r="C419" s="30" t="s">
        <v>11</v>
      </c>
      <c r="D419" s="28" t="str">
        <f t="array" ref="D419">INDEX('raw-sheet'!$A$2:$ZZ$1000, ROW(D418), MATCH(D$1, 'raw-sheet'!$A$1:$ZZ$1, 0))</f>
        <v>Blog Page</v>
      </c>
      <c r="E419" s="28">
        <f t="array" ref="E419">INDEX('raw-sheet'!$A$2:$ZZ$1000, ROW(E418), MATCH(E$1, 'raw-sheet'!$A$1:$ZZ$1, 0))</f>
        <v>200</v>
      </c>
      <c r="F419" s="30" t="s">
        <v>11</v>
      </c>
      <c r="G419" s="28" t="str">
        <f t="array" ref="G419">INDEX('raw-sheet'!$A$2:$ZZ$1000, ROW(G418), MATCH(G$1, 'raw-sheet'!$A$1:$ZZ$1, 0))</f>
        <v>notice_04_x000D_ | INNISFREE Taiwan</v>
      </c>
      <c r="H419" s="30" t="s">
        <v>11</v>
      </c>
      <c r="I419" s="45" t="str">
        <f t="array" ref="I419">INDEX('raw-sheet'!$A$2:$ZZ$1000, ROW(I418), MATCH(I$1, 'raw-sheet'!$A$1:$ZZ$1, 0))</f>
        <v>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</v>
      </c>
      <c r="J419" s="30" t="s">
        <v>2490</v>
      </c>
      <c r="K419" s="28" t="str">
        <f t="array" ref="K419">INDEX('raw-sheet'!$A$2:$ZZ$1000, ROW(K418), MATCH(K$1, 'raw-sheet'!$A$1:$ZZ$1, 0))</f>
        <v>notice_04</v>
      </c>
      <c r="L419" s="28" t="str">
        <f t="array" ref="L419">INDEX('raw-sheet'!$A$2:$ZZ$1000, ROW(L418), MATCH(L$1, 'raw-sheet'!$A$1:$ZZ$1, 0))</f>
        <v>1</v>
      </c>
      <c r="M419" s="30" t="s">
        <v>11</v>
      </c>
      <c r="N419" s="28" t="str">
        <f t="array" ref="N419">INDEX('raw-sheet'!$A$2:$ZZ$1000, ROW(N418), MATCH(N$1, 'raw-sheet'!$A$1:$ZZ$1, 0))</f>
        <v>https://innisfree-taiwan.myshopify.com/blogs/notice/notice_04</v>
      </c>
      <c r="O419" s="30" t="str">
        <f t="shared" si="15"/>
        <v>Not</v>
      </c>
      <c r="P419" s="28" t="str">
        <f t="array" ref="P419">INDEX('raw-sheet'!$A$2:$ZZ$1000, ROW(P418), MATCH(P$1, 'raw-sheet'!$A$1:$ZZ$1, 0))</f>
        <v>notice_04 | INNISFREE Taiwan</v>
      </c>
      <c r="Q419" s="28" t="str">
        <f t="array" ref="Q419">INDEX('raw-sheet'!$A$2:$ZZ$1000, ROW(Q418), MATCH(Q$1, 'raw-sheet'!$A$1:$ZZ$1, 0))</f>
        <v>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</v>
      </c>
      <c r="R419" s="28" t="str">
        <f t="array" ref="R419">INDEX('raw-sheet'!$A$2:$ZZ$1000, ROW(R418), MATCH(R$1, 'raw-sheet'!$A$1:$ZZ$1, 0))</f>
        <v>article</v>
      </c>
      <c r="S419" s="28" t="str">
        <f t="array" ref="S419">INDEX('raw-sheet'!$A$2:$ZZ$1000, ROW(S418), MATCH(S$1, 'raw-sheet'!$A$1:$ZZ$1, 0))</f>
        <v>INNISFREE Taiwan</v>
      </c>
      <c r="T419" s="28" t="str">
        <f t="array" ref="T419">INDEX('raw-sheet'!$A$2:$ZZ$1000, ROW(T418), MATCH(T$1, 'raw-sheet'!$A$1:$ZZ$1, 0))</f>
        <v>http://innisfree-taiwan.myshopify.com/cdn/shop/files/logo.png?v=1767594135</v>
      </c>
      <c r="U419" s="28" t="str">
        <f t="array" ref="U419">INDEX('raw-sheet'!$A$2:$ZZ$1000, ROW(U418), MATCH(U$1, 'raw-sheet'!$A$1:$ZZ$1, 0))</f>
        <v>https://innisfree-taiwan.myshopify.com/cdn/shop/files/logo.png?v=1767594135</v>
      </c>
      <c r="V419" s="28" t="str">
        <f t="array" ref="V419">INDEX('raw-sheet'!$A$2:$ZZ$1000, ROW(V418), MATCH(V$1, 'raw-sheet'!$A$1:$ZZ$1, 0))</f>
        <v>https://innisfree-taiwan.myshopify.com/blogs/notice/notice_04</v>
      </c>
      <c r="W419" s="28" t="str">
        <f t="array" ref="W419">INDEX('raw-sheet'!$A$2:$ZZ$1000, ROW(W418), MATCH(W$1, 'raw-sheet'!$A$1:$ZZ$1, 0))</f>
        <v>notice_04 | INNISFREE Taiwan</v>
      </c>
      <c r="X419" s="28" t="str">
        <f t="array" ref="X419">INDEX('raw-sheet'!$A$2:$ZZ$1000, ROW(X418), MATCH(X$1, 'raw-sheet'!$A$1:$ZZ$1, 0))</f>
        <v>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e_04notic</v>
      </c>
      <c r="Y419" s="28" t="str">
        <f t="array" ref="Y419">INDEX('raw-sheet'!$A$2:$ZZ$1000, ROW(Y418), MATCH(Y$1, 'raw-sheet'!$A$1:$ZZ$1, 0))</f>
        <v>summary_large_image</v>
      </c>
      <c r="Z419" s="30" t="s">
        <v>11</v>
      </c>
      <c r="AA419" s="28" t="str">
        <f>VLOOKUP($A419,'raw-schema'!$A:$R,14,0)</f>
        <v>Article</v>
      </c>
      <c r="AB419" s="28" t="str">
        <f>VLOOKUP($A419,'raw-schema'!$A:$R,15,0)</f>
        <v>Organization</v>
      </c>
      <c r="AC419" s="28" t="str">
        <f>VLOOKUP($A419,'raw-schema'!$A:$R,16,0)</f>
        <v>Person</v>
      </c>
      <c r="AD419" s="28" t="str">
        <f>VLOOKUP($A419,'raw-schema'!$A:$R,17,0)</f>
        <v>WebPage</v>
      </c>
      <c r="AE419" s="28" t="s">
        <v>2401</v>
      </c>
      <c r="AF419" s="30" t="s">
        <v>11</v>
      </c>
      <c r="AG419" s="28" t="s">
        <v>2401</v>
      </c>
    </row>
    <row r="420" spans="1:33" x14ac:dyDescent="0.3">
      <c r="A420" s="28" t="str">
        <f t="array" ref="A420">INDEX('raw-sheet'!$A$2:$ZZ$1000, ROW(A419), MATCH(A$1, 'raw-sheet'!$A$1:$ZZ$1, 0))</f>
        <v>https://innisfree-taiwan.myshopify.com/blogs/notice/notice_03</v>
      </c>
      <c r="B420" s="51" t="s">
        <v>2493</v>
      </c>
      <c r="C420" s="30" t="s">
        <v>11</v>
      </c>
      <c r="D420" s="28" t="str">
        <f t="array" ref="D420">INDEX('raw-sheet'!$A$2:$ZZ$1000, ROW(D419), MATCH(D$1, 'raw-sheet'!$A$1:$ZZ$1, 0))</f>
        <v>Blog Page</v>
      </c>
      <c r="E420" s="28">
        <f t="array" ref="E420">INDEX('raw-sheet'!$A$2:$ZZ$1000, ROW(E419), MATCH(E$1, 'raw-sheet'!$A$1:$ZZ$1, 0))</f>
        <v>200</v>
      </c>
      <c r="F420" s="30" t="s">
        <v>11</v>
      </c>
      <c r="G420" s="28" t="str">
        <f t="array" ref="G420">INDEX('raw-sheet'!$A$2:$ZZ$1000, ROW(G419), MATCH(G$1, 'raw-sheet'!$A$1:$ZZ$1, 0))</f>
        <v>notice_03_x000D_ | INNISFREE Taiwan</v>
      </c>
      <c r="H420" s="30" t="s">
        <v>11</v>
      </c>
      <c r="I420" s="45" t="str">
        <f t="array" ref="I420">INDEX('raw-sheet'!$A$2:$ZZ$1000, ROW(I419), MATCH(I$1, 'raw-sheet'!$A$1:$ZZ$1, 0))</f>
        <v>12  55 6 6 6 7 8 84 1 1 23123 13  21 231 21 21212 1 2121221212</v>
      </c>
      <c r="J420" s="30" t="s">
        <v>2490</v>
      </c>
      <c r="K420" s="28" t="str">
        <f t="array" ref="K420">INDEX('raw-sheet'!$A$2:$ZZ$1000, ROW(K419), MATCH(K$1, 'raw-sheet'!$A$1:$ZZ$1, 0))</f>
        <v>notice_03</v>
      </c>
      <c r="L420" s="28" t="str">
        <f t="array" ref="L420">INDEX('raw-sheet'!$A$2:$ZZ$1000, ROW(L419), MATCH(L$1, 'raw-sheet'!$A$1:$ZZ$1, 0))</f>
        <v>1</v>
      </c>
      <c r="M420" s="30" t="s">
        <v>11</v>
      </c>
      <c r="N420" s="28" t="str">
        <f t="array" ref="N420">INDEX('raw-sheet'!$A$2:$ZZ$1000, ROW(N419), MATCH(N$1, 'raw-sheet'!$A$1:$ZZ$1, 0))</f>
        <v>https://innisfree-taiwan.myshopify.com/blogs/notice/notice_03</v>
      </c>
      <c r="O420" s="30" t="str">
        <f t="shared" si="15"/>
        <v>Not</v>
      </c>
      <c r="P420" s="28" t="str">
        <f t="array" ref="P420">INDEX('raw-sheet'!$A$2:$ZZ$1000, ROW(P419), MATCH(P$1, 'raw-sheet'!$A$1:$ZZ$1, 0))</f>
        <v>notice_03 | INNISFREE Taiwan</v>
      </c>
      <c r="Q420" s="28" t="str">
        <f t="array" ref="Q420">INDEX('raw-sheet'!$A$2:$ZZ$1000, ROW(Q419), MATCH(Q$1, 'raw-sheet'!$A$1:$ZZ$1, 0))</f>
        <v>12  55 6 6 6 7 8 84 1 1 23123 13  21 231 21 21212 1 2121221212</v>
      </c>
      <c r="R420" s="28" t="str">
        <f t="array" ref="R420">INDEX('raw-sheet'!$A$2:$ZZ$1000, ROW(R419), MATCH(R$1, 'raw-sheet'!$A$1:$ZZ$1, 0))</f>
        <v>article</v>
      </c>
      <c r="S420" s="28" t="str">
        <f t="array" ref="S420">INDEX('raw-sheet'!$A$2:$ZZ$1000, ROW(S419), MATCH(S$1, 'raw-sheet'!$A$1:$ZZ$1, 0))</f>
        <v>INNISFREE Taiwan</v>
      </c>
      <c r="T420" s="28" t="str">
        <f t="array" ref="T420">INDEX('raw-sheet'!$A$2:$ZZ$1000, ROW(T419), MATCH(T$1, 'raw-sheet'!$A$1:$ZZ$1, 0))</f>
        <v>http://innisfree-taiwan.myshopify.com/cdn/shop/files/logo.png?v=1767594135</v>
      </c>
      <c r="U420" s="28" t="str">
        <f t="array" ref="U420">INDEX('raw-sheet'!$A$2:$ZZ$1000, ROW(U419), MATCH(U$1, 'raw-sheet'!$A$1:$ZZ$1, 0))</f>
        <v>https://innisfree-taiwan.myshopify.com/cdn/shop/files/logo.png?v=1767594135</v>
      </c>
      <c r="V420" s="28" t="str">
        <f t="array" ref="V420">INDEX('raw-sheet'!$A$2:$ZZ$1000, ROW(V419), MATCH(V$1, 'raw-sheet'!$A$1:$ZZ$1, 0))</f>
        <v>https://innisfree-taiwan.myshopify.com/blogs/notice/notice_03</v>
      </c>
      <c r="W420" s="28" t="str">
        <f t="array" ref="W420">INDEX('raw-sheet'!$A$2:$ZZ$1000, ROW(W419), MATCH(W$1, 'raw-sheet'!$A$1:$ZZ$1, 0))</f>
        <v>notice_03 | INNISFREE Taiwan</v>
      </c>
      <c r="X420" s="28" t="str">
        <f t="array" ref="X420">INDEX('raw-sheet'!$A$2:$ZZ$1000, ROW(X419), MATCH(X$1, 'raw-sheet'!$A$1:$ZZ$1, 0))</f>
        <v>12  55 6 6 6 7 8 84 1 1 23123 13  21 231 21 21212 1 2121221212</v>
      </c>
      <c r="Y420" s="28" t="str">
        <f t="array" ref="Y420">INDEX('raw-sheet'!$A$2:$ZZ$1000, ROW(Y419), MATCH(Y$1, 'raw-sheet'!$A$1:$ZZ$1, 0))</f>
        <v>summary_large_image</v>
      </c>
      <c r="Z420" s="30" t="s">
        <v>11</v>
      </c>
      <c r="AA420" s="28" t="str">
        <f>VLOOKUP($A420,'raw-schema'!$A:$R,14,0)</f>
        <v>Article</v>
      </c>
      <c r="AB420" s="28" t="str">
        <f>VLOOKUP($A420,'raw-schema'!$A:$R,15,0)</f>
        <v>Organization</v>
      </c>
      <c r="AC420" s="28" t="str">
        <f>VLOOKUP($A420,'raw-schema'!$A:$R,16,0)</f>
        <v>Person</v>
      </c>
      <c r="AD420" s="28" t="str">
        <f>VLOOKUP($A420,'raw-schema'!$A:$R,17,0)</f>
        <v>WebPage</v>
      </c>
      <c r="AE420" s="28" t="s">
        <v>2401</v>
      </c>
      <c r="AF420" s="30" t="s">
        <v>11</v>
      </c>
      <c r="AG420" s="28" t="s">
        <v>2401</v>
      </c>
    </row>
    <row r="421" spans="1:33" x14ac:dyDescent="0.3">
      <c r="A421" s="28" t="str">
        <f t="array" ref="A421">INDEX('raw-sheet'!$A$2:$ZZ$1000, ROW(A420), MATCH(A$1, 'raw-sheet'!$A$1:$ZZ$1, 0))</f>
        <v>https://innisfree-taiwan.myshopify.com/blogs/notice/notice_02</v>
      </c>
      <c r="B421" s="51" t="s">
        <v>2493</v>
      </c>
      <c r="C421" s="30" t="s">
        <v>11</v>
      </c>
      <c r="D421" s="28" t="str">
        <f t="array" ref="D421">INDEX('raw-sheet'!$A$2:$ZZ$1000, ROW(D420), MATCH(D$1, 'raw-sheet'!$A$1:$ZZ$1, 0))</f>
        <v>Blog Page</v>
      </c>
      <c r="E421" s="28">
        <f t="array" ref="E421">INDEX('raw-sheet'!$A$2:$ZZ$1000, ROW(E420), MATCH(E$1, 'raw-sheet'!$A$1:$ZZ$1, 0))</f>
        <v>200</v>
      </c>
      <c r="F421" s="30" t="s">
        <v>11</v>
      </c>
      <c r="G421" s="28" t="str">
        <f t="array" ref="G421">INDEX('raw-sheet'!$A$2:$ZZ$1000, ROW(G420), MATCH(G$1, 'raw-sheet'!$A$1:$ZZ$1, 0))</f>
        <v>notice_02_x000D_ | INNISFREE Taiwan</v>
      </c>
      <c r="H421" s="30" t="s">
        <v>11</v>
      </c>
      <c r="I421" s="45" t="str">
        <f t="array" ref="I421">INDEX('raw-sheet'!$A$2:$ZZ$1000, ROW(I420), MATCH(I$1, 'raw-sheet'!$A$1:$ZZ$1, 0))</f>
        <v>1 2 3 4 5 6</v>
      </c>
      <c r="J421" s="30" t="s">
        <v>2490</v>
      </c>
      <c r="K421" s="28" t="str">
        <f t="array" ref="K421">INDEX('raw-sheet'!$A$2:$ZZ$1000, ROW(K420), MATCH(K$1, 'raw-sheet'!$A$1:$ZZ$1, 0))</f>
        <v>notice_02</v>
      </c>
      <c r="L421" s="28" t="str">
        <f t="array" ref="L421">INDEX('raw-sheet'!$A$2:$ZZ$1000, ROW(L420), MATCH(L$1, 'raw-sheet'!$A$1:$ZZ$1, 0))</f>
        <v>1</v>
      </c>
      <c r="M421" s="30" t="s">
        <v>11</v>
      </c>
      <c r="N421" s="28" t="str">
        <f t="array" ref="N421">INDEX('raw-sheet'!$A$2:$ZZ$1000, ROW(N420), MATCH(N$1, 'raw-sheet'!$A$1:$ZZ$1, 0))</f>
        <v>https://innisfree-taiwan.myshopify.com/blogs/notice/notice_02</v>
      </c>
      <c r="O421" s="30" t="str">
        <f t="shared" si="15"/>
        <v>Not</v>
      </c>
      <c r="P421" s="28" t="str">
        <f t="array" ref="P421">INDEX('raw-sheet'!$A$2:$ZZ$1000, ROW(P420), MATCH(P$1, 'raw-sheet'!$A$1:$ZZ$1, 0))</f>
        <v>notice_02 | INNISFREE Taiwan</v>
      </c>
      <c r="Q421" s="28" t="str">
        <f t="array" ref="Q421">INDEX('raw-sheet'!$A$2:$ZZ$1000, ROW(Q420), MATCH(Q$1, 'raw-sheet'!$A$1:$ZZ$1, 0))</f>
        <v>1 2 3 4 5 6</v>
      </c>
      <c r="R421" s="28" t="str">
        <f t="array" ref="R421">INDEX('raw-sheet'!$A$2:$ZZ$1000, ROW(R420), MATCH(R$1, 'raw-sheet'!$A$1:$ZZ$1, 0))</f>
        <v>article</v>
      </c>
      <c r="S421" s="28" t="str">
        <f t="array" ref="S421">INDEX('raw-sheet'!$A$2:$ZZ$1000, ROW(S420), MATCH(S$1, 'raw-sheet'!$A$1:$ZZ$1, 0))</f>
        <v>INNISFREE Taiwan</v>
      </c>
      <c r="T421" s="28" t="str">
        <f t="array" ref="T421">INDEX('raw-sheet'!$A$2:$ZZ$1000, ROW(T420), MATCH(T$1, 'raw-sheet'!$A$1:$ZZ$1, 0))</f>
        <v>http://innisfree-taiwan.myshopify.com/cdn/shop/files/logo.png?v=1767594135</v>
      </c>
      <c r="U421" s="28" t="str">
        <f t="array" ref="U421">INDEX('raw-sheet'!$A$2:$ZZ$1000, ROW(U420), MATCH(U$1, 'raw-sheet'!$A$1:$ZZ$1, 0))</f>
        <v>https://innisfree-taiwan.myshopify.com/cdn/shop/files/logo.png?v=1767594135</v>
      </c>
      <c r="V421" s="28" t="str">
        <f t="array" ref="V421">INDEX('raw-sheet'!$A$2:$ZZ$1000, ROW(V420), MATCH(V$1, 'raw-sheet'!$A$1:$ZZ$1, 0))</f>
        <v>https://innisfree-taiwan.myshopify.com/blogs/notice/notice_02</v>
      </c>
      <c r="W421" s="28" t="str">
        <f t="array" ref="W421">INDEX('raw-sheet'!$A$2:$ZZ$1000, ROW(W420), MATCH(W$1, 'raw-sheet'!$A$1:$ZZ$1, 0))</f>
        <v>notice_02 | INNISFREE Taiwan</v>
      </c>
      <c r="X421" s="28" t="str">
        <f t="array" ref="X421">INDEX('raw-sheet'!$A$2:$ZZ$1000, ROW(X420), MATCH(X$1, 'raw-sheet'!$A$1:$ZZ$1, 0))</f>
        <v>1 2 3 4 5 6</v>
      </c>
      <c r="Y421" s="28" t="str">
        <f t="array" ref="Y421">INDEX('raw-sheet'!$A$2:$ZZ$1000, ROW(Y420), MATCH(Y$1, 'raw-sheet'!$A$1:$ZZ$1, 0))</f>
        <v>summary_large_image</v>
      </c>
      <c r="Z421" s="30" t="s">
        <v>11</v>
      </c>
      <c r="AA421" s="28" t="str">
        <f>VLOOKUP($A421,'raw-schema'!$A:$R,14,0)</f>
        <v>Article</v>
      </c>
      <c r="AB421" s="28" t="str">
        <f>VLOOKUP($A421,'raw-schema'!$A:$R,15,0)</f>
        <v>Organization</v>
      </c>
      <c r="AC421" s="28" t="str">
        <f>VLOOKUP($A421,'raw-schema'!$A:$R,16,0)</f>
        <v>Person</v>
      </c>
      <c r="AD421" s="28" t="str">
        <f>VLOOKUP($A421,'raw-schema'!$A:$R,17,0)</f>
        <v>WebPage</v>
      </c>
      <c r="AE421" s="28" t="s">
        <v>2401</v>
      </c>
      <c r="AF421" s="30" t="s">
        <v>11</v>
      </c>
      <c r="AG421" s="28" t="s">
        <v>2401</v>
      </c>
    </row>
    <row r="422" spans="1:33" x14ac:dyDescent="0.3">
      <c r="A422" s="28" t="str">
        <f t="array" ref="A422">INDEX('raw-sheet'!$A$2:$ZZ$1000, ROW(A421), MATCH(A$1, 'raw-sheet'!$A$1:$ZZ$1, 0))</f>
        <v>https://innisfree-taiwan.myshopify.com/blogs/notice/notice_01</v>
      </c>
      <c r="B422" s="34"/>
      <c r="C422" s="30" t="s">
        <v>11</v>
      </c>
      <c r="D422" s="28" t="str">
        <f t="array" ref="D422">INDEX('raw-sheet'!$A$2:$ZZ$1000, ROW(D421), MATCH(D$1, 'raw-sheet'!$A$1:$ZZ$1, 0))</f>
        <v>Blog Page</v>
      </c>
      <c r="E422" s="28">
        <f t="array" ref="E422">INDEX('raw-sheet'!$A$2:$ZZ$1000, ROW(E421), MATCH(E$1, 'raw-sheet'!$A$1:$ZZ$1, 0))</f>
        <v>200</v>
      </c>
      <c r="F422" s="30" t="s">
        <v>11</v>
      </c>
      <c r="G422" s="28" t="str">
        <f t="array" ref="G422">INDEX('raw-sheet'!$A$2:$ZZ$1000, ROW(G421), MATCH(G$1, 'raw-sheet'!$A$1:$ZZ$1, 0))</f>
        <v>notice_01_x000D_ | INNISFREE Taiwan</v>
      </c>
      <c r="H422" s="30" t="s">
        <v>11</v>
      </c>
      <c r="I422" s="45" t="str">
        <f t="array" ref="I422">INDEX('raw-sheet'!$A$2:$ZZ$1000, ROW(I421), MATCH(I$1, 'raw-sheet'!$A$1:$ZZ$1, 0))</f>
        <v>123456</v>
      </c>
      <c r="J422" s="30" t="s">
        <v>2490</v>
      </c>
      <c r="K422" s="28" t="str">
        <f t="array" ref="K422">INDEX('raw-sheet'!$A$2:$ZZ$1000, ROW(K421), MATCH(K$1, 'raw-sheet'!$A$1:$ZZ$1, 0))</f>
        <v>notice_01</v>
      </c>
      <c r="L422" s="28" t="str">
        <f t="array" ref="L422">INDEX('raw-sheet'!$A$2:$ZZ$1000, ROW(L421), MATCH(L$1, 'raw-sheet'!$A$1:$ZZ$1, 0))</f>
        <v>1</v>
      </c>
      <c r="M422" s="30" t="s">
        <v>11</v>
      </c>
      <c r="N422" s="28" t="str">
        <f t="array" ref="N422">INDEX('raw-sheet'!$A$2:$ZZ$1000, ROW(N421), MATCH(N$1, 'raw-sheet'!$A$1:$ZZ$1, 0))</f>
        <v>https://innisfree-taiwan.myshopify.com/blogs/notice/notice_01</v>
      </c>
      <c r="O422" s="30" t="str">
        <f t="shared" si="15"/>
        <v>Not</v>
      </c>
      <c r="P422" s="28" t="str">
        <f t="array" ref="P422">INDEX('raw-sheet'!$A$2:$ZZ$1000, ROW(P421), MATCH(P$1, 'raw-sheet'!$A$1:$ZZ$1, 0))</f>
        <v>notice_01 | INNISFREE Taiwan</v>
      </c>
      <c r="Q422" s="28" t="str">
        <f t="array" ref="Q422">INDEX('raw-sheet'!$A$2:$ZZ$1000, ROW(Q421), MATCH(Q$1, 'raw-sheet'!$A$1:$ZZ$1, 0))</f>
        <v>123456</v>
      </c>
      <c r="R422" s="28" t="str">
        <f t="array" ref="R422">INDEX('raw-sheet'!$A$2:$ZZ$1000, ROW(R421), MATCH(R$1, 'raw-sheet'!$A$1:$ZZ$1, 0))</f>
        <v>article</v>
      </c>
      <c r="S422" s="28" t="str">
        <f t="array" ref="S422">INDEX('raw-sheet'!$A$2:$ZZ$1000, ROW(S421), MATCH(S$1, 'raw-sheet'!$A$1:$ZZ$1, 0))</f>
        <v>INNISFREE Taiwan</v>
      </c>
      <c r="T422" s="28" t="str">
        <f t="array" ref="T422">INDEX('raw-sheet'!$A$2:$ZZ$1000, ROW(T421), MATCH(T$1, 'raw-sheet'!$A$1:$ZZ$1, 0))</f>
        <v>http://innisfree-taiwan.myshopify.com/cdn/shop/files/logo.png?v=1767594135</v>
      </c>
      <c r="U422" s="28" t="str">
        <f t="array" ref="U422">INDEX('raw-sheet'!$A$2:$ZZ$1000, ROW(U421), MATCH(U$1, 'raw-sheet'!$A$1:$ZZ$1, 0))</f>
        <v>https://innisfree-taiwan.myshopify.com/cdn/shop/files/logo.png?v=1767594135</v>
      </c>
      <c r="V422" s="28" t="str">
        <f t="array" ref="V422">INDEX('raw-sheet'!$A$2:$ZZ$1000, ROW(V421), MATCH(V$1, 'raw-sheet'!$A$1:$ZZ$1, 0))</f>
        <v>https://innisfree-taiwan.myshopify.com/blogs/notice/notice_01</v>
      </c>
      <c r="W422" s="28" t="str">
        <f t="array" ref="W422">INDEX('raw-sheet'!$A$2:$ZZ$1000, ROW(W421), MATCH(W$1, 'raw-sheet'!$A$1:$ZZ$1, 0))</f>
        <v>notice_01 | INNISFREE Taiwan</v>
      </c>
      <c r="X422" s="28" t="str">
        <f t="array" ref="X422">INDEX('raw-sheet'!$A$2:$ZZ$1000, ROW(X421), MATCH(X$1, 'raw-sheet'!$A$1:$ZZ$1, 0))</f>
        <v>123456</v>
      </c>
      <c r="Y422" s="28" t="str">
        <f t="array" ref="Y422">INDEX('raw-sheet'!$A$2:$ZZ$1000, ROW(Y421), MATCH(Y$1, 'raw-sheet'!$A$1:$ZZ$1, 0))</f>
        <v>summary_large_image</v>
      </c>
      <c r="Z422" s="30" t="s">
        <v>11</v>
      </c>
      <c r="AA422" s="28" t="str">
        <f>VLOOKUP($A422,'raw-schema'!$A:$R,14,0)</f>
        <v>Article</v>
      </c>
      <c r="AB422" s="28" t="str">
        <f>VLOOKUP($A422,'raw-schema'!$A:$R,15,0)</f>
        <v>Organization</v>
      </c>
      <c r="AC422" s="28" t="str">
        <f>VLOOKUP($A422,'raw-schema'!$A:$R,16,0)</f>
        <v>Person</v>
      </c>
      <c r="AD422" s="28" t="str">
        <f>VLOOKUP($A422,'raw-schema'!$A:$R,17,0)</f>
        <v>WebPage</v>
      </c>
      <c r="AE422" s="28" t="s">
        <v>2401</v>
      </c>
      <c r="AF422" s="30" t="s">
        <v>11</v>
      </c>
      <c r="AG422" s="28" t="s">
        <v>2401</v>
      </c>
    </row>
    <row r="423" spans="1:33" x14ac:dyDescent="0.3">
      <c r="A423" s="28" t="str">
        <f t="array" ref="A423">INDEX('raw-sheet'!$A$2:$ZZ$1000, ROW(A422), MATCH(A$1, 'raw-sheet'!$A$1:$ZZ$1, 0))</f>
        <v>https://innisfree-taiwan.myshopify.com/admin</v>
      </c>
      <c r="B423" s="34" t="s">
        <v>59</v>
      </c>
      <c r="C423" s="30" t="s">
        <v>11</v>
      </c>
      <c r="D423" s="28" t="s">
        <v>8</v>
      </c>
      <c r="E423" s="28">
        <f t="array" ref="E423">INDEX('raw-sheet'!$A$2:$ZZ$1000, ROW(E422), MATCH(E$1, 'raw-sheet'!$A$1:$ZZ$1, 0))</f>
        <v>302</v>
      </c>
      <c r="F423" s="30" t="s">
        <v>11</v>
      </c>
      <c r="G423" s="28" t="s">
        <v>2402</v>
      </c>
      <c r="H423" s="30" t="s">
        <v>11</v>
      </c>
      <c r="I423" s="28" t="s">
        <v>2402</v>
      </c>
      <c r="J423" s="30" t="s">
        <v>11</v>
      </c>
      <c r="K423" s="28" t="s">
        <v>2402</v>
      </c>
      <c r="L423" s="28" t="s">
        <v>2402</v>
      </c>
      <c r="M423" s="30" t="s">
        <v>11</v>
      </c>
      <c r="N423" s="28" t="s">
        <v>2402</v>
      </c>
      <c r="O423" s="30" t="str">
        <f t="shared" si="15"/>
        <v>Not</v>
      </c>
      <c r="P423" s="28" t="s">
        <v>2402</v>
      </c>
      <c r="Q423" s="28" t="s">
        <v>2402</v>
      </c>
      <c r="R423" s="28" t="s">
        <v>2402</v>
      </c>
      <c r="S423" s="28" t="s">
        <v>2402</v>
      </c>
      <c r="T423" s="28" t="s">
        <v>2402</v>
      </c>
      <c r="U423" s="28" t="s">
        <v>2402</v>
      </c>
      <c r="V423" s="28" t="s">
        <v>2402</v>
      </c>
      <c r="W423" s="28" t="s">
        <v>2402</v>
      </c>
      <c r="X423" s="28" t="s">
        <v>2402</v>
      </c>
      <c r="Y423" s="28" t="s">
        <v>2402</v>
      </c>
      <c r="Z423" s="30" t="s">
        <v>11</v>
      </c>
      <c r="AA423" s="28" t="s">
        <v>2402</v>
      </c>
      <c r="AB423" s="28" t="s">
        <v>2402</v>
      </c>
      <c r="AC423" s="28" t="s">
        <v>2402</v>
      </c>
      <c r="AD423" s="28" t="s">
        <v>2402</v>
      </c>
      <c r="AE423" s="28" t="s">
        <v>2402</v>
      </c>
      <c r="AF423" s="30" t="s">
        <v>11</v>
      </c>
      <c r="AG423" s="28" t="s">
        <v>2401</v>
      </c>
    </row>
    <row r="424" spans="1:33" x14ac:dyDescent="0.3">
      <c r="A424" s="28" t="str">
        <f t="array" ref="A424">INDEX('raw-sheet'!$A$2:$ZZ$1000, ROW(A423), MATCH(A$1, 'raw-sheet'!$A$1:$ZZ$1, 0))</f>
        <v>https://innisfree-taiwan.myshopify.com/admin/auth/login?redirect=%2Fadmin</v>
      </c>
      <c r="B424" s="34" t="s">
        <v>59</v>
      </c>
      <c r="C424" s="30" t="s">
        <v>11</v>
      </c>
      <c r="D424" s="28" t="s">
        <v>8</v>
      </c>
      <c r="E424" s="28">
        <f t="array" ref="E424">INDEX('raw-sheet'!$A$2:$ZZ$1000, ROW(E423), MATCH(E$1, 'raw-sheet'!$A$1:$ZZ$1, 0))</f>
        <v>302</v>
      </c>
      <c r="F424" s="30" t="s">
        <v>11</v>
      </c>
      <c r="G424" s="28" t="s">
        <v>2402</v>
      </c>
      <c r="H424" s="30" t="s">
        <v>11</v>
      </c>
      <c r="I424" s="28" t="s">
        <v>2402</v>
      </c>
      <c r="J424" s="30" t="s">
        <v>11</v>
      </c>
      <c r="K424" s="28" t="s">
        <v>2402</v>
      </c>
      <c r="L424" s="28" t="s">
        <v>2402</v>
      </c>
      <c r="M424" s="30" t="s">
        <v>11</v>
      </c>
      <c r="N424" s="28" t="s">
        <v>2402</v>
      </c>
      <c r="O424" s="30" t="str">
        <f t="shared" si="15"/>
        <v>Not</v>
      </c>
      <c r="P424" s="28" t="s">
        <v>2402</v>
      </c>
      <c r="Q424" s="28" t="s">
        <v>2402</v>
      </c>
      <c r="R424" s="28" t="s">
        <v>2402</v>
      </c>
      <c r="S424" s="28" t="s">
        <v>2402</v>
      </c>
      <c r="T424" s="28" t="s">
        <v>2402</v>
      </c>
      <c r="U424" s="28" t="s">
        <v>2402</v>
      </c>
      <c r="V424" s="28" t="s">
        <v>2402</v>
      </c>
      <c r="W424" s="28" t="s">
        <v>2402</v>
      </c>
      <c r="X424" s="28" t="s">
        <v>2402</v>
      </c>
      <c r="Y424" s="28" t="s">
        <v>2402</v>
      </c>
      <c r="Z424" s="30" t="s">
        <v>11</v>
      </c>
      <c r="AA424" s="28" t="s">
        <v>2402</v>
      </c>
      <c r="AB424" s="28" t="s">
        <v>2402</v>
      </c>
      <c r="AC424" s="28" t="s">
        <v>2402</v>
      </c>
      <c r="AD424" s="28" t="s">
        <v>2402</v>
      </c>
      <c r="AE424" s="28" t="s">
        <v>2402</v>
      </c>
      <c r="AF424" s="30" t="s">
        <v>11</v>
      </c>
      <c r="AG424" s="28" t="s">
        <v>2401</v>
      </c>
    </row>
  </sheetData>
  <phoneticPr fontId="2" type="noConversion"/>
  <conditionalFormatting sqref="A1:A1048576">
    <cfRule type="duplicateValues" dxfId="336" priority="149"/>
  </conditionalFormatting>
  <conditionalFormatting sqref="B1:B33 B36:B1048576">
    <cfRule type="containsText" dxfId="335" priority="250" operator="containsText" text="_">
      <formula>NOT(ISERROR(SEARCH("_",B1)))</formula>
    </cfRule>
  </conditionalFormatting>
  <conditionalFormatting sqref="B2:B33 B36:B208 B211:B221">
    <cfRule type="containsText" dxfId="334" priority="238" operator="containsText" text="404">
      <formula>NOT(ISERROR(SEARCH("404",B2)))</formula>
    </cfRule>
    <cfRule type="containsText" dxfId="333" priority="237" operator="containsText" text="예외">
      <formula>NOT(ISERROR(SEARCH("예외",B2)))</formula>
    </cfRule>
    <cfRule type="containsText" dxfId="332" priority="239" operator="containsText" text="301">
      <formula>NOT(ISERROR(SEARCH("301",B2)))</formula>
    </cfRule>
  </conditionalFormatting>
  <conditionalFormatting sqref="B36:B208 B2:B33 B211:B221">
    <cfRule type="containsText" dxfId="328" priority="236" operator="containsText" text="삭제">
      <formula>NOT(ISERROR(SEARCH("삭제",B2)))</formula>
    </cfRule>
  </conditionalFormatting>
  <conditionalFormatting sqref="B222:B424">
    <cfRule type="containsText" dxfId="321" priority="141" operator="containsText" text="404">
      <formula>NOT(ISERROR(SEARCH("404",B222)))</formula>
    </cfRule>
    <cfRule type="containsText" dxfId="320" priority="139" operator="containsText" text="삭제">
      <formula>NOT(ISERROR(SEARCH("삭제",B222)))</formula>
    </cfRule>
    <cfRule type="containsText" dxfId="319" priority="140" operator="containsText" text="예외">
      <formula>NOT(ISERROR(SEARCH("예외",B222)))</formula>
    </cfRule>
    <cfRule type="containsText" dxfId="318" priority="142" operator="containsText" text="301">
      <formula>NOT(ISERROR(SEARCH("301",B222)))</formula>
    </cfRule>
  </conditionalFormatting>
  <conditionalFormatting sqref="B402:C424">
    <cfRule type="containsText" dxfId="317" priority="101" operator="containsText" text="N/A">
      <formula>NOT(ISERROR(SEARCH("N/A",B402)))</formula>
    </cfRule>
  </conditionalFormatting>
  <conditionalFormatting sqref="B1:AG34 B211:AG221 C209:AG210 B223:AG401 C222:AG222 B36:AG208 C35:AG35">
    <cfRule type="containsText" dxfId="316" priority="88" operator="containsText" text="N/A">
      <formula>NOT(ISERROR(SEARCH("N/A",B1)))</formula>
    </cfRule>
  </conditionalFormatting>
  <conditionalFormatting sqref="C1:C424">
    <cfRule type="containsBlanks" dxfId="315" priority="253">
      <formula>LEN(TRIM(C1))=0</formula>
    </cfRule>
  </conditionalFormatting>
  <conditionalFormatting sqref="C2:C424">
    <cfRule type="cellIs" dxfId="314" priority="251" operator="equal">
      <formula>"Pass"</formula>
    </cfRule>
    <cfRule type="notContainsBlanks" dxfId="313" priority="252">
      <formula>LEN(TRIM(C2))&gt;0</formula>
    </cfRule>
  </conditionalFormatting>
  <conditionalFormatting sqref="D3">
    <cfRule type="containsBlanks" dxfId="312" priority="192">
      <formula>LEN(TRIM(D3))=0</formula>
    </cfRule>
    <cfRule type="notContainsBlanks" dxfId="311" priority="191">
      <formula>LEN(TRIM(D3))&gt;0</formula>
    </cfRule>
    <cfRule type="cellIs" dxfId="310" priority="190" operator="equal">
      <formula>"Pass"</formula>
    </cfRule>
  </conditionalFormatting>
  <conditionalFormatting sqref="D23 D53:D65 D111">
    <cfRule type="containsBlanks" dxfId="309" priority="189">
      <formula>LEN(TRIM(D23))=0</formula>
    </cfRule>
    <cfRule type="notContainsBlanks" dxfId="308" priority="188">
      <formula>LEN(TRIM(D23))&gt;0</formula>
    </cfRule>
    <cfRule type="cellIs" dxfId="307" priority="187" operator="equal">
      <formula>"Pass"</formula>
    </cfRule>
  </conditionalFormatting>
  <conditionalFormatting sqref="E2:E401">
    <cfRule type="containsText" dxfId="306" priority="232" operator="containsText" text="404">
      <formula>NOT(ISERROR(SEARCH("404",E2)))</formula>
    </cfRule>
  </conditionalFormatting>
  <conditionalFormatting sqref="F1:F424">
    <cfRule type="containsBlanks" dxfId="305" priority="294">
      <formula>LEN(TRIM(F1))=0</formula>
    </cfRule>
  </conditionalFormatting>
  <conditionalFormatting sqref="F2:F424">
    <cfRule type="cellIs" dxfId="304" priority="292" operator="equal">
      <formula>"Pass"</formula>
    </cfRule>
    <cfRule type="notContainsBlanks" dxfId="303" priority="293">
      <formula>LEN(TRIM(F2))&gt;0</formula>
    </cfRule>
  </conditionalFormatting>
  <conditionalFormatting sqref="F402:F424">
    <cfRule type="containsText" dxfId="302" priority="136" operator="containsText" text="N/A">
      <formula>NOT(ISERROR(SEARCH("N/A",F402)))</formula>
    </cfRule>
  </conditionalFormatting>
  <conditionalFormatting sqref="G1:G2 G24:G52 G66:G110 G4:G22 G112:G1048576">
    <cfRule type="duplicateValues" dxfId="301" priority="249"/>
  </conditionalFormatting>
  <conditionalFormatting sqref="G2:G424">
    <cfRule type="duplicateValues" dxfId="300" priority="150"/>
  </conditionalFormatting>
  <conditionalFormatting sqref="G3">
    <cfRule type="containsBlanks" dxfId="299" priority="186">
      <formula>LEN(TRIM(G3))=0</formula>
    </cfRule>
    <cfRule type="notContainsBlanks" dxfId="298" priority="185">
      <formula>LEN(TRIM(G3))&gt;0</formula>
    </cfRule>
    <cfRule type="cellIs" dxfId="297" priority="184" operator="equal">
      <formula>"Pass"</formula>
    </cfRule>
  </conditionalFormatting>
  <conditionalFormatting sqref="G23 G53:G65 G111">
    <cfRule type="cellIs" dxfId="296" priority="181" operator="equal">
      <formula>"Pass"</formula>
    </cfRule>
    <cfRule type="containsBlanks" dxfId="295" priority="183">
      <formula>LEN(TRIM(G23))=0</formula>
    </cfRule>
    <cfRule type="notContainsBlanks" dxfId="294" priority="182">
      <formula>LEN(TRIM(G23))&gt;0</formula>
    </cfRule>
  </conditionalFormatting>
  <conditionalFormatting sqref="G423:G424">
    <cfRule type="containsText" dxfId="293" priority="66" operator="containsText" text="N/A">
      <formula>NOT(ISERROR(SEARCH("N/A",G423)))</formula>
    </cfRule>
  </conditionalFormatting>
  <conditionalFormatting sqref="H1:H424">
    <cfRule type="containsBlanks" dxfId="292" priority="290">
      <formula>LEN(TRIM(H1))=0</formula>
    </cfRule>
  </conditionalFormatting>
  <conditionalFormatting sqref="H2:H424">
    <cfRule type="notContainsBlanks" dxfId="291" priority="289">
      <formula>LEN(TRIM(H2))&gt;0</formula>
    </cfRule>
    <cfRule type="cellIs" dxfId="290" priority="288" operator="equal">
      <formula>"Pass"</formula>
    </cfRule>
  </conditionalFormatting>
  <conditionalFormatting sqref="H402:H424">
    <cfRule type="containsText" dxfId="289" priority="135" operator="containsText" text="N/A">
      <formula>NOT(ISERROR(SEARCH("N/A",H402)))</formula>
    </cfRule>
  </conditionalFormatting>
  <conditionalFormatting sqref="I1:I2 I6:I22 I24:I52 I66:I110 I112:I406 I425:I1048576 I408:I409 I412:I415 I417:I422">
    <cfRule type="duplicateValues" dxfId="288" priority="248"/>
  </conditionalFormatting>
  <conditionalFormatting sqref="I3">
    <cfRule type="notContainsBlanks" dxfId="287" priority="179">
      <formula>LEN(TRIM(I3))&gt;0</formula>
    </cfRule>
    <cfRule type="cellIs" dxfId="286" priority="178" operator="equal">
      <formula>"Pass"</formula>
    </cfRule>
    <cfRule type="containsBlanks" dxfId="285" priority="180">
      <formula>LEN(TRIM(I3))=0</formula>
    </cfRule>
  </conditionalFormatting>
  <conditionalFormatting sqref="I4:I5">
    <cfRule type="duplicateValues" dxfId="284" priority="174"/>
  </conditionalFormatting>
  <conditionalFormatting sqref="I23 I53:I65 I111">
    <cfRule type="containsBlanks" dxfId="283" priority="177">
      <formula>LEN(TRIM(I23))=0</formula>
    </cfRule>
    <cfRule type="notContainsBlanks" dxfId="282" priority="176">
      <formula>LEN(TRIM(I23))&gt;0</formula>
    </cfRule>
    <cfRule type="cellIs" dxfId="281" priority="175" operator="equal">
      <formula>"Pass"</formula>
    </cfRule>
  </conditionalFormatting>
  <conditionalFormatting sqref="I407">
    <cfRule type="duplicateValues" dxfId="280" priority="65"/>
    <cfRule type="containsText" dxfId="279" priority="64" operator="containsText" text="N/A">
      <formula>NOT(ISERROR(SEARCH("N/A",I407)))</formula>
    </cfRule>
  </conditionalFormatting>
  <conditionalFormatting sqref="I410:I411">
    <cfRule type="duplicateValues" dxfId="278" priority="63"/>
    <cfRule type="containsText" dxfId="277" priority="62" operator="containsText" text="N/A">
      <formula>NOT(ISERROR(SEARCH("N/A",I410)))</formula>
    </cfRule>
  </conditionalFormatting>
  <conditionalFormatting sqref="I416">
    <cfRule type="containsText" dxfId="276" priority="60" operator="containsText" text="N/A">
      <formula>NOT(ISERROR(SEARCH("N/A",I416)))</formula>
    </cfRule>
    <cfRule type="duplicateValues" dxfId="275" priority="61"/>
  </conditionalFormatting>
  <conditionalFormatting sqref="I423:I424">
    <cfRule type="duplicateValues" dxfId="274" priority="87"/>
  </conditionalFormatting>
  <conditionalFormatting sqref="I423:L424">
    <cfRule type="containsText" dxfId="273" priority="80" operator="containsText" text="N/A">
      <formula>NOT(ISERROR(SEARCH("N/A",I423)))</formula>
    </cfRule>
  </conditionalFormatting>
  <conditionalFormatting sqref="J1:J402 J423:J424">
    <cfRule type="containsBlanks" dxfId="272" priority="100">
      <formula>LEN(TRIM(J1))=0</formula>
    </cfRule>
  </conditionalFormatting>
  <conditionalFormatting sqref="J2:J402 J423:J424">
    <cfRule type="notContainsBlanks" dxfId="271" priority="99">
      <formula>LEN(TRIM(J2))&gt;0</formula>
    </cfRule>
    <cfRule type="cellIs" dxfId="270" priority="98" operator="equal">
      <formula>"Pass"</formula>
    </cfRule>
  </conditionalFormatting>
  <conditionalFormatting sqref="J402:J422">
    <cfRule type="containsText" dxfId="269" priority="13" operator="containsText" text="N/A">
      <formula>NOT(ISERROR(SEARCH("N/A",J402)))</formula>
    </cfRule>
  </conditionalFormatting>
  <conditionalFormatting sqref="J403:J422">
    <cfRule type="notContainsBlanks" dxfId="268" priority="15">
      <formula>LEN(TRIM(J403))&gt;0</formula>
    </cfRule>
    <cfRule type="cellIs" dxfId="267" priority="14" operator="equal">
      <formula>"Pass"</formula>
    </cfRule>
    <cfRule type="containsBlanks" dxfId="266" priority="16">
      <formula>LEN(TRIM(J403))=0</formula>
    </cfRule>
  </conditionalFormatting>
  <conditionalFormatting sqref="K1:K2 K6:K22 K24:K52 K66:K110 K112:K406 K425:K1048576 K408:K422">
    <cfRule type="duplicateValues" dxfId="265" priority="247"/>
  </conditionalFormatting>
  <conditionalFormatting sqref="K4:K5">
    <cfRule type="duplicateValues" dxfId="264" priority="173"/>
  </conditionalFormatting>
  <conditionalFormatting sqref="K407">
    <cfRule type="duplicateValues" dxfId="263" priority="12"/>
    <cfRule type="containsText" dxfId="262" priority="11" operator="containsText" text="N/A">
      <formula>NOT(ISERROR(SEARCH("N/A",K407)))</formula>
    </cfRule>
  </conditionalFormatting>
  <conditionalFormatting sqref="K423">
    <cfRule type="duplicateValues" dxfId="261" priority="81"/>
  </conditionalFormatting>
  <conditionalFormatting sqref="K424">
    <cfRule type="duplicateValues" dxfId="260" priority="85"/>
  </conditionalFormatting>
  <conditionalFormatting sqref="K3:L3">
    <cfRule type="containsBlanks" dxfId="259" priority="169">
      <formula>LEN(TRIM(K3))=0</formula>
    </cfRule>
    <cfRule type="cellIs" dxfId="258" priority="167" operator="equal">
      <formula>"Pass"</formula>
    </cfRule>
    <cfRule type="notContainsBlanks" dxfId="257" priority="168">
      <formula>LEN(TRIM(K3))&gt;0</formula>
    </cfRule>
  </conditionalFormatting>
  <conditionalFormatting sqref="K23:L23 K53:L65 K111:L111">
    <cfRule type="containsBlanks" dxfId="256" priority="166">
      <formula>LEN(TRIM(K23))=0</formula>
    </cfRule>
    <cfRule type="cellIs" dxfId="255" priority="164" operator="equal">
      <formula>"Pass"</formula>
    </cfRule>
    <cfRule type="notContainsBlanks" dxfId="254" priority="165">
      <formula>LEN(TRIM(K23))&gt;0</formula>
    </cfRule>
  </conditionalFormatting>
  <conditionalFormatting sqref="L4:L5">
    <cfRule type="duplicateValues" dxfId="253" priority="171"/>
  </conditionalFormatting>
  <conditionalFormatting sqref="L423:L424">
    <cfRule type="duplicateValues" dxfId="252" priority="83"/>
  </conditionalFormatting>
  <conditionalFormatting sqref="M1:M424">
    <cfRule type="containsBlanks" dxfId="251" priority="96">
      <formula>LEN(TRIM(M1))=0</formula>
    </cfRule>
  </conditionalFormatting>
  <conditionalFormatting sqref="M2:M424">
    <cfRule type="cellIs" dxfId="250" priority="94" operator="equal">
      <formula>"Pass"</formula>
    </cfRule>
    <cfRule type="notContainsBlanks" dxfId="249" priority="95">
      <formula>LEN(TRIM(M2))&gt;0</formula>
    </cfRule>
  </conditionalFormatting>
  <conditionalFormatting sqref="M402:M424">
    <cfRule type="containsText" dxfId="248" priority="93" operator="containsText" text="N/A">
      <formula>NOT(ISERROR(SEARCH("N/A",M402)))</formula>
    </cfRule>
  </conditionalFormatting>
  <conditionalFormatting sqref="N3">
    <cfRule type="cellIs" dxfId="247" priority="161" operator="equal">
      <formula>"Pass"</formula>
    </cfRule>
    <cfRule type="containsBlanks" dxfId="246" priority="163">
      <formula>LEN(TRIM(N3))=0</formula>
    </cfRule>
    <cfRule type="notContainsBlanks" dxfId="245" priority="162">
      <formula>LEN(TRIM(N3))&gt;0</formula>
    </cfRule>
  </conditionalFormatting>
  <conditionalFormatting sqref="N4:N5">
    <cfRule type="duplicateValues" dxfId="244" priority="172"/>
  </conditionalFormatting>
  <conditionalFormatting sqref="N23 N53:N65 N111">
    <cfRule type="cellIs" dxfId="243" priority="158" operator="equal">
      <formula>"Pass"</formula>
    </cfRule>
    <cfRule type="containsBlanks" dxfId="242" priority="160">
      <formula>LEN(TRIM(N23))=0</formula>
    </cfRule>
    <cfRule type="notContainsBlanks" dxfId="241" priority="159">
      <formula>LEN(TRIM(N23))&gt;0</formula>
    </cfRule>
  </conditionalFormatting>
  <conditionalFormatting sqref="N423:N424">
    <cfRule type="containsText" dxfId="240" priority="78" operator="containsText" text="N/A">
      <formula>NOT(ISERROR(SEARCH("N/A",N423)))</formula>
    </cfRule>
    <cfRule type="duplicateValues" dxfId="239" priority="79"/>
  </conditionalFormatting>
  <conditionalFormatting sqref="O1:O401">
    <cfRule type="containsBlanks" dxfId="238" priority="216">
      <formula>LEN(TRIM(O1))=0</formula>
    </cfRule>
  </conditionalFormatting>
  <conditionalFormatting sqref="O2:O401">
    <cfRule type="notContainsBlanks" dxfId="237" priority="215">
      <formula>LEN(TRIM(O2))&gt;0</formula>
    </cfRule>
    <cfRule type="cellIs" dxfId="236" priority="214" operator="equal">
      <formula>"Pass"</formula>
    </cfRule>
  </conditionalFormatting>
  <conditionalFormatting sqref="O402:O424">
    <cfRule type="containsBlanks" dxfId="235" priority="43">
      <formula>LEN(TRIM(O402))=0</formula>
    </cfRule>
    <cfRule type="notContainsBlanks" dxfId="234" priority="42">
      <formula>LEN(TRIM(O402))&gt;0</formula>
    </cfRule>
    <cfRule type="cellIs" dxfId="233" priority="41" operator="equal">
      <formula>"Pass"</formula>
    </cfRule>
    <cfRule type="containsText" dxfId="232" priority="40" operator="containsText" text="N/A">
      <formula>NOT(ISERROR(SEARCH("N/A",O402)))</formula>
    </cfRule>
  </conditionalFormatting>
  <conditionalFormatting sqref="P1:P2 P36:P52 P6:P22 P24:P34 P66:P110 P112:P422 P425:P1048576">
    <cfRule type="duplicateValues" dxfId="231" priority="243"/>
  </conditionalFormatting>
  <conditionalFormatting sqref="P423:Q424">
    <cfRule type="duplicateValues" dxfId="230" priority="77"/>
  </conditionalFormatting>
  <conditionalFormatting sqref="P4:Y5">
    <cfRule type="duplicateValues" dxfId="229" priority="170"/>
  </conditionalFormatting>
  <conditionalFormatting sqref="P423:Y424">
    <cfRule type="containsText" dxfId="228" priority="74" operator="containsText" text="N/A">
      <formula>NOT(ISERROR(SEARCH("N/A",P423)))</formula>
    </cfRule>
  </conditionalFormatting>
  <conditionalFormatting sqref="P3:AG3">
    <cfRule type="notContainsBlanks" dxfId="227" priority="153">
      <formula>LEN(TRIM(P3))&gt;0</formula>
    </cfRule>
    <cfRule type="containsBlanks" dxfId="226" priority="154">
      <formula>LEN(TRIM(P3))=0</formula>
    </cfRule>
    <cfRule type="cellIs" dxfId="225" priority="152" operator="equal">
      <formula>"Pass"</formula>
    </cfRule>
  </conditionalFormatting>
  <conditionalFormatting sqref="P23:AG23 P53:AG65 P111:AG111">
    <cfRule type="cellIs" dxfId="224" priority="155" operator="equal">
      <formula>"Pass"</formula>
    </cfRule>
    <cfRule type="notContainsBlanks" dxfId="223" priority="156">
      <formula>LEN(TRIM(P23))&gt;0</formula>
    </cfRule>
    <cfRule type="containsBlanks" dxfId="222" priority="157">
      <formula>LEN(TRIM(P23))=0</formula>
    </cfRule>
  </conditionalFormatting>
  <conditionalFormatting sqref="Q1:Q2 Q36:Q52 Q6:Q22 Q24:Q34 Q66:Q110 Q112:Q422 Q425:Q1048576">
    <cfRule type="duplicateValues" dxfId="221" priority="242"/>
  </conditionalFormatting>
  <conditionalFormatting sqref="R423:Y424">
    <cfRule type="duplicateValues" dxfId="220" priority="75"/>
  </conditionalFormatting>
  <conditionalFormatting sqref="W1:W2 W36:W52 W6:W22 W24:W34 W66:W110 W112:W422 W425:W1048576">
    <cfRule type="duplicateValues" dxfId="219" priority="241"/>
  </conditionalFormatting>
  <conditionalFormatting sqref="X1:X2 X36:X52 P35:Y35 X6:X22 X24:X34 X66:X110 X112:X422 X425:X1048576">
    <cfRule type="duplicateValues" dxfId="218" priority="240"/>
  </conditionalFormatting>
  <conditionalFormatting sqref="Z1:Z2 Z4:Z22 Z24:Z52 Z66:Z110">
    <cfRule type="containsBlanks" dxfId="217" priority="228">
      <formula>LEN(TRIM(Z1))=0</formula>
    </cfRule>
  </conditionalFormatting>
  <conditionalFormatting sqref="Z2 Z4:Z22 Z24:Z52 Z66:Z110">
    <cfRule type="cellIs" dxfId="216" priority="226" operator="equal">
      <formula>"Pass"</formula>
    </cfRule>
    <cfRule type="notContainsBlanks" dxfId="215" priority="227">
      <formula>LEN(TRIM(Z2))&gt;0</formula>
    </cfRule>
  </conditionalFormatting>
  <conditionalFormatting sqref="Z112:Z424">
    <cfRule type="notContainsBlanks" dxfId="214" priority="91">
      <formula>LEN(TRIM(Z112))&gt;0</formula>
    </cfRule>
    <cfRule type="containsBlanks" dxfId="213" priority="92">
      <formula>LEN(TRIM(Z112))=0</formula>
    </cfRule>
    <cfRule type="cellIs" dxfId="212" priority="90" operator="equal">
      <formula>"Pass"</formula>
    </cfRule>
  </conditionalFormatting>
  <conditionalFormatting sqref="Z402:Z424">
    <cfRule type="containsText" dxfId="211" priority="89" operator="containsText" text="N/A">
      <formula>NOT(ISERROR(SEARCH("N/A",Z402)))</formula>
    </cfRule>
  </conditionalFormatting>
  <conditionalFormatting sqref="AA4:AE5">
    <cfRule type="duplicateValues" dxfId="210" priority="151"/>
  </conditionalFormatting>
  <conditionalFormatting sqref="AA407:AE407">
    <cfRule type="containsText" dxfId="209" priority="10" operator="containsText" text="N/A">
      <formula>NOT(ISERROR(SEARCH("N/A",AA407)))</formula>
    </cfRule>
  </conditionalFormatting>
  <conditionalFormatting sqref="AA423:AE424">
    <cfRule type="duplicateValues" dxfId="208" priority="73"/>
  </conditionalFormatting>
  <conditionalFormatting sqref="AA423:AF424">
    <cfRule type="containsText" dxfId="207" priority="68" operator="containsText" text="N/A">
      <formula>NOT(ISERROR(SEARCH("N/A",AA423)))</formula>
    </cfRule>
  </conditionalFormatting>
  <conditionalFormatting sqref="AB408:AE409">
    <cfRule type="containsText" dxfId="206" priority="9" operator="containsText" text="N/A">
      <formula>NOT(ISERROR(SEARCH("N/A",AB408)))</formula>
    </cfRule>
  </conditionalFormatting>
  <conditionalFormatting sqref="AB410:AG411">
    <cfRule type="containsText" dxfId="205" priority="27" operator="containsText" text="N/A">
      <formula>NOT(ISERROR(SEARCH("N/A",AB410)))</formula>
    </cfRule>
  </conditionalFormatting>
  <conditionalFormatting sqref="AE402:AE406">
    <cfRule type="containsText" dxfId="204" priority="7" operator="containsText" text="N/A">
      <formula>NOT(ISERROR(SEARCH("N/A",AE402)))</formula>
    </cfRule>
  </conditionalFormatting>
  <conditionalFormatting sqref="AE412:AE422">
    <cfRule type="containsText" dxfId="203" priority="8" operator="containsText" text="N/A">
      <formula>NOT(ISERROR(SEARCH("N/A",AE412)))</formula>
    </cfRule>
  </conditionalFormatting>
  <conditionalFormatting sqref="AF1:AF2 AF4:AF22 AF24:AF52 AF66:AF110 AF112:AF406">
    <cfRule type="containsBlanks" dxfId="202" priority="225">
      <formula>LEN(TRIM(AF1))=0</formula>
    </cfRule>
  </conditionalFormatting>
  <conditionalFormatting sqref="AF2 AF4:AF22 AF24:AF52 AF66:AF110 AF112:AF406">
    <cfRule type="cellIs" dxfId="201" priority="223" operator="equal">
      <formula>"Pass"</formula>
    </cfRule>
    <cfRule type="notContainsBlanks" dxfId="200" priority="224">
      <formula>LEN(TRIM(AF2))&gt;0</formula>
    </cfRule>
  </conditionalFormatting>
  <conditionalFormatting sqref="AF407">
    <cfRule type="containsBlanks" dxfId="199" priority="24">
      <formula>LEN(TRIM(AF407))=0</formula>
    </cfRule>
    <cfRule type="notContainsBlanks" dxfId="198" priority="23">
      <formula>LEN(TRIM(AF407))&gt;0</formula>
    </cfRule>
    <cfRule type="cellIs" dxfId="197" priority="22" operator="equal">
      <formula>"Pass"</formula>
    </cfRule>
  </conditionalFormatting>
  <conditionalFormatting sqref="AF408:AF411">
    <cfRule type="notContainsBlanks" dxfId="196" priority="30">
      <formula>LEN(TRIM(AF408))&gt;0</formula>
    </cfRule>
    <cfRule type="cellIs" dxfId="195" priority="29" operator="equal">
      <formula>"Pass"</formula>
    </cfRule>
    <cfRule type="containsBlanks" dxfId="194" priority="31">
      <formula>LEN(TRIM(AF408))=0</formula>
    </cfRule>
  </conditionalFormatting>
  <conditionalFormatting sqref="AF413:AF422">
    <cfRule type="notContainsBlanks" dxfId="193" priority="34">
      <formula>LEN(TRIM(AF413))&gt;0</formula>
    </cfRule>
    <cfRule type="containsBlanks" dxfId="192" priority="35">
      <formula>LEN(TRIM(AF413))=0</formula>
    </cfRule>
    <cfRule type="cellIs" dxfId="191" priority="33" operator="equal">
      <formula>"Pass"</formula>
    </cfRule>
    <cfRule type="containsText" dxfId="190" priority="32" operator="containsText" text="N/A">
      <formula>NOT(ISERROR(SEARCH("N/A",AF413)))</formula>
    </cfRule>
  </conditionalFormatting>
  <conditionalFormatting sqref="AF423:AF424">
    <cfRule type="containsBlanks" dxfId="189" priority="71">
      <formula>LEN(TRIM(AF423))=0</formula>
    </cfRule>
    <cfRule type="notContainsBlanks" dxfId="188" priority="70">
      <formula>LEN(TRIM(AF423))&gt;0</formula>
    </cfRule>
    <cfRule type="cellIs" dxfId="187" priority="69" operator="equal">
      <formula>"Pass"</formula>
    </cfRule>
  </conditionalFormatting>
  <conditionalFormatting sqref="AF402:AG409">
    <cfRule type="containsText" dxfId="186" priority="21" operator="containsText" text="N/A">
      <formula>NOT(ISERROR(SEARCH("N/A",AF402)))</formula>
    </cfRule>
  </conditionalFormatting>
  <conditionalFormatting sqref="AF412:AG412">
    <cfRule type="containsBlanks" dxfId="185" priority="39">
      <formula>LEN(TRIM(AF412))=0</formula>
    </cfRule>
    <cfRule type="notContainsBlanks" dxfId="184" priority="38">
      <formula>LEN(TRIM(AF412))&gt;0</formula>
    </cfRule>
    <cfRule type="cellIs" dxfId="183" priority="37" operator="equal">
      <formula>"Pass"</formula>
    </cfRule>
    <cfRule type="containsText" dxfId="182" priority="36" operator="containsText" text="N/A">
      <formula>NOT(ISERROR(SEARCH("N/A",AF412)))</formula>
    </cfRule>
  </conditionalFormatting>
  <conditionalFormatting sqref="AG241">
    <cfRule type="containsBlanks" dxfId="181" priority="195">
      <formula>LEN(TRIM(AG241))=0</formula>
    </cfRule>
    <cfRule type="cellIs" dxfId="180" priority="193" operator="equal">
      <formula>"Pass"</formula>
    </cfRule>
    <cfRule type="notContainsBlanks" dxfId="179" priority="194">
      <formula>LEN(TRIM(AG241))&gt;0</formula>
    </cfRule>
  </conditionalFormatting>
  <conditionalFormatting sqref="AG394:AG395">
    <cfRule type="cellIs" dxfId="178" priority="208" operator="equal">
      <formula>"Pass"</formula>
    </cfRule>
    <cfRule type="notContainsBlanks" dxfId="177" priority="209">
      <formula>LEN(TRIM(AG394))&gt;0</formula>
    </cfRule>
    <cfRule type="containsBlanks" dxfId="176" priority="210">
      <formula>LEN(TRIM(AG394))=0</formula>
    </cfRule>
  </conditionalFormatting>
  <conditionalFormatting sqref="AG413:AG424">
    <cfRule type="containsText" dxfId="175" priority="25" operator="containsText" text="N/A">
      <formula>NOT(ISERROR(SEARCH("N/A",AG413)))</formula>
    </cfRule>
  </conditionalFormatting>
  <conditionalFormatting sqref="B209:B210">
    <cfRule type="containsText" dxfId="172" priority="3" operator="containsText" text="삭제">
      <formula>NOT(ISERROR(SEARCH("삭제",B209)))</formula>
    </cfRule>
    <cfRule type="containsText" dxfId="171" priority="4" operator="containsText" text="예외">
      <formula>NOT(ISERROR(SEARCH("예외",B209)))</formula>
    </cfRule>
    <cfRule type="containsText" dxfId="173" priority="5" operator="containsText" text="404">
      <formula>NOT(ISERROR(SEARCH("404",B209)))</formula>
    </cfRule>
    <cfRule type="containsText" dxfId="170" priority="6" operator="containsText" text="301">
      <formula>NOT(ISERROR(SEARCH("301",B209)))</formula>
    </cfRule>
  </conditionalFormatting>
  <conditionalFormatting sqref="B209:B210">
    <cfRule type="containsText" dxfId="169" priority="2" operator="containsText" text="N/A">
      <formula>NOT(ISERROR(SEARCH("N/A",B209)))</formula>
    </cfRule>
  </conditionalFormatting>
  <conditionalFormatting sqref="B222">
    <cfRule type="containsText" dxfId="168" priority="1" operator="containsText" text="N/A">
      <formula>NOT(ISERROR(SEARCH("N/A",B222)))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424"/>
  <sheetViews>
    <sheetView topLeftCell="A373" zoomScale="70" zoomScaleNormal="70" workbookViewId="0">
      <selection activeCell="A423" sqref="A423"/>
    </sheetView>
  </sheetViews>
  <sheetFormatPr defaultRowHeight="16.5" x14ac:dyDescent="0.3"/>
  <cols>
    <col min="1" max="1" width="77.625" customWidth="1"/>
  </cols>
  <sheetData>
    <row r="1" spans="1:89" x14ac:dyDescent="0.3">
      <c r="A1" t="s">
        <v>10</v>
      </c>
      <c r="B1" t="s">
        <v>27</v>
      </c>
      <c r="C1" t="s">
        <v>73</v>
      </c>
      <c r="D1" t="s">
        <v>13</v>
      </c>
      <c r="E1" t="s">
        <v>74</v>
      </c>
      <c r="F1" t="s">
        <v>75</v>
      </c>
      <c r="G1" t="s">
        <v>76</v>
      </c>
      <c r="H1" t="s">
        <v>29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31</v>
      </c>
      <c r="O1" t="s">
        <v>82</v>
      </c>
      <c r="P1" t="s">
        <v>83</v>
      </c>
      <c r="Q1" t="s">
        <v>84</v>
      </c>
      <c r="R1" t="s">
        <v>85</v>
      </c>
      <c r="S1" t="s">
        <v>33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36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  <c r="BD1" t="s">
        <v>121</v>
      </c>
      <c r="BE1" t="s">
        <v>122</v>
      </c>
      <c r="BF1" t="s">
        <v>123</v>
      </c>
      <c r="BG1" t="s">
        <v>124</v>
      </c>
      <c r="BH1" t="s">
        <v>125</v>
      </c>
      <c r="BI1" t="s">
        <v>126</v>
      </c>
      <c r="BJ1" t="s">
        <v>127</v>
      </c>
      <c r="BK1" t="s">
        <v>128</v>
      </c>
      <c r="BL1" t="s">
        <v>129</v>
      </c>
      <c r="BM1" t="s">
        <v>130</v>
      </c>
      <c r="BN1" t="s">
        <v>131</v>
      </c>
      <c r="BO1" t="s">
        <v>132</v>
      </c>
      <c r="BP1" t="s">
        <v>133</v>
      </c>
      <c r="BQ1" t="s">
        <v>134</v>
      </c>
      <c r="BR1" t="s">
        <v>38</v>
      </c>
      <c r="BS1" t="s">
        <v>39</v>
      </c>
      <c r="BT1" t="s">
        <v>40</v>
      </c>
      <c r="BU1" t="s">
        <v>41</v>
      </c>
      <c r="BV1" t="s">
        <v>42</v>
      </c>
      <c r="BW1" t="s">
        <v>43</v>
      </c>
      <c r="BX1" t="s">
        <v>135</v>
      </c>
      <c r="BY1" t="s">
        <v>136</v>
      </c>
      <c r="BZ1" t="s">
        <v>44</v>
      </c>
      <c r="CA1" t="s">
        <v>45</v>
      </c>
      <c r="CB1" t="s">
        <v>46</v>
      </c>
      <c r="CC1" t="s">
        <v>47</v>
      </c>
      <c r="CD1" t="s">
        <v>34</v>
      </c>
      <c r="CE1" t="s">
        <v>137</v>
      </c>
      <c r="CF1" t="s">
        <v>138</v>
      </c>
      <c r="CG1" t="s">
        <v>139</v>
      </c>
      <c r="CH1" t="s">
        <v>140</v>
      </c>
      <c r="CI1" t="s">
        <v>141</v>
      </c>
      <c r="CJ1" t="s">
        <v>142</v>
      </c>
      <c r="CK1" t="s">
        <v>143</v>
      </c>
    </row>
    <row r="2" spans="1:89" x14ac:dyDescent="0.3">
      <c r="A2" t="s">
        <v>144</v>
      </c>
      <c r="B2" t="s">
        <v>8</v>
      </c>
      <c r="C2" t="s">
        <v>145</v>
      </c>
      <c r="D2">
        <v>200</v>
      </c>
      <c r="E2" t="s">
        <v>146</v>
      </c>
      <c r="F2" t="s">
        <v>147</v>
      </c>
      <c r="H2" t="s">
        <v>148</v>
      </c>
      <c r="I2">
        <v>52</v>
      </c>
      <c r="J2">
        <v>649</v>
      </c>
      <c r="L2">
        <v>0</v>
      </c>
      <c r="M2">
        <v>0</v>
      </c>
      <c r="N2" t="s">
        <v>149</v>
      </c>
      <c r="O2">
        <v>117</v>
      </c>
      <c r="P2">
        <v>1396</v>
      </c>
      <c r="S2" t="s">
        <v>150</v>
      </c>
      <c r="T2">
        <v>16</v>
      </c>
      <c r="V2">
        <v>0</v>
      </c>
      <c r="AB2" t="s">
        <v>144</v>
      </c>
      <c r="AH2">
        <v>947171</v>
      </c>
      <c r="AI2">
        <v>106777</v>
      </c>
      <c r="AJ2">
        <v>106777</v>
      </c>
      <c r="AK2">
        <v>41.609181691000003</v>
      </c>
      <c r="AM2">
        <v>1442</v>
      </c>
      <c r="AS2">
        <v>0</v>
      </c>
      <c r="AT2">
        <v>0</v>
      </c>
      <c r="AV2">
        <v>770</v>
      </c>
      <c r="AW2">
        <v>387</v>
      </c>
      <c r="AX2">
        <v>0</v>
      </c>
      <c r="AY2">
        <v>100</v>
      </c>
      <c r="AZ2">
        <v>268</v>
      </c>
      <c r="BA2">
        <v>71</v>
      </c>
      <c r="BB2">
        <v>0</v>
      </c>
      <c r="BP2" t="s">
        <v>151</v>
      </c>
      <c r="BQ2">
        <v>1.1000000000000001</v>
      </c>
      <c r="BR2" t="s">
        <v>152</v>
      </c>
      <c r="BS2" t="s">
        <v>149</v>
      </c>
      <c r="BT2" t="s">
        <v>153</v>
      </c>
      <c r="BU2" t="s">
        <v>150</v>
      </c>
      <c r="BV2" t="s">
        <v>154</v>
      </c>
      <c r="BW2" t="s">
        <v>155</v>
      </c>
      <c r="BX2">
        <v>200</v>
      </c>
      <c r="BY2">
        <v>200</v>
      </c>
      <c r="BZ2" t="s">
        <v>144</v>
      </c>
      <c r="CA2" t="s">
        <v>152</v>
      </c>
      <c r="CB2" t="s">
        <v>149</v>
      </c>
      <c r="CC2" t="s">
        <v>156</v>
      </c>
      <c r="CD2" t="s">
        <v>157</v>
      </c>
      <c r="CJ2" t="s">
        <v>144</v>
      </c>
      <c r="CK2" t="s">
        <v>158</v>
      </c>
    </row>
    <row r="3" spans="1:89" x14ac:dyDescent="0.3">
      <c r="A3" t="s">
        <v>159</v>
      </c>
      <c r="C3" t="s">
        <v>145</v>
      </c>
      <c r="D3">
        <v>404</v>
      </c>
      <c r="E3" t="s">
        <v>160</v>
      </c>
      <c r="F3" t="s">
        <v>161</v>
      </c>
      <c r="G3" t="s">
        <v>162</v>
      </c>
      <c r="I3">
        <v>0</v>
      </c>
      <c r="J3">
        <v>0</v>
      </c>
      <c r="L3">
        <v>0</v>
      </c>
      <c r="M3">
        <v>0</v>
      </c>
      <c r="O3">
        <v>0</v>
      </c>
      <c r="P3">
        <v>0</v>
      </c>
      <c r="T3">
        <v>0</v>
      </c>
      <c r="V3">
        <v>0</v>
      </c>
      <c r="AH3">
        <v>0</v>
      </c>
      <c r="AI3">
        <v>0</v>
      </c>
      <c r="AJ3">
        <v>0</v>
      </c>
      <c r="AK3">
        <v>0</v>
      </c>
      <c r="AM3">
        <v>0</v>
      </c>
      <c r="AS3">
        <v>2</v>
      </c>
      <c r="AT3">
        <v>1</v>
      </c>
      <c r="AV3">
        <v>1</v>
      </c>
      <c r="AW3">
        <v>1</v>
      </c>
      <c r="AX3">
        <v>0</v>
      </c>
      <c r="AY3">
        <v>0.26</v>
      </c>
      <c r="AZ3">
        <v>0</v>
      </c>
      <c r="BA3">
        <v>0</v>
      </c>
      <c r="BB3">
        <v>0</v>
      </c>
      <c r="BQ3">
        <v>1.1000000000000001</v>
      </c>
      <c r="CJ3" t="s">
        <v>159</v>
      </c>
      <c r="CK3" t="s">
        <v>163</v>
      </c>
    </row>
    <row r="4" spans="1:89" x14ac:dyDescent="0.3">
      <c r="A4" t="s">
        <v>164</v>
      </c>
      <c r="C4" t="s">
        <v>145</v>
      </c>
      <c r="D4">
        <v>302</v>
      </c>
      <c r="E4" t="s">
        <v>165</v>
      </c>
      <c r="F4" t="s">
        <v>161</v>
      </c>
      <c r="G4" t="s">
        <v>166</v>
      </c>
      <c r="I4">
        <v>0</v>
      </c>
      <c r="J4">
        <v>0</v>
      </c>
      <c r="L4">
        <v>0</v>
      </c>
      <c r="M4">
        <v>0</v>
      </c>
      <c r="O4">
        <v>0</v>
      </c>
      <c r="P4">
        <v>0</v>
      </c>
      <c r="T4">
        <v>0</v>
      </c>
      <c r="V4">
        <v>0</v>
      </c>
      <c r="AH4">
        <v>0</v>
      </c>
      <c r="AI4">
        <v>0</v>
      </c>
      <c r="AJ4">
        <v>0</v>
      </c>
      <c r="AK4">
        <v>0</v>
      </c>
      <c r="AM4">
        <v>0</v>
      </c>
      <c r="AS4">
        <v>2</v>
      </c>
      <c r="AT4">
        <v>0</v>
      </c>
      <c r="AV4">
        <v>10</v>
      </c>
      <c r="AW4">
        <v>4</v>
      </c>
      <c r="AX4">
        <v>0</v>
      </c>
      <c r="AY4">
        <v>1.03</v>
      </c>
      <c r="AZ4">
        <v>0</v>
      </c>
      <c r="BA4">
        <v>0</v>
      </c>
      <c r="BB4">
        <v>0</v>
      </c>
      <c r="BM4" t="s">
        <v>167</v>
      </c>
      <c r="BN4" t="s">
        <v>168</v>
      </c>
      <c r="BQ4">
        <v>1.1000000000000001</v>
      </c>
      <c r="CJ4" t="s">
        <v>164</v>
      </c>
      <c r="CK4" t="s">
        <v>169</v>
      </c>
    </row>
    <row r="5" spans="1:89" x14ac:dyDescent="0.3">
      <c r="A5" t="s">
        <v>170</v>
      </c>
      <c r="C5" t="s">
        <v>145</v>
      </c>
      <c r="D5">
        <v>302</v>
      </c>
      <c r="E5" t="s">
        <v>165</v>
      </c>
      <c r="F5" t="s">
        <v>161</v>
      </c>
      <c r="G5" t="s">
        <v>166</v>
      </c>
      <c r="I5">
        <v>0</v>
      </c>
      <c r="J5">
        <v>0</v>
      </c>
      <c r="L5">
        <v>0</v>
      </c>
      <c r="M5">
        <v>0</v>
      </c>
      <c r="O5">
        <v>0</v>
      </c>
      <c r="P5">
        <v>0</v>
      </c>
      <c r="T5">
        <v>0</v>
      </c>
      <c r="V5">
        <v>0</v>
      </c>
      <c r="AH5">
        <v>0</v>
      </c>
      <c r="AI5">
        <v>0</v>
      </c>
      <c r="AJ5">
        <v>0</v>
      </c>
      <c r="AK5">
        <v>0</v>
      </c>
      <c r="AM5">
        <v>0</v>
      </c>
      <c r="AS5">
        <v>2</v>
      </c>
      <c r="AT5">
        <v>1</v>
      </c>
      <c r="AV5">
        <v>7</v>
      </c>
      <c r="AW5">
        <v>4</v>
      </c>
      <c r="AX5">
        <v>0</v>
      </c>
      <c r="AY5">
        <v>1.03</v>
      </c>
      <c r="AZ5">
        <v>0</v>
      </c>
      <c r="BA5">
        <v>0</v>
      </c>
      <c r="BB5">
        <v>0</v>
      </c>
      <c r="BM5" t="s">
        <v>171</v>
      </c>
      <c r="BN5" t="s">
        <v>168</v>
      </c>
      <c r="BQ5">
        <v>1.1000000000000001</v>
      </c>
      <c r="CJ5" t="s">
        <v>170</v>
      </c>
      <c r="CK5" t="s">
        <v>169</v>
      </c>
    </row>
    <row r="6" spans="1:89" x14ac:dyDescent="0.3">
      <c r="A6" t="s">
        <v>172</v>
      </c>
      <c r="C6" t="s">
        <v>145</v>
      </c>
      <c r="D6">
        <v>200</v>
      </c>
      <c r="E6" t="s">
        <v>146</v>
      </c>
      <c r="F6" t="s">
        <v>161</v>
      </c>
      <c r="G6" t="s">
        <v>166</v>
      </c>
      <c r="H6" t="s">
        <v>173</v>
      </c>
      <c r="I6">
        <v>22</v>
      </c>
      <c r="J6">
        <v>219</v>
      </c>
      <c r="L6">
        <v>0</v>
      </c>
      <c r="M6">
        <v>0</v>
      </c>
      <c r="O6">
        <v>0</v>
      </c>
      <c r="P6">
        <v>0</v>
      </c>
      <c r="S6" t="s">
        <v>174</v>
      </c>
      <c r="T6">
        <v>4</v>
      </c>
      <c r="U6" t="s">
        <v>175</v>
      </c>
      <c r="V6">
        <v>4</v>
      </c>
      <c r="AB6" t="s">
        <v>172</v>
      </c>
      <c r="AH6">
        <v>281818</v>
      </c>
      <c r="AI6">
        <v>58596</v>
      </c>
      <c r="AJ6">
        <v>58596</v>
      </c>
      <c r="AK6">
        <v>22.833865068000001</v>
      </c>
      <c r="AM6">
        <v>170</v>
      </c>
      <c r="AS6">
        <v>1</v>
      </c>
      <c r="AT6">
        <v>1</v>
      </c>
      <c r="AV6">
        <v>1558</v>
      </c>
      <c r="AW6">
        <v>387</v>
      </c>
      <c r="AX6">
        <v>0</v>
      </c>
      <c r="AY6">
        <v>100</v>
      </c>
      <c r="AZ6">
        <v>109</v>
      </c>
      <c r="BA6">
        <v>55</v>
      </c>
      <c r="BB6">
        <v>0</v>
      </c>
      <c r="BP6" t="s">
        <v>151</v>
      </c>
      <c r="BQ6">
        <v>1.1000000000000001</v>
      </c>
      <c r="BR6" t="s">
        <v>176</v>
      </c>
      <c r="BS6" t="s">
        <v>149</v>
      </c>
      <c r="BT6" t="s">
        <v>153</v>
      </c>
      <c r="BU6" t="s">
        <v>150</v>
      </c>
      <c r="BV6" t="s">
        <v>154</v>
      </c>
      <c r="BW6" t="s">
        <v>155</v>
      </c>
      <c r="BX6">
        <v>200</v>
      </c>
      <c r="BY6">
        <v>200</v>
      </c>
      <c r="BZ6" t="s">
        <v>172</v>
      </c>
      <c r="CA6" t="s">
        <v>176</v>
      </c>
      <c r="CB6" t="s">
        <v>149</v>
      </c>
      <c r="CC6" t="s">
        <v>156</v>
      </c>
      <c r="CD6" t="s">
        <v>177</v>
      </c>
      <c r="CJ6" t="s">
        <v>172</v>
      </c>
      <c r="CK6" t="s">
        <v>178</v>
      </c>
    </row>
    <row r="7" spans="1:89" x14ac:dyDescent="0.3">
      <c r="A7" t="s">
        <v>167</v>
      </c>
      <c r="C7" t="s">
        <v>145</v>
      </c>
      <c r="D7">
        <v>200</v>
      </c>
      <c r="E7" t="s">
        <v>146</v>
      </c>
      <c r="F7" t="s">
        <v>161</v>
      </c>
      <c r="G7" t="s">
        <v>166</v>
      </c>
      <c r="H7" t="s">
        <v>173</v>
      </c>
      <c r="I7">
        <v>22</v>
      </c>
      <c r="J7">
        <v>219</v>
      </c>
      <c r="L7">
        <v>0</v>
      </c>
      <c r="M7">
        <v>0</v>
      </c>
      <c r="O7">
        <v>0</v>
      </c>
      <c r="P7">
        <v>0</v>
      </c>
      <c r="S7" t="s">
        <v>174</v>
      </c>
      <c r="T7">
        <v>4</v>
      </c>
      <c r="U7" t="s">
        <v>175</v>
      </c>
      <c r="V7">
        <v>4</v>
      </c>
      <c r="AB7" t="s">
        <v>172</v>
      </c>
      <c r="AH7">
        <v>281942</v>
      </c>
      <c r="AI7">
        <v>58796</v>
      </c>
      <c r="AJ7">
        <v>58796</v>
      </c>
      <c r="AK7">
        <v>22.911801667999999</v>
      </c>
      <c r="AM7">
        <v>170</v>
      </c>
      <c r="AS7">
        <v>3</v>
      </c>
      <c r="AT7">
        <v>1</v>
      </c>
      <c r="AV7">
        <v>7</v>
      </c>
      <c r="AW7">
        <v>1</v>
      </c>
      <c r="AX7">
        <v>0</v>
      </c>
      <c r="AY7">
        <v>0.26</v>
      </c>
      <c r="AZ7">
        <v>109</v>
      </c>
      <c r="BA7">
        <v>56</v>
      </c>
      <c r="BB7">
        <v>0</v>
      </c>
      <c r="BP7" t="s">
        <v>151</v>
      </c>
      <c r="BQ7">
        <v>1.1000000000000001</v>
      </c>
      <c r="BR7" t="s">
        <v>176</v>
      </c>
      <c r="BS7" t="s">
        <v>149</v>
      </c>
      <c r="BT7" t="s">
        <v>153</v>
      </c>
      <c r="BU7" t="s">
        <v>150</v>
      </c>
      <c r="BV7" t="s">
        <v>154</v>
      </c>
      <c r="BW7" t="s">
        <v>155</v>
      </c>
      <c r="BX7">
        <v>200</v>
      </c>
      <c r="BY7">
        <v>200</v>
      </c>
      <c r="BZ7" t="s">
        <v>172</v>
      </c>
      <c r="CA7" t="s">
        <v>176</v>
      </c>
      <c r="CB7" t="s">
        <v>149</v>
      </c>
      <c r="CC7" t="s">
        <v>156</v>
      </c>
      <c r="CD7" t="s">
        <v>177</v>
      </c>
      <c r="CJ7" t="s">
        <v>167</v>
      </c>
      <c r="CK7" t="s">
        <v>179</v>
      </c>
    </row>
    <row r="8" spans="1:89" x14ac:dyDescent="0.3">
      <c r="A8" t="s">
        <v>171</v>
      </c>
      <c r="C8" t="s">
        <v>145</v>
      </c>
      <c r="D8">
        <v>200</v>
      </c>
      <c r="E8" t="s">
        <v>146</v>
      </c>
      <c r="F8" t="s">
        <v>161</v>
      </c>
      <c r="G8" t="s">
        <v>166</v>
      </c>
      <c r="H8" t="s">
        <v>173</v>
      </c>
      <c r="I8">
        <v>22</v>
      </c>
      <c r="J8">
        <v>219</v>
      </c>
      <c r="L8">
        <v>0</v>
      </c>
      <c r="M8">
        <v>0</v>
      </c>
      <c r="O8">
        <v>0</v>
      </c>
      <c r="P8">
        <v>0</v>
      </c>
      <c r="S8" t="s">
        <v>174</v>
      </c>
      <c r="T8">
        <v>4</v>
      </c>
      <c r="U8" t="s">
        <v>175</v>
      </c>
      <c r="V8">
        <v>4</v>
      </c>
      <c r="AB8" t="s">
        <v>172</v>
      </c>
      <c r="AH8">
        <v>281988</v>
      </c>
      <c r="AI8">
        <v>58737</v>
      </c>
      <c r="AJ8">
        <v>58737</v>
      </c>
      <c r="AK8">
        <v>22.888810371000002</v>
      </c>
      <c r="AM8">
        <v>170</v>
      </c>
      <c r="AS8">
        <v>3</v>
      </c>
      <c r="AT8">
        <v>1</v>
      </c>
      <c r="AV8">
        <v>7</v>
      </c>
      <c r="AW8">
        <v>1</v>
      </c>
      <c r="AX8">
        <v>0</v>
      </c>
      <c r="AY8">
        <v>0.26</v>
      </c>
      <c r="AZ8">
        <v>109</v>
      </c>
      <c r="BA8">
        <v>56</v>
      </c>
      <c r="BB8">
        <v>0</v>
      </c>
      <c r="BP8" t="s">
        <v>151</v>
      </c>
      <c r="BQ8">
        <v>1.1000000000000001</v>
      </c>
      <c r="BR8" t="s">
        <v>176</v>
      </c>
      <c r="BS8" t="s">
        <v>149</v>
      </c>
      <c r="BT8" t="s">
        <v>153</v>
      </c>
      <c r="BU8" t="s">
        <v>150</v>
      </c>
      <c r="BV8" t="s">
        <v>154</v>
      </c>
      <c r="BW8" t="s">
        <v>155</v>
      </c>
      <c r="BX8">
        <v>200</v>
      </c>
      <c r="BY8">
        <v>200</v>
      </c>
      <c r="BZ8" t="s">
        <v>172</v>
      </c>
      <c r="CA8" t="s">
        <v>176</v>
      </c>
      <c r="CB8" t="s">
        <v>149</v>
      </c>
      <c r="CC8" t="s">
        <v>156</v>
      </c>
      <c r="CD8" t="s">
        <v>177</v>
      </c>
      <c r="CJ8" t="s">
        <v>171</v>
      </c>
      <c r="CK8" t="s">
        <v>180</v>
      </c>
    </row>
    <row r="9" spans="1:89" x14ac:dyDescent="0.3">
      <c r="A9" t="s">
        <v>181</v>
      </c>
      <c r="C9" t="s">
        <v>145</v>
      </c>
      <c r="D9">
        <v>200</v>
      </c>
      <c r="E9" t="s">
        <v>146</v>
      </c>
      <c r="F9" t="s">
        <v>161</v>
      </c>
      <c r="G9" t="s">
        <v>166</v>
      </c>
      <c r="H9" t="s">
        <v>182</v>
      </c>
      <c r="I9">
        <v>24</v>
      </c>
      <c r="J9">
        <v>259</v>
      </c>
      <c r="L9">
        <v>0</v>
      </c>
      <c r="M9">
        <v>0</v>
      </c>
      <c r="O9">
        <v>0</v>
      </c>
      <c r="P9">
        <v>0</v>
      </c>
      <c r="S9" t="s">
        <v>183</v>
      </c>
      <c r="T9">
        <v>2</v>
      </c>
      <c r="V9">
        <v>0</v>
      </c>
      <c r="AB9" t="s">
        <v>181</v>
      </c>
      <c r="AH9">
        <v>309254</v>
      </c>
      <c r="AI9">
        <v>61076</v>
      </c>
      <c r="AJ9">
        <v>61076</v>
      </c>
      <c r="AK9">
        <v>23.800278907999999</v>
      </c>
      <c r="AM9">
        <v>191</v>
      </c>
      <c r="AS9">
        <v>1</v>
      </c>
      <c r="AT9">
        <v>1</v>
      </c>
      <c r="AV9">
        <v>399</v>
      </c>
      <c r="AW9">
        <v>387</v>
      </c>
      <c r="AX9">
        <v>0</v>
      </c>
      <c r="AY9">
        <v>100</v>
      </c>
      <c r="AZ9">
        <v>106</v>
      </c>
      <c r="BA9">
        <v>54</v>
      </c>
      <c r="BB9">
        <v>0</v>
      </c>
      <c r="BP9" t="s">
        <v>151</v>
      </c>
      <c r="BQ9">
        <v>1.1000000000000001</v>
      </c>
      <c r="BR9" t="s">
        <v>184</v>
      </c>
      <c r="BS9" t="s">
        <v>149</v>
      </c>
      <c r="BT9" t="s">
        <v>153</v>
      </c>
      <c r="BU9" t="s">
        <v>150</v>
      </c>
      <c r="BV9" t="s">
        <v>154</v>
      </c>
      <c r="BW9" t="s">
        <v>155</v>
      </c>
      <c r="BX9">
        <v>200</v>
      </c>
      <c r="BY9">
        <v>200</v>
      </c>
      <c r="BZ9" t="s">
        <v>181</v>
      </c>
      <c r="CA9" t="s">
        <v>184</v>
      </c>
      <c r="CB9" t="s">
        <v>149</v>
      </c>
      <c r="CC9" t="s">
        <v>156</v>
      </c>
      <c r="CD9" t="s">
        <v>157</v>
      </c>
      <c r="CJ9" t="s">
        <v>181</v>
      </c>
      <c r="CK9" t="s">
        <v>185</v>
      </c>
    </row>
    <row r="10" spans="1:89" x14ac:dyDescent="0.3">
      <c r="A10" t="s">
        <v>186</v>
      </c>
      <c r="B10" t="s">
        <v>7</v>
      </c>
      <c r="C10" t="s">
        <v>145</v>
      </c>
      <c r="D10">
        <v>200</v>
      </c>
      <c r="E10" t="s">
        <v>146</v>
      </c>
      <c r="F10" t="s">
        <v>147</v>
      </c>
      <c r="H10" t="s">
        <v>187</v>
      </c>
      <c r="I10">
        <v>22</v>
      </c>
      <c r="J10">
        <v>219</v>
      </c>
      <c r="L10">
        <v>0</v>
      </c>
      <c r="M10">
        <v>0</v>
      </c>
      <c r="O10">
        <v>0</v>
      </c>
      <c r="P10">
        <v>0</v>
      </c>
      <c r="S10" t="s">
        <v>188</v>
      </c>
      <c r="T10">
        <v>2</v>
      </c>
      <c r="V10">
        <v>0</v>
      </c>
      <c r="AB10" t="s">
        <v>186</v>
      </c>
      <c r="AH10">
        <v>321773</v>
      </c>
      <c r="AI10">
        <v>67853</v>
      </c>
      <c r="AJ10">
        <v>67853</v>
      </c>
      <c r="AK10">
        <v>26.441160599</v>
      </c>
      <c r="AM10">
        <v>158</v>
      </c>
      <c r="AS10">
        <v>2</v>
      </c>
      <c r="AT10">
        <v>1</v>
      </c>
      <c r="AV10">
        <v>11</v>
      </c>
      <c r="AW10">
        <v>7</v>
      </c>
      <c r="AX10">
        <v>0</v>
      </c>
      <c r="AY10">
        <v>1.81</v>
      </c>
      <c r="AZ10">
        <v>111</v>
      </c>
      <c r="BA10">
        <v>60</v>
      </c>
      <c r="BB10">
        <v>0</v>
      </c>
      <c r="BP10" t="s">
        <v>151</v>
      </c>
      <c r="BQ10">
        <v>1.1000000000000001</v>
      </c>
      <c r="BR10" t="s">
        <v>189</v>
      </c>
      <c r="BS10" t="s">
        <v>149</v>
      </c>
      <c r="BT10" t="s">
        <v>153</v>
      </c>
      <c r="BU10" t="s">
        <v>150</v>
      </c>
      <c r="BV10" t="s">
        <v>154</v>
      </c>
      <c r="BW10" t="s">
        <v>155</v>
      </c>
      <c r="BX10">
        <v>200</v>
      </c>
      <c r="BY10">
        <v>200</v>
      </c>
      <c r="BZ10" t="s">
        <v>186</v>
      </c>
      <c r="CA10" t="s">
        <v>189</v>
      </c>
      <c r="CB10" t="s">
        <v>149</v>
      </c>
      <c r="CC10" t="s">
        <v>156</v>
      </c>
      <c r="CD10" t="s">
        <v>157</v>
      </c>
      <c r="CJ10" t="s">
        <v>186</v>
      </c>
      <c r="CK10" t="s">
        <v>190</v>
      </c>
    </row>
    <row r="11" spans="1:89" x14ac:dyDescent="0.3">
      <c r="A11" t="s">
        <v>191</v>
      </c>
      <c r="B11" t="s">
        <v>7</v>
      </c>
      <c r="C11" t="s">
        <v>145</v>
      </c>
      <c r="D11">
        <v>200</v>
      </c>
      <c r="E11" t="s">
        <v>146</v>
      </c>
      <c r="F11" t="s">
        <v>147</v>
      </c>
      <c r="H11" t="s">
        <v>192</v>
      </c>
      <c r="I11">
        <v>39</v>
      </c>
      <c r="J11">
        <v>343</v>
      </c>
      <c r="L11">
        <v>0</v>
      </c>
      <c r="M11">
        <v>0</v>
      </c>
      <c r="O11">
        <v>0</v>
      </c>
      <c r="P11">
        <v>0</v>
      </c>
      <c r="S11" t="s">
        <v>193</v>
      </c>
      <c r="T11">
        <v>19</v>
      </c>
      <c r="V11">
        <v>0</v>
      </c>
      <c r="AB11" t="s">
        <v>191</v>
      </c>
      <c r="AH11">
        <v>316706</v>
      </c>
      <c r="AI11">
        <v>68600</v>
      </c>
      <c r="AJ11">
        <v>68600</v>
      </c>
      <c r="AK11">
        <v>26.732253799999999</v>
      </c>
      <c r="AM11">
        <v>133</v>
      </c>
      <c r="AS11">
        <v>1</v>
      </c>
      <c r="AT11">
        <v>2</v>
      </c>
      <c r="AV11">
        <v>9</v>
      </c>
      <c r="AW11">
        <v>5</v>
      </c>
      <c r="AX11">
        <v>0</v>
      </c>
      <c r="AY11">
        <v>1.29</v>
      </c>
      <c r="AZ11">
        <v>106</v>
      </c>
      <c r="BA11">
        <v>55</v>
      </c>
      <c r="BB11">
        <v>0</v>
      </c>
      <c r="BP11" t="s">
        <v>151</v>
      </c>
      <c r="BQ11">
        <v>1.1000000000000001</v>
      </c>
      <c r="BR11" t="s">
        <v>194</v>
      </c>
      <c r="BS11" t="s">
        <v>149</v>
      </c>
      <c r="BT11" t="s">
        <v>195</v>
      </c>
      <c r="BU11" t="s">
        <v>150</v>
      </c>
      <c r="BV11" t="s">
        <v>196</v>
      </c>
      <c r="BW11" t="s">
        <v>197</v>
      </c>
      <c r="BX11">
        <v>963</v>
      </c>
      <c r="BY11">
        <v>600</v>
      </c>
      <c r="BZ11" t="s">
        <v>191</v>
      </c>
      <c r="CA11" t="s">
        <v>194</v>
      </c>
      <c r="CB11" t="s">
        <v>149</v>
      </c>
      <c r="CC11" t="s">
        <v>156</v>
      </c>
      <c r="CD11" t="s">
        <v>157</v>
      </c>
      <c r="CJ11" t="s">
        <v>191</v>
      </c>
      <c r="CK11" t="s">
        <v>198</v>
      </c>
    </row>
    <row r="12" spans="1:89" x14ac:dyDescent="0.3">
      <c r="A12" t="s">
        <v>199</v>
      </c>
      <c r="B12" t="s">
        <v>7</v>
      </c>
      <c r="C12" t="s">
        <v>145</v>
      </c>
      <c r="D12">
        <v>200</v>
      </c>
      <c r="E12" t="s">
        <v>146</v>
      </c>
      <c r="F12" t="s">
        <v>147</v>
      </c>
      <c r="H12" t="s">
        <v>200</v>
      </c>
      <c r="I12">
        <v>28</v>
      </c>
      <c r="J12">
        <v>326</v>
      </c>
      <c r="L12">
        <v>0</v>
      </c>
      <c r="M12">
        <v>0</v>
      </c>
      <c r="O12">
        <v>0</v>
      </c>
      <c r="P12">
        <v>0</v>
      </c>
      <c r="S12" t="s">
        <v>201</v>
      </c>
      <c r="T12">
        <v>8</v>
      </c>
      <c r="V12">
        <v>0</v>
      </c>
      <c r="AB12" t="s">
        <v>199</v>
      </c>
      <c r="AH12">
        <v>316805</v>
      </c>
      <c r="AI12">
        <v>68418</v>
      </c>
      <c r="AJ12">
        <v>68418</v>
      </c>
      <c r="AK12">
        <v>26.661331493999999</v>
      </c>
      <c r="AM12">
        <v>133</v>
      </c>
      <c r="AS12">
        <v>1</v>
      </c>
      <c r="AT12">
        <v>2</v>
      </c>
      <c r="AV12">
        <v>8</v>
      </c>
      <c r="AW12">
        <v>4</v>
      </c>
      <c r="AX12">
        <v>0</v>
      </c>
      <c r="AY12">
        <v>1.03</v>
      </c>
      <c r="AZ12">
        <v>106</v>
      </c>
      <c r="BA12">
        <v>55</v>
      </c>
      <c r="BB12">
        <v>0</v>
      </c>
      <c r="BP12" t="s">
        <v>151</v>
      </c>
      <c r="BQ12">
        <v>1.1000000000000001</v>
      </c>
      <c r="BR12" t="s">
        <v>202</v>
      </c>
      <c r="BS12" t="s">
        <v>149</v>
      </c>
      <c r="BT12" t="s">
        <v>195</v>
      </c>
      <c r="BU12" t="s">
        <v>150</v>
      </c>
      <c r="BV12" t="s">
        <v>203</v>
      </c>
      <c r="BW12" t="s">
        <v>204</v>
      </c>
      <c r="BX12">
        <v>963</v>
      </c>
      <c r="BY12">
        <v>600</v>
      </c>
      <c r="BZ12" t="s">
        <v>199</v>
      </c>
      <c r="CA12" t="s">
        <v>202</v>
      </c>
      <c r="CB12" t="s">
        <v>149</v>
      </c>
      <c r="CC12" t="s">
        <v>156</v>
      </c>
      <c r="CD12" t="s">
        <v>157</v>
      </c>
      <c r="CJ12" t="s">
        <v>199</v>
      </c>
      <c r="CK12" t="s">
        <v>205</v>
      </c>
    </row>
    <row r="13" spans="1:89" x14ac:dyDescent="0.3">
      <c r="A13" t="s">
        <v>206</v>
      </c>
      <c r="B13" t="s">
        <v>7</v>
      </c>
      <c r="C13" t="s">
        <v>145</v>
      </c>
      <c r="D13">
        <v>200</v>
      </c>
      <c r="E13" t="s">
        <v>146</v>
      </c>
      <c r="F13" t="s">
        <v>147</v>
      </c>
      <c r="H13" t="s">
        <v>207</v>
      </c>
      <c r="I13">
        <v>33</v>
      </c>
      <c r="J13">
        <v>367</v>
      </c>
      <c r="L13">
        <v>0</v>
      </c>
      <c r="M13">
        <v>0</v>
      </c>
      <c r="O13">
        <v>0</v>
      </c>
      <c r="P13">
        <v>0</v>
      </c>
      <c r="S13" t="s">
        <v>208</v>
      </c>
      <c r="T13">
        <v>13</v>
      </c>
      <c r="V13">
        <v>0</v>
      </c>
      <c r="AB13" t="s">
        <v>206</v>
      </c>
      <c r="AH13">
        <v>347437</v>
      </c>
      <c r="AI13">
        <v>75171</v>
      </c>
      <c r="AJ13">
        <v>75171</v>
      </c>
      <c r="AK13">
        <v>29.292860792999999</v>
      </c>
      <c r="AM13">
        <v>132</v>
      </c>
      <c r="AS13">
        <v>1</v>
      </c>
      <c r="AT13">
        <v>2</v>
      </c>
      <c r="AV13">
        <v>9</v>
      </c>
      <c r="AW13">
        <v>5</v>
      </c>
      <c r="AX13">
        <v>0</v>
      </c>
      <c r="AY13">
        <v>1.29</v>
      </c>
      <c r="AZ13">
        <v>112</v>
      </c>
      <c r="BA13">
        <v>60</v>
      </c>
      <c r="BB13">
        <v>0</v>
      </c>
      <c r="BP13" t="s">
        <v>151</v>
      </c>
      <c r="BQ13">
        <v>1.1000000000000001</v>
      </c>
      <c r="BR13" t="s">
        <v>209</v>
      </c>
      <c r="BS13" t="s">
        <v>149</v>
      </c>
      <c r="BT13" t="s">
        <v>195</v>
      </c>
      <c r="BU13" t="s">
        <v>150</v>
      </c>
      <c r="BV13" t="s">
        <v>210</v>
      </c>
      <c r="BW13" t="s">
        <v>211</v>
      </c>
      <c r="BX13">
        <v>963</v>
      </c>
      <c r="BY13">
        <v>600</v>
      </c>
      <c r="BZ13" t="s">
        <v>206</v>
      </c>
      <c r="CA13" t="s">
        <v>209</v>
      </c>
      <c r="CB13" t="s">
        <v>149</v>
      </c>
      <c r="CC13" t="s">
        <v>156</v>
      </c>
      <c r="CD13" t="s">
        <v>157</v>
      </c>
      <c r="CJ13" t="s">
        <v>206</v>
      </c>
      <c r="CK13" t="s">
        <v>212</v>
      </c>
    </row>
    <row r="14" spans="1:89" x14ac:dyDescent="0.3">
      <c r="A14" t="s">
        <v>213</v>
      </c>
      <c r="B14" t="s">
        <v>7</v>
      </c>
      <c r="C14" t="s">
        <v>145</v>
      </c>
      <c r="D14">
        <v>200</v>
      </c>
      <c r="E14" t="s">
        <v>146</v>
      </c>
      <c r="F14" t="s">
        <v>147</v>
      </c>
      <c r="H14" t="s">
        <v>214</v>
      </c>
      <c r="I14">
        <v>35</v>
      </c>
      <c r="J14">
        <v>388</v>
      </c>
      <c r="L14">
        <v>0</v>
      </c>
      <c r="M14">
        <v>0</v>
      </c>
      <c r="O14">
        <v>0</v>
      </c>
      <c r="P14">
        <v>0</v>
      </c>
      <c r="S14" t="s">
        <v>215</v>
      </c>
      <c r="T14">
        <v>15</v>
      </c>
      <c r="V14">
        <v>0</v>
      </c>
      <c r="AB14" t="s">
        <v>213</v>
      </c>
      <c r="AH14">
        <v>340159</v>
      </c>
      <c r="AI14">
        <v>72756</v>
      </c>
      <c r="AJ14">
        <v>72756</v>
      </c>
      <c r="AK14">
        <v>28.351776348000001</v>
      </c>
      <c r="AM14">
        <v>134</v>
      </c>
      <c r="AS14">
        <v>1</v>
      </c>
      <c r="AT14">
        <v>2</v>
      </c>
      <c r="AV14">
        <v>8</v>
      </c>
      <c r="AW14">
        <v>4</v>
      </c>
      <c r="AX14">
        <v>0</v>
      </c>
      <c r="AY14">
        <v>1.03</v>
      </c>
      <c r="AZ14">
        <v>120</v>
      </c>
      <c r="BA14">
        <v>63</v>
      </c>
      <c r="BB14">
        <v>0</v>
      </c>
      <c r="BP14" t="s">
        <v>151</v>
      </c>
      <c r="BQ14">
        <v>1.1000000000000001</v>
      </c>
      <c r="BR14" t="s">
        <v>216</v>
      </c>
      <c r="BS14" t="s">
        <v>149</v>
      </c>
      <c r="BT14" t="s">
        <v>195</v>
      </c>
      <c r="BU14" t="s">
        <v>150</v>
      </c>
      <c r="BV14" t="s">
        <v>217</v>
      </c>
      <c r="BW14" t="s">
        <v>218</v>
      </c>
      <c r="BX14">
        <v>963</v>
      </c>
      <c r="BY14">
        <v>600</v>
      </c>
      <c r="BZ14" t="s">
        <v>213</v>
      </c>
      <c r="CA14" t="s">
        <v>216</v>
      </c>
      <c r="CB14" t="s">
        <v>149</v>
      </c>
      <c r="CC14" t="s">
        <v>156</v>
      </c>
      <c r="CD14" t="s">
        <v>157</v>
      </c>
      <c r="CJ14" t="s">
        <v>213</v>
      </c>
      <c r="CK14" t="s">
        <v>219</v>
      </c>
    </row>
    <row r="15" spans="1:89" x14ac:dyDescent="0.3">
      <c r="A15" t="s">
        <v>220</v>
      </c>
      <c r="B15" t="s">
        <v>7</v>
      </c>
      <c r="C15" t="s">
        <v>145</v>
      </c>
      <c r="D15">
        <v>200</v>
      </c>
      <c r="E15" t="s">
        <v>146</v>
      </c>
      <c r="F15" t="s">
        <v>147</v>
      </c>
      <c r="H15" t="s">
        <v>221</v>
      </c>
      <c r="I15">
        <v>40</v>
      </c>
      <c r="J15">
        <v>372</v>
      </c>
      <c r="L15">
        <v>0</v>
      </c>
      <c r="M15">
        <v>0</v>
      </c>
      <c r="O15">
        <v>0</v>
      </c>
      <c r="P15">
        <v>0</v>
      </c>
      <c r="S15" t="s">
        <v>188</v>
      </c>
      <c r="T15">
        <v>2</v>
      </c>
      <c r="V15">
        <v>0</v>
      </c>
      <c r="AB15" t="s">
        <v>220</v>
      </c>
      <c r="AH15">
        <v>320298</v>
      </c>
      <c r="AI15">
        <v>67550</v>
      </c>
      <c r="AJ15">
        <v>67550</v>
      </c>
      <c r="AK15">
        <v>26.32308665</v>
      </c>
      <c r="AM15">
        <v>148</v>
      </c>
      <c r="AS15">
        <v>1</v>
      </c>
      <c r="AT15">
        <v>3</v>
      </c>
      <c r="AV15">
        <v>806</v>
      </c>
      <c r="AW15">
        <v>387</v>
      </c>
      <c r="AX15">
        <v>0</v>
      </c>
      <c r="AY15">
        <v>100</v>
      </c>
      <c r="AZ15">
        <v>113</v>
      </c>
      <c r="BA15">
        <v>62</v>
      </c>
      <c r="BB15">
        <v>0</v>
      </c>
      <c r="BP15" t="s">
        <v>151</v>
      </c>
      <c r="BQ15">
        <v>1.1000000000000001</v>
      </c>
      <c r="BR15" t="s">
        <v>189</v>
      </c>
      <c r="BS15" t="s">
        <v>149</v>
      </c>
      <c r="BT15" t="s">
        <v>153</v>
      </c>
      <c r="BU15" t="s">
        <v>150</v>
      </c>
      <c r="BV15" t="s">
        <v>154</v>
      </c>
      <c r="BW15" t="s">
        <v>155</v>
      </c>
      <c r="BX15">
        <v>200</v>
      </c>
      <c r="BY15">
        <v>200</v>
      </c>
      <c r="BZ15" t="s">
        <v>220</v>
      </c>
      <c r="CA15" t="s">
        <v>189</v>
      </c>
      <c r="CB15" t="s">
        <v>149</v>
      </c>
      <c r="CC15" t="s">
        <v>156</v>
      </c>
      <c r="CD15" t="s">
        <v>157</v>
      </c>
      <c r="CJ15" t="s">
        <v>220</v>
      </c>
      <c r="CK15" t="s">
        <v>222</v>
      </c>
    </row>
    <row r="16" spans="1:89" x14ac:dyDescent="0.3">
      <c r="A16" t="s">
        <v>223</v>
      </c>
      <c r="B16" t="s">
        <v>7</v>
      </c>
      <c r="C16" t="s">
        <v>145</v>
      </c>
      <c r="D16">
        <v>200</v>
      </c>
      <c r="E16" t="s">
        <v>146</v>
      </c>
      <c r="F16" t="s">
        <v>147</v>
      </c>
      <c r="H16" t="s">
        <v>224</v>
      </c>
      <c r="I16">
        <v>42</v>
      </c>
      <c r="J16">
        <v>385</v>
      </c>
      <c r="L16">
        <v>0</v>
      </c>
      <c r="M16">
        <v>0</v>
      </c>
      <c r="O16">
        <v>0</v>
      </c>
      <c r="P16">
        <v>0</v>
      </c>
      <c r="S16" t="s">
        <v>188</v>
      </c>
      <c r="T16">
        <v>2</v>
      </c>
      <c r="V16">
        <v>0</v>
      </c>
      <c r="AB16" t="s">
        <v>223</v>
      </c>
      <c r="AH16">
        <v>322027</v>
      </c>
      <c r="AI16">
        <v>67522</v>
      </c>
      <c r="AJ16">
        <v>67522</v>
      </c>
      <c r="AK16">
        <v>26.312175526000001</v>
      </c>
      <c r="AM16">
        <v>160</v>
      </c>
      <c r="AS16">
        <v>2</v>
      </c>
      <c r="AT16">
        <v>3</v>
      </c>
      <c r="AV16">
        <v>18</v>
      </c>
      <c r="AW16">
        <v>13</v>
      </c>
      <c r="AX16">
        <v>0</v>
      </c>
      <c r="AY16">
        <v>3.36</v>
      </c>
      <c r="AZ16">
        <v>111</v>
      </c>
      <c r="BA16">
        <v>59</v>
      </c>
      <c r="BB16">
        <v>0</v>
      </c>
      <c r="BP16" t="s">
        <v>151</v>
      </c>
      <c r="BQ16">
        <v>1.1000000000000001</v>
      </c>
      <c r="BR16" t="s">
        <v>189</v>
      </c>
      <c r="BS16" t="s">
        <v>149</v>
      </c>
      <c r="BT16" t="s">
        <v>153</v>
      </c>
      <c r="BU16" t="s">
        <v>150</v>
      </c>
      <c r="BV16" t="s">
        <v>154</v>
      </c>
      <c r="BW16" t="s">
        <v>155</v>
      </c>
      <c r="BX16">
        <v>200</v>
      </c>
      <c r="BY16">
        <v>200</v>
      </c>
      <c r="BZ16" t="s">
        <v>223</v>
      </c>
      <c r="CA16" t="s">
        <v>189</v>
      </c>
      <c r="CB16" t="s">
        <v>149</v>
      </c>
      <c r="CC16" t="s">
        <v>156</v>
      </c>
      <c r="CD16" t="s">
        <v>157</v>
      </c>
      <c r="CJ16" t="s">
        <v>223</v>
      </c>
      <c r="CK16" t="s">
        <v>169</v>
      </c>
    </row>
    <row r="17" spans="1:89" x14ac:dyDescent="0.3">
      <c r="A17" t="s">
        <v>225</v>
      </c>
      <c r="B17" t="s">
        <v>7</v>
      </c>
      <c r="C17" t="s">
        <v>145</v>
      </c>
      <c r="D17">
        <v>200</v>
      </c>
      <c r="E17" t="s">
        <v>146</v>
      </c>
      <c r="F17" t="s">
        <v>161</v>
      </c>
      <c r="G17" t="s">
        <v>226</v>
      </c>
      <c r="H17" t="s">
        <v>224</v>
      </c>
      <c r="I17">
        <v>42</v>
      </c>
      <c r="J17">
        <v>385</v>
      </c>
      <c r="L17">
        <v>0</v>
      </c>
      <c r="M17">
        <v>0</v>
      </c>
      <c r="O17">
        <v>0</v>
      </c>
      <c r="P17">
        <v>0</v>
      </c>
      <c r="S17" t="s">
        <v>188</v>
      </c>
      <c r="T17">
        <v>2</v>
      </c>
      <c r="V17">
        <v>0</v>
      </c>
      <c r="AB17" t="s">
        <v>223</v>
      </c>
      <c r="AH17">
        <v>322076</v>
      </c>
      <c r="AI17">
        <v>67566</v>
      </c>
      <c r="AJ17">
        <v>67566</v>
      </c>
      <c r="AK17">
        <v>26.329321577999998</v>
      </c>
      <c r="AM17">
        <v>160</v>
      </c>
      <c r="AS17">
        <v>4</v>
      </c>
      <c r="AT17">
        <v>3</v>
      </c>
      <c r="AV17">
        <v>9</v>
      </c>
      <c r="AW17">
        <v>4</v>
      </c>
      <c r="AX17">
        <v>0</v>
      </c>
      <c r="AY17">
        <v>1.03</v>
      </c>
      <c r="AZ17">
        <v>111</v>
      </c>
      <c r="BA17">
        <v>60</v>
      </c>
      <c r="BB17">
        <v>0</v>
      </c>
      <c r="BP17" t="s">
        <v>151</v>
      </c>
      <c r="BQ17">
        <v>1.1000000000000001</v>
      </c>
      <c r="BR17" t="s">
        <v>189</v>
      </c>
      <c r="BS17" t="s">
        <v>149</v>
      </c>
      <c r="BT17" t="s">
        <v>153</v>
      </c>
      <c r="BU17" t="s">
        <v>150</v>
      </c>
      <c r="BV17" t="s">
        <v>154</v>
      </c>
      <c r="BW17" t="s">
        <v>155</v>
      </c>
      <c r="BX17">
        <v>200</v>
      </c>
      <c r="BY17">
        <v>200</v>
      </c>
      <c r="BZ17" t="s">
        <v>223</v>
      </c>
      <c r="CA17" t="s">
        <v>189</v>
      </c>
      <c r="CB17" t="s">
        <v>149</v>
      </c>
      <c r="CC17" t="s">
        <v>156</v>
      </c>
      <c r="CD17" t="s">
        <v>157</v>
      </c>
      <c r="CJ17" t="s">
        <v>225</v>
      </c>
      <c r="CK17" t="s">
        <v>227</v>
      </c>
    </row>
    <row r="18" spans="1:89" x14ac:dyDescent="0.3">
      <c r="A18" t="s">
        <v>228</v>
      </c>
      <c r="B18" t="s">
        <v>7</v>
      </c>
      <c r="C18" t="s">
        <v>145</v>
      </c>
      <c r="D18">
        <v>200</v>
      </c>
      <c r="E18" t="s">
        <v>146</v>
      </c>
      <c r="F18" t="s">
        <v>147</v>
      </c>
      <c r="H18" t="s">
        <v>229</v>
      </c>
      <c r="I18">
        <v>51</v>
      </c>
      <c r="J18">
        <v>470</v>
      </c>
      <c r="L18">
        <v>0</v>
      </c>
      <c r="M18">
        <v>0</v>
      </c>
      <c r="O18">
        <v>0</v>
      </c>
      <c r="P18">
        <v>0</v>
      </c>
      <c r="S18" t="s">
        <v>188</v>
      </c>
      <c r="T18">
        <v>2</v>
      </c>
      <c r="V18">
        <v>0</v>
      </c>
      <c r="AB18" t="s">
        <v>228</v>
      </c>
      <c r="AH18">
        <v>322262</v>
      </c>
      <c r="AI18">
        <v>67529</v>
      </c>
      <c r="AJ18">
        <v>67529</v>
      </c>
      <c r="AK18">
        <v>26.314903307000002</v>
      </c>
      <c r="AM18">
        <v>147</v>
      </c>
      <c r="AS18">
        <v>3</v>
      </c>
      <c r="AT18">
        <v>3</v>
      </c>
      <c r="AV18">
        <v>12</v>
      </c>
      <c r="AW18">
        <v>5</v>
      </c>
      <c r="AX18">
        <v>0</v>
      </c>
      <c r="AY18">
        <v>1.29</v>
      </c>
      <c r="AZ18">
        <v>112</v>
      </c>
      <c r="BA18">
        <v>60</v>
      </c>
      <c r="BB18">
        <v>0</v>
      </c>
      <c r="BP18" t="s">
        <v>151</v>
      </c>
      <c r="BQ18">
        <v>1.1000000000000001</v>
      </c>
      <c r="BR18" t="s">
        <v>189</v>
      </c>
      <c r="BS18" t="s">
        <v>149</v>
      </c>
      <c r="BT18" t="s">
        <v>153</v>
      </c>
      <c r="BU18" t="s">
        <v>150</v>
      </c>
      <c r="BV18" t="s">
        <v>154</v>
      </c>
      <c r="BW18" t="s">
        <v>155</v>
      </c>
      <c r="BX18">
        <v>200</v>
      </c>
      <c r="BY18">
        <v>200</v>
      </c>
      <c r="BZ18" t="s">
        <v>228</v>
      </c>
      <c r="CA18" t="s">
        <v>189</v>
      </c>
      <c r="CB18" t="s">
        <v>149</v>
      </c>
      <c r="CC18" t="s">
        <v>156</v>
      </c>
      <c r="CD18" t="s">
        <v>157</v>
      </c>
      <c r="CJ18" t="s">
        <v>228</v>
      </c>
      <c r="CK18" t="s">
        <v>230</v>
      </c>
    </row>
    <row r="19" spans="1:89" x14ac:dyDescent="0.3">
      <c r="A19" t="s">
        <v>231</v>
      </c>
      <c r="B19" t="s">
        <v>7</v>
      </c>
      <c r="C19" t="s">
        <v>145</v>
      </c>
      <c r="D19">
        <v>200</v>
      </c>
      <c r="E19" t="s">
        <v>146</v>
      </c>
      <c r="F19" t="s">
        <v>147</v>
      </c>
      <c r="H19" t="s">
        <v>232</v>
      </c>
      <c r="I19">
        <v>51</v>
      </c>
      <c r="J19">
        <v>470</v>
      </c>
      <c r="L19">
        <v>0</v>
      </c>
      <c r="M19">
        <v>0</v>
      </c>
      <c r="O19">
        <v>0</v>
      </c>
      <c r="P19">
        <v>0</v>
      </c>
      <c r="S19" t="s">
        <v>188</v>
      </c>
      <c r="T19">
        <v>2</v>
      </c>
      <c r="V19">
        <v>0</v>
      </c>
      <c r="AB19" t="s">
        <v>231</v>
      </c>
      <c r="AH19">
        <v>322208</v>
      </c>
      <c r="AI19">
        <v>67357</v>
      </c>
      <c r="AJ19">
        <v>67357</v>
      </c>
      <c r="AK19">
        <v>26.247877831</v>
      </c>
      <c r="AM19">
        <v>155</v>
      </c>
      <c r="AS19">
        <v>3</v>
      </c>
      <c r="AT19">
        <v>3</v>
      </c>
      <c r="AV19">
        <v>11</v>
      </c>
      <c r="AW19">
        <v>5</v>
      </c>
      <c r="AX19">
        <v>0</v>
      </c>
      <c r="AY19">
        <v>1.29</v>
      </c>
      <c r="AZ19">
        <v>112</v>
      </c>
      <c r="BA19">
        <v>60</v>
      </c>
      <c r="BB19">
        <v>0</v>
      </c>
      <c r="BP19" t="s">
        <v>151</v>
      </c>
      <c r="BQ19">
        <v>1.1000000000000001</v>
      </c>
      <c r="BR19" t="s">
        <v>189</v>
      </c>
      <c r="BS19" t="s">
        <v>149</v>
      </c>
      <c r="BT19" t="s">
        <v>153</v>
      </c>
      <c r="BU19" t="s">
        <v>150</v>
      </c>
      <c r="BV19" t="s">
        <v>154</v>
      </c>
      <c r="BW19" t="s">
        <v>155</v>
      </c>
      <c r="BX19">
        <v>200</v>
      </c>
      <c r="BY19">
        <v>200</v>
      </c>
      <c r="BZ19" t="s">
        <v>231</v>
      </c>
      <c r="CA19" t="s">
        <v>189</v>
      </c>
      <c r="CB19" t="s">
        <v>149</v>
      </c>
      <c r="CC19" t="s">
        <v>156</v>
      </c>
      <c r="CD19" t="s">
        <v>157</v>
      </c>
      <c r="CJ19" t="s">
        <v>231</v>
      </c>
      <c r="CK19" t="s">
        <v>179</v>
      </c>
    </row>
    <row r="20" spans="1:89" x14ac:dyDescent="0.3">
      <c r="A20" t="s">
        <v>233</v>
      </c>
      <c r="B20" t="s">
        <v>7</v>
      </c>
      <c r="C20" t="s">
        <v>145</v>
      </c>
      <c r="D20">
        <v>200</v>
      </c>
      <c r="E20" t="s">
        <v>146</v>
      </c>
      <c r="F20" t="s">
        <v>147</v>
      </c>
      <c r="H20" t="s">
        <v>234</v>
      </c>
      <c r="I20">
        <v>51</v>
      </c>
      <c r="J20">
        <v>470</v>
      </c>
      <c r="L20">
        <v>0</v>
      </c>
      <c r="M20">
        <v>0</v>
      </c>
      <c r="O20">
        <v>0</v>
      </c>
      <c r="P20">
        <v>0</v>
      </c>
      <c r="S20" t="s">
        <v>188</v>
      </c>
      <c r="T20">
        <v>2</v>
      </c>
      <c r="V20">
        <v>0</v>
      </c>
      <c r="AB20" t="s">
        <v>233</v>
      </c>
      <c r="AH20">
        <v>318283</v>
      </c>
      <c r="AI20">
        <v>67576</v>
      </c>
      <c r="AJ20">
        <v>67576</v>
      </c>
      <c r="AK20">
        <v>26.333218408</v>
      </c>
      <c r="AM20">
        <v>144</v>
      </c>
      <c r="AS20">
        <v>3</v>
      </c>
      <c r="AT20">
        <v>3</v>
      </c>
      <c r="AV20">
        <v>10</v>
      </c>
      <c r="AW20">
        <v>5</v>
      </c>
      <c r="AX20">
        <v>0</v>
      </c>
      <c r="AY20">
        <v>1.29</v>
      </c>
      <c r="AZ20">
        <v>111</v>
      </c>
      <c r="BA20">
        <v>60</v>
      </c>
      <c r="BB20">
        <v>0</v>
      </c>
      <c r="BP20" t="s">
        <v>151</v>
      </c>
      <c r="BQ20">
        <v>1.1000000000000001</v>
      </c>
      <c r="BR20" t="s">
        <v>189</v>
      </c>
      <c r="BS20" t="s">
        <v>149</v>
      </c>
      <c r="BT20" t="s">
        <v>153</v>
      </c>
      <c r="BU20" t="s">
        <v>150</v>
      </c>
      <c r="BV20" t="s">
        <v>154</v>
      </c>
      <c r="BW20" t="s">
        <v>155</v>
      </c>
      <c r="BX20">
        <v>200</v>
      </c>
      <c r="BY20">
        <v>200</v>
      </c>
      <c r="BZ20" t="s">
        <v>233</v>
      </c>
      <c r="CA20" t="s">
        <v>189</v>
      </c>
      <c r="CB20" t="s">
        <v>149</v>
      </c>
      <c r="CC20" t="s">
        <v>156</v>
      </c>
      <c r="CD20" t="s">
        <v>157</v>
      </c>
      <c r="CJ20" t="s">
        <v>233</v>
      </c>
      <c r="CK20" t="s">
        <v>179</v>
      </c>
    </row>
    <row r="21" spans="1:89" x14ac:dyDescent="0.3">
      <c r="A21" t="s">
        <v>235</v>
      </c>
      <c r="B21" t="s">
        <v>7</v>
      </c>
      <c r="C21" t="s">
        <v>145</v>
      </c>
      <c r="D21">
        <v>200</v>
      </c>
      <c r="E21" t="s">
        <v>146</v>
      </c>
      <c r="F21" t="s">
        <v>147</v>
      </c>
      <c r="H21" t="s">
        <v>236</v>
      </c>
      <c r="I21">
        <v>38</v>
      </c>
      <c r="J21">
        <v>486</v>
      </c>
      <c r="L21">
        <v>0</v>
      </c>
      <c r="M21">
        <v>0</v>
      </c>
      <c r="O21">
        <v>0</v>
      </c>
      <c r="P21">
        <v>0</v>
      </c>
      <c r="S21" t="s">
        <v>237</v>
      </c>
      <c r="T21">
        <v>18</v>
      </c>
      <c r="V21">
        <v>0</v>
      </c>
      <c r="AB21" t="s">
        <v>235</v>
      </c>
      <c r="AH21">
        <v>316942</v>
      </c>
      <c r="AI21">
        <v>68533</v>
      </c>
      <c r="AJ21">
        <v>68533</v>
      </c>
      <c r="AK21">
        <v>26.706145038999999</v>
      </c>
      <c r="AM21">
        <v>133</v>
      </c>
      <c r="AS21">
        <v>1</v>
      </c>
      <c r="AT21">
        <v>2</v>
      </c>
      <c r="AV21">
        <v>8</v>
      </c>
      <c r="AW21">
        <v>4</v>
      </c>
      <c r="AX21">
        <v>0</v>
      </c>
      <c r="AY21">
        <v>1.03</v>
      </c>
      <c r="AZ21">
        <v>106</v>
      </c>
      <c r="BA21">
        <v>55</v>
      </c>
      <c r="BB21">
        <v>0</v>
      </c>
      <c r="BP21" t="s">
        <v>151</v>
      </c>
      <c r="BQ21">
        <v>1.1000000000000001</v>
      </c>
      <c r="BR21" t="s">
        <v>238</v>
      </c>
      <c r="BS21" t="s">
        <v>149</v>
      </c>
      <c r="BT21" t="s">
        <v>195</v>
      </c>
      <c r="BU21" t="s">
        <v>150</v>
      </c>
      <c r="BV21" t="s">
        <v>239</v>
      </c>
      <c r="BW21" t="s">
        <v>240</v>
      </c>
      <c r="BX21">
        <v>963</v>
      </c>
      <c r="BY21">
        <v>600</v>
      </c>
      <c r="BZ21" t="s">
        <v>235</v>
      </c>
      <c r="CA21" t="s">
        <v>238</v>
      </c>
      <c r="CB21" t="s">
        <v>149</v>
      </c>
      <c r="CC21" t="s">
        <v>156</v>
      </c>
      <c r="CD21" t="s">
        <v>157</v>
      </c>
      <c r="CJ21" t="s">
        <v>235</v>
      </c>
      <c r="CK21" t="s">
        <v>241</v>
      </c>
    </row>
    <row r="22" spans="1:89" x14ac:dyDescent="0.3">
      <c r="A22" t="s">
        <v>242</v>
      </c>
      <c r="B22" t="s">
        <v>7</v>
      </c>
      <c r="C22" t="s">
        <v>145</v>
      </c>
      <c r="D22">
        <v>200</v>
      </c>
      <c r="E22" t="s">
        <v>146</v>
      </c>
      <c r="F22" t="s">
        <v>147</v>
      </c>
      <c r="H22" t="s">
        <v>243</v>
      </c>
      <c r="I22">
        <v>37</v>
      </c>
      <c r="J22">
        <v>449</v>
      </c>
      <c r="L22">
        <v>0</v>
      </c>
      <c r="M22">
        <v>0</v>
      </c>
      <c r="O22">
        <v>0</v>
      </c>
      <c r="P22">
        <v>0</v>
      </c>
      <c r="S22" t="s">
        <v>244</v>
      </c>
      <c r="T22">
        <v>17</v>
      </c>
      <c r="V22">
        <v>0</v>
      </c>
      <c r="AB22" t="s">
        <v>242</v>
      </c>
      <c r="AH22">
        <v>333286</v>
      </c>
      <c r="AI22">
        <v>71987</v>
      </c>
      <c r="AJ22">
        <v>71987</v>
      </c>
      <c r="AK22">
        <v>28.052110120999998</v>
      </c>
      <c r="AM22">
        <v>132</v>
      </c>
      <c r="AS22">
        <v>1</v>
      </c>
      <c r="AT22">
        <v>2</v>
      </c>
      <c r="AV22">
        <v>8</v>
      </c>
      <c r="AW22">
        <v>4</v>
      </c>
      <c r="AX22">
        <v>0</v>
      </c>
      <c r="AY22">
        <v>1.03</v>
      </c>
      <c r="AZ22">
        <v>111</v>
      </c>
      <c r="BA22">
        <v>60</v>
      </c>
      <c r="BB22">
        <v>0</v>
      </c>
      <c r="BP22" t="s">
        <v>151</v>
      </c>
      <c r="BQ22">
        <v>1.1000000000000001</v>
      </c>
      <c r="BR22" t="s">
        <v>245</v>
      </c>
      <c r="BS22" t="s">
        <v>149</v>
      </c>
      <c r="BT22" t="s">
        <v>195</v>
      </c>
      <c r="BU22" t="s">
        <v>150</v>
      </c>
      <c r="BV22" t="s">
        <v>246</v>
      </c>
      <c r="BW22" t="s">
        <v>247</v>
      </c>
      <c r="BX22">
        <v>963</v>
      </c>
      <c r="BY22">
        <v>600</v>
      </c>
      <c r="BZ22" t="s">
        <v>242</v>
      </c>
      <c r="CA22" t="s">
        <v>245</v>
      </c>
      <c r="CB22" t="s">
        <v>149</v>
      </c>
      <c r="CC22" t="s">
        <v>156</v>
      </c>
      <c r="CD22" t="s">
        <v>157</v>
      </c>
      <c r="CJ22" t="s">
        <v>242</v>
      </c>
      <c r="CK22" t="s">
        <v>185</v>
      </c>
    </row>
    <row r="23" spans="1:89" x14ac:dyDescent="0.3">
      <c r="A23" t="s">
        <v>248</v>
      </c>
      <c r="B23" t="s">
        <v>7</v>
      </c>
      <c r="C23" t="s">
        <v>145</v>
      </c>
      <c r="D23">
        <v>404</v>
      </c>
      <c r="E23" t="s">
        <v>160</v>
      </c>
      <c r="F23" t="s">
        <v>161</v>
      </c>
      <c r="G23" t="s">
        <v>162</v>
      </c>
      <c r="I23">
        <v>0</v>
      </c>
      <c r="J23">
        <v>0</v>
      </c>
      <c r="L23">
        <v>0</v>
      </c>
      <c r="M23">
        <v>0</v>
      </c>
      <c r="O23">
        <v>0</v>
      </c>
      <c r="P23">
        <v>0</v>
      </c>
      <c r="T23">
        <v>0</v>
      </c>
      <c r="V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S23">
        <v>2</v>
      </c>
      <c r="AT23">
        <v>3</v>
      </c>
      <c r="AV23">
        <v>6</v>
      </c>
      <c r="AW23">
        <v>2</v>
      </c>
      <c r="AX23">
        <v>0</v>
      </c>
      <c r="AY23">
        <v>0.52</v>
      </c>
      <c r="AZ23">
        <v>0</v>
      </c>
      <c r="BA23">
        <v>0</v>
      </c>
      <c r="BB23">
        <v>0</v>
      </c>
      <c r="BQ23">
        <v>1.1000000000000001</v>
      </c>
      <c r="CJ23" t="s">
        <v>249</v>
      </c>
      <c r="CK23" t="s">
        <v>250</v>
      </c>
    </row>
    <row r="24" spans="1:89" x14ac:dyDescent="0.3">
      <c r="A24" t="s">
        <v>251</v>
      </c>
      <c r="B24" t="s">
        <v>7</v>
      </c>
      <c r="C24" t="s">
        <v>145</v>
      </c>
      <c r="D24">
        <v>200</v>
      </c>
      <c r="E24" t="s">
        <v>146</v>
      </c>
      <c r="F24" t="s">
        <v>161</v>
      </c>
      <c r="G24" t="s">
        <v>226</v>
      </c>
      <c r="H24" t="s">
        <v>187</v>
      </c>
      <c r="I24">
        <v>22</v>
      </c>
      <c r="J24">
        <v>219</v>
      </c>
      <c r="L24">
        <v>0</v>
      </c>
      <c r="M24">
        <v>0</v>
      </c>
      <c r="O24">
        <v>0</v>
      </c>
      <c r="P24">
        <v>0</v>
      </c>
      <c r="S24" t="s">
        <v>188</v>
      </c>
      <c r="T24">
        <v>2</v>
      </c>
      <c r="V24">
        <v>0</v>
      </c>
      <c r="AB24" t="s">
        <v>186</v>
      </c>
      <c r="AH24">
        <v>321822</v>
      </c>
      <c r="AI24">
        <v>67602</v>
      </c>
      <c r="AJ24">
        <v>67602</v>
      </c>
      <c r="AK24">
        <v>26.343350166</v>
      </c>
      <c r="AM24">
        <v>158</v>
      </c>
      <c r="AS24">
        <v>4</v>
      </c>
      <c r="AT24">
        <v>1</v>
      </c>
      <c r="AV24">
        <v>10</v>
      </c>
      <c r="AW24">
        <v>5</v>
      </c>
      <c r="AX24">
        <v>0</v>
      </c>
      <c r="AY24">
        <v>1.29</v>
      </c>
      <c r="AZ24">
        <v>111</v>
      </c>
      <c r="BA24">
        <v>60</v>
      </c>
      <c r="BB24">
        <v>0</v>
      </c>
      <c r="BP24" t="s">
        <v>151</v>
      </c>
      <c r="BQ24">
        <v>1.1000000000000001</v>
      </c>
      <c r="BR24" t="s">
        <v>189</v>
      </c>
      <c r="BS24" t="s">
        <v>149</v>
      </c>
      <c r="BT24" t="s">
        <v>153</v>
      </c>
      <c r="BU24" t="s">
        <v>150</v>
      </c>
      <c r="BV24" t="s">
        <v>154</v>
      </c>
      <c r="BW24" t="s">
        <v>155</v>
      </c>
      <c r="BX24">
        <v>200</v>
      </c>
      <c r="BY24">
        <v>200</v>
      </c>
      <c r="BZ24" t="s">
        <v>186</v>
      </c>
      <c r="CA24" t="s">
        <v>189</v>
      </c>
      <c r="CB24" t="s">
        <v>149</v>
      </c>
      <c r="CC24" t="s">
        <v>156</v>
      </c>
      <c r="CD24" t="s">
        <v>157</v>
      </c>
      <c r="CJ24" t="s">
        <v>251</v>
      </c>
      <c r="CK24" t="s">
        <v>227</v>
      </c>
    </row>
    <row r="25" spans="1:89" x14ac:dyDescent="0.3">
      <c r="A25" t="s">
        <v>252</v>
      </c>
      <c r="B25" t="s">
        <v>7</v>
      </c>
      <c r="C25" t="s">
        <v>145</v>
      </c>
      <c r="D25">
        <v>200</v>
      </c>
      <c r="E25" t="s">
        <v>146</v>
      </c>
      <c r="F25" t="s">
        <v>147</v>
      </c>
      <c r="H25" t="s">
        <v>253</v>
      </c>
      <c r="I25">
        <v>31</v>
      </c>
      <c r="J25">
        <v>304</v>
      </c>
      <c r="L25">
        <v>0</v>
      </c>
      <c r="M25">
        <v>0</v>
      </c>
      <c r="O25">
        <v>0</v>
      </c>
      <c r="P25">
        <v>0</v>
      </c>
      <c r="S25" t="s">
        <v>188</v>
      </c>
      <c r="T25">
        <v>2</v>
      </c>
      <c r="V25">
        <v>0</v>
      </c>
      <c r="AB25" t="s">
        <v>252</v>
      </c>
      <c r="AH25">
        <v>321899</v>
      </c>
      <c r="AI25">
        <v>67416</v>
      </c>
      <c r="AJ25">
        <v>67416</v>
      </c>
      <c r="AK25">
        <v>26.270869128000001</v>
      </c>
      <c r="AM25">
        <v>149</v>
      </c>
      <c r="AS25">
        <v>3</v>
      </c>
      <c r="AT25">
        <v>1</v>
      </c>
      <c r="AV25">
        <v>12</v>
      </c>
      <c r="AW25">
        <v>5</v>
      </c>
      <c r="AX25">
        <v>0</v>
      </c>
      <c r="AY25">
        <v>1.29</v>
      </c>
      <c r="AZ25">
        <v>112</v>
      </c>
      <c r="BA25">
        <v>60</v>
      </c>
      <c r="BB25">
        <v>0</v>
      </c>
      <c r="BP25" t="s">
        <v>151</v>
      </c>
      <c r="BQ25">
        <v>1.1000000000000001</v>
      </c>
      <c r="BR25" t="s">
        <v>189</v>
      </c>
      <c r="BS25" t="s">
        <v>149</v>
      </c>
      <c r="BT25" t="s">
        <v>153</v>
      </c>
      <c r="BU25" t="s">
        <v>150</v>
      </c>
      <c r="BV25" t="s">
        <v>154</v>
      </c>
      <c r="BW25" t="s">
        <v>155</v>
      </c>
      <c r="BX25">
        <v>200</v>
      </c>
      <c r="BY25">
        <v>200</v>
      </c>
      <c r="BZ25" t="s">
        <v>252</v>
      </c>
      <c r="CA25" t="s">
        <v>189</v>
      </c>
      <c r="CB25" t="s">
        <v>149</v>
      </c>
      <c r="CC25" t="s">
        <v>156</v>
      </c>
      <c r="CD25" t="s">
        <v>157</v>
      </c>
      <c r="CJ25" t="s">
        <v>252</v>
      </c>
      <c r="CK25" t="s">
        <v>180</v>
      </c>
    </row>
    <row r="26" spans="1:89" x14ac:dyDescent="0.3">
      <c r="A26" t="s">
        <v>254</v>
      </c>
      <c r="B26" t="s">
        <v>7</v>
      </c>
      <c r="C26" t="s">
        <v>145</v>
      </c>
      <c r="D26">
        <v>200</v>
      </c>
      <c r="E26" t="s">
        <v>146</v>
      </c>
      <c r="F26" t="s">
        <v>147</v>
      </c>
      <c r="H26" t="s">
        <v>255</v>
      </c>
      <c r="I26">
        <v>31</v>
      </c>
      <c r="J26">
        <v>304</v>
      </c>
      <c r="L26">
        <v>0</v>
      </c>
      <c r="M26">
        <v>0</v>
      </c>
      <c r="O26">
        <v>0</v>
      </c>
      <c r="P26">
        <v>0</v>
      </c>
      <c r="S26" t="s">
        <v>188</v>
      </c>
      <c r="T26">
        <v>2</v>
      </c>
      <c r="V26">
        <v>0</v>
      </c>
      <c r="AB26" t="s">
        <v>254</v>
      </c>
      <c r="AH26">
        <v>321872</v>
      </c>
      <c r="AI26">
        <v>67366</v>
      </c>
      <c r="AJ26">
        <v>67366</v>
      </c>
      <c r="AK26">
        <v>26.251384978000001</v>
      </c>
      <c r="AM26">
        <v>151</v>
      </c>
      <c r="AS26">
        <v>3</v>
      </c>
      <c r="AT26">
        <v>1</v>
      </c>
      <c r="AV26">
        <v>12</v>
      </c>
      <c r="AW26">
        <v>6</v>
      </c>
      <c r="AX26">
        <v>0</v>
      </c>
      <c r="AY26">
        <v>1.55</v>
      </c>
      <c r="AZ26">
        <v>112</v>
      </c>
      <c r="BA26">
        <v>60</v>
      </c>
      <c r="BB26">
        <v>0</v>
      </c>
      <c r="BP26" t="s">
        <v>151</v>
      </c>
      <c r="BQ26">
        <v>1.1000000000000001</v>
      </c>
      <c r="BR26" t="s">
        <v>189</v>
      </c>
      <c r="BS26" t="s">
        <v>149</v>
      </c>
      <c r="BT26" t="s">
        <v>153</v>
      </c>
      <c r="BU26" t="s">
        <v>150</v>
      </c>
      <c r="BV26" t="s">
        <v>154</v>
      </c>
      <c r="BW26" t="s">
        <v>155</v>
      </c>
      <c r="BX26">
        <v>200</v>
      </c>
      <c r="BY26">
        <v>200</v>
      </c>
      <c r="BZ26" t="s">
        <v>254</v>
      </c>
      <c r="CA26" t="s">
        <v>189</v>
      </c>
      <c r="CB26" t="s">
        <v>149</v>
      </c>
      <c r="CC26" t="s">
        <v>156</v>
      </c>
      <c r="CD26" t="s">
        <v>157</v>
      </c>
      <c r="CJ26" t="s">
        <v>254</v>
      </c>
      <c r="CK26" t="s">
        <v>256</v>
      </c>
    </row>
    <row r="27" spans="1:89" x14ac:dyDescent="0.3">
      <c r="A27" t="s">
        <v>257</v>
      </c>
      <c r="B27" t="s">
        <v>7</v>
      </c>
      <c r="C27" t="s">
        <v>145</v>
      </c>
      <c r="D27">
        <v>200</v>
      </c>
      <c r="E27" t="s">
        <v>146</v>
      </c>
      <c r="F27" t="s">
        <v>147</v>
      </c>
      <c r="H27" t="s">
        <v>258</v>
      </c>
      <c r="I27">
        <v>31</v>
      </c>
      <c r="J27">
        <v>304</v>
      </c>
      <c r="L27">
        <v>0</v>
      </c>
      <c r="M27">
        <v>0</v>
      </c>
      <c r="O27">
        <v>0</v>
      </c>
      <c r="P27">
        <v>0</v>
      </c>
      <c r="S27" t="s">
        <v>188</v>
      </c>
      <c r="T27">
        <v>2</v>
      </c>
      <c r="V27">
        <v>0</v>
      </c>
      <c r="AB27" t="s">
        <v>257</v>
      </c>
      <c r="AH27">
        <v>321964</v>
      </c>
      <c r="AI27">
        <v>67589</v>
      </c>
      <c r="AJ27">
        <v>67589</v>
      </c>
      <c r="AK27">
        <v>26.338284287</v>
      </c>
      <c r="AM27">
        <v>156</v>
      </c>
      <c r="AS27">
        <v>4</v>
      </c>
      <c r="AT27">
        <v>1</v>
      </c>
      <c r="AV27">
        <v>10</v>
      </c>
      <c r="AW27">
        <v>4</v>
      </c>
      <c r="AX27">
        <v>0</v>
      </c>
      <c r="AY27">
        <v>1.03</v>
      </c>
      <c r="AZ27">
        <v>113</v>
      </c>
      <c r="BA27">
        <v>61</v>
      </c>
      <c r="BB27">
        <v>0</v>
      </c>
      <c r="BP27" t="s">
        <v>151</v>
      </c>
      <c r="BQ27">
        <v>1.1000000000000001</v>
      </c>
      <c r="BR27" t="s">
        <v>189</v>
      </c>
      <c r="BS27" t="s">
        <v>149</v>
      </c>
      <c r="BT27" t="s">
        <v>153</v>
      </c>
      <c r="BU27" t="s">
        <v>150</v>
      </c>
      <c r="BV27" t="s">
        <v>154</v>
      </c>
      <c r="BW27" t="s">
        <v>155</v>
      </c>
      <c r="BX27">
        <v>200</v>
      </c>
      <c r="BY27">
        <v>200</v>
      </c>
      <c r="BZ27" t="s">
        <v>257</v>
      </c>
      <c r="CA27" t="s">
        <v>189</v>
      </c>
      <c r="CB27" t="s">
        <v>149</v>
      </c>
      <c r="CC27" t="s">
        <v>156</v>
      </c>
      <c r="CD27" t="s">
        <v>157</v>
      </c>
      <c r="CJ27" t="s">
        <v>257</v>
      </c>
      <c r="CK27" t="s">
        <v>259</v>
      </c>
    </row>
    <row r="28" spans="1:89" x14ac:dyDescent="0.3">
      <c r="A28" t="s">
        <v>260</v>
      </c>
      <c r="B28" t="s">
        <v>7</v>
      </c>
      <c r="C28" t="s">
        <v>145</v>
      </c>
      <c r="D28">
        <v>200</v>
      </c>
      <c r="E28" t="s">
        <v>146</v>
      </c>
      <c r="F28" t="s">
        <v>147</v>
      </c>
      <c r="H28" t="s">
        <v>261</v>
      </c>
      <c r="I28">
        <v>31</v>
      </c>
      <c r="J28">
        <v>304</v>
      </c>
      <c r="L28">
        <v>0</v>
      </c>
      <c r="M28">
        <v>0</v>
      </c>
      <c r="O28">
        <v>0</v>
      </c>
      <c r="P28">
        <v>0</v>
      </c>
      <c r="S28" t="s">
        <v>188</v>
      </c>
      <c r="T28">
        <v>2</v>
      </c>
      <c r="V28">
        <v>0</v>
      </c>
      <c r="AB28" t="s">
        <v>260</v>
      </c>
      <c r="AH28">
        <v>318028</v>
      </c>
      <c r="AI28">
        <v>67285</v>
      </c>
      <c r="AJ28">
        <v>67285</v>
      </c>
      <c r="AK28">
        <v>26.219820654999999</v>
      </c>
      <c r="AM28">
        <v>140</v>
      </c>
      <c r="AS28">
        <v>3</v>
      </c>
      <c r="AT28">
        <v>1</v>
      </c>
      <c r="AV28">
        <v>11</v>
      </c>
      <c r="AW28">
        <v>6</v>
      </c>
      <c r="AX28">
        <v>0</v>
      </c>
      <c r="AY28">
        <v>1.55</v>
      </c>
      <c r="AZ28">
        <v>114</v>
      </c>
      <c r="BA28">
        <v>63</v>
      </c>
      <c r="BB28">
        <v>0</v>
      </c>
      <c r="BP28" t="s">
        <v>151</v>
      </c>
      <c r="BQ28">
        <v>1.1000000000000001</v>
      </c>
      <c r="BR28" t="s">
        <v>189</v>
      </c>
      <c r="BS28" t="s">
        <v>149</v>
      </c>
      <c r="BT28" t="s">
        <v>153</v>
      </c>
      <c r="BU28" t="s">
        <v>150</v>
      </c>
      <c r="BV28" t="s">
        <v>154</v>
      </c>
      <c r="BW28" t="s">
        <v>155</v>
      </c>
      <c r="BX28">
        <v>200</v>
      </c>
      <c r="BY28">
        <v>200</v>
      </c>
      <c r="BZ28" t="s">
        <v>260</v>
      </c>
      <c r="CA28" t="s">
        <v>189</v>
      </c>
      <c r="CB28" t="s">
        <v>149</v>
      </c>
      <c r="CC28" t="s">
        <v>156</v>
      </c>
      <c r="CD28" t="s">
        <v>157</v>
      </c>
      <c r="CJ28" t="s">
        <v>260</v>
      </c>
      <c r="CK28" t="s">
        <v>180</v>
      </c>
    </row>
    <row r="29" spans="1:89" x14ac:dyDescent="0.3">
      <c r="A29" t="s">
        <v>262</v>
      </c>
      <c r="B29" t="s">
        <v>7</v>
      </c>
      <c r="C29" t="s">
        <v>145</v>
      </c>
      <c r="D29">
        <v>200</v>
      </c>
      <c r="E29" t="s">
        <v>146</v>
      </c>
      <c r="F29" t="s">
        <v>147</v>
      </c>
      <c r="H29" t="s">
        <v>263</v>
      </c>
      <c r="I29">
        <v>24</v>
      </c>
      <c r="J29">
        <v>259</v>
      </c>
      <c r="L29">
        <v>0</v>
      </c>
      <c r="M29">
        <v>0</v>
      </c>
      <c r="O29">
        <v>0</v>
      </c>
      <c r="P29">
        <v>0</v>
      </c>
      <c r="S29" t="s">
        <v>264</v>
      </c>
      <c r="T29">
        <v>4</v>
      </c>
      <c r="V29">
        <v>0</v>
      </c>
      <c r="AB29" t="s">
        <v>262</v>
      </c>
      <c r="AH29">
        <v>330438</v>
      </c>
      <c r="AI29">
        <v>68421</v>
      </c>
      <c r="AJ29">
        <v>68421</v>
      </c>
      <c r="AK29">
        <v>26.662500543</v>
      </c>
      <c r="AM29">
        <v>236</v>
      </c>
      <c r="AS29">
        <v>1</v>
      </c>
      <c r="AT29">
        <v>1</v>
      </c>
      <c r="AV29">
        <v>1181</v>
      </c>
      <c r="AW29">
        <v>387</v>
      </c>
      <c r="AX29">
        <v>0</v>
      </c>
      <c r="AY29">
        <v>100</v>
      </c>
      <c r="AZ29">
        <v>117</v>
      </c>
      <c r="BA29">
        <v>65</v>
      </c>
      <c r="BB29">
        <v>0</v>
      </c>
      <c r="BP29" t="s">
        <v>151</v>
      </c>
      <c r="BQ29">
        <v>1.1000000000000001</v>
      </c>
      <c r="BR29" t="s">
        <v>265</v>
      </c>
      <c r="BS29" t="s">
        <v>149</v>
      </c>
      <c r="BT29" t="s">
        <v>153</v>
      </c>
      <c r="BU29" t="s">
        <v>150</v>
      </c>
      <c r="BV29" t="s">
        <v>154</v>
      </c>
      <c r="BW29" t="s">
        <v>155</v>
      </c>
      <c r="BX29">
        <v>200</v>
      </c>
      <c r="BY29">
        <v>200</v>
      </c>
      <c r="BZ29" t="s">
        <v>262</v>
      </c>
      <c r="CA29" t="s">
        <v>265</v>
      </c>
      <c r="CB29" t="s">
        <v>149</v>
      </c>
      <c r="CC29" t="s">
        <v>156</v>
      </c>
      <c r="CD29" t="s">
        <v>157</v>
      </c>
      <c r="CJ29" t="s">
        <v>262</v>
      </c>
      <c r="CK29" t="s">
        <v>266</v>
      </c>
    </row>
    <row r="30" spans="1:89" x14ac:dyDescent="0.3">
      <c r="A30" t="s">
        <v>267</v>
      </c>
      <c r="B30" t="s">
        <v>7</v>
      </c>
      <c r="C30" t="s">
        <v>145</v>
      </c>
      <c r="D30">
        <v>200</v>
      </c>
      <c r="E30" t="s">
        <v>146</v>
      </c>
      <c r="F30" t="s">
        <v>147</v>
      </c>
      <c r="H30" t="s">
        <v>268</v>
      </c>
      <c r="I30">
        <v>51</v>
      </c>
      <c r="J30">
        <v>763</v>
      </c>
      <c r="L30">
        <v>0</v>
      </c>
      <c r="M30">
        <v>0</v>
      </c>
      <c r="N30" t="s">
        <v>269</v>
      </c>
      <c r="O30">
        <v>320</v>
      </c>
      <c r="P30">
        <v>4407</v>
      </c>
      <c r="S30" t="s">
        <v>270</v>
      </c>
      <c r="T30">
        <v>31</v>
      </c>
      <c r="V30">
        <v>0</v>
      </c>
      <c r="AB30" t="s">
        <v>267</v>
      </c>
      <c r="AH30">
        <v>403626</v>
      </c>
      <c r="AI30">
        <v>84959</v>
      </c>
      <c r="AJ30">
        <v>84959</v>
      </c>
      <c r="AK30">
        <v>33.107077996999998</v>
      </c>
      <c r="AM30">
        <v>347</v>
      </c>
      <c r="AS30">
        <v>3</v>
      </c>
      <c r="AT30">
        <v>2</v>
      </c>
      <c r="AV30">
        <v>10</v>
      </c>
      <c r="AW30">
        <v>5</v>
      </c>
      <c r="AX30">
        <v>0</v>
      </c>
      <c r="AY30">
        <v>1.29</v>
      </c>
      <c r="AZ30">
        <v>114</v>
      </c>
      <c r="BA30">
        <v>63</v>
      </c>
      <c r="BB30">
        <v>0</v>
      </c>
      <c r="BP30" t="s">
        <v>151</v>
      </c>
      <c r="BQ30">
        <v>1.1000000000000001</v>
      </c>
      <c r="BR30" t="s">
        <v>271</v>
      </c>
      <c r="BS30" t="s">
        <v>269</v>
      </c>
      <c r="BT30" t="s">
        <v>195</v>
      </c>
      <c r="BU30" t="s">
        <v>150</v>
      </c>
      <c r="BV30" t="s">
        <v>272</v>
      </c>
      <c r="BW30" t="s">
        <v>273</v>
      </c>
      <c r="BX30">
        <v>1133</v>
      </c>
      <c r="BY30">
        <v>500</v>
      </c>
      <c r="BZ30" t="s">
        <v>267</v>
      </c>
      <c r="CA30" t="s">
        <v>271</v>
      </c>
      <c r="CB30" t="s">
        <v>269</v>
      </c>
      <c r="CC30" t="s">
        <v>156</v>
      </c>
      <c r="CD30" t="s">
        <v>157</v>
      </c>
      <c r="CJ30" t="s">
        <v>267</v>
      </c>
      <c r="CK30" t="s">
        <v>274</v>
      </c>
    </row>
    <row r="31" spans="1:89" x14ac:dyDescent="0.3">
      <c r="A31" t="s">
        <v>275</v>
      </c>
      <c r="B31" t="s">
        <v>7</v>
      </c>
      <c r="C31" t="s">
        <v>145</v>
      </c>
      <c r="D31">
        <v>200</v>
      </c>
      <c r="E31" t="s">
        <v>146</v>
      </c>
      <c r="F31" t="s">
        <v>147</v>
      </c>
      <c r="H31" t="s">
        <v>276</v>
      </c>
      <c r="I31">
        <v>44</v>
      </c>
      <c r="J31">
        <v>650</v>
      </c>
      <c r="L31">
        <v>0</v>
      </c>
      <c r="M31">
        <v>0</v>
      </c>
      <c r="N31" t="s">
        <v>277</v>
      </c>
      <c r="O31">
        <v>320</v>
      </c>
      <c r="P31">
        <v>4308</v>
      </c>
      <c r="S31" t="s">
        <v>278</v>
      </c>
      <c r="T31">
        <v>24</v>
      </c>
      <c r="V31">
        <v>0</v>
      </c>
      <c r="AB31" t="s">
        <v>275</v>
      </c>
      <c r="AH31">
        <v>400098</v>
      </c>
      <c r="AI31">
        <v>84620</v>
      </c>
      <c r="AJ31">
        <v>84620</v>
      </c>
      <c r="AK31">
        <v>32.974975460000003</v>
      </c>
      <c r="AM31">
        <v>321</v>
      </c>
      <c r="AS31">
        <v>3</v>
      </c>
      <c r="AT31">
        <v>2</v>
      </c>
      <c r="AV31">
        <v>12</v>
      </c>
      <c r="AW31">
        <v>6</v>
      </c>
      <c r="AX31">
        <v>0</v>
      </c>
      <c r="AY31">
        <v>1.55</v>
      </c>
      <c r="AZ31">
        <v>113</v>
      </c>
      <c r="BA31">
        <v>60</v>
      </c>
      <c r="BB31">
        <v>0</v>
      </c>
      <c r="BP31" t="s">
        <v>151</v>
      </c>
      <c r="BQ31">
        <v>1.1000000000000001</v>
      </c>
      <c r="BR31" t="s">
        <v>279</v>
      </c>
      <c r="BS31" t="s">
        <v>277</v>
      </c>
      <c r="BT31" t="s">
        <v>195</v>
      </c>
      <c r="BU31" t="s">
        <v>150</v>
      </c>
      <c r="BV31" t="s">
        <v>280</v>
      </c>
      <c r="BW31" t="s">
        <v>281</v>
      </c>
      <c r="BX31">
        <v>1133</v>
      </c>
      <c r="BY31">
        <v>500</v>
      </c>
      <c r="BZ31" t="s">
        <v>275</v>
      </c>
      <c r="CA31" t="s">
        <v>279</v>
      </c>
      <c r="CB31" t="s">
        <v>277</v>
      </c>
      <c r="CC31" t="s">
        <v>156</v>
      </c>
      <c r="CD31" t="s">
        <v>157</v>
      </c>
      <c r="CJ31" t="s">
        <v>275</v>
      </c>
      <c r="CK31" t="s">
        <v>282</v>
      </c>
    </row>
    <row r="32" spans="1:89" x14ac:dyDescent="0.3">
      <c r="A32" t="s">
        <v>283</v>
      </c>
      <c r="B32" t="s">
        <v>7</v>
      </c>
      <c r="C32" t="s">
        <v>145</v>
      </c>
      <c r="D32">
        <v>200</v>
      </c>
      <c r="E32" t="s">
        <v>146</v>
      </c>
      <c r="F32" t="s">
        <v>147</v>
      </c>
      <c r="H32" t="s">
        <v>284</v>
      </c>
      <c r="I32">
        <v>53</v>
      </c>
      <c r="J32">
        <v>830</v>
      </c>
      <c r="L32">
        <v>0</v>
      </c>
      <c r="M32">
        <v>0</v>
      </c>
      <c r="N32" t="s">
        <v>285</v>
      </c>
      <c r="O32">
        <v>320</v>
      </c>
      <c r="P32">
        <v>4420</v>
      </c>
      <c r="S32" t="s">
        <v>286</v>
      </c>
      <c r="T32">
        <v>33</v>
      </c>
      <c r="V32">
        <v>0</v>
      </c>
      <c r="AB32" t="s">
        <v>283</v>
      </c>
      <c r="AH32">
        <v>489890</v>
      </c>
      <c r="AI32">
        <v>87616</v>
      </c>
      <c r="AJ32">
        <v>87616</v>
      </c>
      <c r="AK32">
        <v>34.142465727999998</v>
      </c>
      <c r="AM32">
        <v>430</v>
      </c>
      <c r="AS32">
        <v>2</v>
      </c>
      <c r="AT32">
        <v>2</v>
      </c>
      <c r="AV32">
        <v>11</v>
      </c>
      <c r="AW32">
        <v>7</v>
      </c>
      <c r="AX32">
        <v>0</v>
      </c>
      <c r="AY32">
        <v>1.81</v>
      </c>
      <c r="AZ32">
        <v>116</v>
      </c>
      <c r="BA32">
        <v>65</v>
      </c>
      <c r="BB32">
        <v>0</v>
      </c>
      <c r="BP32" t="s">
        <v>151</v>
      </c>
      <c r="BQ32">
        <v>1.1000000000000001</v>
      </c>
      <c r="BR32" t="s">
        <v>287</v>
      </c>
      <c r="BS32" t="s">
        <v>285</v>
      </c>
      <c r="BT32" t="s">
        <v>195</v>
      </c>
      <c r="BU32" t="s">
        <v>150</v>
      </c>
      <c r="BV32" t="s">
        <v>288</v>
      </c>
      <c r="BW32" t="s">
        <v>289</v>
      </c>
      <c r="BX32">
        <v>1133</v>
      </c>
      <c r="BY32">
        <v>500</v>
      </c>
      <c r="BZ32" t="s">
        <v>283</v>
      </c>
      <c r="CA32" t="s">
        <v>287</v>
      </c>
      <c r="CB32" t="s">
        <v>285</v>
      </c>
      <c r="CC32" t="s">
        <v>156</v>
      </c>
      <c r="CD32" t="s">
        <v>157</v>
      </c>
      <c r="CJ32" t="s">
        <v>283</v>
      </c>
      <c r="CK32" t="s">
        <v>290</v>
      </c>
    </row>
    <row r="33" spans="1:89" x14ac:dyDescent="0.3">
      <c r="A33" t="s">
        <v>291</v>
      </c>
      <c r="B33" t="s">
        <v>7</v>
      </c>
      <c r="C33" t="s">
        <v>145</v>
      </c>
      <c r="D33">
        <v>200</v>
      </c>
      <c r="E33" t="s">
        <v>146</v>
      </c>
      <c r="F33" t="s">
        <v>147</v>
      </c>
      <c r="H33" t="s">
        <v>292</v>
      </c>
      <c r="I33">
        <v>47</v>
      </c>
      <c r="J33">
        <v>719</v>
      </c>
      <c r="L33">
        <v>0</v>
      </c>
      <c r="M33">
        <v>0</v>
      </c>
      <c r="N33" t="s">
        <v>293</v>
      </c>
      <c r="O33">
        <v>320</v>
      </c>
      <c r="P33">
        <v>4360</v>
      </c>
      <c r="S33" t="s">
        <v>294</v>
      </c>
      <c r="T33">
        <v>27</v>
      </c>
      <c r="V33">
        <v>0</v>
      </c>
      <c r="AB33" t="s">
        <v>291</v>
      </c>
      <c r="AH33">
        <v>393706</v>
      </c>
      <c r="AI33">
        <v>85405</v>
      </c>
      <c r="AJ33">
        <v>85405</v>
      </c>
      <c r="AK33">
        <v>33.280876614999997</v>
      </c>
      <c r="AM33">
        <v>247</v>
      </c>
      <c r="AS33">
        <v>3</v>
      </c>
      <c r="AT33">
        <v>2</v>
      </c>
      <c r="AV33">
        <v>10</v>
      </c>
      <c r="AW33">
        <v>5</v>
      </c>
      <c r="AX33">
        <v>0</v>
      </c>
      <c r="AY33">
        <v>1.29</v>
      </c>
      <c r="AZ33">
        <v>112</v>
      </c>
      <c r="BA33">
        <v>61</v>
      </c>
      <c r="BB33">
        <v>0</v>
      </c>
      <c r="BP33" t="s">
        <v>151</v>
      </c>
      <c r="BQ33">
        <v>1.1000000000000001</v>
      </c>
      <c r="BR33" t="s">
        <v>295</v>
      </c>
      <c r="BS33" t="s">
        <v>293</v>
      </c>
      <c r="BT33" t="s">
        <v>195</v>
      </c>
      <c r="BU33" t="s">
        <v>150</v>
      </c>
      <c r="BV33" t="s">
        <v>296</v>
      </c>
      <c r="BW33" t="s">
        <v>297</v>
      </c>
      <c r="BX33">
        <v>1133</v>
      </c>
      <c r="BY33">
        <v>500</v>
      </c>
      <c r="BZ33" t="s">
        <v>291</v>
      </c>
      <c r="CA33" t="s">
        <v>295</v>
      </c>
      <c r="CB33" t="s">
        <v>293</v>
      </c>
      <c r="CC33" t="s">
        <v>156</v>
      </c>
      <c r="CD33" t="s">
        <v>157</v>
      </c>
      <c r="CJ33" t="s">
        <v>291</v>
      </c>
      <c r="CK33" t="s">
        <v>298</v>
      </c>
    </row>
    <row r="34" spans="1:89" x14ac:dyDescent="0.3">
      <c r="A34" t="s">
        <v>299</v>
      </c>
      <c r="B34" t="s">
        <v>7</v>
      </c>
      <c r="C34" t="s">
        <v>145</v>
      </c>
      <c r="D34">
        <v>200</v>
      </c>
      <c r="E34" t="s">
        <v>146</v>
      </c>
      <c r="F34" t="s">
        <v>147</v>
      </c>
      <c r="H34" t="s">
        <v>300</v>
      </c>
      <c r="I34">
        <v>35</v>
      </c>
      <c r="J34">
        <v>479</v>
      </c>
      <c r="L34">
        <v>0</v>
      </c>
      <c r="M34">
        <v>0</v>
      </c>
      <c r="N34" t="s">
        <v>301</v>
      </c>
      <c r="O34">
        <v>320</v>
      </c>
      <c r="P34">
        <v>4383</v>
      </c>
      <c r="S34" t="s">
        <v>302</v>
      </c>
      <c r="T34">
        <v>15</v>
      </c>
      <c r="V34">
        <v>0</v>
      </c>
      <c r="AB34" t="s">
        <v>299</v>
      </c>
      <c r="AH34">
        <v>428352</v>
      </c>
      <c r="AI34">
        <v>85748</v>
      </c>
      <c r="AJ34">
        <v>85748</v>
      </c>
      <c r="AK34">
        <v>33.414537883999998</v>
      </c>
      <c r="AM34">
        <v>456</v>
      </c>
      <c r="AS34">
        <v>3</v>
      </c>
      <c r="AT34">
        <v>2</v>
      </c>
      <c r="AV34">
        <v>10</v>
      </c>
      <c r="AW34">
        <v>6</v>
      </c>
      <c r="AX34">
        <v>0</v>
      </c>
      <c r="AY34">
        <v>1.55</v>
      </c>
      <c r="AZ34">
        <v>115</v>
      </c>
      <c r="BA34">
        <v>66</v>
      </c>
      <c r="BB34">
        <v>0</v>
      </c>
      <c r="BP34" t="s">
        <v>151</v>
      </c>
      <c r="BQ34">
        <v>1.1000000000000001</v>
      </c>
      <c r="BR34" t="s">
        <v>303</v>
      </c>
      <c r="BS34" t="s">
        <v>301</v>
      </c>
      <c r="BT34" t="s">
        <v>195</v>
      </c>
      <c r="BU34" t="s">
        <v>150</v>
      </c>
      <c r="BV34" t="s">
        <v>304</v>
      </c>
      <c r="BW34" t="s">
        <v>305</v>
      </c>
      <c r="BX34">
        <v>1133</v>
      </c>
      <c r="BY34">
        <v>500</v>
      </c>
      <c r="BZ34" t="s">
        <v>299</v>
      </c>
      <c r="CA34" t="s">
        <v>303</v>
      </c>
      <c r="CB34" t="s">
        <v>301</v>
      </c>
      <c r="CC34" t="s">
        <v>156</v>
      </c>
      <c r="CD34" t="s">
        <v>157</v>
      </c>
      <c r="CJ34" t="s">
        <v>299</v>
      </c>
      <c r="CK34" t="s">
        <v>306</v>
      </c>
    </row>
    <row r="35" spans="1:89" x14ac:dyDescent="0.3">
      <c r="A35" t="s">
        <v>307</v>
      </c>
      <c r="B35" t="s">
        <v>7</v>
      </c>
      <c r="C35" t="s">
        <v>145</v>
      </c>
      <c r="D35">
        <v>200</v>
      </c>
      <c r="E35" t="s">
        <v>146</v>
      </c>
      <c r="F35" t="s">
        <v>147</v>
      </c>
      <c r="H35" t="s">
        <v>308</v>
      </c>
      <c r="I35">
        <v>50</v>
      </c>
      <c r="J35">
        <v>779</v>
      </c>
      <c r="L35">
        <v>0</v>
      </c>
      <c r="M35">
        <v>0</v>
      </c>
      <c r="N35" t="s">
        <v>309</v>
      </c>
      <c r="O35">
        <v>320</v>
      </c>
      <c r="P35">
        <v>4387</v>
      </c>
      <c r="S35" t="s">
        <v>310</v>
      </c>
      <c r="T35">
        <v>30</v>
      </c>
      <c r="V35">
        <v>0</v>
      </c>
      <c r="AB35" t="s">
        <v>307</v>
      </c>
      <c r="AH35">
        <v>428468</v>
      </c>
      <c r="AI35">
        <v>85466</v>
      </c>
      <c r="AJ35">
        <v>85466</v>
      </c>
      <c r="AK35">
        <v>33.304647277999997</v>
      </c>
      <c r="AM35">
        <v>292</v>
      </c>
      <c r="AS35">
        <v>2</v>
      </c>
      <c r="AT35">
        <v>2</v>
      </c>
      <c r="AV35">
        <v>11</v>
      </c>
      <c r="AW35">
        <v>7</v>
      </c>
      <c r="AX35">
        <v>0</v>
      </c>
      <c r="AY35">
        <v>1.81</v>
      </c>
      <c r="AZ35">
        <v>128</v>
      </c>
      <c r="BA35">
        <v>70</v>
      </c>
      <c r="BB35">
        <v>0</v>
      </c>
      <c r="BP35" t="s">
        <v>151</v>
      </c>
      <c r="BQ35">
        <v>1.1000000000000001</v>
      </c>
      <c r="BR35" t="s">
        <v>311</v>
      </c>
      <c r="BS35" t="s">
        <v>311</v>
      </c>
      <c r="BT35" t="s">
        <v>311</v>
      </c>
      <c r="BU35" t="s">
        <v>311</v>
      </c>
      <c r="BV35" t="s">
        <v>311</v>
      </c>
      <c r="BZ35" t="s">
        <v>311</v>
      </c>
      <c r="CA35" t="s">
        <v>311</v>
      </c>
      <c r="CB35" t="s">
        <v>311</v>
      </c>
      <c r="CC35" t="s">
        <v>311</v>
      </c>
      <c r="CD35" t="s">
        <v>311</v>
      </c>
      <c r="CJ35" t="s">
        <v>307</v>
      </c>
      <c r="CK35" t="s">
        <v>290</v>
      </c>
    </row>
    <row r="36" spans="1:89" x14ac:dyDescent="0.3">
      <c r="A36" t="s">
        <v>312</v>
      </c>
      <c r="B36" t="s">
        <v>7</v>
      </c>
      <c r="C36" t="s">
        <v>145</v>
      </c>
      <c r="D36">
        <v>200</v>
      </c>
      <c r="E36" t="s">
        <v>146</v>
      </c>
      <c r="F36" t="s">
        <v>147</v>
      </c>
      <c r="H36" t="s">
        <v>313</v>
      </c>
      <c r="I36">
        <v>47</v>
      </c>
      <c r="J36">
        <v>719</v>
      </c>
      <c r="L36">
        <v>0</v>
      </c>
      <c r="M36">
        <v>0</v>
      </c>
      <c r="N36" t="s">
        <v>314</v>
      </c>
      <c r="O36">
        <v>320</v>
      </c>
      <c r="P36">
        <v>4324</v>
      </c>
      <c r="S36" t="s">
        <v>315</v>
      </c>
      <c r="T36">
        <v>27</v>
      </c>
      <c r="V36">
        <v>0</v>
      </c>
      <c r="AB36" t="s">
        <v>312</v>
      </c>
      <c r="AH36">
        <v>537364</v>
      </c>
      <c r="AI36">
        <v>90296</v>
      </c>
      <c r="AJ36">
        <v>90296</v>
      </c>
      <c r="AK36">
        <v>35.186816168</v>
      </c>
      <c r="AM36">
        <v>568</v>
      </c>
      <c r="AS36">
        <v>2</v>
      </c>
      <c r="AT36">
        <v>2</v>
      </c>
      <c r="AV36">
        <v>10</v>
      </c>
      <c r="AW36">
        <v>5</v>
      </c>
      <c r="AX36">
        <v>0</v>
      </c>
      <c r="AY36">
        <v>1.29</v>
      </c>
      <c r="AZ36">
        <v>120</v>
      </c>
      <c r="BA36">
        <v>66</v>
      </c>
      <c r="BB36">
        <v>0</v>
      </c>
      <c r="BP36" t="s">
        <v>151</v>
      </c>
      <c r="BQ36">
        <v>1.1000000000000001</v>
      </c>
      <c r="BR36" t="s">
        <v>316</v>
      </c>
      <c r="BS36" t="s">
        <v>314</v>
      </c>
      <c r="BT36" t="s">
        <v>195</v>
      </c>
      <c r="BU36" t="s">
        <v>150</v>
      </c>
      <c r="BV36" t="s">
        <v>317</v>
      </c>
      <c r="BW36" t="s">
        <v>318</v>
      </c>
      <c r="BX36">
        <v>1133</v>
      </c>
      <c r="BY36">
        <v>500</v>
      </c>
      <c r="BZ36" t="s">
        <v>312</v>
      </c>
      <c r="CA36" t="s">
        <v>316</v>
      </c>
      <c r="CB36" t="s">
        <v>314</v>
      </c>
      <c r="CC36" t="s">
        <v>156</v>
      </c>
      <c r="CD36" t="s">
        <v>157</v>
      </c>
      <c r="CJ36" t="s">
        <v>312</v>
      </c>
      <c r="CK36" t="s">
        <v>319</v>
      </c>
    </row>
    <row r="37" spans="1:89" x14ac:dyDescent="0.3">
      <c r="A37" t="s">
        <v>320</v>
      </c>
      <c r="B37" t="s">
        <v>7</v>
      </c>
      <c r="C37" t="s">
        <v>145</v>
      </c>
      <c r="D37">
        <v>200</v>
      </c>
      <c r="E37" t="s">
        <v>146</v>
      </c>
      <c r="F37" t="s">
        <v>147</v>
      </c>
      <c r="H37" t="s">
        <v>321</v>
      </c>
      <c r="I37">
        <v>45</v>
      </c>
      <c r="J37">
        <v>670</v>
      </c>
      <c r="L37">
        <v>0</v>
      </c>
      <c r="M37">
        <v>0</v>
      </c>
      <c r="N37" t="s">
        <v>322</v>
      </c>
      <c r="O37">
        <v>321</v>
      </c>
      <c r="P37">
        <v>4337</v>
      </c>
      <c r="S37" t="s">
        <v>323</v>
      </c>
      <c r="T37">
        <v>25</v>
      </c>
      <c r="V37">
        <v>0</v>
      </c>
      <c r="AB37" t="s">
        <v>320</v>
      </c>
      <c r="AH37">
        <v>395592</v>
      </c>
      <c r="AI37">
        <v>82841</v>
      </c>
      <c r="AJ37">
        <v>82841</v>
      </c>
      <c r="AK37">
        <v>32.281729403</v>
      </c>
      <c r="AM37">
        <v>322</v>
      </c>
      <c r="AS37">
        <v>3</v>
      </c>
      <c r="AT37">
        <v>2</v>
      </c>
      <c r="AV37">
        <v>9</v>
      </c>
      <c r="AW37">
        <v>5</v>
      </c>
      <c r="AX37">
        <v>0</v>
      </c>
      <c r="AY37">
        <v>1.29</v>
      </c>
      <c r="AZ37">
        <v>117</v>
      </c>
      <c r="BA37">
        <v>61</v>
      </c>
      <c r="BB37">
        <v>0</v>
      </c>
      <c r="BP37" t="s">
        <v>151</v>
      </c>
      <c r="BQ37">
        <v>1.1000000000000001</v>
      </c>
      <c r="BR37" t="s">
        <v>324</v>
      </c>
      <c r="BS37" t="s">
        <v>322</v>
      </c>
      <c r="BT37" t="s">
        <v>195</v>
      </c>
      <c r="BU37" t="s">
        <v>150</v>
      </c>
      <c r="BV37" t="s">
        <v>325</v>
      </c>
      <c r="BW37" t="s">
        <v>326</v>
      </c>
      <c r="BX37">
        <v>1133</v>
      </c>
      <c r="BY37">
        <v>500</v>
      </c>
      <c r="BZ37" t="s">
        <v>320</v>
      </c>
      <c r="CA37" t="s">
        <v>324</v>
      </c>
      <c r="CB37" t="s">
        <v>322</v>
      </c>
      <c r="CC37" t="s">
        <v>156</v>
      </c>
      <c r="CD37" t="s">
        <v>157</v>
      </c>
      <c r="CJ37" t="s">
        <v>320</v>
      </c>
      <c r="CK37" t="s">
        <v>274</v>
      </c>
    </row>
    <row r="38" spans="1:89" x14ac:dyDescent="0.3">
      <c r="A38" t="s">
        <v>327</v>
      </c>
      <c r="B38" t="s">
        <v>7</v>
      </c>
      <c r="C38" t="s">
        <v>145</v>
      </c>
      <c r="D38">
        <v>200</v>
      </c>
      <c r="E38" t="s">
        <v>146</v>
      </c>
      <c r="F38" t="s">
        <v>147</v>
      </c>
      <c r="H38" t="s">
        <v>328</v>
      </c>
      <c r="I38">
        <v>46</v>
      </c>
      <c r="J38">
        <v>699</v>
      </c>
      <c r="L38">
        <v>0</v>
      </c>
      <c r="M38">
        <v>0</v>
      </c>
      <c r="N38" t="s">
        <v>329</v>
      </c>
      <c r="O38">
        <v>320</v>
      </c>
      <c r="P38">
        <v>4245</v>
      </c>
      <c r="S38" t="s">
        <v>330</v>
      </c>
      <c r="T38">
        <v>26</v>
      </c>
      <c r="V38">
        <v>0</v>
      </c>
      <c r="AB38" t="s">
        <v>327</v>
      </c>
      <c r="AH38">
        <v>413761</v>
      </c>
      <c r="AI38">
        <v>82679</v>
      </c>
      <c r="AJ38">
        <v>82679</v>
      </c>
      <c r="AK38">
        <v>32.218600756999997</v>
      </c>
      <c r="AM38">
        <v>384</v>
      </c>
      <c r="AS38">
        <v>3</v>
      </c>
      <c r="AT38">
        <v>2</v>
      </c>
      <c r="AV38">
        <v>9</v>
      </c>
      <c r="AW38">
        <v>5</v>
      </c>
      <c r="AX38">
        <v>0</v>
      </c>
      <c r="AY38">
        <v>1.29</v>
      </c>
      <c r="AZ38">
        <v>116</v>
      </c>
      <c r="BA38">
        <v>62</v>
      </c>
      <c r="BB38">
        <v>0</v>
      </c>
      <c r="BP38" t="s">
        <v>151</v>
      </c>
      <c r="BQ38">
        <v>1.1000000000000001</v>
      </c>
      <c r="BR38" t="s">
        <v>331</v>
      </c>
      <c r="BS38" t="s">
        <v>329</v>
      </c>
      <c r="BT38" t="s">
        <v>195</v>
      </c>
      <c r="BU38" t="s">
        <v>150</v>
      </c>
      <c r="BV38" t="s">
        <v>332</v>
      </c>
      <c r="BW38" t="s">
        <v>333</v>
      </c>
      <c r="BX38">
        <v>1133</v>
      </c>
      <c r="BY38">
        <v>500</v>
      </c>
      <c r="BZ38" t="s">
        <v>327</v>
      </c>
      <c r="CA38" t="s">
        <v>331</v>
      </c>
      <c r="CB38" t="s">
        <v>329</v>
      </c>
      <c r="CC38" t="s">
        <v>156</v>
      </c>
      <c r="CD38" t="s">
        <v>157</v>
      </c>
      <c r="CJ38" t="s">
        <v>327</v>
      </c>
      <c r="CK38" t="s">
        <v>298</v>
      </c>
    </row>
    <row r="39" spans="1:89" x14ac:dyDescent="0.3">
      <c r="A39" t="s">
        <v>334</v>
      </c>
      <c r="B39" t="s">
        <v>7</v>
      </c>
      <c r="C39" t="s">
        <v>145</v>
      </c>
      <c r="D39">
        <v>200</v>
      </c>
      <c r="E39" t="s">
        <v>146</v>
      </c>
      <c r="F39" t="s">
        <v>147</v>
      </c>
      <c r="H39" t="s">
        <v>335</v>
      </c>
      <c r="I39">
        <v>50</v>
      </c>
      <c r="J39">
        <v>766</v>
      </c>
      <c r="L39">
        <v>0</v>
      </c>
      <c r="M39">
        <v>0</v>
      </c>
      <c r="N39" t="s">
        <v>336</v>
      </c>
      <c r="O39">
        <v>320</v>
      </c>
      <c r="P39">
        <v>4400</v>
      </c>
      <c r="S39" t="s">
        <v>337</v>
      </c>
      <c r="T39">
        <v>30</v>
      </c>
      <c r="V39">
        <v>0</v>
      </c>
      <c r="AB39" t="s">
        <v>334</v>
      </c>
      <c r="AH39">
        <v>366632</v>
      </c>
      <c r="AI39">
        <v>81577</v>
      </c>
      <c r="AJ39">
        <v>81577</v>
      </c>
      <c r="AK39">
        <v>31.789170090999999</v>
      </c>
      <c r="AM39">
        <v>283</v>
      </c>
      <c r="AS39">
        <v>3</v>
      </c>
      <c r="AT39">
        <v>2</v>
      </c>
      <c r="AV39">
        <v>9</v>
      </c>
      <c r="AW39">
        <v>5</v>
      </c>
      <c r="AX39">
        <v>0</v>
      </c>
      <c r="AY39">
        <v>1.29</v>
      </c>
      <c r="AZ39">
        <v>121</v>
      </c>
      <c r="BA39">
        <v>69</v>
      </c>
      <c r="BB39">
        <v>0</v>
      </c>
      <c r="BP39" t="s">
        <v>151</v>
      </c>
      <c r="BQ39">
        <v>1.1000000000000001</v>
      </c>
      <c r="BR39" t="s">
        <v>338</v>
      </c>
      <c r="BS39" t="s">
        <v>336</v>
      </c>
      <c r="BT39" t="s">
        <v>195</v>
      </c>
      <c r="BU39" t="s">
        <v>150</v>
      </c>
      <c r="BV39" t="s">
        <v>339</v>
      </c>
      <c r="BW39" t="s">
        <v>340</v>
      </c>
      <c r="BX39">
        <v>1133</v>
      </c>
      <c r="BY39">
        <v>500</v>
      </c>
      <c r="BZ39" t="s">
        <v>334</v>
      </c>
      <c r="CA39" t="s">
        <v>338</v>
      </c>
      <c r="CB39" t="s">
        <v>336</v>
      </c>
      <c r="CC39" t="s">
        <v>156</v>
      </c>
      <c r="CD39" t="s">
        <v>157</v>
      </c>
      <c r="CJ39" t="s">
        <v>334</v>
      </c>
      <c r="CK39" t="s">
        <v>341</v>
      </c>
    </row>
    <row r="40" spans="1:89" x14ac:dyDescent="0.3">
      <c r="A40" t="s">
        <v>342</v>
      </c>
      <c r="B40" t="s">
        <v>7</v>
      </c>
      <c r="C40" t="s">
        <v>145</v>
      </c>
      <c r="D40">
        <v>200</v>
      </c>
      <c r="E40" t="s">
        <v>146</v>
      </c>
      <c r="F40" t="s">
        <v>147</v>
      </c>
      <c r="H40" t="s">
        <v>343</v>
      </c>
      <c r="I40">
        <v>48</v>
      </c>
      <c r="J40">
        <v>739</v>
      </c>
      <c r="L40">
        <v>0</v>
      </c>
      <c r="M40">
        <v>0</v>
      </c>
      <c r="N40" t="s">
        <v>344</v>
      </c>
      <c r="O40">
        <v>321</v>
      </c>
      <c r="P40">
        <v>4414</v>
      </c>
      <c r="S40" t="s">
        <v>345</v>
      </c>
      <c r="T40">
        <v>28</v>
      </c>
      <c r="V40">
        <v>0</v>
      </c>
      <c r="AB40" t="s">
        <v>342</v>
      </c>
      <c r="AH40">
        <v>519432</v>
      </c>
      <c r="AI40">
        <v>90860</v>
      </c>
      <c r="AJ40">
        <v>90860</v>
      </c>
      <c r="AK40">
        <v>35.406597380000001</v>
      </c>
      <c r="AM40">
        <v>501</v>
      </c>
      <c r="AS40">
        <v>2</v>
      </c>
      <c r="AT40">
        <v>2</v>
      </c>
      <c r="AV40">
        <v>10</v>
      </c>
      <c r="AW40">
        <v>6</v>
      </c>
      <c r="AX40">
        <v>0</v>
      </c>
      <c r="AY40">
        <v>1.55</v>
      </c>
      <c r="AZ40">
        <v>114</v>
      </c>
      <c r="BA40">
        <v>65</v>
      </c>
      <c r="BB40">
        <v>0</v>
      </c>
      <c r="BP40" t="s">
        <v>151</v>
      </c>
      <c r="BQ40">
        <v>1.1000000000000001</v>
      </c>
      <c r="BR40" t="s">
        <v>346</v>
      </c>
      <c r="BS40" t="s">
        <v>344</v>
      </c>
      <c r="BT40" t="s">
        <v>195</v>
      </c>
      <c r="BU40" t="s">
        <v>150</v>
      </c>
      <c r="BV40" t="s">
        <v>347</v>
      </c>
      <c r="BW40" t="s">
        <v>348</v>
      </c>
      <c r="BX40">
        <v>1133</v>
      </c>
      <c r="BY40">
        <v>500</v>
      </c>
      <c r="BZ40" t="s">
        <v>342</v>
      </c>
      <c r="CA40" t="s">
        <v>346</v>
      </c>
      <c r="CB40" t="s">
        <v>344</v>
      </c>
      <c r="CC40" t="s">
        <v>156</v>
      </c>
      <c r="CD40" t="s">
        <v>157</v>
      </c>
      <c r="CJ40" t="s">
        <v>342</v>
      </c>
      <c r="CK40" t="s">
        <v>319</v>
      </c>
    </row>
    <row r="41" spans="1:89" x14ac:dyDescent="0.3">
      <c r="A41" t="s">
        <v>349</v>
      </c>
      <c r="B41" t="s">
        <v>7</v>
      </c>
      <c r="C41" t="s">
        <v>145</v>
      </c>
      <c r="D41">
        <v>200</v>
      </c>
      <c r="E41" t="s">
        <v>146</v>
      </c>
      <c r="F41" t="s">
        <v>147</v>
      </c>
      <c r="H41" t="s">
        <v>350</v>
      </c>
      <c r="I41">
        <v>45</v>
      </c>
      <c r="J41">
        <v>670</v>
      </c>
      <c r="L41">
        <v>0</v>
      </c>
      <c r="M41">
        <v>0</v>
      </c>
      <c r="N41" t="s">
        <v>351</v>
      </c>
      <c r="O41">
        <v>320</v>
      </c>
      <c r="P41">
        <v>4423</v>
      </c>
      <c r="S41" t="s">
        <v>352</v>
      </c>
      <c r="T41">
        <v>25</v>
      </c>
      <c r="V41">
        <v>0</v>
      </c>
      <c r="AB41" t="s">
        <v>349</v>
      </c>
      <c r="AH41">
        <v>437351</v>
      </c>
      <c r="AI41">
        <v>86205</v>
      </c>
      <c r="AJ41">
        <v>86205</v>
      </c>
      <c r="AK41">
        <v>33.592623015000001</v>
      </c>
      <c r="AM41">
        <v>376</v>
      </c>
      <c r="AS41">
        <v>3</v>
      </c>
      <c r="AT41">
        <v>2</v>
      </c>
      <c r="AV41">
        <v>9</v>
      </c>
      <c r="AW41">
        <v>4</v>
      </c>
      <c r="AX41">
        <v>0</v>
      </c>
      <c r="AY41">
        <v>1.03</v>
      </c>
      <c r="AZ41">
        <v>112</v>
      </c>
      <c r="BA41">
        <v>59</v>
      </c>
      <c r="BB41">
        <v>0</v>
      </c>
      <c r="BP41" t="s">
        <v>151</v>
      </c>
      <c r="BQ41">
        <v>1.1000000000000001</v>
      </c>
      <c r="BR41" t="s">
        <v>353</v>
      </c>
      <c r="BS41" t="s">
        <v>351</v>
      </c>
      <c r="BT41" t="s">
        <v>195</v>
      </c>
      <c r="BU41" t="s">
        <v>150</v>
      </c>
      <c r="BV41" t="s">
        <v>354</v>
      </c>
      <c r="BW41" t="s">
        <v>355</v>
      </c>
      <c r="BX41">
        <v>1133</v>
      </c>
      <c r="BY41">
        <v>500</v>
      </c>
      <c r="BZ41" t="s">
        <v>349</v>
      </c>
      <c r="CA41" t="s">
        <v>353</v>
      </c>
      <c r="CB41" t="s">
        <v>351</v>
      </c>
      <c r="CC41" t="s">
        <v>156</v>
      </c>
      <c r="CD41" t="s">
        <v>157</v>
      </c>
      <c r="CJ41" t="s">
        <v>349</v>
      </c>
      <c r="CK41" t="s">
        <v>274</v>
      </c>
    </row>
    <row r="42" spans="1:89" x14ac:dyDescent="0.3">
      <c r="A42" t="s">
        <v>356</v>
      </c>
      <c r="B42" t="s">
        <v>7</v>
      </c>
      <c r="C42" t="s">
        <v>145</v>
      </c>
      <c r="D42">
        <v>200</v>
      </c>
      <c r="E42" t="s">
        <v>146</v>
      </c>
      <c r="F42" t="s">
        <v>147</v>
      </c>
      <c r="H42" t="s">
        <v>357</v>
      </c>
      <c r="I42">
        <v>46</v>
      </c>
      <c r="J42">
        <v>690</v>
      </c>
      <c r="L42">
        <v>0</v>
      </c>
      <c r="M42">
        <v>0</v>
      </c>
      <c r="N42" t="s">
        <v>358</v>
      </c>
      <c r="O42">
        <v>320</v>
      </c>
      <c r="P42">
        <v>4405</v>
      </c>
      <c r="S42" t="s">
        <v>359</v>
      </c>
      <c r="T42">
        <v>26</v>
      </c>
      <c r="V42">
        <v>0</v>
      </c>
      <c r="AB42" t="s">
        <v>356</v>
      </c>
      <c r="AH42">
        <v>363963</v>
      </c>
      <c r="AI42">
        <v>80160</v>
      </c>
      <c r="AJ42">
        <v>80160</v>
      </c>
      <c r="AK42">
        <v>31.23698928</v>
      </c>
      <c r="AM42">
        <v>253</v>
      </c>
      <c r="AS42">
        <v>3</v>
      </c>
      <c r="AT42">
        <v>2</v>
      </c>
      <c r="AV42">
        <v>10</v>
      </c>
      <c r="AW42">
        <v>6</v>
      </c>
      <c r="AX42">
        <v>0</v>
      </c>
      <c r="AY42">
        <v>1.55</v>
      </c>
      <c r="AZ42">
        <v>115</v>
      </c>
      <c r="BA42">
        <v>64</v>
      </c>
      <c r="BB42">
        <v>0</v>
      </c>
      <c r="BP42" t="s">
        <v>151</v>
      </c>
      <c r="BQ42">
        <v>1.1000000000000001</v>
      </c>
      <c r="BR42" t="s">
        <v>360</v>
      </c>
      <c r="BS42" t="s">
        <v>358</v>
      </c>
      <c r="BT42" t="s">
        <v>195</v>
      </c>
      <c r="BU42" t="s">
        <v>150</v>
      </c>
      <c r="BV42" t="s">
        <v>361</v>
      </c>
      <c r="BW42" t="s">
        <v>362</v>
      </c>
      <c r="BX42">
        <v>1133</v>
      </c>
      <c r="BY42">
        <v>500</v>
      </c>
      <c r="BZ42" t="s">
        <v>356</v>
      </c>
      <c r="CA42" t="s">
        <v>360</v>
      </c>
      <c r="CB42" t="s">
        <v>358</v>
      </c>
      <c r="CC42" t="s">
        <v>156</v>
      </c>
      <c r="CD42" t="s">
        <v>157</v>
      </c>
      <c r="CJ42" t="s">
        <v>356</v>
      </c>
      <c r="CK42" t="s">
        <v>282</v>
      </c>
    </row>
    <row r="43" spans="1:89" x14ac:dyDescent="0.3">
      <c r="A43" t="s">
        <v>363</v>
      </c>
      <c r="B43" t="s">
        <v>7</v>
      </c>
      <c r="C43" t="s">
        <v>145</v>
      </c>
      <c r="D43">
        <v>200</v>
      </c>
      <c r="E43" t="s">
        <v>146</v>
      </c>
      <c r="F43" t="s">
        <v>147</v>
      </c>
      <c r="H43" t="s">
        <v>364</v>
      </c>
      <c r="I43">
        <v>51</v>
      </c>
      <c r="J43">
        <v>799</v>
      </c>
      <c r="L43">
        <v>0</v>
      </c>
      <c r="M43">
        <v>0</v>
      </c>
      <c r="N43" t="s">
        <v>365</v>
      </c>
      <c r="O43">
        <v>320</v>
      </c>
      <c r="P43">
        <v>4340</v>
      </c>
      <c r="S43" t="s">
        <v>366</v>
      </c>
      <c r="T43">
        <v>31</v>
      </c>
      <c r="V43">
        <v>0</v>
      </c>
      <c r="AB43" t="s">
        <v>363</v>
      </c>
      <c r="AH43">
        <v>433399</v>
      </c>
      <c r="AI43">
        <v>86396</v>
      </c>
      <c r="AJ43">
        <v>86396</v>
      </c>
      <c r="AK43">
        <v>33.667052468000001</v>
      </c>
      <c r="AM43">
        <v>430</v>
      </c>
      <c r="AS43">
        <v>3</v>
      </c>
      <c r="AT43">
        <v>2</v>
      </c>
      <c r="AV43">
        <v>9</v>
      </c>
      <c r="AW43">
        <v>5</v>
      </c>
      <c r="AX43">
        <v>0</v>
      </c>
      <c r="AY43">
        <v>1.29</v>
      </c>
      <c r="AZ43">
        <v>114</v>
      </c>
      <c r="BA43">
        <v>64</v>
      </c>
      <c r="BB43">
        <v>0</v>
      </c>
      <c r="BP43" t="s">
        <v>151</v>
      </c>
      <c r="BQ43">
        <v>1.1000000000000001</v>
      </c>
      <c r="BR43" t="s">
        <v>367</v>
      </c>
      <c r="BS43" t="s">
        <v>365</v>
      </c>
      <c r="BT43" t="s">
        <v>195</v>
      </c>
      <c r="BU43" t="s">
        <v>150</v>
      </c>
      <c r="BV43" t="s">
        <v>368</v>
      </c>
      <c r="BW43" t="s">
        <v>369</v>
      </c>
      <c r="BX43">
        <v>1133</v>
      </c>
      <c r="BY43">
        <v>500</v>
      </c>
      <c r="BZ43" t="s">
        <v>363</v>
      </c>
      <c r="CA43" t="s">
        <v>367</v>
      </c>
      <c r="CB43" t="s">
        <v>365</v>
      </c>
      <c r="CC43" t="s">
        <v>156</v>
      </c>
      <c r="CD43" t="s">
        <v>157</v>
      </c>
      <c r="CJ43" t="s">
        <v>363</v>
      </c>
      <c r="CK43" t="s">
        <v>298</v>
      </c>
    </row>
    <row r="44" spans="1:89" x14ac:dyDescent="0.3">
      <c r="A44" t="s">
        <v>370</v>
      </c>
      <c r="B44" t="s">
        <v>7</v>
      </c>
      <c r="C44" t="s">
        <v>145</v>
      </c>
      <c r="D44">
        <v>200</v>
      </c>
      <c r="E44" t="s">
        <v>146</v>
      </c>
      <c r="F44" t="s">
        <v>147</v>
      </c>
      <c r="H44" t="s">
        <v>371</v>
      </c>
      <c r="I44">
        <v>49</v>
      </c>
      <c r="J44">
        <v>750</v>
      </c>
      <c r="L44">
        <v>0</v>
      </c>
      <c r="M44">
        <v>0</v>
      </c>
      <c r="N44" t="s">
        <v>372</v>
      </c>
      <c r="O44">
        <v>320</v>
      </c>
      <c r="P44">
        <v>4336</v>
      </c>
      <c r="S44" t="s">
        <v>373</v>
      </c>
      <c r="T44">
        <v>29</v>
      </c>
      <c r="V44">
        <v>0</v>
      </c>
      <c r="AB44" t="s">
        <v>370</v>
      </c>
      <c r="AH44">
        <v>439826</v>
      </c>
      <c r="AI44">
        <v>84053</v>
      </c>
      <c r="AJ44">
        <v>84053</v>
      </c>
      <c r="AK44">
        <v>32.754025198999997</v>
      </c>
      <c r="AM44">
        <v>334</v>
      </c>
      <c r="AS44">
        <v>3</v>
      </c>
      <c r="AT44">
        <v>2</v>
      </c>
      <c r="AV44">
        <v>9</v>
      </c>
      <c r="AW44">
        <v>5</v>
      </c>
      <c r="AX44">
        <v>0</v>
      </c>
      <c r="AY44">
        <v>1.29</v>
      </c>
      <c r="AZ44">
        <v>112</v>
      </c>
      <c r="BA44">
        <v>62</v>
      </c>
      <c r="BB44">
        <v>0</v>
      </c>
      <c r="BP44" t="s">
        <v>151</v>
      </c>
      <c r="BQ44">
        <v>1.1000000000000001</v>
      </c>
      <c r="BR44" t="s">
        <v>374</v>
      </c>
      <c r="BS44" t="s">
        <v>372</v>
      </c>
      <c r="BT44" t="s">
        <v>195</v>
      </c>
      <c r="BU44" t="s">
        <v>150</v>
      </c>
      <c r="BV44" t="s">
        <v>375</v>
      </c>
      <c r="BW44" t="s">
        <v>376</v>
      </c>
      <c r="BX44">
        <v>1133</v>
      </c>
      <c r="BY44">
        <v>500</v>
      </c>
      <c r="BZ44" t="s">
        <v>370</v>
      </c>
      <c r="CA44" t="s">
        <v>374</v>
      </c>
      <c r="CB44" t="s">
        <v>372</v>
      </c>
      <c r="CC44" t="s">
        <v>156</v>
      </c>
      <c r="CD44" t="s">
        <v>157</v>
      </c>
      <c r="CJ44" t="s">
        <v>370</v>
      </c>
      <c r="CK44" t="s">
        <v>377</v>
      </c>
    </row>
    <row r="45" spans="1:89" x14ac:dyDescent="0.3">
      <c r="A45" t="s">
        <v>378</v>
      </c>
      <c r="B45" t="s">
        <v>7</v>
      </c>
      <c r="C45" t="s">
        <v>145</v>
      </c>
      <c r="D45">
        <v>200</v>
      </c>
      <c r="E45" t="s">
        <v>146</v>
      </c>
      <c r="F45" t="s">
        <v>147</v>
      </c>
      <c r="H45" t="s">
        <v>379</v>
      </c>
      <c r="I45">
        <v>49</v>
      </c>
      <c r="J45">
        <v>729</v>
      </c>
      <c r="L45">
        <v>0</v>
      </c>
      <c r="M45">
        <v>0</v>
      </c>
      <c r="N45" t="s">
        <v>380</v>
      </c>
      <c r="O45">
        <v>320</v>
      </c>
      <c r="P45">
        <v>4268</v>
      </c>
      <c r="S45" t="s">
        <v>381</v>
      </c>
      <c r="T45">
        <v>29</v>
      </c>
      <c r="V45">
        <v>0</v>
      </c>
      <c r="AB45" t="s">
        <v>378</v>
      </c>
      <c r="AH45">
        <v>508506</v>
      </c>
      <c r="AI45">
        <v>87309</v>
      </c>
      <c r="AJ45">
        <v>87309</v>
      </c>
      <c r="AK45">
        <v>34.022833047000013</v>
      </c>
      <c r="AM45">
        <v>524</v>
      </c>
      <c r="AS45">
        <v>2</v>
      </c>
      <c r="AT45">
        <v>2</v>
      </c>
      <c r="AV45">
        <v>10</v>
      </c>
      <c r="AW45">
        <v>6</v>
      </c>
      <c r="AX45">
        <v>0</v>
      </c>
      <c r="AY45">
        <v>1.55</v>
      </c>
      <c r="AZ45">
        <v>120</v>
      </c>
      <c r="BA45">
        <v>63</v>
      </c>
      <c r="BB45">
        <v>0</v>
      </c>
      <c r="BP45" t="s">
        <v>151</v>
      </c>
      <c r="BQ45">
        <v>1.1000000000000001</v>
      </c>
      <c r="BR45" t="s">
        <v>382</v>
      </c>
      <c r="BS45" t="s">
        <v>380</v>
      </c>
      <c r="BT45" t="s">
        <v>195</v>
      </c>
      <c r="BU45" t="s">
        <v>150</v>
      </c>
      <c r="BV45" t="s">
        <v>383</v>
      </c>
      <c r="BW45" t="s">
        <v>384</v>
      </c>
      <c r="BX45">
        <v>1133</v>
      </c>
      <c r="BY45">
        <v>500</v>
      </c>
      <c r="BZ45" t="s">
        <v>378</v>
      </c>
      <c r="CA45" t="s">
        <v>382</v>
      </c>
      <c r="CB45" t="s">
        <v>380</v>
      </c>
      <c r="CC45" t="s">
        <v>156</v>
      </c>
      <c r="CD45" t="s">
        <v>157</v>
      </c>
      <c r="CJ45" t="s">
        <v>378</v>
      </c>
      <c r="CK45" t="s">
        <v>385</v>
      </c>
    </row>
    <row r="46" spans="1:89" x14ac:dyDescent="0.3">
      <c r="A46" t="s">
        <v>386</v>
      </c>
      <c r="B46" t="s">
        <v>7</v>
      </c>
      <c r="C46" t="s">
        <v>145</v>
      </c>
      <c r="D46">
        <v>200</v>
      </c>
      <c r="E46" t="s">
        <v>146</v>
      </c>
      <c r="F46" t="s">
        <v>147</v>
      </c>
      <c r="H46" t="s">
        <v>387</v>
      </c>
      <c r="I46">
        <v>50</v>
      </c>
      <c r="J46">
        <v>770</v>
      </c>
      <c r="L46">
        <v>0</v>
      </c>
      <c r="M46">
        <v>0</v>
      </c>
      <c r="N46" t="s">
        <v>388</v>
      </c>
      <c r="O46">
        <v>320</v>
      </c>
      <c r="P46">
        <v>4435</v>
      </c>
      <c r="S46" t="s">
        <v>389</v>
      </c>
      <c r="T46">
        <v>30</v>
      </c>
      <c r="V46">
        <v>0</v>
      </c>
      <c r="AB46" t="s">
        <v>386</v>
      </c>
      <c r="AH46">
        <v>462427</v>
      </c>
      <c r="AI46">
        <v>86234</v>
      </c>
      <c r="AJ46">
        <v>86234</v>
      </c>
      <c r="AK46">
        <v>33.603923822000013</v>
      </c>
      <c r="AM46">
        <v>360</v>
      </c>
      <c r="AS46">
        <v>2</v>
      </c>
      <c r="AT46">
        <v>2</v>
      </c>
      <c r="AV46">
        <v>10</v>
      </c>
      <c r="AW46">
        <v>6</v>
      </c>
      <c r="AX46">
        <v>0</v>
      </c>
      <c r="AY46">
        <v>1.55</v>
      </c>
      <c r="AZ46">
        <v>125</v>
      </c>
      <c r="BA46">
        <v>69</v>
      </c>
      <c r="BB46">
        <v>0</v>
      </c>
      <c r="BP46" t="s">
        <v>151</v>
      </c>
      <c r="BQ46">
        <v>1.1000000000000001</v>
      </c>
      <c r="BR46" t="s">
        <v>390</v>
      </c>
      <c r="BS46" t="s">
        <v>388</v>
      </c>
      <c r="BT46" t="s">
        <v>195</v>
      </c>
      <c r="BU46" t="s">
        <v>150</v>
      </c>
      <c r="BV46" t="s">
        <v>391</v>
      </c>
      <c r="BW46" t="s">
        <v>392</v>
      </c>
      <c r="BX46">
        <v>1133</v>
      </c>
      <c r="BY46">
        <v>500</v>
      </c>
      <c r="BZ46" t="s">
        <v>386</v>
      </c>
      <c r="CA46" t="s">
        <v>390</v>
      </c>
      <c r="CB46" t="s">
        <v>388</v>
      </c>
      <c r="CC46" t="s">
        <v>156</v>
      </c>
      <c r="CD46" t="s">
        <v>157</v>
      </c>
      <c r="CJ46" t="s">
        <v>386</v>
      </c>
      <c r="CK46" t="s">
        <v>290</v>
      </c>
    </row>
    <row r="47" spans="1:89" x14ac:dyDescent="0.3">
      <c r="A47" t="s">
        <v>393</v>
      </c>
      <c r="B47" t="s">
        <v>7</v>
      </c>
      <c r="C47" t="s">
        <v>145</v>
      </c>
      <c r="D47">
        <v>200</v>
      </c>
      <c r="E47" t="s">
        <v>146</v>
      </c>
      <c r="F47" t="s">
        <v>147</v>
      </c>
      <c r="H47" t="s">
        <v>394</v>
      </c>
      <c r="I47">
        <v>48</v>
      </c>
      <c r="J47">
        <v>730</v>
      </c>
      <c r="L47">
        <v>0</v>
      </c>
      <c r="M47">
        <v>0</v>
      </c>
      <c r="N47" t="s">
        <v>395</v>
      </c>
      <c r="O47">
        <v>320</v>
      </c>
      <c r="P47">
        <v>4264</v>
      </c>
      <c r="S47" t="s">
        <v>396</v>
      </c>
      <c r="T47">
        <v>28</v>
      </c>
      <c r="V47">
        <v>0</v>
      </c>
      <c r="AB47" t="s">
        <v>393</v>
      </c>
      <c r="AH47">
        <v>398221</v>
      </c>
      <c r="AI47">
        <v>83185</v>
      </c>
      <c r="AJ47">
        <v>83185</v>
      </c>
      <c r="AK47">
        <v>32.415780355000003</v>
      </c>
      <c r="AM47">
        <v>346</v>
      </c>
      <c r="AS47">
        <v>3</v>
      </c>
      <c r="AT47">
        <v>2</v>
      </c>
      <c r="AV47">
        <v>10</v>
      </c>
      <c r="AW47">
        <v>6</v>
      </c>
      <c r="AX47">
        <v>0</v>
      </c>
      <c r="AY47">
        <v>1.55</v>
      </c>
      <c r="AZ47">
        <v>117</v>
      </c>
      <c r="BA47">
        <v>62</v>
      </c>
      <c r="BB47">
        <v>0</v>
      </c>
      <c r="BP47" t="s">
        <v>151</v>
      </c>
      <c r="BQ47">
        <v>1.1000000000000001</v>
      </c>
      <c r="BR47" t="s">
        <v>397</v>
      </c>
      <c r="BS47" t="s">
        <v>395</v>
      </c>
      <c r="BT47" t="s">
        <v>195</v>
      </c>
      <c r="BU47" t="s">
        <v>150</v>
      </c>
      <c r="BV47" t="s">
        <v>398</v>
      </c>
      <c r="BW47" t="s">
        <v>399</v>
      </c>
      <c r="BX47">
        <v>1133</v>
      </c>
      <c r="BY47">
        <v>500</v>
      </c>
      <c r="BZ47" t="s">
        <v>393</v>
      </c>
      <c r="CA47" t="s">
        <v>397</v>
      </c>
      <c r="CB47" t="s">
        <v>395</v>
      </c>
      <c r="CC47" t="s">
        <v>156</v>
      </c>
      <c r="CD47" t="s">
        <v>157</v>
      </c>
      <c r="CJ47" t="s">
        <v>393</v>
      </c>
      <c r="CK47" t="s">
        <v>306</v>
      </c>
    </row>
    <row r="48" spans="1:89" x14ac:dyDescent="0.3">
      <c r="A48" t="s">
        <v>400</v>
      </c>
      <c r="B48" t="s">
        <v>7</v>
      </c>
      <c r="C48" t="s">
        <v>145</v>
      </c>
      <c r="D48">
        <v>200</v>
      </c>
      <c r="E48" t="s">
        <v>146</v>
      </c>
      <c r="F48" t="s">
        <v>147</v>
      </c>
      <c r="H48" t="s">
        <v>401</v>
      </c>
      <c r="I48">
        <v>45</v>
      </c>
      <c r="J48">
        <v>460</v>
      </c>
      <c r="L48">
        <v>0</v>
      </c>
      <c r="M48">
        <v>0</v>
      </c>
      <c r="O48">
        <v>0</v>
      </c>
      <c r="P48">
        <v>0</v>
      </c>
      <c r="S48" t="s">
        <v>264</v>
      </c>
      <c r="T48">
        <v>4</v>
      </c>
      <c r="V48">
        <v>0</v>
      </c>
      <c r="AB48" t="s">
        <v>400</v>
      </c>
      <c r="AH48">
        <v>322195</v>
      </c>
      <c r="AI48">
        <v>68148</v>
      </c>
      <c r="AJ48">
        <v>68148</v>
      </c>
      <c r="AK48">
        <v>26.556117084</v>
      </c>
      <c r="AM48">
        <v>203</v>
      </c>
      <c r="AS48">
        <v>2</v>
      </c>
      <c r="AT48">
        <v>3</v>
      </c>
      <c r="AV48">
        <v>19</v>
      </c>
      <c r="AW48">
        <v>14</v>
      </c>
      <c r="AX48">
        <v>0</v>
      </c>
      <c r="AY48">
        <v>3.62</v>
      </c>
      <c r="AZ48">
        <v>113</v>
      </c>
      <c r="BA48">
        <v>61</v>
      </c>
      <c r="BB48">
        <v>0</v>
      </c>
      <c r="BP48" t="s">
        <v>151</v>
      </c>
      <c r="BQ48">
        <v>1.1000000000000001</v>
      </c>
      <c r="BR48" t="s">
        <v>265</v>
      </c>
      <c r="BS48" t="s">
        <v>149</v>
      </c>
      <c r="BT48" t="s">
        <v>153</v>
      </c>
      <c r="BU48" t="s">
        <v>150</v>
      </c>
      <c r="BV48" t="s">
        <v>154</v>
      </c>
      <c r="BW48" t="s">
        <v>155</v>
      </c>
      <c r="BX48">
        <v>200</v>
      </c>
      <c r="BY48">
        <v>200</v>
      </c>
      <c r="BZ48" t="s">
        <v>400</v>
      </c>
      <c r="CA48" t="s">
        <v>265</v>
      </c>
      <c r="CB48" t="s">
        <v>149</v>
      </c>
      <c r="CC48" t="s">
        <v>156</v>
      </c>
      <c r="CD48" t="s">
        <v>157</v>
      </c>
      <c r="CJ48" t="s">
        <v>400</v>
      </c>
      <c r="CK48" t="s">
        <v>402</v>
      </c>
    </row>
    <row r="49" spans="1:89" x14ac:dyDescent="0.3">
      <c r="A49" t="s">
        <v>403</v>
      </c>
      <c r="B49" t="s">
        <v>7</v>
      </c>
      <c r="C49" t="s">
        <v>145</v>
      </c>
      <c r="D49">
        <v>200</v>
      </c>
      <c r="E49" t="s">
        <v>146</v>
      </c>
      <c r="F49" t="s">
        <v>147</v>
      </c>
      <c r="H49" t="s">
        <v>404</v>
      </c>
      <c r="I49">
        <v>43</v>
      </c>
      <c r="J49">
        <v>417</v>
      </c>
      <c r="L49">
        <v>0</v>
      </c>
      <c r="M49">
        <v>0</v>
      </c>
      <c r="O49">
        <v>0</v>
      </c>
      <c r="P49">
        <v>0</v>
      </c>
      <c r="S49" t="s">
        <v>264</v>
      </c>
      <c r="T49">
        <v>4</v>
      </c>
      <c r="V49">
        <v>0</v>
      </c>
      <c r="AB49" t="s">
        <v>403</v>
      </c>
      <c r="AH49">
        <v>328926</v>
      </c>
      <c r="AI49">
        <v>68429</v>
      </c>
      <c r="AJ49">
        <v>68429</v>
      </c>
      <c r="AK49">
        <v>26.665618006999999</v>
      </c>
      <c r="AM49">
        <v>236</v>
      </c>
      <c r="AS49">
        <v>2</v>
      </c>
      <c r="AT49">
        <v>3</v>
      </c>
      <c r="AV49">
        <v>21</v>
      </c>
      <c r="AW49">
        <v>16</v>
      </c>
      <c r="AX49">
        <v>0</v>
      </c>
      <c r="AY49">
        <v>4.13</v>
      </c>
      <c r="AZ49">
        <v>115</v>
      </c>
      <c r="BA49">
        <v>63</v>
      </c>
      <c r="BB49">
        <v>0</v>
      </c>
      <c r="BP49" t="s">
        <v>151</v>
      </c>
      <c r="BQ49">
        <v>1.1000000000000001</v>
      </c>
      <c r="BR49" t="s">
        <v>265</v>
      </c>
      <c r="BS49" t="s">
        <v>149</v>
      </c>
      <c r="BT49" t="s">
        <v>153</v>
      </c>
      <c r="BU49" t="s">
        <v>150</v>
      </c>
      <c r="BV49" t="s">
        <v>154</v>
      </c>
      <c r="BW49" t="s">
        <v>155</v>
      </c>
      <c r="BX49">
        <v>200</v>
      </c>
      <c r="BY49">
        <v>200</v>
      </c>
      <c r="BZ49" t="s">
        <v>403</v>
      </c>
      <c r="CA49" t="s">
        <v>265</v>
      </c>
      <c r="CB49" t="s">
        <v>149</v>
      </c>
      <c r="CC49" t="s">
        <v>156</v>
      </c>
      <c r="CD49" t="s">
        <v>157</v>
      </c>
      <c r="CJ49" t="s">
        <v>403</v>
      </c>
      <c r="CK49" t="s">
        <v>319</v>
      </c>
    </row>
    <row r="50" spans="1:89" x14ac:dyDescent="0.3">
      <c r="A50" t="s">
        <v>405</v>
      </c>
      <c r="B50" t="s">
        <v>7</v>
      </c>
      <c r="C50" t="s">
        <v>145</v>
      </c>
      <c r="D50">
        <v>200</v>
      </c>
      <c r="E50" t="s">
        <v>146</v>
      </c>
      <c r="F50" t="s">
        <v>147</v>
      </c>
      <c r="H50" t="s">
        <v>406</v>
      </c>
      <c r="I50">
        <v>48</v>
      </c>
      <c r="J50">
        <v>465</v>
      </c>
      <c r="L50">
        <v>0</v>
      </c>
      <c r="M50">
        <v>0</v>
      </c>
      <c r="O50">
        <v>0</v>
      </c>
      <c r="P50">
        <v>0</v>
      </c>
      <c r="S50" t="s">
        <v>264</v>
      </c>
      <c r="T50">
        <v>4</v>
      </c>
      <c r="V50">
        <v>0</v>
      </c>
      <c r="AB50" t="s">
        <v>405</v>
      </c>
      <c r="AH50">
        <v>331123</v>
      </c>
      <c r="AI50">
        <v>68778</v>
      </c>
      <c r="AJ50">
        <v>68778</v>
      </c>
      <c r="AK50">
        <v>26.801617373999999</v>
      </c>
      <c r="AM50">
        <v>245</v>
      </c>
      <c r="AS50">
        <v>2</v>
      </c>
      <c r="AT50">
        <v>3</v>
      </c>
      <c r="AV50">
        <v>23</v>
      </c>
      <c r="AW50">
        <v>18</v>
      </c>
      <c r="AX50">
        <v>0</v>
      </c>
      <c r="AY50">
        <v>4.6500000000000004</v>
      </c>
      <c r="AZ50">
        <v>117</v>
      </c>
      <c r="BA50">
        <v>64</v>
      </c>
      <c r="BB50">
        <v>0</v>
      </c>
      <c r="BP50" t="s">
        <v>151</v>
      </c>
      <c r="BQ50">
        <v>1.1000000000000001</v>
      </c>
      <c r="BR50" t="s">
        <v>265</v>
      </c>
      <c r="BS50" t="s">
        <v>149</v>
      </c>
      <c r="BT50" t="s">
        <v>153</v>
      </c>
      <c r="BU50" t="s">
        <v>150</v>
      </c>
      <c r="BV50" t="s">
        <v>154</v>
      </c>
      <c r="BW50" t="s">
        <v>155</v>
      </c>
      <c r="BX50">
        <v>200</v>
      </c>
      <c r="BY50">
        <v>200</v>
      </c>
      <c r="BZ50" t="s">
        <v>405</v>
      </c>
      <c r="CA50" t="s">
        <v>265</v>
      </c>
      <c r="CB50" t="s">
        <v>149</v>
      </c>
      <c r="CC50" t="s">
        <v>156</v>
      </c>
      <c r="CD50" t="s">
        <v>157</v>
      </c>
      <c r="CJ50" t="s">
        <v>405</v>
      </c>
      <c r="CK50" t="s">
        <v>407</v>
      </c>
    </row>
    <row r="51" spans="1:89" x14ac:dyDescent="0.3">
      <c r="A51" t="s">
        <v>408</v>
      </c>
      <c r="B51" t="s">
        <v>7</v>
      </c>
      <c r="C51" t="s">
        <v>145</v>
      </c>
      <c r="D51">
        <v>200</v>
      </c>
      <c r="E51" t="s">
        <v>146</v>
      </c>
      <c r="F51" t="s">
        <v>161</v>
      </c>
      <c r="G51" t="s">
        <v>226</v>
      </c>
      <c r="H51" t="s">
        <v>406</v>
      </c>
      <c r="I51">
        <v>48</v>
      </c>
      <c r="J51">
        <v>465</v>
      </c>
      <c r="L51">
        <v>0</v>
      </c>
      <c r="M51">
        <v>0</v>
      </c>
      <c r="O51">
        <v>0</v>
      </c>
      <c r="P51">
        <v>0</v>
      </c>
      <c r="S51" t="s">
        <v>264</v>
      </c>
      <c r="T51">
        <v>4</v>
      </c>
      <c r="V51">
        <v>0</v>
      </c>
      <c r="AB51" t="s">
        <v>405</v>
      </c>
      <c r="AH51">
        <v>331172</v>
      </c>
      <c r="AI51">
        <v>68588</v>
      </c>
      <c r="AJ51">
        <v>68588</v>
      </c>
      <c r="AK51">
        <v>26.727577604</v>
      </c>
      <c r="AM51">
        <v>245</v>
      </c>
      <c r="AS51">
        <v>4</v>
      </c>
      <c r="AT51">
        <v>3</v>
      </c>
      <c r="AV51">
        <v>7</v>
      </c>
      <c r="AW51">
        <v>2</v>
      </c>
      <c r="AX51">
        <v>0</v>
      </c>
      <c r="AY51">
        <v>0.52</v>
      </c>
      <c r="AZ51">
        <v>117</v>
      </c>
      <c r="BA51">
        <v>65</v>
      </c>
      <c r="BB51">
        <v>0</v>
      </c>
      <c r="BP51" t="s">
        <v>151</v>
      </c>
      <c r="BQ51">
        <v>1.1000000000000001</v>
      </c>
      <c r="BR51" t="s">
        <v>265</v>
      </c>
      <c r="BS51" t="s">
        <v>149</v>
      </c>
      <c r="BT51" t="s">
        <v>153</v>
      </c>
      <c r="BU51" t="s">
        <v>150</v>
      </c>
      <c r="BV51" t="s">
        <v>154</v>
      </c>
      <c r="BW51" t="s">
        <v>155</v>
      </c>
      <c r="BX51">
        <v>200</v>
      </c>
      <c r="BY51">
        <v>200</v>
      </c>
      <c r="BZ51" t="s">
        <v>405</v>
      </c>
      <c r="CA51" t="s">
        <v>265</v>
      </c>
      <c r="CB51" t="s">
        <v>149</v>
      </c>
      <c r="CC51" t="s">
        <v>156</v>
      </c>
      <c r="CD51" t="s">
        <v>157</v>
      </c>
      <c r="CJ51" t="s">
        <v>408</v>
      </c>
      <c r="CK51" t="s">
        <v>409</v>
      </c>
    </row>
    <row r="52" spans="1:89" x14ac:dyDescent="0.3">
      <c r="A52" t="s">
        <v>410</v>
      </c>
      <c r="B52" t="s">
        <v>7</v>
      </c>
      <c r="C52" t="s">
        <v>145</v>
      </c>
      <c r="D52">
        <v>200</v>
      </c>
      <c r="E52" t="s">
        <v>146</v>
      </c>
      <c r="F52" t="s">
        <v>147</v>
      </c>
      <c r="H52" t="s">
        <v>411</v>
      </c>
      <c r="I52">
        <v>57</v>
      </c>
      <c r="J52">
        <v>550</v>
      </c>
      <c r="L52">
        <v>0</v>
      </c>
      <c r="M52">
        <v>0</v>
      </c>
      <c r="O52">
        <v>0</v>
      </c>
      <c r="P52">
        <v>0</v>
      </c>
      <c r="S52" t="s">
        <v>264</v>
      </c>
      <c r="T52">
        <v>4</v>
      </c>
      <c r="V52">
        <v>0</v>
      </c>
      <c r="AB52" t="s">
        <v>410</v>
      </c>
      <c r="AH52">
        <v>317891</v>
      </c>
      <c r="AI52">
        <v>67617</v>
      </c>
      <c r="AJ52">
        <v>67617</v>
      </c>
      <c r="AK52">
        <v>26.349195411</v>
      </c>
      <c r="AM52">
        <v>170</v>
      </c>
      <c r="AS52">
        <v>3</v>
      </c>
      <c r="AT52">
        <v>3</v>
      </c>
      <c r="AV52">
        <v>9</v>
      </c>
      <c r="AW52">
        <v>3</v>
      </c>
      <c r="AX52">
        <v>0</v>
      </c>
      <c r="AY52">
        <v>0.78</v>
      </c>
      <c r="AZ52">
        <v>113</v>
      </c>
      <c r="BA52">
        <v>61</v>
      </c>
      <c r="BB52">
        <v>0</v>
      </c>
      <c r="BP52" t="s">
        <v>151</v>
      </c>
      <c r="BQ52">
        <v>1.1000000000000001</v>
      </c>
      <c r="BR52" t="s">
        <v>265</v>
      </c>
      <c r="BS52" t="s">
        <v>149</v>
      </c>
      <c r="BT52" t="s">
        <v>153</v>
      </c>
      <c r="BU52" t="s">
        <v>150</v>
      </c>
      <c r="BV52" t="s">
        <v>154</v>
      </c>
      <c r="BW52" t="s">
        <v>155</v>
      </c>
      <c r="BX52">
        <v>200</v>
      </c>
      <c r="BY52">
        <v>200</v>
      </c>
      <c r="BZ52" t="s">
        <v>410</v>
      </c>
      <c r="CA52" t="s">
        <v>265</v>
      </c>
      <c r="CB52" t="s">
        <v>149</v>
      </c>
      <c r="CC52" t="s">
        <v>156</v>
      </c>
      <c r="CD52" t="s">
        <v>157</v>
      </c>
      <c r="CJ52" t="s">
        <v>410</v>
      </c>
      <c r="CK52" t="s">
        <v>412</v>
      </c>
    </row>
    <row r="53" spans="1:89" x14ac:dyDescent="0.3">
      <c r="A53" t="s">
        <v>413</v>
      </c>
      <c r="B53" t="s">
        <v>7</v>
      </c>
      <c r="C53" t="s">
        <v>414</v>
      </c>
      <c r="D53">
        <v>404</v>
      </c>
      <c r="E53" t="s">
        <v>160</v>
      </c>
      <c r="F53" t="s">
        <v>161</v>
      </c>
      <c r="G53" t="s">
        <v>162</v>
      </c>
      <c r="I53">
        <v>0</v>
      </c>
      <c r="J53">
        <v>0</v>
      </c>
      <c r="L53">
        <v>0</v>
      </c>
      <c r="M53">
        <v>0</v>
      </c>
      <c r="O53">
        <v>0</v>
      </c>
      <c r="P53">
        <v>0</v>
      </c>
      <c r="T53">
        <v>0</v>
      </c>
      <c r="V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S53">
        <v>3</v>
      </c>
      <c r="AT53">
        <v>2</v>
      </c>
      <c r="AV53">
        <v>9</v>
      </c>
      <c r="AW53">
        <v>6</v>
      </c>
      <c r="AX53">
        <v>0</v>
      </c>
      <c r="AY53">
        <v>1.55</v>
      </c>
      <c r="AZ53">
        <v>0</v>
      </c>
      <c r="BA53">
        <v>0</v>
      </c>
      <c r="BB53">
        <v>0</v>
      </c>
      <c r="BQ53">
        <v>1.1000000000000001</v>
      </c>
      <c r="CJ53" t="s">
        <v>415</v>
      </c>
      <c r="CK53" t="s">
        <v>416</v>
      </c>
    </row>
    <row r="54" spans="1:89" x14ac:dyDescent="0.3">
      <c r="A54" t="s">
        <v>417</v>
      </c>
      <c r="B54" t="s">
        <v>7</v>
      </c>
      <c r="C54" t="s">
        <v>145</v>
      </c>
      <c r="D54">
        <v>404</v>
      </c>
      <c r="E54" t="s">
        <v>160</v>
      </c>
      <c r="F54" t="s">
        <v>161</v>
      </c>
      <c r="G54" t="s">
        <v>162</v>
      </c>
      <c r="I54">
        <v>0</v>
      </c>
      <c r="J54">
        <v>0</v>
      </c>
      <c r="L54">
        <v>0</v>
      </c>
      <c r="M54">
        <v>0</v>
      </c>
      <c r="O54">
        <v>0</v>
      </c>
      <c r="P54">
        <v>0</v>
      </c>
      <c r="T54">
        <v>0</v>
      </c>
      <c r="V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S54">
        <v>4</v>
      </c>
      <c r="AT54">
        <v>3</v>
      </c>
      <c r="AV54">
        <v>1</v>
      </c>
      <c r="AW54">
        <v>1</v>
      </c>
      <c r="AX54">
        <v>0</v>
      </c>
      <c r="AY54">
        <v>0.26</v>
      </c>
      <c r="AZ54">
        <v>0</v>
      </c>
      <c r="BA54">
        <v>0</v>
      </c>
      <c r="BB54">
        <v>0</v>
      </c>
      <c r="BQ54">
        <v>1.1000000000000001</v>
      </c>
      <c r="CJ54" t="s">
        <v>418</v>
      </c>
      <c r="CK54" t="s">
        <v>419</v>
      </c>
    </row>
    <row r="55" spans="1:89" x14ac:dyDescent="0.3">
      <c r="A55" t="s">
        <v>420</v>
      </c>
      <c r="B55" t="s">
        <v>7</v>
      </c>
      <c r="C55" t="s">
        <v>145</v>
      </c>
      <c r="D55">
        <v>404</v>
      </c>
      <c r="E55" t="s">
        <v>160</v>
      </c>
      <c r="F55" t="s">
        <v>161</v>
      </c>
      <c r="G55" t="s">
        <v>162</v>
      </c>
      <c r="I55">
        <v>0</v>
      </c>
      <c r="J55">
        <v>0</v>
      </c>
      <c r="L55">
        <v>0</v>
      </c>
      <c r="M55">
        <v>0</v>
      </c>
      <c r="O55">
        <v>0</v>
      </c>
      <c r="P55">
        <v>0</v>
      </c>
      <c r="T55">
        <v>0</v>
      </c>
      <c r="V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S55">
        <v>3</v>
      </c>
      <c r="AT55">
        <v>3</v>
      </c>
      <c r="AV55">
        <v>7</v>
      </c>
      <c r="AW55">
        <v>4</v>
      </c>
      <c r="AX55">
        <v>0</v>
      </c>
      <c r="AY55">
        <v>1.03</v>
      </c>
      <c r="AZ55">
        <v>0</v>
      </c>
      <c r="BA55">
        <v>0</v>
      </c>
      <c r="BB55">
        <v>0</v>
      </c>
      <c r="BQ55">
        <v>1.1000000000000001</v>
      </c>
      <c r="CJ55" t="s">
        <v>421</v>
      </c>
      <c r="CK55" t="s">
        <v>422</v>
      </c>
    </row>
    <row r="56" spans="1:89" x14ac:dyDescent="0.3">
      <c r="A56" t="s">
        <v>423</v>
      </c>
      <c r="B56" t="s">
        <v>7</v>
      </c>
      <c r="C56" t="s">
        <v>145</v>
      </c>
      <c r="D56">
        <v>404</v>
      </c>
      <c r="E56" t="s">
        <v>160</v>
      </c>
      <c r="F56" t="s">
        <v>161</v>
      </c>
      <c r="G56" t="s">
        <v>162</v>
      </c>
      <c r="I56">
        <v>0</v>
      </c>
      <c r="J56">
        <v>0</v>
      </c>
      <c r="L56">
        <v>0</v>
      </c>
      <c r="M56">
        <v>0</v>
      </c>
      <c r="O56">
        <v>0</v>
      </c>
      <c r="P56">
        <v>0</v>
      </c>
      <c r="T56">
        <v>0</v>
      </c>
      <c r="V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S56">
        <v>4</v>
      </c>
      <c r="AT56">
        <v>3</v>
      </c>
      <c r="AV56">
        <v>1</v>
      </c>
      <c r="AW56">
        <v>1</v>
      </c>
      <c r="AX56">
        <v>0</v>
      </c>
      <c r="AY56">
        <v>0.26</v>
      </c>
      <c r="AZ56">
        <v>0</v>
      </c>
      <c r="BA56">
        <v>0</v>
      </c>
      <c r="BB56">
        <v>0</v>
      </c>
      <c r="BQ56">
        <v>1.1000000000000001</v>
      </c>
      <c r="CJ56" t="s">
        <v>424</v>
      </c>
      <c r="CK56" t="s">
        <v>425</v>
      </c>
    </row>
    <row r="57" spans="1:89" x14ac:dyDescent="0.3">
      <c r="A57" t="s">
        <v>426</v>
      </c>
      <c r="B57" t="s">
        <v>7</v>
      </c>
      <c r="C57" t="s">
        <v>145</v>
      </c>
      <c r="D57">
        <v>404</v>
      </c>
      <c r="E57" t="s">
        <v>160</v>
      </c>
      <c r="F57" t="s">
        <v>161</v>
      </c>
      <c r="G57" t="s">
        <v>162</v>
      </c>
      <c r="I57">
        <v>0</v>
      </c>
      <c r="J57">
        <v>0</v>
      </c>
      <c r="L57">
        <v>0</v>
      </c>
      <c r="M57">
        <v>0</v>
      </c>
      <c r="O57">
        <v>0</v>
      </c>
      <c r="P57">
        <v>0</v>
      </c>
      <c r="T57">
        <v>0</v>
      </c>
      <c r="V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S57">
        <v>3</v>
      </c>
      <c r="AT57">
        <v>3</v>
      </c>
      <c r="AV57">
        <v>1</v>
      </c>
      <c r="AW57">
        <v>1</v>
      </c>
      <c r="AX57">
        <v>0</v>
      </c>
      <c r="AY57">
        <v>0.26</v>
      </c>
      <c r="AZ57">
        <v>0</v>
      </c>
      <c r="BA57">
        <v>0</v>
      </c>
      <c r="BB57">
        <v>0</v>
      </c>
      <c r="BQ57">
        <v>1.1000000000000001</v>
      </c>
      <c r="CJ57" t="s">
        <v>427</v>
      </c>
      <c r="CK57" t="s">
        <v>428</v>
      </c>
    </row>
    <row r="58" spans="1:89" x14ac:dyDescent="0.3">
      <c r="A58" t="s">
        <v>429</v>
      </c>
      <c r="B58" t="s">
        <v>7</v>
      </c>
      <c r="C58" t="s">
        <v>145</v>
      </c>
      <c r="D58">
        <v>404</v>
      </c>
      <c r="E58" t="s">
        <v>160</v>
      </c>
      <c r="F58" t="s">
        <v>161</v>
      </c>
      <c r="G58" t="s">
        <v>162</v>
      </c>
      <c r="I58">
        <v>0</v>
      </c>
      <c r="J58">
        <v>0</v>
      </c>
      <c r="L58">
        <v>0</v>
      </c>
      <c r="M58">
        <v>0</v>
      </c>
      <c r="O58">
        <v>0</v>
      </c>
      <c r="P58">
        <v>0</v>
      </c>
      <c r="T58">
        <v>0</v>
      </c>
      <c r="V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S58">
        <v>3</v>
      </c>
      <c r="AT58">
        <v>3</v>
      </c>
      <c r="AV58">
        <v>6</v>
      </c>
      <c r="AW58">
        <v>4</v>
      </c>
      <c r="AX58">
        <v>0</v>
      </c>
      <c r="AY58">
        <v>1.03</v>
      </c>
      <c r="AZ58">
        <v>0</v>
      </c>
      <c r="BA58">
        <v>0</v>
      </c>
      <c r="BB58">
        <v>0</v>
      </c>
      <c r="BQ58">
        <v>1.1000000000000001</v>
      </c>
      <c r="CJ58" t="s">
        <v>430</v>
      </c>
      <c r="CK58" t="s">
        <v>416</v>
      </c>
    </row>
    <row r="59" spans="1:89" x14ac:dyDescent="0.3">
      <c r="A59" t="s">
        <v>431</v>
      </c>
      <c r="B59" t="s">
        <v>7</v>
      </c>
      <c r="C59" t="s">
        <v>145</v>
      </c>
      <c r="D59">
        <v>404</v>
      </c>
      <c r="E59" t="s">
        <v>160</v>
      </c>
      <c r="F59" t="s">
        <v>161</v>
      </c>
      <c r="G59" t="s">
        <v>162</v>
      </c>
      <c r="I59">
        <v>0</v>
      </c>
      <c r="J59">
        <v>0</v>
      </c>
      <c r="L59">
        <v>0</v>
      </c>
      <c r="M59">
        <v>0</v>
      </c>
      <c r="O59">
        <v>0</v>
      </c>
      <c r="P59">
        <v>0</v>
      </c>
      <c r="T59">
        <v>0</v>
      </c>
      <c r="V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S59">
        <v>3</v>
      </c>
      <c r="AT59">
        <v>3</v>
      </c>
      <c r="AV59">
        <v>7</v>
      </c>
      <c r="AW59">
        <v>1</v>
      </c>
      <c r="AX59">
        <v>0</v>
      </c>
      <c r="AY59">
        <v>0.26</v>
      </c>
      <c r="AZ59">
        <v>0</v>
      </c>
      <c r="BA59">
        <v>0</v>
      </c>
      <c r="BB59">
        <v>0</v>
      </c>
      <c r="BQ59">
        <v>1.1000000000000001</v>
      </c>
      <c r="CJ59" t="s">
        <v>432</v>
      </c>
      <c r="CK59" t="s">
        <v>377</v>
      </c>
    </row>
    <row r="60" spans="1:89" x14ac:dyDescent="0.3">
      <c r="A60" t="s">
        <v>433</v>
      </c>
      <c r="B60" t="s">
        <v>7</v>
      </c>
      <c r="C60" t="s">
        <v>145</v>
      </c>
      <c r="D60">
        <v>404</v>
      </c>
      <c r="E60" t="s">
        <v>160</v>
      </c>
      <c r="F60" t="s">
        <v>161</v>
      </c>
      <c r="G60" t="s">
        <v>162</v>
      </c>
      <c r="I60">
        <v>0</v>
      </c>
      <c r="J60">
        <v>0</v>
      </c>
      <c r="L60">
        <v>0</v>
      </c>
      <c r="M60">
        <v>0</v>
      </c>
      <c r="O60">
        <v>0</v>
      </c>
      <c r="P60">
        <v>0</v>
      </c>
      <c r="T60">
        <v>0</v>
      </c>
      <c r="V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S60">
        <v>3</v>
      </c>
      <c r="AT60">
        <v>3</v>
      </c>
      <c r="AV60">
        <v>3</v>
      </c>
      <c r="AW60">
        <v>3</v>
      </c>
      <c r="AX60">
        <v>0</v>
      </c>
      <c r="AY60">
        <v>0.78</v>
      </c>
      <c r="AZ60">
        <v>0</v>
      </c>
      <c r="BA60">
        <v>0</v>
      </c>
      <c r="BB60">
        <v>0</v>
      </c>
      <c r="BQ60">
        <v>1.1000000000000001</v>
      </c>
      <c r="CJ60" t="s">
        <v>434</v>
      </c>
      <c r="CK60" t="s">
        <v>435</v>
      </c>
    </row>
    <row r="61" spans="1:89" x14ac:dyDescent="0.3">
      <c r="A61" t="s">
        <v>436</v>
      </c>
      <c r="B61" t="s">
        <v>7</v>
      </c>
      <c r="C61" t="s">
        <v>145</v>
      </c>
      <c r="D61">
        <v>404</v>
      </c>
      <c r="E61" t="s">
        <v>160</v>
      </c>
      <c r="F61" t="s">
        <v>161</v>
      </c>
      <c r="G61" t="s">
        <v>162</v>
      </c>
      <c r="I61">
        <v>0</v>
      </c>
      <c r="J61">
        <v>0</v>
      </c>
      <c r="L61">
        <v>0</v>
      </c>
      <c r="M61">
        <v>0</v>
      </c>
      <c r="O61">
        <v>0</v>
      </c>
      <c r="P61">
        <v>0</v>
      </c>
      <c r="T61">
        <v>0</v>
      </c>
      <c r="V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S61">
        <v>3</v>
      </c>
      <c r="AT61">
        <v>3</v>
      </c>
      <c r="AV61">
        <v>3</v>
      </c>
      <c r="AW61">
        <v>3</v>
      </c>
      <c r="AX61">
        <v>0</v>
      </c>
      <c r="AY61">
        <v>0.78</v>
      </c>
      <c r="AZ61">
        <v>0</v>
      </c>
      <c r="BA61">
        <v>0</v>
      </c>
      <c r="BB61">
        <v>0</v>
      </c>
      <c r="BQ61">
        <v>1.1000000000000001</v>
      </c>
      <c r="CJ61" t="s">
        <v>437</v>
      </c>
      <c r="CK61" t="s">
        <v>435</v>
      </c>
    </row>
    <row r="62" spans="1:89" x14ac:dyDescent="0.3">
      <c r="A62" t="s">
        <v>438</v>
      </c>
      <c r="B62" t="s">
        <v>7</v>
      </c>
      <c r="C62" t="s">
        <v>145</v>
      </c>
      <c r="D62">
        <v>404</v>
      </c>
      <c r="E62" t="s">
        <v>160</v>
      </c>
      <c r="F62" t="s">
        <v>161</v>
      </c>
      <c r="G62" t="s">
        <v>162</v>
      </c>
      <c r="I62">
        <v>0</v>
      </c>
      <c r="J62">
        <v>0</v>
      </c>
      <c r="L62">
        <v>0</v>
      </c>
      <c r="M62">
        <v>0</v>
      </c>
      <c r="O62">
        <v>0</v>
      </c>
      <c r="P62">
        <v>0</v>
      </c>
      <c r="T62">
        <v>0</v>
      </c>
      <c r="V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S62">
        <v>3</v>
      </c>
      <c r="AT62">
        <v>3</v>
      </c>
      <c r="AV62">
        <v>1</v>
      </c>
      <c r="AW62">
        <v>1</v>
      </c>
      <c r="AX62">
        <v>0</v>
      </c>
      <c r="AY62">
        <v>0.26</v>
      </c>
      <c r="AZ62">
        <v>0</v>
      </c>
      <c r="BA62">
        <v>0</v>
      </c>
      <c r="BB62">
        <v>0</v>
      </c>
      <c r="BQ62">
        <v>1.1000000000000001</v>
      </c>
      <c r="CJ62" t="s">
        <v>439</v>
      </c>
      <c r="CK62" t="s">
        <v>341</v>
      </c>
    </row>
    <row r="63" spans="1:89" x14ac:dyDescent="0.3">
      <c r="A63" t="s">
        <v>440</v>
      </c>
      <c r="B63" t="s">
        <v>7</v>
      </c>
      <c r="C63" t="s">
        <v>145</v>
      </c>
      <c r="D63">
        <v>404</v>
      </c>
      <c r="E63" t="s">
        <v>160</v>
      </c>
      <c r="F63" t="s">
        <v>161</v>
      </c>
      <c r="G63" t="s">
        <v>162</v>
      </c>
      <c r="I63">
        <v>0</v>
      </c>
      <c r="J63">
        <v>0</v>
      </c>
      <c r="L63">
        <v>0</v>
      </c>
      <c r="M63">
        <v>0</v>
      </c>
      <c r="O63">
        <v>0</v>
      </c>
      <c r="P63">
        <v>0</v>
      </c>
      <c r="T63">
        <v>0</v>
      </c>
      <c r="V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S63">
        <v>4</v>
      </c>
      <c r="AT63">
        <v>3</v>
      </c>
      <c r="AV63">
        <v>1</v>
      </c>
      <c r="AW63">
        <v>1</v>
      </c>
      <c r="AX63">
        <v>0</v>
      </c>
      <c r="AY63">
        <v>0.26</v>
      </c>
      <c r="AZ63">
        <v>0</v>
      </c>
      <c r="BA63">
        <v>0</v>
      </c>
      <c r="BB63">
        <v>0</v>
      </c>
      <c r="BQ63">
        <v>1.1000000000000001</v>
      </c>
      <c r="CJ63" t="s">
        <v>441</v>
      </c>
      <c r="CK63" t="s">
        <v>409</v>
      </c>
    </row>
    <row r="64" spans="1:89" x14ac:dyDescent="0.3">
      <c r="A64" t="s">
        <v>442</v>
      </c>
      <c r="B64" t="s">
        <v>7</v>
      </c>
      <c r="C64" t="s">
        <v>145</v>
      </c>
      <c r="D64">
        <v>404</v>
      </c>
      <c r="E64" t="s">
        <v>160</v>
      </c>
      <c r="F64" t="s">
        <v>161</v>
      </c>
      <c r="G64" t="s">
        <v>162</v>
      </c>
      <c r="I64">
        <v>0</v>
      </c>
      <c r="J64">
        <v>0</v>
      </c>
      <c r="L64">
        <v>0</v>
      </c>
      <c r="M64">
        <v>0</v>
      </c>
      <c r="O64">
        <v>0</v>
      </c>
      <c r="P64">
        <v>0</v>
      </c>
      <c r="T64">
        <v>0</v>
      </c>
      <c r="V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S64">
        <v>3</v>
      </c>
      <c r="AT64">
        <v>3</v>
      </c>
      <c r="AV64">
        <v>3</v>
      </c>
      <c r="AW64">
        <v>3</v>
      </c>
      <c r="AX64">
        <v>0</v>
      </c>
      <c r="AY64">
        <v>0.78</v>
      </c>
      <c r="AZ64">
        <v>0</v>
      </c>
      <c r="BA64">
        <v>0</v>
      </c>
      <c r="BB64">
        <v>0</v>
      </c>
      <c r="BQ64">
        <v>1.1000000000000001</v>
      </c>
      <c r="CJ64" t="s">
        <v>443</v>
      </c>
      <c r="CK64" t="s">
        <v>444</v>
      </c>
    </row>
    <row r="65" spans="1:89" x14ac:dyDescent="0.3">
      <c r="A65" t="s">
        <v>445</v>
      </c>
      <c r="B65" t="s">
        <v>7</v>
      </c>
      <c r="C65" t="s">
        <v>145</v>
      </c>
      <c r="D65">
        <v>404</v>
      </c>
      <c r="E65" t="s">
        <v>160</v>
      </c>
      <c r="F65" t="s">
        <v>161</v>
      </c>
      <c r="G65" t="s">
        <v>162</v>
      </c>
      <c r="I65">
        <v>0</v>
      </c>
      <c r="J65">
        <v>0</v>
      </c>
      <c r="L65">
        <v>0</v>
      </c>
      <c r="M65">
        <v>0</v>
      </c>
      <c r="O65">
        <v>0</v>
      </c>
      <c r="P65">
        <v>0</v>
      </c>
      <c r="T65">
        <v>0</v>
      </c>
      <c r="V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S65">
        <v>3</v>
      </c>
      <c r="AT65">
        <v>3</v>
      </c>
      <c r="AV65">
        <v>2</v>
      </c>
      <c r="AW65">
        <v>2</v>
      </c>
      <c r="AX65">
        <v>0</v>
      </c>
      <c r="AY65">
        <v>0.52</v>
      </c>
      <c r="AZ65">
        <v>0</v>
      </c>
      <c r="BA65">
        <v>0</v>
      </c>
      <c r="BB65">
        <v>0</v>
      </c>
      <c r="BQ65">
        <v>1.1000000000000001</v>
      </c>
      <c r="CJ65" t="s">
        <v>446</v>
      </c>
      <c r="CK65" t="s">
        <v>444</v>
      </c>
    </row>
    <row r="66" spans="1:89" x14ac:dyDescent="0.3">
      <c r="A66" t="s">
        <v>447</v>
      </c>
      <c r="B66" t="s">
        <v>7</v>
      </c>
      <c r="C66" t="s">
        <v>145</v>
      </c>
      <c r="D66">
        <v>200</v>
      </c>
      <c r="E66" t="s">
        <v>146</v>
      </c>
      <c r="F66" t="s">
        <v>161</v>
      </c>
      <c r="G66" t="s">
        <v>226</v>
      </c>
      <c r="H66" t="s">
        <v>263</v>
      </c>
      <c r="I66">
        <v>24</v>
      </c>
      <c r="J66">
        <v>259</v>
      </c>
      <c r="L66">
        <v>0</v>
      </c>
      <c r="M66">
        <v>0</v>
      </c>
      <c r="O66">
        <v>0</v>
      </c>
      <c r="P66">
        <v>0</v>
      </c>
      <c r="S66" t="s">
        <v>264</v>
      </c>
      <c r="T66">
        <v>4</v>
      </c>
      <c r="V66">
        <v>0</v>
      </c>
      <c r="AB66" t="s">
        <v>262</v>
      </c>
      <c r="AH66">
        <v>330487</v>
      </c>
      <c r="AI66">
        <v>68767</v>
      </c>
      <c r="AJ66">
        <v>68767</v>
      </c>
      <c r="AK66">
        <v>26.797330860999999</v>
      </c>
      <c r="AM66">
        <v>236</v>
      </c>
      <c r="AS66">
        <v>3</v>
      </c>
      <c r="AT66">
        <v>1</v>
      </c>
      <c r="AV66">
        <v>8</v>
      </c>
      <c r="AW66">
        <v>3</v>
      </c>
      <c r="AX66">
        <v>0</v>
      </c>
      <c r="AY66">
        <v>0.78</v>
      </c>
      <c r="AZ66">
        <v>117</v>
      </c>
      <c r="BA66">
        <v>66</v>
      </c>
      <c r="BB66">
        <v>0</v>
      </c>
      <c r="BP66" t="s">
        <v>151</v>
      </c>
      <c r="BQ66">
        <v>1.1000000000000001</v>
      </c>
      <c r="BR66" t="s">
        <v>265</v>
      </c>
      <c r="BS66" t="s">
        <v>149</v>
      </c>
      <c r="BT66" t="s">
        <v>153</v>
      </c>
      <c r="BU66" t="s">
        <v>150</v>
      </c>
      <c r="BV66" t="s">
        <v>154</v>
      </c>
      <c r="BW66" t="s">
        <v>155</v>
      </c>
      <c r="BX66">
        <v>200</v>
      </c>
      <c r="BY66">
        <v>200</v>
      </c>
      <c r="BZ66" t="s">
        <v>262</v>
      </c>
      <c r="CA66" t="s">
        <v>265</v>
      </c>
      <c r="CB66" t="s">
        <v>149</v>
      </c>
      <c r="CC66" t="s">
        <v>156</v>
      </c>
      <c r="CD66" t="s">
        <v>157</v>
      </c>
      <c r="CJ66" t="s">
        <v>447</v>
      </c>
      <c r="CK66" t="s">
        <v>274</v>
      </c>
    </row>
    <row r="67" spans="1:89" x14ac:dyDescent="0.3">
      <c r="A67" t="s">
        <v>448</v>
      </c>
      <c r="B67" t="s">
        <v>7</v>
      </c>
      <c r="C67" t="s">
        <v>145</v>
      </c>
      <c r="D67">
        <v>200</v>
      </c>
      <c r="E67" t="s">
        <v>146</v>
      </c>
      <c r="F67" t="s">
        <v>147</v>
      </c>
      <c r="H67" t="s">
        <v>449</v>
      </c>
      <c r="I67">
        <v>33</v>
      </c>
      <c r="J67">
        <v>344</v>
      </c>
      <c r="L67">
        <v>0</v>
      </c>
      <c r="M67">
        <v>0</v>
      </c>
      <c r="O67">
        <v>0</v>
      </c>
      <c r="P67">
        <v>0</v>
      </c>
      <c r="S67" t="s">
        <v>264</v>
      </c>
      <c r="T67">
        <v>4</v>
      </c>
      <c r="V67">
        <v>0</v>
      </c>
      <c r="AB67" t="s">
        <v>448</v>
      </c>
      <c r="AH67">
        <v>330735</v>
      </c>
      <c r="AI67">
        <v>68718</v>
      </c>
      <c r="AJ67">
        <v>68718</v>
      </c>
      <c r="AK67">
        <v>26.778236394</v>
      </c>
      <c r="AM67">
        <v>241</v>
      </c>
      <c r="AS67">
        <v>2</v>
      </c>
      <c r="AT67">
        <v>1</v>
      </c>
      <c r="AV67">
        <v>11</v>
      </c>
      <c r="AW67">
        <v>4</v>
      </c>
      <c r="AX67">
        <v>0</v>
      </c>
      <c r="AY67">
        <v>1.03</v>
      </c>
      <c r="AZ67">
        <v>118</v>
      </c>
      <c r="BA67">
        <v>66</v>
      </c>
      <c r="BB67">
        <v>0</v>
      </c>
      <c r="BP67" t="s">
        <v>151</v>
      </c>
      <c r="BQ67">
        <v>1.1000000000000001</v>
      </c>
      <c r="BR67" t="s">
        <v>265</v>
      </c>
      <c r="BS67" t="s">
        <v>149</v>
      </c>
      <c r="BT67" t="s">
        <v>153</v>
      </c>
      <c r="BU67" t="s">
        <v>150</v>
      </c>
      <c r="BV67" t="s">
        <v>154</v>
      </c>
      <c r="BW67" t="s">
        <v>155</v>
      </c>
      <c r="BX67">
        <v>200</v>
      </c>
      <c r="BY67">
        <v>200</v>
      </c>
      <c r="BZ67" t="s">
        <v>448</v>
      </c>
      <c r="CA67" t="s">
        <v>265</v>
      </c>
      <c r="CB67" t="s">
        <v>149</v>
      </c>
      <c r="CC67" t="s">
        <v>156</v>
      </c>
      <c r="CD67" t="s">
        <v>157</v>
      </c>
      <c r="CJ67" t="s">
        <v>448</v>
      </c>
      <c r="CK67" t="s">
        <v>402</v>
      </c>
    </row>
    <row r="68" spans="1:89" x14ac:dyDescent="0.3">
      <c r="A68" t="s">
        <v>450</v>
      </c>
      <c r="B68" t="s">
        <v>7</v>
      </c>
      <c r="C68" t="s">
        <v>145</v>
      </c>
      <c r="D68">
        <v>200</v>
      </c>
      <c r="E68" t="s">
        <v>146</v>
      </c>
      <c r="F68" t="s">
        <v>147</v>
      </c>
      <c r="H68" t="s">
        <v>451</v>
      </c>
      <c r="I68">
        <v>33</v>
      </c>
      <c r="J68">
        <v>344</v>
      </c>
      <c r="L68">
        <v>0</v>
      </c>
      <c r="M68">
        <v>0</v>
      </c>
      <c r="O68">
        <v>0</v>
      </c>
      <c r="P68">
        <v>0</v>
      </c>
      <c r="S68" t="s">
        <v>264</v>
      </c>
      <c r="T68">
        <v>4</v>
      </c>
      <c r="V68">
        <v>0</v>
      </c>
      <c r="AB68" t="s">
        <v>450</v>
      </c>
      <c r="AH68">
        <v>331776</v>
      </c>
      <c r="AI68">
        <v>69294</v>
      </c>
      <c r="AJ68">
        <v>69294</v>
      </c>
      <c r="AK68">
        <v>27.002693802</v>
      </c>
      <c r="AM68">
        <v>243</v>
      </c>
      <c r="AS68">
        <v>2</v>
      </c>
      <c r="AT68">
        <v>1</v>
      </c>
      <c r="AV68">
        <v>9</v>
      </c>
      <c r="AW68">
        <v>4</v>
      </c>
      <c r="AX68">
        <v>0</v>
      </c>
      <c r="AY68">
        <v>1.03</v>
      </c>
      <c r="AZ68">
        <v>117</v>
      </c>
      <c r="BA68">
        <v>66</v>
      </c>
      <c r="BB68">
        <v>0</v>
      </c>
      <c r="BP68" t="s">
        <v>151</v>
      </c>
      <c r="BQ68">
        <v>1.1000000000000001</v>
      </c>
      <c r="BR68" t="s">
        <v>265</v>
      </c>
      <c r="BS68" t="s">
        <v>149</v>
      </c>
      <c r="BT68" t="s">
        <v>153</v>
      </c>
      <c r="BU68" t="s">
        <v>150</v>
      </c>
      <c r="BV68" t="s">
        <v>154</v>
      </c>
      <c r="BW68" t="s">
        <v>155</v>
      </c>
      <c r="BX68">
        <v>200</v>
      </c>
      <c r="BY68">
        <v>200</v>
      </c>
      <c r="BZ68" t="s">
        <v>450</v>
      </c>
      <c r="CA68" t="s">
        <v>265</v>
      </c>
      <c r="CB68" t="s">
        <v>149</v>
      </c>
      <c r="CC68" t="s">
        <v>156</v>
      </c>
      <c r="CD68" t="s">
        <v>157</v>
      </c>
      <c r="CJ68" t="s">
        <v>450</v>
      </c>
      <c r="CK68" t="s">
        <v>402</v>
      </c>
    </row>
    <row r="69" spans="1:89" x14ac:dyDescent="0.3">
      <c r="A69" t="s">
        <v>452</v>
      </c>
      <c r="B69" t="s">
        <v>7</v>
      </c>
      <c r="C69" t="s">
        <v>145</v>
      </c>
      <c r="D69">
        <v>200</v>
      </c>
      <c r="E69" t="s">
        <v>146</v>
      </c>
      <c r="F69" t="s">
        <v>147</v>
      </c>
      <c r="H69" t="s">
        <v>453</v>
      </c>
      <c r="I69">
        <v>22</v>
      </c>
      <c r="J69">
        <v>219</v>
      </c>
      <c r="L69">
        <v>0</v>
      </c>
      <c r="M69">
        <v>0</v>
      </c>
      <c r="O69">
        <v>0</v>
      </c>
      <c r="P69">
        <v>0</v>
      </c>
      <c r="S69" t="s">
        <v>454</v>
      </c>
      <c r="T69">
        <v>2</v>
      </c>
      <c r="V69">
        <v>0</v>
      </c>
      <c r="AB69" t="s">
        <v>452</v>
      </c>
      <c r="AH69">
        <v>316923</v>
      </c>
      <c r="AI69">
        <v>66778</v>
      </c>
      <c r="AJ69">
        <v>66778</v>
      </c>
      <c r="AK69">
        <v>26.022251374</v>
      </c>
      <c r="AM69">
        <v>130</v>
      </c>
      <c r="AS69">
        <v>1</v>
      </c>
      <c r="AT69">
        <v>1</v>
      </c>
      <c r="AV69">
        <v>407</v>
      </c>
      <c r="AW69">
        <v>387</v>
      </c>
      <c r="AX69">
        <v>0</v>
      </c>
      <c r="AY69">
        <v>100</v>
      </c>
      <c r="AZ69">
        <v>119</v>
      </c>
      <c r="BA69">
        <v>54</v>
      </c>
      <c r="BB69">
        <v>0</v>
      </c>
      <c r="BP69" t="s">
        <v>151</v>
      </c>
      <c r="BQ69">
        <v>1.1000000000000001</v>
      </c>
      <c r="BR69" t="s">
        <v>455</v>
      </c>
      <c r="BS69" t="s">
        <v>149</v>
      </c>
      <c r="BT69" t="s">
        <v>153</v>
      </c>
      <c r="BU69" t="s">
        <v>150</v>
      </c>
      <c r="BV69" t="s">
        <v>154</v>
      </c>
      <c r="BW69" t="s">
        <v>155</v>
      </c>
      <c r="BX69">
        <v>200</v>
      </c>
      <c r="BY69">
        <v>200</v>
      </c>
      <c r="BZ69" t="s">
        <v>452</v>
      </c>
      <c r="CA69" t="s">
        <v>455</v>
      </c>
      <c r="CB69" t="s">
        <v>149</v>
      </c>
      <c r="CC69" t="s">
        <v>156</v>
      </c>
      <c r="CD69" t="s">
        <v>157</v>
      </c>
      <c r="CJ69" t="s">
        <v>452</v>
      </c>
      <c r="CK69" t="s">
        <v>456</v>
      </c>
    </row>
    <row r="70" spans="1:89" x14ac:dyDescent="0.3">
      <c r="A70" t="s">
        <v>457</v>
      </c>
      <c r="C70" t="s">
        <v>145</v>
      </c>
      <c r="D70">
        <v>200</v>
      </c>
      <c r="E70" t="s">
        <v>146</v>
      </c>
      <c r="F70" t="s">
        <v>161</v>
      </c>
      <c r="G70" t="s">
        <v>166</v>
      </c>
      <c r="H70" t="s">
        <v>458</v>
      </c>
      <c r="I70">
        <v>25</v>
      </c>
      <c r="J70">
        <v>279</v>
      </c>
      <c r="L70">
        <v>0</v>
      </c>
      <c r="M70">
        <v>0</v>
      </c>
      <c r="O70">
        <v>0</v>
      </c>
      <c r="P70">
        <v>0</v>
      </c>
      <c r="S70" t="s">
        <v>459</v>
      </c>
      <c r="T70">
        <v>3</v>
      </c>
      <c r="U70" t="s">
        <v>460</v>
      </c>
      <c r="V70">
        <v>9</v>
      </c>
      <c r="AB70" t="s">
        <v>457</v>
      </c>
      <c r="AH70">
        <v>310291</v>
      </c>
      <c r="AI70">
        <v>66177</v>
      </c>
      <c r="AJ70">
        <v>66177</v>
      </c>
      <c r="AK70">
        <v>25.788051890999999</v>
      </c>
      <c r="AM70">
        <v>138</v>
      </c>
      <c r="AS70">
        <v>1</v>
      </c>
      <c r="AT70">
        <v>0</v>
      </c>
      <c r="AV70">
        <v>392</v>
      </c>
      <c r="AW70">
        <v>387</v>
      </c>
      <c r="AX70">
        <v>0</v>
      </c>
      <c r="AY70">
        <v>100</v>
      </c>
      <c r="AZ70">
        <v>106</v>
      </c>
      <c r="BA70">
        <v>54</v>
      </c>
      <c r="BB70">
        <v>0</v>
      </c>
      <c r="BP70" t="s">
        <v>151</v>
      </c>
      <c r="BQ70">
        <v>1.1000000000000001</v>
      </c>
      <c r="BR70" t="s">
        <v>461</v>
      </c>
      <c r="BS70" t="s">
        <v>149</v>
      </c>
      <c r="BT70" t="s">
        <v>153</v>
      </c>
      <c r="BU70" t="s">
        <v>150</v>
      </c>
      <c r="BV70" t="s">
        <v>154</v>
      </c>
      <c r="BW70" t="s">
        <v>155</v>
      </c>
      <c r="BX70">
        <v>200</v>
      </c>
      <c r="BY70">
        <v>200</v>
      </c>
      <c r="BZ70" t="s">
        <v>457</v>
      </c>
      <c r="CA70" t="s">
        <v>461</v>
      </c>
      <c r="CB70" t="s">
        <v>149</v>
      </c>
      <c r="CC70" t="s">
        <v>156</v>
      </c>
      <c r="CD70" t="s">
        <v>177</v>
      </c>
      <c r="CJ70" t="s">
        <v>457</v>
      </c>
      <c r="CK70" t="s">
        <v>462</v>
      </c>
    </row>
    <row r="71" spans="1:89" x14ac:dyDescent="0.3">
      <c r="A71" t="s">
        <v>463</v>
      </c>
      <c r="B71" t="s">
        <v>6</v>
      </c>
      <c r="C71" t="s">
        <v>145</v>
      </c>
      <c r="D71">
        <v>200</v>
      </c>
      <c r="E71" t="s">
        <v>146</v>
      </c>
      <c r="F71" t="s">
        <v>147</v>
      </c>
      <c r="H71" t="s">
        <v>464</v>
      </c>
      <c r="I71">
        <v>31</v>
      </c>
      <c r="J71">
        <v>349</v>
      </c>
      <c r="L71">
        <v>0</v>
      </c>
      <c r="M71">
        <v>0</v>
      </c>
      <c r="O71">
        <v>0</v>
      </c>
      <c r="P71">
        <v>0</v>
      </c>
      <c r="S71" t="s">
        <v>465</v>
      </c>
      <c r="T71">
        <v>11</v>
      </c>
      <c r="V71">
        <v>0</v>
      </c>
      <c r="AB71" t="s">
        <v>463</v>
      </c>
      <c r="AH71">
        <v>585087</v>
      </c>
      <c r="AI71">
        <v>86203</v>
      </c>
      <c r="AJ71">
        <v>86203</v>
      </c>
      <c r="AK71">
        <v>33.591843648999998</v>
      </c>
      <c r="AM71">
        <v>722</v>
      </c>
      <c r="AS71">
        <v>1</v>
      </c>
      <c r="AT71">
        <v>1</v>
      </c>
      <c r="AV71">
        <v>1034</v>
      </c>
      <c r="AW71">
        <v>387</v>
      </c>
      <c r="AX71">
        <v>0</v>
      </c>
      <c r="AY71">
        <v>100</v>
      </c>
      <c r="AZ71">
        <v>213</v>
      </c>
      <c r="BA71">
        <v>76</v>
      </c>
      <c r="BB71">
        <v>0</v>
      </c>
      <c r="BP71" t="s">
        <v>151</v>
      </c>
      <c r="BQ71">
        <v>1.1000000000000001</v>
      </c>
      <c r="BR71" t="s">
        <v>466</v>
      </c>
      <c r="BS71" t="s">
        <v>149</v>
      </c>
      <c r="BT71" t="s">
        <v>153</v>
      </c>
      <c r="BU71" t="s">
        <v>150</v>
      </c>
      <c r="BV71" t="s">
        <v>154</v>
      </c>
      <c r="BW71" t="s">
        <v>155</v>
      </c>
      <c r="BX71">
        <v>200</v>
      </c>
      <c r="BY71">
        <v>200</v>
      </c>
      <c r="BZ71" t="s">
        <v>463</v>
      </c>
      <c r="CA71" t="s">
        <v>466</v>
      </c>
      <c r="CB71" t="s">
        <v>149</v>
      </c>
      <c r="CC71" t="s">
        <v>156</v>
      </c>
      <c r="CD71" t="s">
        <v>157</v>
      </c>
      <c r="CJ71" t="s">
        <v>463</v>
      </c>
      <c r="CK71" t="s">
        <v>467</v>
      </c>
    </row>
    <row r="72" spans="1:89" x14ac:dyDescent="0.3">
      <c r="A72" t="s">
        <v>468</v>
      </c>
      <c r="B72" t="s">
        <v>6</v>
      </c>
      <c r="C72" t="s">
        <v>145</v>
      </c>
      <c r="D72">
        <v>200</v>
      </c>
      <c r="E72" t="s">
        <v>146</v>
      </c>
      <c r="F72" t="s">
        <v>161</v>
      </c>
      <c r="G72" t="s">
        <v>226</v>
      </c>
      <c r="H72" t="s">
        <v>464</v>
      </c>
      <c r="I72">
        <v>31</v>
      </c>
      <c r="J72">
        <v>349</v>
      </c>
      <c r="L72">
        <v>0</v>
      </c>
      <c r="M72">
        <v>0</v>
      </c>
      <c r="O72">
        <v>0</v>
      </c>
      <c r="P72">
        <v>0</v>
      </c>
      <c r="S72" t="s">
        <v>465</v>
      </c>
      <c r="T72">
        <v>11</v>
      </c>
      <c r="V72">
        <v>0</v>
      </c>
      <c r="AB72" t="s">
        <v>463</v>
      </c>
      <c r="AH72">
        <v>585136</v>
      </c>
      <c r="AI72">
        <v>86586</v>
      </c>
      <c r="AJ72">
        <v>86586</v>
      </c>
      <c r="AK72">
        <v>33.741092238</v>
      </c>
      <c r="AM72">
        <v>722</v>
      </c>
      <c r="AS72">
        <v>3</v>
      </c>
      <c r="AT72">
        <v>1</v>
      </c>
      <c r="AV72">
        <v>8</v>
      </c>
      <c r="AW72">
        <v>3</v>
      </c>
      <c r="AX72">
        <v>0</v>
      </c>
      <c r="AY72">
        <v>0.78</v>
      </c>
      <c r="AZ72">
        <v>213</v>
      </c>
      <c r="BA72">
        <v>77</v>
      </c>
      <c r="BB72">
        <v>0</v>
      </c>
      <c r="BP72" t="s">
        <v>151</v>
      </c>
      <c r="BQ72">
        <v>1.1000000000000001</v>
      </c>
      <c r="BR72" t="s">
        <v>466</v>
      </c>
      <c r="BS72" t="s">
        <v>149</v>
      </c>
      <c r="BT72" t="s">
        <v>153</v>
      </c>
      <c r="BU72" t="s">
        <v>150</v>
      </c>
      <c r="BV72" t="s">
        <v>154</v>
      </c>
      <c r="BW72" t="s">
        <v>155</v>
      </c>
      <c r="BX72">
        <v>200</v>
      </c>
      <c r="BY72">
        <v>200</v>
      </c>
      <c r="BZ72" t="s">
        <v>463</v>
      </c>
      <c r="CA72" t="s">
        <v>466</v>
      </c>
      <c r="CB72" t="s">
        <v>149</v>
      </c>
      <c r="CC72" t="s">
        <v>156</v>
      </c>
      <c r="CD72" t="s">
        <v>157</v>
      </c>
      <c r="CJ72" t="s">
        <v>468</v>
      </c>
      <c r="CK72" t="s">
        <v>230</v>
      </c>
    </row>
    <row r="73" spans="1:89" x14ac:dyDescent="0.3">
      <c r="A73" t="s">
        <v>469</v>
      </c>
      <c r="B73" t="s">
        <v>6</v>
      </c>
      <c r="C73" t="s">
        <v>145</v>
      </c>
      <c r="D73">
        <v>200</v>
      </c>
      <c r="E73" t="s">
        <v>146</v>
      </c>
      <c r="F73" t="s">
        <v>147</v>
      </c>
      <c r="H73" t="s">
        <v>470</v>
      </c>
      <c r="I73">
        <v>40</v>
      </c>
      <c r="J73">
        <v>434</v>
      </c>
      <c r="L73">
        <v>0</v>
      </c>
      <c r="M73">
        <v>0</v>
      </c>
      <c r="O73">
        <v>0</v>
      </c>
      <c r="P73">
        <v>0</v>
      </c>
      <c r="S73" t="s">
        <v>465</v>
      </c>
      <c r="T73">
        <v>11</v>
      </c>
      <c r="V73">
        <v>0</v>
      </c>
      <c r="AB73" t="s">
        <v>469</v>
      </c>
      <c r="AH73">
        <v>593342</v>
      </c>
      <c r="AI73">
        <v>86596</v>
      </c>
      <c r="AJ73">
        <v>86596</v>
      </c>
      <c r="AK73">
        <v>33.744989068000002</v>
      </c>
      <c r="AM73">
        <v>812</v>
      </c>
      <c r="AS73">
        <v>2</v>
      </c>
      <c r="AT73">
        <v>1</v>
      </c>
      <c r="AV73">
        <v>11</v>
      </c>
      <c r="AW73">
        <v>4</v>
      </c>
      <c r="AX73">
        <v>0</v>
      </c>
      <c r="AY73">
        <v>1.03</v>
      </c>
      <c r="AZ73">
        <v>214</v>
      </c>
      <c r="BA73">
        <v>77</v>
      </c>
      <c r="BB73">
        <v>0</v>
      </c>
      <c r="BP73" t="s">
        <v>151</v>
      </c>
      <c r="BQ73">
        <v>1.1000000000000001</v>
      </c>
      <c r="BR73" t="s">
        <v>466</v>
      </c>
      <c r="BS73" t="s">
        <v>149</v>
      </c>
      <c r="BT73" t="s">
        <v>153</v>
      </c>
      <c r="BU73" t="s">
        <v>150</v>
      </c>
      <c r="BV73" t="s">
        <v>154</v>
      </c>
      <c r="BW73" t="s">
        <v>155</v>
      </c>
      <c r="BX73">
        <v>200</v>
      </c>
      <c r="BY73">
        <v>200</v>
      </c>
      <c r="BZ73" t="s">
        <v>469</v>
      </c>
      <c r="CA73" t="s">
        <v>466</v>
      </c>
      <c r="CB73" t="s">
        <v>149</v>
      </c>
      <c r="CC73" t="s">
        <v>156</v>
      </c>
      <c r="CD73" t="s">
        <v>157</v>
      </c>
      <c r="CJ73" t="s">
        <v>469</v>
      </c>
      <c r="CK73" t="s">
        <v>471</v>
      </c>
    </row>
    <row r="74" spans="1:89" x14ac:dyDescent="0.3">
      <c r="A74" t="s">
        <v>472</v>
      </c>
      <c r="B74" t="s">
        <v>6</v>
      </c>
      <c r="C74" t="s">
        <v>145</v>
      </c>
      <c r="D74">
        <v>200</v>
      </c>
      <c r="E74" t="s">
        <v>146</v>
      </c>
      <c r="F74" t="s">
        <v>147</v>
      </c>
      <c r="H74" t="s">
        <v>473</v>
      </c>
      <c r="I74">
        <v>40</v>
      </c>
      <c r="J74">
        <v>434</v>
      </c>
      <c r="L74">
        <v>0</v>
      </c>
      <c r="M74">
        <v>0</v>
      </c>
      <c r="O74">
        <v>0</v>
      </c>
      <c r="P74">
        <v>0</v>
      </c>
      <c r="S74" t="s">
        <v>465</v>
      </c>
      <c r="T74">
        <v>11</v>
      </c>
      <c r="V74">
        <v>0</v>
      </c>
      <c r="AB74" t="s">
        <v>472</v>
      </c>
      <c r="AH74">
        <v>506668</v>
      </c>
      <c r="AI74">
        <v>82240</v>
      </c>
      <c r="AJ74">
        <v>82240</v>
      </c>
      <c r="AK74">
        <v>32.047529920000002</v>
      </c>
      <c r="AM74">
        <v>662</v>
      </c>
      <c r="AS74">
        <v>2</v>
      </c>
      <c r="AT74">
        <v>1</v>
      </c>
      <c r="AV74">
        <v>9</v>
      </c>
      <c r="AW74">
        <v>4</v>
      </c>
      <c r="AX74">
        <v>0</v>
      </c>
      <c r="AY74">
        <v>1.03</v>
      </c>
      <c r="AZ74">
        <v>193</v>
      </c>
      <c r="BA74">
        <v>67</v>
      </c>
      <c r="BB74">
        <v>0</v>
      </c>
      <c r="BP74" t="s">
        <v>151</v>
      </c>
      <c r="BQ74">
        <v>1.1000000000000001</v>
      </c>
      <c r="BR74" t="s">
        <v>466</v>
      </c>
      <c r="BS74" t="s">
        <v>149</v>
      </c>
      <c r="BT74" t="s">
        <v>153</v>
      </c>
      <c r="BU74" t="s">
        <v>150</v>
      </c>
      <c r="BV74" t="s">
        <v>154</v>
      </c>
      <c r="BW74" t="s">
        <v>155</v>
      </c>
      <c r="BX74">
        <v>200</v>
      </c>
      <c r="BY74">
        <v>200</v>
      </c>
      <c r="BZ74" t="s">
        <v>472</v>
      </c>
      <c r="CA74" t="s">
        <v>466</v>
      </c>
      <c r="CB74" t="s">
        <v>149</v>
      </c>
      <c r="CC74" t="s">
        <v>156</v>
      </c>
      <c r="CD74" t="s">
        <v>157</v>
      </c>
      <c r="CJ74" t="s">
        <v>472</v>
      </c>
      <c r="CK74" t="s">
        <v>471</v>
      </c>
    </row>
    <row r="75" spans="1:89" x14ac:dyDescent="0.3">
      <c r="A75" t="s">
        <v>474</v>
      </c>
      <c r="B75" t="s">
        <v>6</v>
      </c>
      <c r="C75" t="s">
        <v>145</v>
      </c>
      <c r="D75">
        <v>200</v>
      </c>
      <c r="E75" t="s">
        <v>146</v>
      </c>
      <c r="F75" t="s">
        <v>147</v>
      </c>
      <c r="H75" t="s">
        <v>475</v>
      </c>
      <c r="I75">
        <v>23</v>
      </c>
      <c r="J75">
        <v>215</v>
      </c>
      <c r="L75">
        <v>0</v>
      </c>
      <c r="M75">
        <v>0</v>
      </c>
      <c r="O75">
        <v>0</v>
      </c>
      <c r="P75">
        <v>0</v>
      </c>
      <c r="S75" t="s">
        <v>476</v>
      </c>
      <c r="T75">
        <v>3</v>
      </c>
      <c r="V75">
        <v>0</v>
      </c>
      <c r="AB75" t="s">
        <v>474</v>
      </c>
      <c r="AH75">
        <v>848306</v>
      </c>
      <c r="AI75">
        <v>92061</v>
      </c>
      <c r="AJ75">
        <v>92061</v>
      </c>
      <c r="AK75">
        <v>35.874606663000002</v>
      </c>
      <c r="AM75">
        <v>1656</v>
      </c>
      <c r="AS75">
        <v>1</v>
      </c>
      <c r="AT75">
        <v>1</v>
      </c>
      <c r="AV75">
        <v>451</v>
      </c>
      <c r="AW75">
        <v>387</v>
      </c>
      <c r="AX75">
        <v>0</v>
      </c>
      <c r="AY75">
        <v>100</v>
      </c>
      <c r="AZ75">
        <v>213</v>
      </c>
      <c r="BA75">
        <v>77</v>
      </c>
      <c r="BB75">
        <v>0</v>
      </c>
      <c r="BP75" t="s">
        <v>151</v>
      </c>
      <c r="BQ75">
        <v>1.1000000000000001</v>
      </c>
      <c r="BR75" t="s">
        <v>477</v>
      </c>
      <c r="BS75" t="s">
        <v>149</v>
      </c>
      <c r="BT75" t="s">
        <v>153</v>
      </c>
      <c r="BU75" t="s">
        <v>150</v>
      </c>
      <c r="BV75" t="s">
        <v>154</v>
      </c>
      <c r="BW75" t="s">
        <v>155</v>
      </c>
      <c r="BX75">
        <v>200</v>
      </c>
      <c r="BY75">
        <v>200</v>
      </c>
      <c r="BZ75" t="s">
        <v>474</v>
      </c>
      <c r="CA75" t="s">
        <v>477</v>
      </c>
      <c r="CB75" t="s">
        <v>149</v>
      </c>
      <c r="CC75" t="s">
        <v>156</v>
      </c>
      <c r="CD75" t="s">
        <v>157</v>
      </c>
      <c r="CJ75" t="s">
        <v>474</v>
      </c>
      <c r="CK75" t="s">
        <v>478</v>
      </c>
    </row>
    <row r="76" spans="1:89" x14ac:dyDescent="0.3">
      <c r="A76" t="s">
        <v>479</v>
      </c>
      <c r="B76" t="s">
        <v>6</v>
      </c>
      <c r="C76" t="s">
        <v>145</v>
      </c>
      <c r="D76">
        <v>200</v>
      </c>
      <c r="E76" t="s">
        <v>146</v>
      </c>
      <c r="F76" t="s">
        <v>161</v>
      </c>
      <c r="G76" t="s">
        <v>226</v>
      </c>
      <c r="H76" t="s">
        <v>475</v>
      </c>
      <c r="I76">
        <v>23</v>
      </c>
      <c r="J76">
        <v>215</v>
      </c>
      <c r="L76">
        <v>0</v>
      </c>
      <c r="M76">
        <v>0</v>
      </c>
      <c r="O76">
        <v>0</v>
      </c>
      <c r="P76">
        <v>0</v>
      </c>
      <c r="S76" t="s">
        <v>476</v>
      </c>
      <c r="T76">
        <v>3</v>
      </c>
      <c r="V76">
        <v>0</v>
      </c>
      <c r="AB76" t="s">
        <v>474</v>
      </c>
      <c r="AH76">
        <v>848355</v>
      </c>
      <c r="AI76">
        <v>92111</v>
      </c>
      <c r="AJ76">
        <v>92111</v>
      </c>
      <c r="AK76">
        <v>35.894090813000012</v>
      </c>
      <c r="AM76">
        <v>1656</v>
      </c>
      <c r="AS76">
        <v>3</v>
      </c>
      <c r="AT76">
        <v>1</v>
      </c>
      <c r="AV76">
        <v>21</v>
      </c>
      <c r="AW76">
        <v>16</v>
      </c>
      <c r="AX76">
        <v>0</v>
      </c>
      <c r="AY76">
        <v>4.13</v>
      </c>
      <c r="AZ76">
        <v>213</v>
      </c>
      <c r="BA76">
        <v>78</v>
      </c>
      <c r="BB76">
        <v>0</v>
      </c>
      <c r="BP76" t="s">
        <v>151</v>
      </c>
      <c r="BQ76">
        <v>1.1000000000000001</v>
      </c>
      <c r="BR76" t="s">
        <v>477</v>
      </c>
      <c r="BS76" t="s">
        <v>149</v>
      </c>
      <c r="BT76" t="s">
        <v>153</v>
      </c>
      <c r="BU76" t="s">
        <v>150</v>
      </c>
      <c r="BV76" t="s">
        <v>154</v>
      </c>
      <c r="BW76" t="s">
        <v>155</v>
      </c>
      <c r="BX76">
        <v>200</v>
      </c>
      <c r="BY76">
        <v>200</v>
      </c>
      <c r="BZ76" t="s">
        <v>474</v>
      </c>
      <c r="CA76" t="s">
        <v>477</v>
      </c>
      <c r="CB76" t="s">
        <v>149</v>
      </c>
      <c r="CC76" t="s">
        <v>156</v>
      </c>
      <c r="CD76" t="s">
        <v>157</v>
      </c>
      <c r="CJ76" t="s">
        <v>479</v>
      </c>
      <c r="CK76" t="s">
        <v>480</v>
      </c>
    </row>
    <row r="77" spans="1:89" x14ac:dyDescent="0.3">
      <c r="A77" t="s">
        <v>481</v>
      </c>
      <c r="B77" t="s">
        <v>6</v>
      </c>
      <c r="C77" t="s">
        <v>145</v>
      </c>
      <c r="D77">
        <v>200</v>
      </c>
      <c r="E77" t="s">
        <v>146</v>
      </c>
      <c r="F77" t="s">
        <v>147</v>
      </c>
      <c r="H77" t="s">
        <v>482</v>
      </c>
      <c r="I77">
        <v>33</v>
      </c>
      <c r="J77">
        <v>311</v>
      </c>
      <c r="L77">
        <v>0</v>
      </c>
      <c r="M77">
        <v>0</v>
      </c>
      <c r="O77">
        <v>0</v>
      </c>
      <c r="P77">
        <v>0</v>
      </c>
      <c r="S77" t="s">
        <v>476</v>
      </c>
      <c r="T77">
        <v>3</v>
      </c>
      <c r="V77">
        <v>0</v>
      </c>
      <c r="AB77" t="s">
        <v>481</v>
      </c>
      <c r="AH77">
        <v>839700</v>
      </c>
      <c r="AI77">
        <v>93153</v>
      </c>
      <c r="AJ77">
        <v>93153</v>
      </c>
      <c r="AK77">
        <v>36.300140499000001</v>
      </c>
      <c r="AM77">
        <v>1563</v>
      </c>
      <c r="AS77">
        <v>5</v>
      </c>
      <c r="AT77">
        <v>1</v>
      </c>
      <c r="AV77">
        <v>11</v>
      </c>
      <c r="AW77">
        <v>5</v>
      </c>
      <c r="AX77">
        <v>0</v>
      </c>
      <c r="AY77">
        <v>1.29</v>
      </c>
      <c r="AZ77">
        <v>217</v>
      </c>
      <c r="BA77">
        <v>81</v>
      </c>
      <c r="BB77">
        <v>0</v>
      </c>
      <c r="BP77" t="s">
        <v>151</v>
      </c>
      <c r="BQ77">
        <v>1.1000000000000001</v>
      </c>
      <c r="BR77" t="s">
        <v>477</v>
      </c>
      <c r="BS77" t="s">
        <v>149</v>
      </c>
      <c r="BT77" t="s">
        <v>153</v>
      </c>
      <c r="BU77" t="s">
        <v>150</v>
      </c>
      <c r="BV77" t="s">
        <v>154</v>
      </c>
      <c r="BW77" t="s">
        <v>155</v>
      </c>
      <c r="BX77">
        <v>200</v>
      </c>
      <c r="BY77">
        <v>200</v>
      </c>
      <c r="BZ77" t="s">
        <v>481</v>
      </c>
      <c r="CA77" t="s">
        <v>477</v>
      </c>
      <c r="CB77" t="s">
        <v>149</v>
      </c>
      <c r="CC77" t="s">
        <v>156</v>
      </c>
      <c r="CD77" t="s">
        <v>157</v>
      </c>
      <c r="CJ77" t="s">
        <v>481</v>
      </c>
      <c r="CK77" t="s">
        <v>483</v>
      </c>
    </row>
    <row r="78" spans="1:89" x14ac:dyDescent="0.3">
      <c r="A78" t="s">
        <v>484</v>
      </c>
      <c r="B78" t="s">
        <v>6</v>
      </c>
      <c r="C78" t="s">
        <v>145</v>
      </c>
      <c r="D78">
        <v>200</v>
      </c>
      <c r="E78" t="s">
        <v>146</v>
      </c>
      <c r="F78" t="s">
        <v>147</v>
      </c>
      <c r="H78" t="s">
        <v>485</v>
      </c>
      <c r="I78">
        <v>33</v>
      </c>
      <c r="J78">
        <v>311</v>
      </c>
      <c r="L78">
        <v>0</v>
      </c>
      <c r="M78">
        <v>0</v>
      </c>
      <c r="O78">
        <v>0</v>
      </c>
      <c r="P78">
        <v>0</v>
      </c>
      <c r="S78" t="s">
        <v>476</v>
      </c>
      <c r="T78">
        <v>3</v>
      </c>
      <c r="V78">
        <v>0</v>
      </c>
      <c r="AB78" t="s">
        <v>484</v>
      </c>
      <c r="AH78">
        <v>840191</v>
      </c>
      <c r="AI78">
        <v>92859</v>
      </c>
      <c r="AJ78">
        <v>92859</v>
      </c>
      <c r="AK78">
        <v>36.185573697000002</v>
      </c>
      <c r="AM78">
        <v>1563</v>
      </c>
      <c r="AS78">
        <v>5</v>
      </c>
      <c r="AT78">
        <v>1</v>
      </c>
      <c r="AV78">
        <v>11</v>
      </c>
      <c r="AW78">
        <v>5</v>
      </c>
      <c r="AX78">
        <v>0</v>
      </c>
      <c r="AY78">
        <v>1.29</v>
      </c>
      <c r="AZ78">
        <v>217</v>
      </c>
      <c r="BA78">
        <v>81</v>
      </c>
      <c r="BB78">
        <v>0</v>
      </c>
      <c r="BP78" t="s">
        <v>151</v>
      </c>
      <c r="BQ78">
        <v>1.1000000000000001</v>
      </c>
      <c r="BR78" t="s">
        <v>477</v>
      </c>
      <c r="BS78" t="s">
        <v>149</v>
      </c>
      <c r="BT78" t="s">
        <v>153</v>
      </c>
      <c r="BU78" t="s">
        <v>150</v>
      </c>
      <c r="BV78" t="s">
        <v>154</v>
      </c>
      <c r="BW78" t="s">
        <v>155</v>
      </c>
      <c r="BX78">
        <v>200</v>
      </c>
      <c r="BY78">
        <v>200</v>
      </c>
      <c r="BZ78" t="s">
        <v>484</v>
      </c>
      <c r="CA78" t="s">
        <v>477</v>
      </c>
      <c r="CB78" t="s">
        <v>149</v>
      </c>
      <c r="CC78" t="s">
        <v>156</v>
      </c>
      <c r="CD78" t="s">
        <v>157</v>
      </c>
      <c r="CJ78" t="s">
        <v>484</v>
      </c>
      <c r="CK78" t="s">
        <v>483</v>
      </c>
    </row>
    <row r="79" spans="1:89" x14ac:dyDescent="0.3">
      <c r="A79" t="s">
        <v>486</v>
      </c>
      <c r="B79" t="s">
        <v>6</v>
      </c>
      <c r="C79" t="s">
        <v>145</v>
      </c>
      <c r="D79">
        <v>200</v>
      </c>
      <c r="E79" t="s">
        <v>146</v>
      </c>
      <c r="F79" t="s">
        <v>147</v>
      </c>
      <c r="H79" t="s">
        <v>487</v>
      </c>
      <c r="I79">
        <v>33</v>
      </c>
      <c r="J79">
        <v>311</v>
      </c>
      <c r="L79">
        <v>0</v>
      </c>
      <c r="M79">
        <v>0</v>
      </c>
      <c r="O79">
        <v>0</v>
      </c>
      <c r="P79">
        <v>0</v>
      </c>
      <c r="S79" t="s">
        <v>476</v>
      </c>
      <c r="T79">
        <v>3</v>
      </c>
      <c r="V79">
        <v>0</v>
      </c>
      <c r="AB79" t="s">
        <v>486</v>
      </c>
      <c r="AH79">
        <v>838721</v>
      </c>
      <c r="AI79">
        <v>93512</v>
      </c>
      <c r="AJ79">
        <v>93512</v>
      </c>
      <c r="AK79">
        <v>36.440036696</v>
      </c>
      <c r="AM79">
        <v>1560</v>
      </c>
      <c r="AS79">
        <v>4</v>
      </c>
      <c r="AT79">
        <v>1</v>
      </c>
      <c r="AV79">
        <v>11</v>
      </c>
      <c r="AW79">
        <v>5</v>
      </c>
      <c r="AX79">
        <v>0</v>
      </c>
      <c r="AY79">
        <v>1.29</v>
      </c>
      <c r="AZ79">
        <v>217</v>
      </c>
      <c r="BA79">
        <v>81</v>
      </c>
      <c r="BB79">
        <v>0</v>
      </c>
      <c r="BP79" t="s">
        <v>151</v>
      </c>
      <c r="BQ79">
        <v>1.1000000000000001</v>
      </c>
      <c r="BR79" t="s">
        <v>477</v>
      </c>
      <c r="BS79" t="s">
        <v>149</v>
      </c>
      <c r="BT79" t="s">
        <v>153</v>
      </c>
      <c r="BU79" t="s">
        <v>150</v>
      </c>
      <c r="BV79" t="s">
        <v>154</v>
      </c>
      <c r="BW79" t="s">
        <v>155</v>
      </c>
      <c r="BX79">
        <v>200</v>
      </c>
      <c r="BY79">
        <v>200</v>
      </c>
      <c r="BZ79" t="s">
        <v>486</v>
      </c>
      <c r="CA79" t="s">
        <v>477</v>
      </c>
      <c r="CB79" t="s">
        <v>149</v>
      </c>
      <c r="CC79" t="s">
        <v>156</v>
      </c>
      <c r="CD79" t="s">
        <v>157</v>
      </c>
      <c r="CJ79" t="s">
        <v>486</v>
      </c>
      <c r="CK79" t="s">
        <v>488</v>
      </c>
    </row>
    <row r="80" spans="1:89" x14ac:dyDescent="0.3">
      <c r="A80" t="s">
        <v>489</v>
      </c>
      <c r="B80" t="s">
        <v>6</v>
      </c>
      <c r="C80" t="s">
        <v>145</v>
      </c>
      <c r="D80">
        <v>200</v>
      </c>
      <c r="E80" t="s">
        <v>146</v>
      </c>
      <c r="F80" t="s">
        <v>147</v>
      </c>
      <c r="H80" t="s">
        <v>490</v>
      </c>
      <c r="I80">
        <v>33</v>
      </c>
      <c r="J80">
        <v>311</v>
      </c>
      <c r="L80">
        <v>0</v>
      </c>
      <c r="M80">
        <v>0</v>
      </c>
      <c r="O80">
        <v>0</v>
      </c>
      <c r="P80">
        <v>0</v>
      </c>
      <c r="S80" t="s">
        <v>476</v>
      </c>
      <c r="T80">
        <v>3</v>
      </c>
      <c r="V80">
        <v>0</v>
      </c>
      <c r="AB80" t="s">
        <v>489</v>
      </c>
      <c r="AH80">
        <v>839169</v>
      </c>
      <c r="AI80">
        <v>92525</v>
      </c>
      <c r="AJ80">
        <v>92525</v>
      </c>
      <c r="AK80">
        <v>36.055419575000002</v>
      </c>
      <c r="AM80">
        <v>1570</v>
      </c>
      <c r="AS80">
        <v>4</v>
      </c>
      <c r="AT80">
        <v>1</v>
      </c>
      <c r="AV80">
        <v>11</v>
      </c>
      <c r="AW80">
        <v>5</v>
      </c>
      <c r="AX80">
        <v>0</v>
      </c>
      <c r="AY80">
        <v>1.29</v>
      </c>
      <c r="AZ80">
        <v>217</v>
      </c>
      <c r="BA80">
        <v>81</v>
      </c>
      <c r="BB80">
        <v>0</v>
      </c>
      <c r="BP80" t="s">
        <v>151</v>
      </c>
      <c r="BQ80">
        <v>1.1000000000000001</v>
      </c>
      <c r="BR80" t="s">
        <v>477</v>
      </c>
      <c r="BS80" t="s">
        <v>149</v>
      </c>
      <c r="BT80" t="s">
        <v>153</v>
      </c>
      <c r="BU80" t="s">
        <v>150</v>
      </c>
      <c r="BV80" t="s">
        <v>154</v>
      </c>
      <c r="BW80" t="s">
        <v>155</v>
      </c>
      <c r="BX80">
        <v>200</v>
      </c>
      <c r="BY80">
        <v>200</v>
      </c>
      <c r="BZ80" t="s">
        <v>489</v>
      </c>
      <c r="CA80" t="s">
        <v>477</v>
      </c>
      <c r="CB80" t="s">
        <v>149</v>
      </c>
      <c r="CC80" t="s">
        <v>156</v>
      </c>
      <c r="CD80" t="s">
        <v>157</v>
      </c>
      <c r="CJ80" t="s">
        <v>489</v>
      </c>
      <c r="CK80" t="s">
        <v>259</v>
      </c>
    </row>
    <row r="81" spans="1:89" x14ac:dyDescent="0.3">
      <c r="A81" t="s">
        <v>491</v>
      </c>
      <c r="B81" t="s">
        <v>6</v>
      </c>
      <c r="C81" t="s">
        <v>145</v>
      </c>
      <c r="D81">
        <v>200</v>
      </c>
      <c r="E81" t="s">
        <v>146</v>
      </c>
      <c r="F81" t="s">
        <v>147</v>
      </c>
      <c r="H81" t="s">
        <v>492</v>
      </c>
      <c r="I81">
        <v>33</v>
      </c>
      <c r="J81">
        <v>311</v>
      </c>
      <c r="L81">
        <v>0</v>
      </c>
      <c r="M81">
        <v>0</v>
      </c>
      <c r="O81">
        <v>0</v>
      </c>
      <c r="P81">
        <v>0</v>
      </c>
      <c r="S81" t="s">
        <v>476</v>
      </c>
      <c r="T81">
        <v>3</v>
      </c>
      <c r="V81">
        <v>0</v>
      </c>
      <c r="AB81" t="s">
        <v>491</v>
      </c>
      <c r="AH81">
        <v>841633</v>
      </c>
      <c r="AI81">
        <v>92898</v>
      </c>
      <c r="AJ81">
        <v>92898</v>
      </c>
      <c r="AK81">
        <v>36.200771334000002</v>
      </c>
      <c r="AM81">
        <v>1564</v>
      </c>
      <c r="AS81">
        <v>3</v>
      </c>
      <c r="AT81">
        <v>1</v>
      </c>
      <c r="AV81">
        <v>11</v>
      </c>
      <c r="AW81">
        <v>5</v>
      </c>
      <c r="AX81">
        <v>0</v>
      </c>
      <c r="AY81">
        <v>1.29</v>
      </c>
      <c r="AZ81">
        <v>216</v>
      </c>
      <c r="BA81">
        <v>80</v>
      </c>
      <c r="BB81">
        <v>0</v>
      </c>
      <c r="BP81" t="s">
        <v>151</v>
      </c>
      <c r="BQ81">
        <v>1.1000000000000001</v>
      </c>
      <c r="BR81" t="s">
        <v>477</v>
      </c>
      <c r="BS81" t="s">
        <v>149</v>
      </c>
      <c r="BT81" t="s">
        <v>153</v>
      </c>
      <c r="BU81" t="s">
        <v>150</v>
      </c>
      <c r="BV81" t="s">
        <v>154</v>
      </c>
      <c r="BW81" t="s">
        <v>155</v>
      </c>
      <c r="BX81">
        <v>200</v>
      </c>
      <c r="BY81">
        <v>200</v>
      </c>
      <c r="BZ81" t="s">
        <v>491</v>
      </c>
      <c r="CA81" t="s">
        <v>477</v>
      </c>
      <c r="CB81" t="s">
        <v>149</v>
      </c>
      <c r="CC81" t="s">
        <v>156</v>
      </c>
      <c r="CD81" t="s">
        <v>157</v>
      </c>
      <c r="CJ81" t="s">
        <v>491</v>
      </c>
      <c r="CK81" t="s">
        <v>493</v>
      </c>
    </row>
    <row r="82" spans="1:89" x14ac:dyDescent="0.3">
      <c r="A82" t="s">
        <v>494</v>
      </c>
      <c r="B82" t="s">
        <v>6</v>
      </c>
      <c r="C82" t="s">
        <v>145</v>
      </c>
      <c r="D82">
        <v>200</v>
      </c>
      <c r="E82" t="s">
        <v>146</v>
      </c>
      <c r="F82" t="s">
        <v>147</v>
      </c>
      <c r="H82" t="s">
        <v>495</v>
      </c>
      <c r="I82">
        <v>33</v>
      </c>
      <c r="J82">
        <v>311</v>
      </c>
      <c r="L82">
        <v>0</v>
      </c>
      <c r="M82">
        <v>0</v>
      </c>
      <c r="O82">
        <v>0</v>
      </c>
      <c r="P82">
        <v>0</v>
      </c>
      <c r="S82" t="s">
        <v>476</v>
      </c>
      <c r="T82">
        <v>3</v>
      </c>
      <c r="V82">
        <v>0</v>
      </c>
      <c r="AB82" t="s">
        <v>494</v>
      </c>
      <c r="AH82">
        <v>841359</v>
      </c>
      <c r="AI82">
        <v>93784</v>
      </c>
      <c r="AJ82">
        <v>93784</v>
      </c>
      <c r="AK82">
        <v>36.546030471999998</v>
      </c>
      <c r="AM82">
        <v>1575</v>
      </c>
      <c r="AS82">
        <v>3</v>
      </c>
      <c r="AT82">
        <v>1</v>
      </c>
      <c r="AV82">
        <v>10</v>
      </c>
      <c r="AW82">
        <v>4</v>
      </c>
      <c r="AX82">
        <v>0</v>
      </c>
      <c r="AY82">
        <v>1.03</v>
      </c>
      <c r="AZ82">
        <v>215</v>
      </c>
      <c r="BA82">
        <v>79</v>
      </c>
      <c r="BB82">
        <v>0</v>
      </c>
      <c r="BP82" t="s">
        <v>151</v>
      </c>
      <c r="BQ82">
        <v>1.1000000000000001</v>
      </c>
      <c r="BR82" t="s">
        <v>477</v>
      </c>
      <c r="BS82" t="s">
        <v>149</v>
      </c>
      <c r="BT82" t="s">
        <v>153</v>
      </c>
      <c r="BU82" t="s">
        <v>150</v>
      </c>
      <c r="BV82" t="s">
        <v>154</v>
      </c>
      <c r="BW82" t="s">
        <v>155</v>
      </c>
      <c r="BX82">
        <v>200</v>
      </c>
      <c r="BY82">
        <v>200</v>
      </c>
      <c r="BZ82" t="s">
        <v>494</v>
      </c>
      <c r="CA82" t="s">
        <v>477</v>
      </c>
      <c r="CB82" t="s">
        <v>149</v>
      </c>
      <c r="CC82" t="s">
        <v>156</v>
      </c>
      <c r="CD82" t="s">
        <v>157</v>
      </c>
      <c r="CJ82" t="s">
        <v>494</v>
      </c>
      <c r="CK82" t="s">
        <v>496</v>
      </c>
    </row>
    <row r="83" spans="1:89" x14ac:dyDescent="0.3">
      <c r="A83" t="s">
        <v>497</v>
      </c>
      <c r="B83" t="s">
        <v>6</v>
      </c>
      <c r="C83" t="s">
        <v>145</v>
      </c>
      <c r="D83">
        <v>200</v>
      </c>
      <c r="E83" t="s">
        <v>146</v>
      </c>
      <c r="F83" t="s">
        <v>147</v>
      </c>
      <c r="H83" t="s">
        <v>498</v>
      </c>
      <c r="I83">
        <v>33</v>
      </c>
      <c r="J83">
        <v>311</v>
      </c>
      <c r="L83">
        <v>0</v>
      </c>
      <c r="M83">
        <v>0</v>
      </c>
      <c r="O83">
        <v>0</v>
      </c>
      <c r="P83">
        <v>0</v>
      </c>
      <c r="S83" t="s">
        <v>476</v>
      </c>
      <c r="T83">
        <v>3</v>
      </c>
      <c r="V83">
        <v>0</v>
      </c>
      <c r="AB83" t="s">
        <v>497</v>
      </c>
      <c r="AH83">
        <v>757383</v>
      </c>
      <c r="AI83">
        <v>88178</v>
      </c>
      <c r="AJ83">
        <v>88178</v>
      </c>
      <c r="AK83">
        <v>34.361467574000002</v>
      </c>
      <c r="AM83">
        <v>1484</v>
      </c>
      <c r="AS83">
        <v>2</v>
      </c>
      <c r="AT83">
        <v>1</v>
      </c>
      <c r="AV83">
        <v>22</v>
      </c>
      <c r="AW83">
        <v>17</v>
      </c>
      <c r="AX83">
        <v>0</v>
      </c>
      <c r="AY83">
        <v>4.3899999999999997</v>
      </c>
      <c r="AZ83">
        <v>191</v>
      </c>
      <c r="BA83">
        <v>67</v>
      </c>
      <c r="BB83">
        <v>0</v>
      </c>
      <c r="BP83" t="s">
        <v>151</v>
      </c>
      <c r="BQ83">
        <v>1.1000000000000001</v>
      </c>
      <c r="BR83" t="s">
        <v>477</v>
      </c>
      <c r="BS83" t="s">
        <v>149</v>
      </c>
      <c r="BT83" t="s">
        <v>153</v>
      </c>
      <c r="BU83" t="s">
        <v>150</v>
      </c>
      <c r="BV83" t="s">
        <v>154</v>
      </c>
      <c r="BW83" t="s">
        <v>155</v>
      </c>
      <c r="BX83">
        <v>200</v>
      </c>
      <c r="BY83">
        <v>200</v>
      </c>
      <c r="BZ83" t="s">
        <v>497</v>
      </c>
      <c r="CA83" t="s">
        <v>477</v>
      </c>
      <c r="CB83" t="s">
        <v>149</v>
      </c>
      <c r="CC83" t="s">
        <v>156</v>
      </c>
      <c r="CD83" t="s">
        <v>157</v>
      </c>
      <c r="CJ83" t="s">
        <v>497</v>
      </c>
      <c r="CK83" t="s">
        <v>499</v>
      </c>
    </row>
    <row r="84" spans="1:89" x14ac:dyDescent="0.3">
      <c r="A84" t="s">
        <v>500</v>
      </c>
      <c r="B84" t="s">
        <v>6</v>
      </c>
      <c r="C84" t="s">
        <v>145</v>
      </c>
      <c r="D84">
        <v>200</v>
      </c>
      <c r="E84" t="s">
        <v>146</v>
      </c>
      <c r="F84" t="s">
        <v>147</v>
      </c>
      <c r="H84" t="s">
        <v>501</v>
      </c>
      <c r="I84">
        <v>32</v>
      </c>
      <c r="J84">
        <v>300</v>
      </c>
      <c r="L84">
        <v>0</v>
      </c>
      <c r="M84">
        <v>0</v>
      </c>
      <c r="O84">
        <v>0</v>
      </c>
      <c r="P84">
        <v>0</v>
      </c>
      <c r="S84" t="s">
        <v>476</v>
      </c>
      <c r="T84">
        <v>3</v>
      </c>
      <c r="V84">
        <v>0</v>
      </c>
      <c r="AB84" t="s">
        <v>500</v>
      </c>
      <c r="AH84">
        <v>847856</v>
      </c>
      <c r="AI84">
        <v>92895</v>
      </c>
      <c r="AJ84">
        <v>92895</v>
      </c>
      <c r="AK84">
        <v>36.199602284999997</v>
      </c>
      <c r="AM84">
        <v>1639</v>
      </c>
      <c r="AS84">
        <v>2</v>
      </c>
      <c r="AT84">
        <v>1</v>
      </c>
      <c r="AV84">
        <v>12</v>
      </c>
      <c r="AW84">
        <v>5</v>
      </c>
      <c r="AX84">
        <v>0</v>
      </c>
      <c r="AY84">
        <v>1.29</v>
      </c>
      <c r="AZ84">
        <v>215</v>
      </c>
      <c r="BA84">
        <v>79</v>
      </c>
      <c r="BB84">
        <v>0</v>
      </c>
      <c r="BP84" t="s">
        <v>151</v>
      </c>
      <c r="BQ84">
        <v>1.1000000000000001</v>
      </c>
      <c r="BR84" t="s">
        <v>477</v>
      </c>
      <c r="BS84" t="s">
        <v>149</v>
      </c>
      <c r="BT84" t="s">
        <v>153</v>
      </c>
      <c r="BU84" t="s">
        <v>150</v>
      </c>
      <c r="BV84" t="s">
        <v>154</v>
      </c>
      <c r="BW84" t="s">
        <v>155</v>
      </c>
      <c r="BX84">
        <v>200</v>
      </c>
      <c r="BY84">
        <v>200</v>
      </c>
      <c r="BZ84" t="s">
        <v>500</v>
      </c>
      <c r="CA84" t="s">
        <v>477</v>
      </c>
      <c r="CB84" t="s">
        <v>149</v>
      </c>
      <c r="CC84" t="s">
        <v>156</v>
      </c>
      <c r="CD84" t="s">
        <v>157</v>
      </c>
      <c r="CJ84" t="s">
        <v>500</v>
      </c>
      <c r="CK84" t="s">
        <v>502</v>
      </c>
    </row>
    <row r="85" spans="1:89" x14ac:dyDescent="0.3">
      <c r="A85" t="s">
        <v>503</v>
      </c>
      <c r="B85" t="s">
        <v>6</v>
      </c>
      <c r="C85" t="s">
        <v>145</v>
      </c>
      <c r="D85">
        <v>200</v>
      </c>
      <c r="E85" t="s">
        <v>146</v>
      </c>
      <c r="F85" t="s">
        <v>147</v>
      </c>
      <c r="H85" t="s">
        <v>504</v>
      </c>
      <c r="I85">
        <v>32</v>
      </c>
      <c r="J85">
        <v>300</v>
      </c>
      <c r="L85">
        <v>0</v>
      </c>
      <c r="M85">
        <v>0</v>
      </c>
      <c r="O85">
        <v>0</v>
      </c>
      <c r="P85">
        <v>0</v>
      </c>
      <c r="S85" t="s">
        <v>476</v>
      </c>
      <c r="T85">
        <v>3</v>
      </c>
      <c r="V85">
        <v>0</v>
      </c>
      <c r="AB85" t="s">
        <v>503</v>
      </c>
      <c r="AH85">
        <v>840238</v>
      </c>
      <c r="AI85">
        <v>93607</v>
      </c>
      <c r="AJ85">
        <v>93607</v>
      </c>
      <c r="AK85">
        <v>36.477056580999999</v>
      </c>
      <c r="AM85">
        <v>1561</v>
      </c>
      <c r="AS85">
        <v>2</v>
      </c>
      <c r="AT85">
        <v>1</v>
      </c>
      <c r="AV85">
        <v>12</v>
      </c>
      <c r="AW85">
        <v>6</v>
      </c>
      <c r="AX85">
        <v>0</v>
      </c>
      <c r="AY85">
        <v>1.55</v>
      </c>
      <c r="AZ85">
        <v>216</v>
      </c>
      <c r="BA85">
        <v>80</v>
      </c>
      <c r="BB85">
        <v>0</v>
      </c>
      <c r="BP85" t="s">
        <v>151</v>
      </c>
      <c r="BQ85">
        <v>1.1000000000000001</v>
      </c>
      <c r="BR85" t="s">
        <v>477</v>
      </c>
      <c r="BS85" t="s">
        <v>149</v>
      </c>
      <c r="BT85" t="s">
        <v>153</v>
      </c>
      <c r="BU85" t="s">
        <v>150</v>
      </c>
      <c r="BV85" t="s">
        <v>154</v>
      </c>
      <c r="BW85" t="s">
        <v>155</v>
      </c>
      <c r="BX85">
        <v>200</v>
      </c>
      <c r="BY85">
        <v>200</v>
      </c>
      <c r="BZ85" t="s">
        <v>503</v>
      </c>
      <c r="CA85" t="s">
        <v>477</v>
      </c>
      <c r="CB85" t="s">
        <v>149</v>
      </c>
      <c r="CC85" t="s">
        <v>156</v>
      </c>
      <c r="CD85" t="s">
        <v>157</v>
      </c>
      <c r="CJ85" t="s">
        <v>503</v>
      </c>
      <c r="CK85" t="s">
        <v>499</v>
      </c>
    </row>
    <row r="86" spans="1:89" x14ac:dyDescent="0.3">
      <c r="A86" t="s">
        <v>505</v>
      </c>
      <c r="B86" t="s">
        <v>6</v>
      </c>
      <c r="C86" t="s">
        <v>145</v>
      </c>
      <c r="D86">
        <v>200</v>
      </c>
      <c r="E86" t="s">
        <v>146</v>
      </c>
      <c r="F86" t="s">
        <v>147</v>
      </c>
      <c r="H86" t="s">
        <v>506</v>
      </c>
      <c r="I86">
        <v>32</v>
      </c>
      <c r="J86">
        <v>300</v>
      </c>
      <c r="L86">
        <v>0</v>
      </c>
      <c r="M86">
        <v>0</v>
      </c>
      <c r="O86">
        <v>0</v>
      </c>
      <c r="P86">
        <v>0</v>
      </c>
      <c r="S86" t="s">
        <v>476</v>
      </c>
      <c r="T86">
        <v>3</v>
      </c>
      <c r="V86">
        <v>0</v>
      </c>
      <c r="AB86" t="s">
        <v>505</v>
      </c>
      <c r="AH86">
        <v>838353</v>
      </c>
      <c r="AI86">
        <v>93081</v>
      </c>
      <c r="AJ86">
        <v>93081</v>
      </c>
      <c r="AK86">
        <v>36.272083322999997</v>
      </c>
      <c r="AM86">
        <v>1562</v>
      </c>
      <c r="AS86">
        <v>3</v>
      </c>
      <c r="AT86">
        <v>1</v>
      </c>
      <c r="AV86">
        <v>11</v>
      </c>
      <c r="AW86">
        <v>5</v>
      </c>
      <c r="AX86">
        <v>0</v>
      </c>
      <c r="AY86">
        <v>1.29</v>
      </c>
      <c r="AZ86">
        <v>217</v>
      </c>
      <c r="BA86">
        <v>81</v>
      </c>
      <c r="BB86">
        <v>0</v>
      </c>
      <c r="BP86" t="s">
        <v>151</v>
      </c>
      <c r="BQ86">
        <v>1.1000000000000001</v>
      </c>
      <c r="BR86" t="s">
        <v>477</v>
      </c>
      <c r="BS86" t="s">
        <v>149</v>
      </c>
      <c r="BT86" t="s">
        <v>153</v>
      </c>
      <c r="BU86" t="s">
        <v>150</v>
      </c>
      <c r="BV86" t="s">
        <v>154</v>
      </c>
      <c r="BW86" t="s">
        <v>155</v>
      </c>
      <c r="BX86">
        <v>200</v>
      </c>
      <c r="BY86">
        <v>200</v>
      </c>
      <c r="BZ86" t="s">
        <v>505</v>
      </c>
      <c r="CA86" t="s">
        <v>477</v>
      </c>
      <c r="CB86" t="s">
        <v>149</v>
      </c>
      <c r="CC86" t="s">
        <v>156</v>
      </c>
      <c r="CD86" t="s">
        <v>157</v>
      </c>
      <c r="CJ86" t="s">
        <v>505</v>
      </c>
      <c r="CK86" t="s">
        <v>496</v>
      </c>
    </row>
    <row r="87" spans="1:89" x14ac:dyDescent="0.3">
      <c r="A87" t="s">
        <v>507</v>
      </c>
      <c r="B87" t="s">
        <v>6</v>
      </c>
      <c r="C87" t="s">
        <v>145</v>
      </c>
      <c r="D87">
        <v>200</v>
      </c>
      <c r="E87" t="s">
        <v>146</v>
      </c>
      <c r="F87" t="s">
        <v>147</v>
      </c>
      <c r="H87" t="s">
        <v>508</v>
      </c>
      <c r="I87">
        <v>32</v>
      </c>
      <c r="J87">
        <v>300</v>
      </c>
      <c r="L87">
        <v>0</v>
      </c>
      <c r="M87">
        <v>0</v>
      </c>
      <c r="O87">
        <v>0</v>
      </c>
      <c r="P87">
        <v>0</v>
      </c>
      <c r="S87" t="s">
        <v>476</v>
      </c>
      <c r="T87">
        <v>3</v>
      </c>
      <c r="V87">
        <v>0</v>
      </c>
      <c r="AB87" t="s">
        <v>507</v>
      </c>
      <c r="AH87">
        <v>838187</v>
      </c>
      <c r="AI87">
        <v>92858</v>
      </c>
      <c r="AJ87">
        <v>92858</v>
      </c>
      <c r="AK87">
        <v>36.185184014000001</v>
      </c>
      <c r="AM87">
        <v>1564</v>
      </c>
      <c r="AS87">
        <v>3</v>
      </c>
      <c r="AT87">
        <v>1</v>
      </c>
      <c r="AV87">
        <v>11</v>
      </c>
      <c r="AW87">
        <v>5</v>
      </c>
      <c r="AX87">
        <v>0</v>
      </c>
      <c r="AY87">
        <v>1.29</v>
      </c>
      <c r="AZ87">
        <v>217</v>
      </c>
      <c r="BA87">
        <v>81</v>
      </c>
      <c r="BB87">
        <v>0</v>
      </c>
      <c r="BP87" t="s">
        <v>151</v>
      </c>
      <c r="BQ87">
        <v>1.1000000000000001</v>
      </c>
      <c r="BR87" t="s">
        <v>477</v>
      </c>
      <c r="BS87" t="s">
        <v>149</v>
      </c>
      <c r="BT87" t="s">
        <v>153</v>
      </c>
      <c r="BU87" t="s">
        <v>150</v>
      </c>
      <c r="BV87" t="s">
        <v>154</v>
      </c>
      <c r="BW87" t="s">
        <v>155</v>
      </c>
      <c r="BX87">
        <v>200</v>
      </c>
      <c r="BY87">
        <v>200</v>
      </c>
      <c r="BZ87" t="s">
        <v>507</v>
      </c>
      <c r="CA87" t="s">
        <v>477</v>
      </c>
      <c r="CB87" t="s">
        <v>149</v>
      </c>
      <c r="CC87" t="s">
        <v>156</v>
      </c>
      <c r="CD87" t="s">
        <v>157</v>
      </c>
      <c r="CJ87" t="s">
        <v>507</v>
      </c>
      <c r="CK87" t="s">
        <v>509</v>
      </c>
    </row>
    <row r="88" spans="1:89" x14ac:dyDescent="0.3">
      <c r="A88" t="s">
        <v>510</v>
      </c>
      <c r="B88" t="s">
        <v>6</v>
      </c>
      <c r="C88" t="s">
        <v>145</v>
      </c>
      <c r="D88">
        <v>200</v>
      </c>
      <c r="E88" t="s">
        <v>146</v>
      </c>
      <c r="F88" t="s">
        <v>147</v>
      </c>
      <c r="H88" t="s">
        <v>511</v>
      </c>
      <c r="I88">
        <v>32</v>
      </c>
      <c r="J88">
        <v>300</v>
      </c>
      <c r="L88">
        <v>0</v>
      </c>
      <c r="M88">
        <v>0</v>
      </c>
      <c r="O88">
        <v>0</v>
      </c>
      <c r="P88">
        <v>0</v>
      </c>
      <c r="S88" t="s">
        <v>476</v>
      </c>
      <c r="T88">
        <v>3</v>
      </c>
      <c r="V88">
        <v>0</v>
      </c>
      <c r="AB88" t="s">
        <v>510</v>
      </c>
      <c r="AH88">
        <v>837096</v>
      </c>
      <c r="AI88">
        <v>92773</v>
      </c>
      <c r="AJ88">
        <v>92773</v>
      </c>
      <c r="AK88">
        <v>36.152060959000003</v>
      </c>
      <c r="AM88">
        <v>1564</v>
      </c>
      <c r="AS88">
        <v>4</v>
      </c>
      <c r="AT88">
        <v>1</v>
      </c>
      <c r="AV88">
        <v>11</v>
      </c>
      <c r="AW88">
        <v>5</v>
      </c>
      <c r="AX88">
        <v>0</v>
      </c>
      <c r="AY88">
        <v>1.29</v>
      </c>
      <c r="AZ88">
        <v>217</v>
      </c>
      <c r="BA88">
        <v>81</v>
      </c>
      <c r="BB88">
        <v>0</v>
      </c>
      <c r="BP88" t="s">
        <v>151</v>
      </c>
      <c r="BQ88">
        <v>1.1000000000000001</v>
      </c>
      <c r="BR88" t="s">
        <v>477</v>
      </c>
      <c r="BS88" t="s">
        <v>149</v>
      </c>
      <c r="BT88" t="s">
        <v>153</v>
      </c>
      <c r="BU88" t="s">
        <v>150</v>
      </c>
      <c r="BV88" t="s">
        <v>154</v>
      </c>
      <c r="BW88" t="s">
        <v>155</v>
      </c>
      <c r="BX88">
        <v>200</v>
      </c>
      <c r="BY88">
        <v>200</v>
      </c>
      <c r="BZ88" t="s">
        <v>510</v>
      </c>
      <c r="CA88" t="s">
        <v>477</v>
      </c>
      <c r="CB88" t="s">
        <v>149</v>
      </c>
      <c r="CC88" t="s">
        <v>156</v>
      </c>
      <c r="CD88" t="s">
        <v>157</v>
      </c>
      <c r="CJ88" t="s">
        <v>510</v>
      </c>
      <c r="CK88" t="s">
        <v>512</v>
      </c>
    </row>
    <row r="89" spans="1:89" x14ac:dyDescent="0.3">
      <c r="A89" t="s">
        <v>513</v>
      </c>
      <c r="B89" t="s">
        <v>6</v>
      </c>
      <c r="C89" t="s">
        <v>145</v>
      </c>
      <c r="D89">
        <v>200</v>
      </c>
      <c r="E89" t="s">
        <v>146</v>
      </c>
      <c r="F89" t="s">
        <v>147</v>
      </c>
      <c r="H89" t="s">
        <v>514</v>
      </c>
      <c r="I89">
        <v>32</v>
      </c>
      <c r="J89">
        <v>300</v>
      </c>
      <c r="L89">
        <v>0</v>
      </c>
      <c r="M89">
        <v>0</v>
      </c>
      <c r="O89">
        <v>0</v>
      </c>
      <c r="P89">
        <v>0</v>
      </c>
      <c r="S89" t="s">
        <v>476</v>
      </c>
      <c r="T89">
        <v>3</v>
      </c>
      <c r="V89">
        <v>0</v>
      </c>
      <c r="AB89" t="s">
        <v>513</v>
      </c>
      <c r="AH89">
        <v>838372</v>
      </c>
      <c r="AI89">
        <v>92075</v>
      </c>
      <c r="AJ89">
        <v>92075</v>
      </c>
      <c r="AK89">
        <v>35.880062225000003</v>
      </c>
      <c r="AM89">
        <v>1559</v>
      </c>
      <c r="AS89">
        <v>4</v>
      </c>
      <c r="AT89">
        <v>1</v>
      </c>
      <c r="AV89">
        <v>11</v>
      </c>
      <c r="AW89">
        <v>5</v>
      </c>
      <c r="AX89">
        <v>0</v>
      </c>
      <c r="AY89">
        <v>1.29</v>
      </c>
      <c r="AZ89">
        <v>217</v>
      </c>
      <c r="BA89">
        <v>81</v>
      </c>
      <c r="BB89">
        <v>0</v>
      </c>
      <c r="BP89" t="s">
        <v>151</v>
      </c>
      <c r="BQ89">
        <v>1.1000000000000001</v>
      </c>
      <c r="BR89" t="s">
        <v>477</v>
      </c>
      <c r="BS89" t="s">
        <v>149</v>
      </c>
      <c r="BT89" t="s">
        <v>153</v>
      </c>
      <c r="BU89" t="s">
        <v>150</v>
      </c>
      <c r="BV89" t="s">
        <v>154</v>
      </c>
      <c r="BW89" t="s">
        <v>155</v>
      </c>
      <c r="BX89">
        <v>200</v>
      </c>
      <c r="BY89">
        <v>200</v>
      </c>
      <c r="BZ89" t="s">
        <v>513</v>
      </c>
      <c r="CA89" t="s">
        <v>477</v>
      </c>
      <c r="CB89" t="s">
        <v>149</v>
      </c>
      <c r="CC89" t="s">
        <v>156</v>
      </c>
      <c r="CD89" t="s">
        <v>157</v>
      </c>
      <c r="CJ89" t="s">
        <v>513</v>
      </c>
      <c r="CK89" t="s">
        <v>515</v>
      </c>
    </row>
    <row r="90" spans="1:89" x14ac:dyDescent="0.3">
      <c r="A90" t="s">
        <v>516</v>
      </c>
      <c r="B90" t="s">
        <v>6</v>
      </c>
      <c r="C90" t="s">
        <v>145</v>
      </c>
      <c r="D90">
        <v>200</v>
      </c>
      <c r="E90" t="s">
        <v>146</v>
      </c>
      <c r="F90" t="s">
        <v>147</v>
      </c>
      <c r="H90" t="s">
        <v>517</v>
      </c>
      <c r="I90">
        <v>32</v>
      </c>
      <c r="J90">
        <v>300</v>
      </c>
      <c r="L90">
        <v>0</v>
      </c>
      <c r="M90">
        <v>0</v>
      </c>
      <c r="O90">
        <v>0</v>
      </c>
      <c r="P90">
        <v>0</v>
      </c>
      <c r="S90" t="s">
        <v>476</v>
      </c>
      <c r="T90">
        <v>3</v>
      </c>
      <c r="V90">
        <v>0</v>
      </c>
      <c r="AB90" t="s">
        <v>516</v>
      </c>
      <c r="AH90">
        <v>838830</v>
      </c>
      <c r="AI90">
        <v>92641</v>
      </c>
      <c r="AJ90">
        <v>92641</v>
      </c>
      <c r="AK90">
        <v>36.100622803</v>
      </c>
      <c r="AM90">
        <v>1567</v>
      </c>
      <c r="AS90">
        <v>5</v>
      </c>
      <c r="AT90">
        <v>1</v>
      </c>
      <c r="AV90">
        <v>11</v>
      </c>
      <c r="AW90">
        <v>5</v>
      </c>
      <c r="AX90">
        <v>0</v>
      </c>
      <c r="AY90">
        <v>1.29</v>
      </c>
      <c r="AZ90">
        <v>217</v>
      </c>
      <c r="BA90">
        <v>81</v>
      </c>
      <c r="BB90">
        <v>0</v>
      </c>
      <c r="BP90" t="s">
        <v>151</v>
      </c>
      <c r="BQ90">
        <v>1.1000000000000001</v>
      </c>
      <c r="BR90" t="s">
        <v>477</v>
      </c>
      <c r="BS90" t="s">
        <v>149</v>
      </c>
      <c r="BT90" t="s">
        <v>153</v>
      </c>
      <c r="BU90" t="s">
        <v>150</v>
      </c>
      <c r="BV90" t="s">
        <v>154</v>
      </c>
      <c r="BW90" t="s">
        <v>155</v>
      </c>
      <c r="BX90">
        <v>200</v>
      </c>
      <c r="BY90">
        <v>200</v>
      </c>
      <c r="BZ90" t="s">
        <v>516</v>
      </c>
      <c r="CA90" t="s">
        <v>477</v>
      </c>
      <c r="CB90" t="s">
        <v>149</v>
      </c>
      <c r="CC90" t="s">
        <v>156</v>
      </c>
      <c r="CD90" t="s">
        <v>157</v>
      </c>
      <c r="CJ90" t="s">
        <v>516</v>
      </c>
      <c r="CK90" t="s">
        <v>518</v>
      </c>
    </row>
    <row r="91" spans="1:89" x14ac:dyDescent="0.3">
      <c r="A91" t="s">
        <v>519</v>
      </c>
      <c r="B91" t="s">
        <v>6</v>
      </c>
      <c r="C91" t="s">
        <v>145</v>
      </c>
      <c r="D91">
        <v>200</v>
      </c>
      <c r="E91" t="s">
        <v>146</v>
      </c>
      <c r="F91" t="s">
        <v>147</v>
      </c>
      <c r="H91" t="s">
        <v>520</v>
      </c>
      <c r="I91">
        <v>32</v>
      </c>
      <c r="J91">
        <v>300</v>
      </c>
      <c r="L91">
        <v>0</v>
      </c>
      <c r="M91">
        <v>0</v>
      </c>
      <c r="O91">
        <v>0</v>
      </c>
      <c r="P91">
        <v>0</v>
      </c>
      <c r="S91" t="s">
        <v>476</v>
      </c>
      <c r="T91">
        <v>3</v>
      </c>
      <c r="V91">
        <v>0</v>
      </c>
      <c r="AB91" t="s">
        <v>519</v>
      </c>
      <c r="AH91">
        <v>839038</v>
      </c>
      <c r="AI91">
        <v>93439</v>
      </c>
      <c r="AJ91">
        <v>93439</v>
      </c>
      <c r="AK91">
        <v>36.411589837000001</v>
      </c>
      <c r="AM91">
        <v>1560</v>
      </c>
      <c r="AS91">
        <v>5</v>
      </c>
      <c r="AT91">
        <v>1</v>
      </c>
      <c r="AV91">
        <v>11</v>
      </c>
      <c r="AW91">
        <v>5</v>
      </c>
      <c r="AX91">
        <v>0</v>
      </c>
      <c r="AY91">
        <v>1.29</v>
      </c>
      <c r="AZ91">
        <v>217</v>
      </c>
      <c r="BA91">
        <v>81</v>
      </c>
      <c r="BB91">
        <v>0</v>
      </c>
      <c r="BP91" t="s">
        <v>151</v>
      </c>
      <c r="BQ91">
        <v>1.1000000000000001</v>
      </c>
      <c r="BR91" t="s">
        <v>477</v>
      </c>
      <c r="BS91" t="s">
        <v>149</v>
      </c>
      <c r="BT91" t="s">
        <v>153</v>
      </c>
      <c r="BU91" t="s">
        <v>150</v>
      </c>
      <c r="BV91" t="s">
        <v>154</v>
      </c>
      <c r="BW91" t="s">
        <v>155</v>
      </c>
      <c r="BX91">
        <v>200</v>
      </c>
      <c r="BY91">
        <v>200</v>
      </c>
      <c r="BZ91" t="s">
        <v>519</v>
      </c>
      <c r="CA91" t="s">
        <v>477</v>
      </c>
      <c r="CB91" t="s">
        <v>149</v>
      </c>
      <c r="CC91" t="s">
        <v>156</v>
      </c>
      <c r="CD91" t="s">
        <v>157</v>
      </c>
      <c r="CJ91" t="s">
        <v>519</v>
      </c>
      <c r="CK91" t="s">
        <v>521</v>
      </c>
    </row>
    <row r="92" spans="1:89" x14ac:dyDescent="0.3">
      <c r="A92" t="s">
        <v>522</v>
      </c>
      <c r="B92" t="s">
        <v>6</v>
      </c>
      <c r="C92" t="s">
        <v>145</v>
      </c>
      <c r="D92">
        <v>200</v>
      </c>
      <c r="E92" t="s">
        <v>146</v>
      </c>
      <c r="F92" t="s">
        <v>147</v>
      </c>
      <c r="H92" t="s">
        <v>523</v>
      </c>
      <c r="I92">
        <v>25</v>
      </c>
      <c r="J92">
        <v>268</v>
      </c>
      <c r="L92">
        <v>0</v>
      </c>
      <c r="M92">
        <v>0</v>
      </c>
      <c r="O92">
        <v>0</v>
      </c>
      <c r="P92">
        <v>0</v>
      </c>
      <c r="S92" t="s">
        <v>524</v>
      </c>
      <c r="T92">
        <v>5</v>
      </c>
      <c r="V92">
        <v>0</v>
      </c>
      <c r="AB92" t="s">
        <v>522</v>
      </c>
      <c r="AH92">
        <v>478501</v>
      </c>
      <c r="AI92">
        <v>81439</v>
      </c>
      <c r="AJ92">
        <v>81439</v>
      </c>
      <c r="AK92">
        <v>31.735393837</v>
      </c>
      <c r="AM92">
        <v>472</v>
      </c>
      <c r="AS92">
        <v>1</v>
      </c>
      <c r="AT92">
        <v>1</v>
      </c>
      <c r="AV92">
        <v>1028</v>
      </c>
      <c r="AW92">
        <v>387</v>
      </c>
      <c r="AX92">
        <v>0</v>
      </c>
      <c r="AY92">
        <v>100</v>
      </c>
      <c r="AZ92">
        <v>200</v>
      </c>
      <c r="BA92">
        <v>69</v>
      </c>
      <c r="BB92">
        <v>0</v>
      </c>
      <c r="BP92" t="s">
        <v>151</v>
      </c>
      <c r="BQ92">
        <v>1.1000000000000001</v>
      </c>
      <c r="BR92" t="s">
        <v>525</v>
      </c>
      <c r="BS92" t="s">
        <v>149</v>
      </c>
      <c r="BT92" t="s">
        <v>153</v>
      </c>
      <c r="BU92" t="s">
        <v>150</v>
      </c>
      <c r="BV92" t="s">
        <v>154</v>
      </c>
      <c r="BW92" t="s">
        <v>155</v>
      </c>
      <c r="BX92">
        <v>200</v>
      </c>
      <c r="BY92">
        <v>200</v>
      </c>
      <c r="BZ92" t="s">
        <v>522</v>
      </c>
      <c r="CA92" t="s">
        <v>525</v>
      </c>
      <c r="CB92" t="s">
        <v>149</v>
      </c>
      <c r="CC92" t="s">
        <v>156</v>
      </c>
      <c r="CD92" t="s">
        <v>157</v>
      </c>
      <c r="CJ92" t="s">
        <v>522</v>
      </c>
      <c r="CK92" t="s">
        <v>526</v>
      </c>
    </row>
    <row r="93" spans="1:89" x14ac:dyDescent="0.3">
      <c r="A93" t="s">
        <v>527</v>
      </c>
      <c r="B93" t="s">
        <v>6</v>
      </c>
      <c r="C93" t="s">
        <v>145</v>
      </c>
      <c r="D93">
        <v>200</v>
      </c>
      <c r="E93" t="s">
        <v>146</v>
      </c>
      <c r="F93" t="s">
        <v>147</v>
      </c>
      <c r="H93" t="s">
        <v>528</v>
      </c>
      <c r="I93">
        <v>24</v>
      </c>
      <c r="J93">
        <v>259</v>
      </c>
      <c r="L93">
        <v>0</v>
      </c>
      <c r="M93">
        <v>0</v>
      </c>
      <c r="O93">
        <v>0</v>
      </c>
      <c r="P93">
        <v>0</v>
      </c>
      <c r="S93" t="s">
        <v>529</v>
      </c>
      <c r="T93">
        <v>4</v>
      </c>
      <c r="V93">
        <v>0</v>
      </c>
      <c r="AB93" t="s">
        <v>527</v>
      </c>
      <c r="AH93">
        <v>587245</v>
      </c>
      <c r="AI93">
        <v>86816</v>
      </c>
      <c r="AJ93">
        <v>86816</v>
      </c>
      <c r="AK93">
        <v>33.830719328000001</v>
      </c>
      <c r="AM93">
        <v>765</v>
      </c>
      <c r="AS93">
        <v>1</v>
      </c>
      <c r="AT93">
        <v>1</v>
      </c>
      <c r="AV93">
        <v>1032</v>
      </c>
      <c r="AW93">
        <v>387</v>
      </c>
      <c r="AX93">
        <v>0</v>
      </c>
      <c r="AY93">
        <v>100</v>
      </c>
      <c r="AZ93">
        <v>211</v>
      </c>
      <c r="BA93">
        <v>75</v>
      </c>
      <c r="BB93">
        <v>0</v>
      </c>
      <c r="BP93" t="s">
        <v>151</v>
      </c>
      <c r="BQ93">
        <v>1.1000000000000001</v>
      </c>
      <c r="BR93" t="s">
        <v>530</v>
      </c>
      <c r="BS93" t="s">
        <v>149</v>
      </c>
      <c r="BT93" t="s">
        <v>153</v>
      </c>
      <c r="BU93" t="s">
        <v>150</v>
      </c>
      <c r="BV93" t="s">
        <v>154</v>
      </c>
      <c r="BW93" t="s">
        <v>155</v>
      </c>
      <c r="BX93">
        <v>200</v>
      </c>
      <c r="BY93">
        <v>200</v>
      </c>
      <c r="BZ93" t="s">
        <v>527</v>
      </c>
      <c r="CA93" t="s">
        <v>530</v>
      </c>
      <c r="CB93" t="s">
        <v>149</v>
      </c>
      <c r="CC93" t="s">
        <v>156</v>
      </c>
      <c r="CD93" t="s">
        <v>157</v>
      </c>
      <c r="CJ93" t="s">
        <v>527</v>
      </c>
      <c r="CK93" t="s">
        <v>531</v>
      </c>
    </row>
    <row r="94" spans="1:89" x14ac:dyDescent="0.3">
      <c r="A94" t="s">
        <v>532</v>
      </c>
      <c r="B94" t="s">
        <v>6</v>
      </c>
      <c r="C94" t="s">
        <v>145</v>
      </c>
      <c r="D94">
        <v>200</v>
      </c>
      <c r="E94" t="s">
        <v>146</v>
      </c>
      <c r="F94" t="s">
        <v>161</v>
      </c>
      <c r="G94" t="s">
        <v>226</v>
      </c>
      <c r="H94" t="s">
        <v>528</v>
      </c>
      <c r="I94">
        <v>24</v>
      </c>
      <c r="J94">
        <v>259</v>
      </c>
      <c r="L94">
        <v>0</v>
      </c>
      <c r="M94">
        <v>0</v>
      </c>
      <c r="O94">
        <v>0</v>
      </c>
      <c r="P94">
        <v>0</v>
      </c>
      <c r="S94" t="s">
        <v>529</v>
      </c>
      <c r="T94">
        <v>4</v>
      </c>
      <c r="V94">
        <v>0</v>
      </c>
      <c r="AB94" t="s">
        <v>527</v>
      </c>
      <c r="AH94">
        <v>587294</v>
      </c>
      <c r="AI94">
        <v>86482</v>
      </c>
      <c r="AJ94">
        <v>86482</v>
      </c>
      <c r="AK94">
        <v>33.700565206</v>
      </c>
      <c r="AM94">
        <v>765</v>
      </c>
      <c r="AS94">
        <v>3</v>
      </c>
      <c r="AT94">
        <v>1</v>
      </c>
      <c r="AV94">
        <v>7</v>
      </c>
      <c r="AW94">
        <v>2</v>
      </c>
      <c r="AX94">
        <v>0</v>
      </c>
      <c r="AY94">
        <v>0.52</v>
      </c>
      <c r="AZ94">
        <v>211</v>
      </c>
      <c r="BA94">
        <v>76</v>
      </c>
      <c r="BB94">
        <v>0</v>
      </c>
      <c r="BP94" t="s">
        <v>151</v>
      </c>
      <c r="BQ94">
        <v>1.1000000000000001</v>
      </c>
      <c r="BR94" t="s">
        <v>530</v>
      </c>
      <c r="BS94" t="s">
        <v>149</v>
      </c>
      <c r="BT94" t="s">
        <v>153</v>
      </c>
      <c r="BU94" t="s">
        <v>150</v>
      </c>
      <c r="BV94" t="s">
        <v>154</v>
      </c>
      <c r="BW94" t="s">
        <v>155</v>
      </c>
      <c r="BX94">
        <v>200</v>
      </c>
      <c r="BY94">
        <v>200</v>
      </c>
      <c r="BZ94" t="s">
        <v>527</v>
      </c>
      <c r="CA94" t="s">
        <v>530</v>
      </c>
      <c r="CB94" t="s">
        <v>149</v>
      </c>
      <c r="CC94" t="s">
        <v>156</v>
      </c>
      <c r="CD94" t="s">
        <v>157</v>
      </c>
      <c r="CJ94" t="s">
        <v>532</v>
      </c>
      <c r="CK94" t="s">
        <v>533</v>
      </c>
    </row>
    <row r="95" spans="1:89" x14ac:dyDescent="0.3">
      <c r="A95" t="s">
        <v>534</v>
      </c>
      <c r="B95" t="s">
        <v>6</v>
      </c>
      <c r="C95" t="s">
        <v>145</v>
      </c>
      <c r="D95">
        <v>200</v>
      </c>
      <c r="E95" t="s">
        <v>146</v>
      </c>
      <c r="F95" t="s">
        <v>147</v>
      </c>
      <c r="H95" t="s">
        <v>535</v>
      </c>
      <c r="I95">
        <v>33</v>
      </c>
      <c r="J95">
        <v>344</v>
      </c>
      <c r="L95">
        <v>0</v>
      </c>
      <c r="M95">
        <v>0</v>
      </c>
      <c r="O95">
        <v>0</v>
      </c>
      <c r="P95">
        <v>0</v>
      </c>
      <c r="S95" t="s">
        <v>529</v>
      </c>
      <c r="T95">
        <v>4</v>
      </c>
      <c r="V95">
        <v>0</v>
      </c>
      <c r="AB95" t="s">
        <v>534</v>
      </c>
      <c r="AH95">
        <v>511107</v>
      </c>
      <c r="AI95">
        <v>82629</v>
      </c>
      <c r="AJ95">
        <v>82629</v>
      </c>
      <c r="AK95">
        <v>32.199116607000001</v>
      </c>
      <c r="AM95">
        <v>669</v>
      </c>
      <c r="AS95">
        <v>2</v>
      </c>
      <c r="AT95">
        <v>1</v>
      </c>
      <c r="AV95">
        <v>9</v>
      </c>
      <c r="AW95">
        <v>3</v>
      </c>
      <c r="AX95">
        <v>0</v>
      </c>
      <c r="AY95">
        <v>0.78</v>
      </c>
      <c r="AZ95">
        <v>193</v>
      </c>
      <c r="BA95">
        <v>67</v>
      </c>
      <c r="BB95">
        <v>0</v>
      </c>
      <c r="BP95" t="s">
        <v>151</v>
      </c>
      <c r="BQ95">
        <v>1.1000000000000001</v>
      </c>
      <c r="BR95" t="s">
        <v>530</v>
      </c>
      <c r="BS95" t="s">
        <v>149</v>
      </c>
      <c r="BT95" t="s">
        <v>153</v>
      </c>
      <c r="BU95" t="s">
        <v>150</v>
      </c>
      <c r="BV95" t="s">
        <v>154</v>
      </c>
      <c r="BW95" t="s">
        <v>155</v>
      </c>
      <c r="BX95">
        <v>200</v>
      </c>
      <c r="BY95">
        <v>200</v>
      </c>
      <c r="BZ95" t="s">
        <v>534</v>
      </c>
      <c r="CA95" t="s">
        <v>530</v>
      </c>
      <c r="CB95" t="s">
        <v>149</v>
      </c>
      <c r="CC95" t="s">
        <v>156</v>
      </c>
      <c r="CD95" t="s">
        <v>157</v>
      </c>
      <c r="CJ95" t="s">
        <v>534</v>
      </c>
      <c r="CK95" t="s">
        <v>536</v>
      </c>
    </row>
    <row r="96" spans="1:89" x14ac:dyDescent="0.3">
      <c r="A96" t="s">
        <v>537</v>
      </c>
      <c r="B96" t="s">
        <v>6</v>
      </c>
      <c r="C96" t="s">
        <v>145</v>
      </c>
      <c r="D96">
        <v>200</v>
      </c>
      <c r="E96" t="s">
        <v>146</v>
      </c>
      <c r="F96" t="s">
        <v>147</v>
      </c>
      <c r="H96" t="s">
        <v>538</v>
      </c>
      <c r="I96">
        <v>26</v>
      </c>
      <c r="J96">
        <v>299</v>
      </c>
      <c r="L96">
        <v>0</v>
      </c>
      <c r="M96">
        <v>0</v>
      </c>
      <c r="O96">
        <v>0</v>
      </c>
      <c r="P96">
        <v>0</v>
      </c>
      <c r="S96" t="s">
        <v>539</v>
      </c>
      <c r="T96">
        <v>6</v>
      </c>
      <c r="V96">
        <v>0</v>
      </c>
      <c r="AB96" t="s">
        <v>537</v>
      </c>
      <c r="AH96">
        <v>547511</v>
      </c>
      <c r="AI96">
        <v>84685</v>
      </c>
      <c r="AJ96">
        <v>84685</v>
      </c>
      <c r="AK96">
        <v>33.000304855000003</v>
      </c>
      <c r="AM96">
        <v>639</v>
      </c>
      <c r="AS96">
        <v>4</v>
      </c>
      <c r="AT96">
        <v>1</v>
      </c>
      <c r="AV96">
        <v>9</v>
      </c>
      <c r="AW96">
        <v>2</v>
      </c>
      <c r="AX96">
        <v>0</v>
      </c>
      <c r="AY96">
        <v>0.52</v>
      </c>
      <c r="AZ96">
        <v>207</v>
      </c>
      <c r="BA96">
        <v>74</v>
      </c>
      <c r="BB96">
        <v>0</v>
      </c>
      <c r="BP96" t="s">
        <v>151</v>
      </c>
      <c r="BQ96">
        <v>1.1000000000000001</v>
      </c>
      <c r="BR96" t="s">
        <v>540</v>
      </c>
      <c r="BS96" t="s">
        <v>149</v>
      </c>
      <c r="BT96" t="s">
        <v>153</v>
      </c>
      <c r="BU96" t="s">
        <v>150</v>
      </c>
      <c r="BV96" t="s">
        <v>154</v>
      </c>
      <c r="BW96" t="s">
        <v>155</v>
      </c>
      <c r="BX96">
        <v>200</v>
      </c>
      <c r="BY96">
        <v>200</v>
      </c>
      <c r="BZ96" t="s">
        <v>537</v>
      </c>
      <c r="CA96" t="s">
        <v>540</v>
      </c>
      <c r="CB96" t="s">
        <v>149</v>
      </c>
      <c r="CC96" t="s">
        <v>156</v>
      </c>
      <c r="CD96" t="s">
        <v>157</v>
      </c>
      <c r="CJ96" t="s">
        <v>537</v>
      </c>
      <c r="CK96" t="s">
        <v>541</v>
      </c>
    </row>
    <row r="97" spans="1:89" x14ac:dyDescent="0.3">
      <c r="A97" t="s">
        <v>542</v>
      </c>
      <c r="B97" t="s">
        <v>6</v>
      </c>
      <c r="C97" t="s">
        <v>145</v>
      </c>
      <c r="D97">
        <v>200</v>
      </c>
      <c r="E97" t="s">
        <v>146</v>
      </c>
      <c r="F97" t="s">
        <v>147</v>
      </c>
      <c r="H97" t="s">
        <v>543</v>
      </c>
      <c r="I97">
        <v>28</v>
      </c>
      <c r="J97">
        <v>339</v>
      </c>
      <c r="L97">
        <v>0</v>
      </c>
      <c r="M97">
        <v>0</v>
      </c>
      <c r="O97">
        <v>0</v>
      </c>
      <c r="P97">
        <v>0</v>
      </c>
      <c r="S97" t="s">
        <v>544</v>
      </c>
      <c r="T97">
        <v>8</v>
      </c>
      <c r="V97">
        <v>0</v>
      </c>
      <c r="AB97" t="s">
        <v>542</v>
      </c>
      <c r="AH97">
        <v>548429</v>
      </c>
      <c r="AI97">
        <v>84877</v>
      </c>
      <c r="AJ97">
        <v>84877</v>
      </c>
      <c r="AK97">
        <v>33.075123991000012</v>
      </c>
      <c r="AM97">
        <v>639</v>
      </c>
      <c r="AS97">
        <v>1</v>
      </c>
      <c r="AT97">
        <v>1</v>
      </c>
      <c r="AV97">
        <v>1028</v>
      </c>
      <c r="AW97">
        <v>387</v>
      </c>
      <c r="AX97">
        <v>0</v>
      </c>
      <c r="AY97">
        <v>100</v>
      </c>
      <c r="AZ97">
        <v>208</v>
      </c>
      <c r="BA97">
        <v>73</v>
      </c>
      <c r="BB97">
        <v>0</v>
      </c>
      <c r="BP97" t="s">
        <v>151</v>
      </c>
      <c r="BQ97">
        <v>1.1000000000000001</v>
      </c>
      <c r="BR97" t="s">
        <v>545</v>
      </c>
      <c r="BS97" t="s">
        <v>149</v>
      </c>
      <c r="BT97" t="s">
        <v>153</v>
      </c>
      <c r="BU97" t="s">
        <v>150</v>
      </c>
      <c r="BV97" t="s">
        <v>154</v>
      </c>
      <c r="BW97" t="s">
        <v>155</v>
      </c>
      <c r="BX97">
        <v>200</v>
      </c>
      <c r="BY97">
        <v>200</v>
      </c>
      <c r="BZ97" t="s">
        <v>542</v>
      </c>
      <c r="CA97" t="s">
        <v>545</v>
      </c>
      <c r="CB97" t="s">
        <v>149</v>
      </c>
      <c r="CC97" t="s">
        <v>156</v>
      </c>
      <c r="CD97" t="s">
        <v>157</v>
      </c>
      <c r="CJ97" t="s">
        <v>542</v>
      </c>
      <c r="CK97" t="s">
        <v>546</v>
      </c>
    </row>
    <row r="98" spans="1:89" x14ac:dyDescent="0.3">
      <c r="A98" t="s">
        <v>547</v>
      </c>
      <c r="B98" t="s">
        <v>6</v>
      </c>
      <c r="C98" t="s">
        <v>145</v>
      </c>
      <c r="D98">
        <v>200</v>
      </c>
      <c r="E98" t="s">
        <v>146</v>
      </c>
      <c r="F98" t="s">
        <v>147</v>
      </c>
      <c r="H98" t="s">
        <v>548</v>
      </c>
      <c r="I98">
        <v>24</v>
      </c>
      <c r="J98">
        <v>259</v>
      </c>
      <c r="L98">
        <v>0</v>
      </c>
      <c r="M98">
        <v>0</v>
      </c>
      <c r="O98">
        <v>0</v>
      </c>
      <c r="P98">
        <v>0</v>
      </c>
      <c r="S98" t="s">
        <v>549</v>
      </c>
      <c r="T98">
        <v>4</v>
      </c>
      <c r="V98">
        <v>0</v>
      </c>
      <c r="AB98" t="s">
        <v>547</v>
      </c>
      <c r="AH98">
        <v>557244</v>
      </c>
      <c r="AI98">
        <v>86247</v>
      </c>
      <c r="AJ98">
        <v>86247</v>
      </c>
      <c r="AK98">
        <v>33.608989700999999</v>
      </c>
      <c r="AM98">
        <v>640</v>
      </c>
      <c r="AS98">
        <v>1</v>
      </c>
      <c r="AT98">
        <v>1</v>
      </c>
      <c r="AV98">
        <v>1034</v>
      </c>
      <c r="AW98">
        <v>387</v>
      </c>
      <c r="AX98">
        <v>0</v>
      </c>
      <c r="AY98">
        <v>100</v>
      </c>
      <c r="AZ98">
        <v>212</v>
      </c>
      <c r="BA98">
        <v>75</v>
      </c>
      <c r="BB98">
        <v>0</v>
      </c>
      <c r="BP98" t="s">
        <v>151</v>
      </c>
      <c r="BQ98">
        <v>1.1000000000000001</v>
      </c>
      <c r="BR98" t="s">
        <v>550</v>
      </c>
      <c r="BS98" t="s">
        <v>149</v>
      </c>
      <c r="BT98" t="s">
        <v>153</v>
      </c>
      <c r="BU98" t="s">
        <v>150</v>
      </c>
      <c r="BV98" t="s">
        <v>154</v>
      </c>
      <c r="BW98" t="s">
        <v>155</v>
      </c>
      <c r="BX98">
        <v>200</v>
      </c>
      <c r="BY98">
        <v>200</v>
      </c>
      <c r="BZ98" t="s">
        <v>547</v>
      </c>
      <c r="CA98" t="s">
        <v>550</v>
      </c>
      <c r="CB98" t="s">
        <v>149</v>
      </c>
      <c r="CC98" t="s">
        <v>156</v>
      </c>
      <c r="CD98" t="s">
        <v>157</v>
      </c>
      <c r="CJ98" t="s">
        <v>547</v>
      </c>
      <c r="CK98" t="s">
        <v>462</v>
      </c>
    </row>
    <row r="99" spans="1:89" x14ac:dyDescent="0.3">
      <c r="A99" t="s">
        <v>551</v>
      </c>
      <c r="B99" t="s">
        <v>6</v>
      </c>
      <c r="C99" t="s">
        <v>145</v>
      </c>
      <c r="D99">
        <v>200</v>
      </c>
      <c r="E99" t="s">
        <v>146</v>
      </c>
      <c r="F99" t="s">
        <v>161</v>
      </c>
      <c r="G99" t="s">
        <v>226</v>
      </c>
      <c r="H99" t="s">
        <v>548</v>
      </c>
      <c r="I99">
        <v>24</v>
      </c>
      <c r="J99">
        <v>259</v>
      </c>
      <c r="L99">
        <v>0</v>
      </c>
      <c r="M99">
        <v>0</v>
      </c>
      <c r="O99">
        <v>0</v>
      </c>
      <c r="P99">
        <v>0</v>
      </c>
      <c r="S99" t="s">
        <v>549</v>
      </c>
      <c r="T99">
        <v>4</v>
      </c>
      <c r="V99">
        <v>0</v>
      </c>
      <c r="AB99" t="s">
        <v>547</v>
      </c>
      <c r="AH99">
        <v>557293</v>
      </c>
      <c r="AI99">
        <v>86131</v>
      </c>
      <c r="AJ99">
        <v>86131</v>
      </c>
      <c r="AK99">
        <v>33.563786473</v>
      </c>
      <c r="AM99">
        <v>640</v>
      </c>
      <c r="AS99">
        <v>3</v>
      </c>
      <c r="AT99">
        <v>1</v>
      </c>
      <c r="AV99">
        <v>7</v>
      </c>
      <c r="AW99">
        <v>2</v>
      </c>
      <c r="AX99">
        <v>0</v>
      </c>
      <c r="AY99">
        <v>0.52</v>
      </c>
      <c r="AZ99">
        <v>212</v>
      </c>
      <c r="BA99">
        <v>76</v>
      </c>
      <c r="BB99">
        <v>0</v>
      </c>
      <c r="BP99" t="s">
        <v>151</v>
      </c>
      <c r="BQ99">
        <v>1.1000000000000001</v>
      </c>
      <c r="BR99" t="s">
        <v>550</v>
      </c>
      <c r="BS99" t="s">
        <v>149</v>
      </c>
      <c r="BT99" t="s">
        <v>153</v>
      </c>
      <c r="BU99" t="s">
        <v>150</v>
      </c>
      <c r="BV99" t="s">
        <v>154</v>
      </c>
      <c r="BW99" t="s">
        <v>155</v>
      </c>
      <c r="BX99">
        <v>200</v>
      </c>
      <c r="BY99">
        <v>200</v>
      </c>
      <c r="BZ99" t="s">
        <v>547</v>
      </c>
      <c r="CA99" t="s">
        <v>550</v>
      </c>
      <c r="CB99" t="s">
        <v>149</v>
      </c>
      <c r="CC99" t="s">
        <v>156</v>
      </c>
      <c r="CD99" t="s">
        <v>157</v>
      </c>
      <c r="CJ99" t="s">
        <v>551</v>
      </c>
      <c r="CK99" t="s">
        <v>552</v>
      </c>
    </row>
    <row r="100" spans="1:89" x14ac:dyDescent="0.3">
      <c r="A100" t="s">
        <v>553</v>
      </c>
      <c r="B100" t="s">
        <v>6</v>
      </c>
      <c r="C100" t="s">
        <v>145</v>
      </c>
      <c r="D100">
        <v>200</v>
      </c>
      <c r="E100" t="s">
        <v>146</v>
      </c>
      <c r="F100" t="s">
        <v>147</v>
      </c>
      <c r="H100" t="s">
        <v>554</v>
      </c>
      <c r="I100">
        <v>33</v>
      </c>
      <c r="J100">
        <v>344</v>
      </c>
      <c r="L100">
        <v>0</v>
      </c>
      <c r="M100">
        <v>0</v>
      </c>
      <c r="O100">
        <v>0</v>
      </c>
      <c r="P100">
        <v>0</v>
      </c>
      <c r="S100" t="s">
        <v>549</v>
      </c>
      <c r="T100">
        <v>4</v>
      </c>
      <c r="V100">
        <v>0</v>
      </c>
      <c r="AB100" t="s">
        <v>553</v>
      </c>
      <c r="AH100">
        <v>510649</v>
      </c>
      <c r="AI100">
        <v>83499</v>
      </c>
      <c r="AJ100">
        <v>83499</v>
      </c>
      <c r="AK100">
        <v>32.538140817000013</v>
      </c>
      <c r="AM100">
        <v>603</v>
      </c>
      <c r="AS100">
        <v>2</v>
      </c>
      <c r="AT100">
        <v>1</v>
      </c>
      <c r="AV100">
        <v>9</v>
      </c>
      <c r="AW100">
        <v>3</v>
      </c>
      <c r="AX100">
        <v>0</v>
      </c>
      <c r="AY100">
        <v>0.78</v>
      </c>
      <c r="AZ100">
        <v>200</v>
      </c>
      <c r="BA100">
        <v>70</v>
      </c>
      <c r="BB100">
        <v>0</v>
      </c>
      <c r="BP100" t="s">
        <v>151</v>
      </c>
      <c r="BQ100">
        <v>1.1000000000000001</v>
      </c>
      <c r="BR100" t="s">
        <v>550</v>
      </c>
      <c r="BS100" t="s">
        <v>149</v>
      </c>
      <c r="BT100" t="s">
        <v>153</v>
      </c>
      <c r="BU100" t="s">
        <v>150</v>
      </c>
      <c r="BV100" t="s">
        <v>154</v>
      </c>
      <c r="BW100" t="s">
        <v>155</v>
      </c>
      <c r="BX100">
        <v>200</v>
      </c>
      <c r="BY100">
        <v>200</v>
      </c>
      <c r="BZ100" t="s">
        <v>553</v>
      </c>
      <c r="CA100" t="s">
        <v>550</v>
      </c>
      <c r="CB100" t="s">
        <v>149</v>
      </c>
      <c r="CC100" t="s">
        <v>156</v>
      </c>
      <c r="CD100" t="s">
        <v>157</v>
      </c>
      <c r="CJ100" t="s">
        <v>553</v>
      </c>
      <c r="CK100" t="s">
        <v>555</v>
      </c>
    </row>
    <row r="101" spans="1:89" x14ac:dyDescent="0.3">
      <c r="A101" t="s">
        <v>556</v>
      </c>
      <c r="B101" t="s">
        <v>6</v>
      </c>
      <c r="C101" t="s">
        <v>145</v>
      </c>
      <c r="D101">
        <v>200</v>
      </c>
      <c r="E101" t="s">
        <v>146</v>
      </c>
      <c r="F101" t="s">
        <v>147</v>
      </c>
      <c r="H101" t="s">
        <v>557</v>
      </c>
      <c r="I101">
        <v>24</v>
      </c>
      <c r="J101">
        <v>259</v>
      </c>
      <c r="L101">
        <v>0</v>
      </c>
      <c r="M101">
        <v>0</v>
      </c>
      <c r="O101">
        <v>0</v>
      </c>
      <c r="P101">
        <v>0</v>
      </c>
      <c r="S101" t="s">
        <v>558</v>
      </c>
      <c r="T101">
        <v>4</v>
      </c>
      <c r="V101">
        <v>0</v>
      </c>
      <c r="AB101" t="s">
        <v>556</v>
      </c>
      <c r="AH101">
        <v>560796</v>
      </c>
      <c r="AI101">
        <v>86321</v>
      </c>
      <c r="AJ101">
        <v>86321</v>
      </c>
      <c r="AK101">
        <v>33.637826242999999</v>
      </c>
      <c r="AM101">
        <v>651</v>
      </c>
      <c r="AS101">
        <v>1</v>
      </c>
      <c r="AT101">
        <v>1</v>
      </c>
      <c r="AV101">
        <v>1444</v>
      </c>
      <c r="AW101">
        <v>387</v>
      </c>
      <c r="AX101">
        <v>0</v>
      </c>
      <c r="AY101">
        <v>100</v>
      </c>
      <c r="AZ101">
        <v>211</v>
      </c>
      <c r="BA101">
        <v>75</v>
      </c>
      <c r="BB101">
        <v>0</v>
      </c>
      <c r="BP101" t="s">
        <v>151</v>
      </c>
      <c r="BQ101">
        <v>1.1000000000000001</v>
      </c>
      <c r="BR101" t="s">
        <v>559</v>
      </c>
      <c r="BS101" t="s">
        <v>149</v>
      </c>
      <c r="BT101" t="s">
        <v>153</v>
      </c>
      <c r="BU101" t="s">
        <v>150</v>
      </c>
      <c r="BV101" t="s">
        <v>154</v>
      </c>
      <c r="BW101" t="s">
        <v>155</v>
      </c>
      <c r="BX101">
        <v>200</v>
      </c>
      <c r="BY101">
        <v>200</v>
      </c>
      <c r="BZ101" t="s">
        <v>556</v>
      </c>
      <c r="CA101" t="s">
        <v>559</v>
      </c>
      <c r="CB101" t="s">
        <v>149</v>
      </c>
      <c r="CC101" t="s">
        <v>156</v>
      </c>
      <c r="CD101" t="s">
        <v>157</v>
      </c>
      <c r="CJ101" t="s">
        <v>556</v>
      </c>
      <c r="CK101" t="s">
        <v>241</v>
      </c>
    </row>
    <row r="102" spans="1:89" x14ac:dyDescent="0.3">
      <c r="A102" t="s">
        <v>560</v>
      </c>
      <c r="B102" t="s">
        <v>6</v>
      </c>
      <c r="C102" t="s">
        <v>145</v>
      </c>
      <c r="D102">
        <v>200</v>
      </c>
      <c r="E102" t="s">
        <v>146</v>
      </c>
      <c r="F102" t="s">
        <v>161</v>
      </c>
      <c r="G102" t="s">
        <v>226</v>
      </c>
      <c r="H102" t="s">
        <v>557</v>
      </c>
      <c r="I102">
        <v>24</v>
      </c>
      <c r="J102">
        <v>259</v>
      </c>
      <c r="L102">
        <v>0</v>
      </c>
      <c r="M102">
        <v>0</v>
      </c>
      <c r="O102">
        <v>0</v>
      </c>
      <c r="P102">
        <v>0</v>
      </c>
      <c r="S102" t="s">
        <v>558</v>
      </c>
      <c r="T102">
        <v>4</v>
      </c>
      <c r="V102">
        <v>0</v>
      </c>
      <c r="AB102" t="s">
        <v>556</v>
      </c>
      <c r="AH102">
        <v>560845</v>
      </c>
      <c r="AI102">
        <v>86263</v>
      </c>
      <c r="AJ102">
        <v>86263</v>
      </c>
      <c r="AK102">
        <v>33.615224628999997</v>
      </c>
      <c r="AM102">
        <v>651</v>
      </c>
      <c r="AS102">
        <v>3</v>
      </c>
      <c r="AT102">
        <v>1</v>
      </c>
      <c r="AV102">
        <v>7</v>
      </c>
      <c r="AW102">
        <v>2</v>
      </c>
      <c r="AX102">
        <v>0</v>
      </c>
      <c r="AY102">
        <v>0.52</v>
      </c>
      <c r="AZ102">
        <v>211</v>
      </c>
      <c r="BA102">
        <v>76</v>
      </c>
      <c r="BB102">
        <v>0</v>
      </c>
      <c r="BP102" t="s">
        <v>151</v>
      </c>
      <c r="BQ102">
        <v>1.1000000000000001</v>
      </c>
      <c r="BR102" t="s">
        <v>559</v>
      </c>
      <c r="BS102" t="s">
        <v>149</v>
      </c>
      <c r="BT102" t="s">
        <v>153</v>
      </c>
      <c r="BU102" t="s">
        <v>150</v>
      </c>
      <c r="BV102" t="s">
        <v>154</v>
      </c>
      <c r="BW102" t="s">
        <v>155</v>
      </c>
      <c r="BX102">
        <v>200</v>
      </c>
      <c r="BY102">
        <v>200</v>
      </c>
      <c r="BZ102" t="s">
        <v>556</v>
      </c>
      <c r="CA102" t="s">
        <v>559</v>
      </c>
      <c r="CB102" t="s">
        <v>149</v>
      </c>
      <c r="CC102" t="s">
        <v>156</v>
      </c>
      <c r="CD102" t="s">
        <v>157</v>
      </c>
      <c r="CJ102" t="s">
        <v>560</v>
      </c>
      <c r="CK102" t="s">
        <v>533</v>
      </c>
    </row>
    <row r="103" spans="1:89" x14ac:dyDescent="0.3">
      <c r="A103" t="s">
        <v>561</v>
      </c>
      <c r="B103" t="s">
        <v>6</v>
      </c>
      <c r="C103" t="s">
        <v>145</v>
      </c>
      <c r="D103">
        <v>200</v>
      </c>
      <c r="E103" t="s">
        <v>146</v>
      </c>
      <c r="F103" t="s">
        <v>147</v>
      </c>
      <c r="H103" t="s">
        <v>562</v>
      </c>
      <c r="I103">
        <v>33</v>
      </c>
      <c r="J103">
        <v>344</v>
      </c>
      <c r="L103">
        <v>0</v>
      </c>
      <c r="M103">
        <v>0</v>
      </c>
      <c r="O103">
        <v>0</v>
      </c>
      <c r="P103">
        <v>0</v>
      </c>
      <c r="S103" t="s">
        <v>558</v>
      </c>
      <c r="T103">
        <v>4</v>
      </c>
      <c r="V103">
        <v>0</v>
      </c>
      <c r="AB103" t="s">
        <v>561</v>
      </c>
      <c r="AH103">
        <v>522191</v>
      </c>
      <c r="AI103">
        <v>83443</v>
      </c>
      <c r="AJ103">
        <v>83443</v>
      </c>
      <c r="AK103">
        <v>32.516318568999999</v>
      </c>
      <c r="AM103">
        <v>623</v>
      </c>
      <c r="AS103">
        <v>2</v>
      </c>
      <c r="AT103">
        <v>1</v>
      </c>
      <c r="AV103">
        <v>9</v>
      </c>
      <c r="AW103">
        <v>3</v>
      </c>
      <c r="AX103">
        <v>0</v>
      </c>
      <c r="AY103">
        <v>0.78</v>
      </c>
      <c r="AZ103">
        <v>201</v>
      </c>
      <c r="BA103">
        <v>71</v>
      </c>
      <c r="BB103">
        <v>0</v>
      </c>
      <c r="BP103" t="s">
        <v>151</v>
      </c>
      <c r="BQ103">
        <v>1.1000000000000001</v>
      </c>
      <c r="BR103" t="s">
        <v>559</v>
      </c>
      <c r="BS103" t="s">
        <v>149</v>
      </c>
      <c r="BT103" t="s">
        <v>153</v>
      </c>
      <c r="BU103" t="s">
        <v>150</v>
      </c>
      <c r="BV103" t="s">
        <v>154</v>
      </c>
      <c r="BW103" t="s">
        <v>155</v>
      </c>
      <c r="BX103">
        <v>200</v>
      </c>
      <c r="BY103">
        <v>200</v>
      </c>
      <c r="BZ103" t="s">
        <v>561</v>
      </c>
      <c r="CA103" t="s">
        <v>559</v>
      </c>
      <c r="CB103" t="s">
        <v>149</v>
      </c>
      <c r="CC103" t="s">
        <v>156</v>
      </c>
      <c r="CD103" t="s">
        <v>157</v>
      </c>
      <c r="CJ103" t="s">
        <v>561</v>
      </c>
      <c r="CK103" t="s">
        <v>563</v>
      </c>
    </row>
    <row r="104" spans="1:89" x14ac:dyDescent="0.3">
      <c r="A104" t="s">
        <v>564</v>
      </c>
      <c r="B104" t="s">
        <v>6</v>
      </c>
      <c r="C104" t="s">
        <v>145</v>
      </c>
      <c r="D104">
        <v>200</v>
      </c>
      <c r="E104" t="s">
        <v>146</v>
      </c>
      <c r="F104" t="s">
        <v>147</v>
      </c>
      <c r="H104" t="s">
        <v>565</v>
      </c>
      <c r="I104">
        <v>38</v>
      </c>
      <c r="J104">
        <v>473</v>
      </c>
      <c r="L104">
        <v>0</v>
      </c>
      <c r="M104">
        <v>0</v>
      </c>
      <c r="O104">
        <v>0</v>
      </c>
      <c r="P104">
        <v>0</v>
      </c>
      <c r="S104" t="s">
        <v>566</v>
      </c>
      <c r="T104">
        <v>18</v>
      </c>
      <c r="V104">
        <v>0</v>
      </c>
      <c r="AB104" t="s">
        <v>564</v>
      </c>
      <c r="AH104">
        <v>494785</v>
      </c>
      <c r="AI104">
        <v>81808</v>
      </c>
      <c r="AJ104">
        <v>81808</v>
      </c>
      <c r="AK104">
        <v>31.879186864000001</v>
      </c>
      <c r="AM104">
        <v>567</v>
      </c>
      <c r="AS104">
        <v>2</v>
      </c>
      <c r="AT104">
        <v>1</v>
      </c>
      <c r="AV104">
        <v>253</v>
      </c>
      <c r="AW104">
        <v>123</v>
      </c>
      <c r="AX104">
        <v>0</v>
      </c>
      <c r="AY104">
        <v>31.78</v>
      </c>
      <c r="AZ104">
        <v>195</v>
      </c>
      <c r="BA104">
        <v>67</v>
      </c>
      <c r="BB104">
        <v>0</v>
      </c>
      <c r="BP104" t="s">
        <v>151</v>
      </c>
      <c r="BQ104">
        <v>1.1000000000000001</v>
      </c>
      <c r="BR104" t="s">
        <v>567</v>
      </c>
      <c r="BS104" t="s">
        <v>149</v>
      </c>
      <c r="BT104" t="s">
        <v>153</v>
      </c>
      <c r="BU104" t="s">
        <v>150</v>
      </c>
      <c r="BV104" t="s">
        <v>154</v>
      </c>
      <c r="BW104" t="s">
        <v>155</v>
      </c>
      <c r="BX104">
        <v>200</v>
      </c>
      <c r="BY104">
        <v>200</v>
      </c>
      <c r="BZ104" t="s">
        <v>564</v>
      </c>
      <c r="CA104" t="s">
        <v>567</v>
      </c>
      <c r="CB104" t="s">
        <v>149</v>
      </c>
      <c r="CC104" t="s">
        <v>156</v>
      </c>
      <c r="CD104" t="s">
        <v>157</v>
      </c>
      <c r="CJ104" t="s">
        <v>564</v>
      </c>
      <c r="CK104" t="s">
        <v>568</v>
      </c>
    </row>
    <row r="105" spans="1:89" x14ac:dyDescent="0.3">
      <c r="A105" t="s">
        <v>569</v>
      </c>
      <c r="B105" t="s">
        <v>6</v>
      </c>
      <c r="C105" t="s">
        <v>145</v>
      </c>
      <c r="D105">
        <v>200</v>
      </c>
      <c r="E105" t="s">
        <v>146</v>
      </c>
      <c r="F105" t="s">
        <v>147</v>
      </c>
      <c r="H105" t="s">
        <v>570</v>
      </c>
      <c r="I105">
        <v>28</v>
      </c>
      <c r="J105">
        <v>339</v>
      </c>
      <c r="L105">
        <v>0</v>
      </c>
      <c r="M105">
        <v>0</v>
      </c>
      <c r="O105">
        <v>0</v>
      </c>
      <c r="P105">
        <v>0</v>
      </c>
      <c r="S105" t="s">
        <v>571</v>
      </c>
      <c r="T105">
        <v>8</v>
      </c>
      <c r="V105">
        <v>0</v>
      </c>
      <c r="AB105" t="s">
        <v>569</v>
      </c>
      <c r="AH105">
        <v>477849</v>
      </c>
      <c r="AI105">
        <v>80898</v>
      </c>
      <c r="AJ105">
        <v>80898</v>
      </c>
      <c r="AK105">
        <v>31.524575334000001</v>
      </c>
      <c r="AM105">
        <v>510</v>
      </c>
      <c r="AS105">
        <v>1</v>
      </c>
      <c r="AT105">
        <v>1</v>
      </c>
      <c r="AV105">
        <v>1028</v>
      </c>
      <c r="AW105">
        <v>387</v>
      </c>
      <c r="AX105">
        <v>0</v>
      </c>
      <c r="AY105">
        <v>100</v>
      </c>
      <c r="AZ105">
        <v>196</v>
      </c>
      <c r="BA105">
        <v>67</v>
      </c>
      <c r="BB105">
        <v>0</v>
      </c>
      <c r="BP105" t="s">
        <v>151</v>
      </c>
      <c r="BQ105">
        <v>1.1000000000000001</v>
      </c>
      <c r="BR105" t="s">
        <v>572</v>
      </c>
      <c r="BS105" t="s">
        <v>149</v>
      </c>
      <c r="BT105" t="s">
        <v>153</v>
      </c>
      <c r="BU105" t="s">
        <v>150</v>
      </c>
      <c r="BV105" t="s">
        <v>154</v>
      </c>
      <c r="BW105" t="s">
        <v>155</v>
      </c>
      <c r="BX105">
        <v>200</v>
      </c>
      <c r="BY105">
        <v>200</v>
      </c>
      <c r="BZ105" t="s">
        <v>569</v>
      </c>
      <c r="CA105" t="s">
        <v>572</v>
      </c>
      <c r="CB105" t="s">
        <v>149</v>
      </c>
      <c r="CC105" t="s">
        <v>156</v>
      </c>
      <c r="CD105" t="s">
        <v>157</v>
      </c>
      <c r="CJ105" t="s">
        <v>569</v>
      </c>
      <c r="CK105" t="s">
        <v>573</v>
      </c>
    </row>
    <row r="106" spans="1:89" x14ac:dyDescent="0.3">
      <c r="A106" t="s">
        <v>574</v>
      </c>
      <c r="B106" t="s">
        <v>6</v>
      </c>
      <c r="C106" t="s">
        <v>145</v>
      </c>
      <c r="D106">
        <v>200</v>
      </c>
      <c r="E106" t="s">
        <v>146</v>
      </c>
      <c r="F106" t="s">
        <v>147</v>
      </c>
      <c r="H106" t="s">
        <v>575</v>
      </c>
      <c r="I106">
        <v>27</v>
      </c>
      <c r="J106">
        <v>308</v>
      </c>
      <c r="L106">
        <v>0</v>
      </c>
      <c r="M106">
        <v>0</v>
      </c>
      <c r="O106">
        <v>0</v>
      </c>
      <c r="P106">
        <v>0</v>
      </c>
      <c r="S106" t="s">
        <v>576</v>
      </c>
      <c r="T106">
        <v>7</v>
      </c>
      <c r="V106">
        <v>0</v>
      </c>
      <c r="AB106" t="s">
        <v>574</v>
      </c>
      <c r="AH106">
        <v>519212</v>
      </c>
      <c r="AI106">
        <v>84091</v>
      </c>
      <c r="AJ106">
        <v>84091</v>
      </c>
      <c r="AK106">
        <v>32.768833153000003</v>
      </c>
      <c r="AM106">
        <v>604</v>
      </c>
      <c r="AS106">
        <v>1</v>
      </c>
      <c r="AT106">
        <v>1</v>
      </c>
      <c r="AV106">
        <v>1033</v>
      </c>
      <c r="AW106">
        <v>387</v>
      </c>
      <c r="AX106">
        <v>0</v>
      </c>
      <c r="AY106">
        <v>100</v>
      </c>
      <c r="AZ106">
        <v>202</v>
      </c>
      <c r="BA106">
        <v>70</v>
      </c>
      <c r="BB106">
        <v>0</v>
      </c>
      <c r="BP106" t="s">
        <v>151</v>
      </c>
      <c r="BQ106">
        <v>1.1000000000000001</v>
      </c>
      <c r="BR106" t="s">
        <v>577</v>
      </c>
      <c r="BS106" t="s">
        <v>149</v>
      </c>
      <c r="BT106" t="s">
        <v>153</v>
      </c>
      <c r="BU106" t="s">
        <v>150</v>
      </c>
      <c r="BV106" t="s">
        <v>154</v>
      </c>
      <c r="BW106" t="s">
        <v>155</v>
      </c>
      <c r="BX106">
        <v>200</v>
      </c>
      <c r="BY106">
        <v>200</v>
      </c>
      <c r="BZ106" t="s">
        <v>574</v>
      </c>
      <c r="CA106" t="s">
        <v>577</v>
      </c>
      <c r="CB106" t="s">
        <v>149</v>
      </c>
      <c r="CC106" t="s">
        <v>156</v>
      </c>
      <c r="CD106" t="s">
        <v>157</v>
      </c>
      <c r="CJ106" t="s">
        <v>574</v>
      </c>
      <c r="CK106" t="s">
        <v>578</v>
      </c>
    </row>
    <row r="107" spans="1:89" x14ac:dyDescent="0.3">
      <c r="A107" t="s">
        <v>579</v>
      </c>
      <c r="B107" t="s">
        <v>6</v>
      </c>
      <c r="C107" t="s">
        <v>145</v>
      </c>
      <c r="D107">
        <v>200</v>
      </c>
      <c r="E107" t="s">
        <v>146</v>
      </c>
      <c r="F107" t="s">
        <v>147</v>
      </c>
      <c r="H107" t="s">
        <v>580</v>
      </c>
      <c r="I107">
        <v>26</v>
      </c>
      <c r="J107">
        <v>288</v>
      </c>
      <c r="L107">
        <v>0</v>
      </c>
      <c r="M107">
        <v>0</v>
      </c>
      <c r="O107">
        <v>0</v>
      </c>
      <c r="P107">
        <v>0</v>
      </c>
      <c r="S107" t="s">
        <v>581</v>
      </c>
      <c r="T107">
        <v>6</v>
      </c>
      <c r="V107">
        <v>0</v>
      </c>
      <c r="AB107" t="s">
        <v>579</v>
      </c>
      <c r="AH107">
        <v>580876</v>
      </c>
      <c r="AI107">
        <v>86313</v>
      </c>
      <c r="AJ107">
        <v>86313</v>
      </c>
      <c r="AK107">
        <v>33.634708779</v>
      </c>
      <c r="AM107">
        <v>716</v>
      </c>
      <c r="AS107">
        <v>1</v>
      </c>
      <c r="AT107">
        <v>1</v>
      </c>
      <c r="AV107">
        <v>1034</v>
      </c>
      <c r="AW107">
        <v>387</v>
      </c>
      <c r="AX107">
        <v>0</v>
      </c>
      <c r="AY107">
        <v>100</v>
      </c>
      <c r="AZ107">
        <v>213</v>
      </c>
      <c r="BA107">
        <v>76</v>
      </c>
      <c r="BB107">
        <v>0</v>
      </c>
      <c r="BP107" t="s">
        <v>151</v>
      </c>
      <c r="BQ107">
        <v>1.1000000000000001</v>
      </c>
      <c r="BR107" t="s">
        <v>582</v>
      </c>
      <c r="BS107" t="s">
        <v>149</v>
      </c>
      <c r="BT107" t="s">
        <v>153</v>
      </c>
      <c r="BU107" t="s">
        <v>150</v>
      </c>
      <c r="BV107" t="s">
        <v>154</v>
      </c>
      <c r="BW107" t="s">
        <v>155</v>
      </c>
      <c r="BX107">
        <v>200</v>
      </c>
      <c r="BY107">
        <v>200</v>
      </c>
      <c r="BZ107" t="s">
        <v>579</v>
      </c>
      <c r="CA107" t="s">
        <v>582</v>
      </c>
      <c r="CB107" t="s">
        <v>149</v>
      </c>
      <c r="CC107" t="s">
        <v>156</v>
      </c>
      <c r="CD107" t="s">
        <v>157</v>
      </c>
      <c r="CJ107" t="s">
        <v>579</v>
      </c>
      <c r="CK107" t="s">
        <v>178</v>
      </c>
    </row>
    <row r="108" spans="1:89" x14ac:dyDescent="0.3">
      <c r="A108" t="s">
        <v>583</v>
      </c>
      <c r="B108" t="s">
        <v>6</v>
      </c>
      <c r="C108" t="s">
        <v>145</v>
      </c>
      <c r="D108">
        <v>200</v>
      </c>
      <c r="E108" t="s">
        <v>146</v>
      </c>
      <c r="F108" t="s">
        <v>161</v>
      </c>
      <c r="G108" t="s">
        <v>226</v>
      </c>
      <c r="H108" t="s">
        <v>580</v>
      </c>
      <c r="I108">
        <v>26</v>
      </c>
      <c r="J108">
        <v>288</v>
      </c>
      <c r="L108">
        <v>0</v>
      </c>
      <c r="M108">
        <v>0</v>
      </c>
      <c r="O108">
        <v>0</v>
      </c>
      <c r="P108">
        <v>0</v>
      </c>
      <c r="S108" t="s">
        <v>581</v>
      </c>
      <c r="T108">
        <v>6</v>
      </c>
      <c r="V108">
        <v>0</v>
      </c>
      <c r="AB108" t="s">
        <v>579</v>
      </c>
      <c r="AH108">
        <v>580925</v>
      </c>
      <c r="AI108">
        <v>86152</v>
      </c>
      <c r="AJ108">
        <v>86152</v>
      </c>
      <c r="AK108">
        <v>33.571969816000014</v>
      </c>
      <c r="AM108">
        <v>716</v>
      </c>
      <c r="AS108">
        <v>3</v>
      </c>
      <c r="AT108">
        <v>1</v>
      </c>
      <c r="AV108">
        <v>8</v>
      </c>
      <c r="AW108">
        <v>3</v>
      </c>
      <c r="AX108">
        <v>0</v>
      </c>
      <c r="AY108">
        <v>0.78</v>
      </c>
      <c r="AZ108">
        <v>213</v>
      </c>
      <c r="BA108">
        <v>77</v>
      </c>
      <c r="BB108">
        <v>0</v>
      </c>
      <c r="BP108" t="s">
        <v>151</v>
      </c>
      <c r="BQ108">
        <v>1.1000000000000001</v>
      </c>
      <c r="BR108" t="s">
        <v>582</v>
      </c>
      <c r="BS108" t="s">
        <v>149</v>
      </c>
      <c r="BT108" t="s">
        <v>153</v>
      </c>
      <c r="BU108" t="s">
        <v>150</v>
      </c>
      <c r="BV108" t="s">
        <v>154</v>
      </c>
      <c r="BW108" t="s">
        <v>155</v>
      </c>
      <c r="BX108">
        <v>200</v>
      </c>
      <c r="BY108">
        <v>200</v>
      </c>
      <c r="BZ108" t="s">
        <v>579</v>
      </c>
      <c r="CA108" t="s">
        <v>582</v>
      </c>
      <c r="CB108" t="s">
        <v>149</v>
      </c>
      <c r="CC108" t="s">
        <v>156</v>
      </c>
      <c r="CD108" t="s">
        <v>157</v>
      </c>
      <c r="CJ108" t="s">
        <v>583</v>
      </c>
      <c r="CK108" t="s">
        <v>230</v>
      </c>
    </row>
    <row r="109" spans="1:89" x14ac:dyDescent="0.3">
      <c r="A109" t="s">
        <v>584</v>
      </c>
      <c r="B109" t="s">
        <v>6</v>
      </c>
      <c r="C109" t="s">
        <v>145</v>
      </c>
      <c r="D109">
        <v>200</v>
      </c>
      <c r="E109" t="s">
        <v>146</v>
      </c>
      <c r="F109" t="s">
        <v>147</v>
      </c>
      <c r="H109" t="s">
        <v>585</v>
      </c>
      <c r="I109">
        <v>35</v>
      </c>
      <c r="J109">
        <v>373</v>
      </c>
      <c r="L109">
        <v>0</v>
      </c>
      <c r="M109">
        <v>0</v>
      </c>
      <c r="O109">
        <v>0</v>
      </c>
      <c r="P109">
        <v>0</v>
      </c>
      <c r="S109" t="s">
        <v>581</v>
      </c>
      <c r="T109">
        <v>6</v>
      </c>
      <c r="V109">
        <v>0</v>
      </c>
      <c r="AB109" t="s">
        <v>584</v>
      </c>
      <c r="AH109">
        <v>582830</v>
      </c>
      <c r="AI109">
        <v>87041</v>
      </c>
      <c r="AJ109">
        <v>87041</v>
      </c>
      <c r="AK109">
        <v>33.918398003</v>
      </c>
      <c r="AM109">
        <v>735</v>
      </c>
      <c r="AS109">
        <v>2</v>
      </c>
      <c r="AT109">
        <v>1</v>
      </c>
      <c r="AV109">
        <v>11</v>
      </c>
      <c r="AW109">
        <v>4</v>
      </c>
      <c r="AX109">
        <v>0</v>
      </c>
      <c r="AY109">
        <v>1.03</v>
      </c>
      <c r="AZ109">
        <v>214</v>
      </c>
      <c r="BA109">
        <v>77</v>
      </c>
      <c r="BB109">
        <v>0</v>
      </c>
      <c r="BP109" t="s">
        <v>151</v>
      </c>
      <c r="BQ109">
        <v>1.1000000000000001</v>
      </c>
      <c r="BR109" t="s">
        <v>582</v>
      </c>
      <c r="BS109" t="s">
        <v>149</v>
      </c>
      <c r="BT109" t="s">
        <v>153</v>
      </c>
      <c r="BU109" t="s">
        <v>150</v>
      </c>
      <c r="BV109" t="s">
        <v>154</v>
      </c>
      <c r="BW109" t="s">
        <v>155</v>
      </c>
      <c r="BX109">
        <v>200</v>
      </c>
      <c r="BY109">
        <v>200</v>
      </c>
      <c r="BZ109" t="s">
        <v>584</v>
      </c>
      <c r="CA109" t="s">
        <v>582</v>
      </c>
      <c r="CB109" t="s">
        <v>149</v>
      </c>
      <c r="CC109" t="s">
        <v>156</v>
      </c>
      <c r="CD109" t="s">
        <v>157</v>
      </c>
      <c r="CJ109" t="s">
        <v>584</v>
      </c>
      <c r="CK109" t="s">
        <v>586</v>
      </c>
    </row>
    <row r="110" spans="1:89" x14ac:dyDescent="0.3">
      <c r="A110" t="s">
        <v>587</v>
      </c>
      <c r="B110" t="s">
        <v>6</v>
      </c>
      <c r="C110" t="s">
        <v>145</v>
      </c>
      <c r="D110">
        <v>200</v>
      </c>
      <c r="E110" t="s">
        <v>146</v>
      </c>
      <c r="F110" t="s">
        <v>147</v>
      </c>
      <c r="H110" t="s">
        <v>588</v>
      </c>
      <c r="I110">
        <v>35</v>
      </c>
      <c r="J110">
        <v>373</v>
      </c>
      <c r="L110">
        <v>0</v>
      </c>
      <c r="M110">
        <v>0</v>
      </c>
      <c r="O110">
        <v>0</v>
      </c>
      <c r="P110">
        <v>0</v>
      </c>
      <c r="S110" t="s">
        <v>581</v>
      </c>
      <c r="T110">
        <v>6</v>
      </c>
      <c r="V110">
        <v>0</v>
      </c>
      <c r="AB110" t="s">
        <v>587</v>
      </c>
      <c r="AH110">
        <v>581035</v>
      </c>
      <c r="AI110">
        <v>85757</v>
      </c>
      <c r="AJ110">
        <v>85757</v>
      </c>
      <c r="AK110">
        <v>33.418045030999998</v>
      </c>
      <c r="AM110">
        <v>794</v>
      </c>
      <c r="AS110">
        <v>2</v>
      </c>
      <c r="AT110">
        <v>1</v>
      </c>
      <c r="AV110">
        <v>9</v>
      </c>
      <c r="AW110">
        <v>4</v>
      </c>
      <c r="AX110">
        <v>0</v>
      </c>
      <c r="AY110">
        <v>1.03</v>
      </c>
      <c r="AZ110">
        <v>211</v>
      </c>
      <c r="BA110">
        <v>76</v>
      </c>
      <c r="BB110">
        <v>0</v>
      </c>
      <c r="BP110" t="s">
        <v>151</v>
      </c>
      <c r="BQ110">
        <v>1.1000000000000001</v>
      </c>
      <c r="BR110" t="s">
        <v>582</v>
      </c>
      <c r="BS110" t="s">
        <v>149</v>
      </c>
      <c r="BT110" t="s">
        <v>153</v>
      </c>
      <c r="BU110" t="s">
        <v>150</v>
      </c>
      <c r="BV110" t="s">
        <v>154</v>
      </c>
      <c r="BW110" t="s">
        <v>155</v>
      </c>
      <c r="BX110">
        <v>200</v>
      </c>
      <c r="BY110">
        <v>200</v>
      </c>
      <c r="BZ110" t="s">
        <v>587</v>
      </c>
      <c r="CA110" t="s">
        <v>582</v>
      </c>
      <c r="CB110" t="s">
        <v>149</v>
      </c>
      <c r="CC110" t="s">
        <v>156</v>
      </c>
      <c r="CD110" t="s">
        <v>157</v>
      </c>
      <c r="CJ110" t="s">
        <v>587</v>
      </c>
      <c r="CK110" t="s">
        <v>586</v>
      </c>
    </row>
    <row r="111" spans="1:89" x14ac:dyDescent="0.3">
      <c r="A111" t="s">
        <v>589</v>
      </c>
      <c r="B111" t="s">
        <v>6</v>
      </c>
      <c r="C111" t="s">
        <v>145</v>
      </c>
      <c r="D111">
        <v>404</v>
      </c>
      <c r="E111" t="s">
        <v>160</v>
      </c>
      <c r="F111" t="s">
        <v>161</v>
      </c>
      <c r="G111" t="s">
        <v>162</v>
      </c>
      <c r="I111">
        <v>0</v>
      </c>
      <c r="J111">
        <v>0</v>
      </c>
      <c r="L111">
        <v>0</v>
      </c>
      <c r="M111">
        <v>0</v>
      </c>
      <c r="O111">
        <v>0</v>
      </c>
      <c r="P111">
        <v>0</v>
      </c>
      <c r="T111">
        <v>0</v>
      </c>
      <c r="V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S111">
        <v>2</v>
      </c>
      <c r="AT111">
        <v>1</v>
      </c>
      <c r="AV111">
        <v>246</v>
      </c>
      <c r="AW111">
        <v>123</v>
      </c>
      <c r="AX111">
        <v>0</v>
      </c>
      <c r="AY111">
        <v>31.78</v>
      </c>
      <c r="AZ111">
        <v>0</v>
      </c>
      <c r="BA111">
        <v>0</v>
      </c>
      <c r="BB111">
        <v>0</v>
      </c>
      <c r="BQ111">
        <v>1.1000000000000001</v>
      </c>
      <c r="CJ111" t="s">
        <v>589</v>
      </c>
      <c r="CK111" t="s">
        <v>590</v>
      </c>
    </row>
    <row r="112" spans="1:89" x14ac:dyDescent="0.3">
      <c r="A112" t="s">
        <v>591</v>
      </c>
      <c r="B112" t="s">
        <v>6</v>
      </c>
      <c r="C112" t="s">
        <v>145</v>
      </c>
      <c r="D112">
        <v>200</v>
      </c>
      <c r="E112" t="s">
        <v>146</v>
      </c>
      <c r="F112" t="s">
        <v>147</v>
      </c>
      <c r="H112" t="s">
        <v>592</v>
      </c>
      <c r="I112">
        <v>27</v>
      </c>
      <c r="J112">
        <v>308</v>
      </c>
      <c r="L112">
        <v>0</v>
      </c>
      <c r="M112">
        <v>0</v>
      </c>
      <c r="O112">
        <v>0</v>
      </c>
      <c r="P112">
        <v>0</v>
      </c>
      <c r="S112" t="s">
        <v>593</v>
      </c>
      <c r="T112">
        <v>7</v>
      </c>
      <c r="V112">
        <v>0</v>
      </c>
      <c r="AB112" t="s">
        <v>591</v>
      </c>
      <c r="AH112">
        <v>485956</v>
      </c>
      <c r="AI112">
        <v>82330</v>
      </c>
      <c r="AJ112">
        <v>82330</v>
      </c>
      <c r="AK112">
        <v>32.082601390000001</v>
      </c>
      <c r="AM112">
        <v>552</v>
      </c>
      <c r="AS112">
        <v>1</v>
      </c>
      <c r="AT112">
        <v>1</v>
      </c>
      <c r="AV112">
        <v>1028</v>
      </c>
      <c r="AW112">
        <v>387</v>
      </c>
      <c r="AX112">
        <v>0</v>
      </c>
      <c r="AY112">
        <v>100</v>
      </c>
      <c r="AZ112">
        <v>194</v>
      </c>
      <c r="BA112">
        <v>66</v>
      </c>
      <c r="BB112">
        <v>0</v>
      </c>
      <c r="BP112" t="s">
        <v>151</v>
      </c>
      <c r="BQ112">
        <v>1.1000000000000001</v>
      </c>
      <c r="BR112" t="s">
        <v>594</v>
      </c>
      <c r="BS112" t="s">
        <v>149</v>
      </c>
      <c r="BT112" t="s">
        <v>153</v>
      </c>
      <c r="BU112" t="s">
        <v>150</v>
      </c>
      <c r="BV112" t="s">
        <v>154</v>
      </c>
      <c r="BW112" t="s">
        <v>155</v>
      </c>
      <c r="BX112">
        <v>200</v>
      </c>
      <c r="BY112">
        <v>200</v>
      </c>
      <c r="BZ112" t="s">
        <v>591</v>
      </c>
      <c r="CA112" t="s">
        <v>594</v>
      </c>
      <c r="CB112" t="s">
        <v>149</v>
      </c>
      <c r="CC112" t="s">
        <v>156</v>
      </c>
      <c r="CD112" t="s">
        <v>157</v>
      </c>
      <c r="CJ112" t="s">
        <v>591</v>
      </c>
      <c r="CK112" t="s">
        <v>595</v>
      </c>
    </row>
    <row r="113" spans="1:89" x14ac:dyDescent="0.3">
      <c r="A113" t="s">
        <v>596</v>
      </c>
      <c r="B113" t="s">
        <v>6</v>
      </c>
      <c r="C113" t="s">
        <v>145</v>
      </c>
      <c r="D113">
        <v>200</v>
      </c>
      <c r="E113" t="s">
        <v>146</v>
      </c>
      <c r="F113" t="s">
        <v>147</v>
      </c>
      <c r="H113" t="s">
        <v>597</v>
      </c>
      <c r="I113">
        <v>22</v>
      </c>
      <c r="J113">
        <v>219</v>
      </c>
      <c r="L113">
        <v>0</v>
      </c>
      <c r="M113">
        <v>0</v>
      </c>
      <c r="O113">
        <v>0</v>
      </c>
      <c r="P113">
        <v>0</v>
      </c>
      <c r="S113" t="s">
        <v>598</v>
      </c>
      <c r="T113">
        <v>2</v>
      </c>
      <c r="V113">
        <v>0</v>
      </c>
      <c r="AB113" t="s">
        <v>596</v>
      </c>
      <c r="AH113">
        <v>382222</v>
      </c>
      <c r="AI113">
        <v>73245</v>
      </c>
      <c r="AJ113">
        <v>73245</v>
      </c>
      <c r="AK113">
        <v>28.542331335</v>
      </c>
      <c r="AM113">
        <v>302</v>
      </c>
      <c r="AS113">
        <v>1</v>
      </c>
      <c r="AT113">
        <v>1</v>
      </c>
      <c r="AV113">
        <v>1027</v>
      </c>
      <c r="AW113">
        <v>387</v>
      </c>
      <c r="AX113">
        <v>0</v>
      </c>
      <c r="AY113">
        <v>100</v>
      </c>
      <c r="AZ113">
        <v>185</v>
      </c>
      <c r="BA113">
        <v>62</v>
      </c>
      <c r="BB113">
        <v>0</v>
      </c>
      <c r="BP113" t="s">
        <v>151</v>
      </c>
      <c r="BQ113">
        <v>1.1000000000000001</v>
      </c>
      <c r="BR113" t="s">
        <v>599</v>
      </c>
      <c r="BS113" t="s">
        <v>149</v>
      </c>
      <c r="BT113" t="s">
        <v>153</v>
      </c>
      <c r="BU113" t="s">
        <v>150</v>
      </c>
      <c r="BV113" t="s">
        <v>154</v>
      </c>
      <c r="BW113" t="s">
        <v>155</v>
      </c>
      <c r="BX113">
        <v>200</v>
      </c>
      <c r="BY113">
        <v>200</v>
      </c>
      <c r="BZ113" t="s">
        <v>596</v>
      </c>
      <c r="CA113" t="s">
        <v>599</v>
      </c>
      <c r="CB113" t="s">
        <v>149</v>
      </c>
      <c r="CC113" t="s">
        <v>156</v>
      </c>
      <c r="CD113" t="s">
        <v>157</v>
      </c>
      <c r="CJ113" t="s">
        <v>596</v>
      </c>
      <c r="CK113" t="s">
        <v>600</v>
      </c>
    </row>
    <row r="114" spans="1:89" x14ac:dyDescent="0.3">
      <c r="A114" t="s">
        <v>601</v>
      </c>
      <c r="B114" t="s">
        <v>6</v>
      </c>
      <c r="C114" t="s">
        <v>145</v>
      </c>
      <c r="D114">
        <v>200</v>
      </c>
      <c r="E114" t="s">
        <v>146</v>
      </c>
      <c r="F114" t="s">
        <v>147</v>
      </c>
      <c r="H114" t="s">
        <v>602</v>
      </c>
      <c r="I114">
        <v>22</v>
      </c>
      <c r="J114">
        <v>219</v>
      </c>
      <c r="L114">
        <v>0</v>
      </c>
      <c r="M114">
        <v>0</v>
      </c>
      <c r="O114">
        <v>0</v>
      </c>
      <c r="P114">
        <v>0</v>
      </c>
      <c r="S114" t="s">
        <v>603</v>
      </c>
      <c r="T114">
        <v>2</v>
      </c>
      <c r="V114">
        <v>0</v>
      </c>
      <c r="AB114" t="s">
        <v>601</v>
      </c>
      <c r="AH114">
        <v>573416</v>
      </c>
      <c r="AI114">
        <v>85922</v>
      </c>
      <c r="AJ114">
        <v>85922</v>
      </c>
      <c r="AK114">
        <v>33.482342725999999</v>
      </c>
      <c r="AM114">
        <v>690</v>
      </c>
      <c r="AS114">
        <v>3</v>
      </c>
      <c r="AT114">
        <v>1</v>
      </c>
      <c r="AV114">
        <v>18</v>
      </c>
      <c r="AW114">
        <v>8</v>
      </c>
      <c r="AX114">
        <v>0</v>
      </c>
      <c r="AY114">
        <v>2.0699999999999998</v>
      </c>
      <c r="AZ114">
        <v>212</v>
      </c>
      <c r="BA114">
        <v>77</v>
      </c>
      <c r="BB114">
        <v>0</v>
      </c>
      <c r="BP114" t="s">
        <v>151</v>
      </c>
      <c r="BQ114">
        <v>1.1000000000000001</v>
      </c>
      <c r="BR114" t="s">
        <v>604</v>
      </c>
      <c r="BS114" t="s">
        <v>149</v>
      </c>
      <c r="BT114" t="s">
        <v>153</v>
      </c>
      <c r="BU114" t="s">
        <v>150</v>
      </c>
      <c r="BV114" t="s">
        <v>154</v>
      </c>
      <c r="BW114" t="s">
        <v>155</v>
      </c>
      <c r="BX114">
        <v>200</v>
      </c>
      <c r="BY114">
        <v>200</v>
      </c>
      <c r="BZ114" t="s">
        <v>601</v>
      </c>
      <c r="CA114" t="s">
        <v>604</v>
      </c>
      <c r="CB114" t="s">
        <v>149</v>
      </c>
      <c r="CC114" t="s">
        <v>156</v>
      </c>
      <c r="CD114" t="s">
        <v>157</v>
      </c>
      <c r="CJ114" t="s">
        <v>601</v>
      </c>
      <c r="CK114" t="s">
        <v>444</v>
      </c>
    </row>
    <row r="115" spans="1:89" x14ac:dyDescent="0.3">
      <c r="A115" t="s">
        <v>605</v>
      </c>
      <c r="B115" t="s">
        <v>6</v>
      </c>
      <c r="C115" t="s">
        <v>145</v>
      </c>
      <c r="D115">
        <v>200</v>
      </c>
      <c r="E115" t="s">
        <v>146</v>
      </c>
      <c r="F115" t="s">
        <v>161</v>
      </c>
      <c r="G115" t="s">
        <v>226</v>
      </c>
      <c r="H115" t="s">
        <v>602</v>
      </c>
      <c r="I115">
        <v>22</v>
      </c>
      <c r="J115">
        <v>219</v>
      </c>
      <c r="L115">
        <v>0</v>
      </c>
      <c r="M115">
        <v>0</v>
      </c>
      <c r="O115">
        <v>0</v>
      </c>
      <c r="P115">
        <v>0</v>
      </c>
      <c r="S115" t="s">
        <v>603</v>
      </c>
      <c r="T115">
        <v>2</v>
      </c>
      <c r="V115">
        <v>0</v>
      </c>
      <c r="AB115" t="s">
        <v>601</v>
      </c>
      <c r="AH115">
        <v>573465</v>
      </c>
      <c r="AI115">
        <v>86067</v>
      </c>
      <c r="AJ115">
        <v>86067</v>
      </c>
      <c r="AK115">
        <v>33.538846761000002</v>
      </c>
      <c r="AM115">
        <v>690</v>
      </c>
      <c r="AS115">
        <v>5</v>
      </c>
      <c r="AT115">
        <v>1</v>
      </c>
      <c r="AV115">
        <v>7</v>
      </c>
      <c r="AW115">
        <v>2</v>
      </c>
      <c r="AX115">
        <v>0</v>
      </c>
      <c r="AY115">
        <v>0.52</v>
      </c>
      <c r="AZ115">
        <v>212</v>
      </c>
      <c r="BA115">
        <v>78</v>
      </c>
      <c r="BB115">
        <v>0</v>
      </c>
      <c r="BP115" t="s">
        <v>151</v>
      </c>
      <c r="BQ115">
        <v>1.1000000000000001</v>
      </c>
      <c r="BR115" t="s">
        <v>604</v>
      </c>
      <c r="BS115" t="s">
        <v>149</v>
      </c>
      <c r="BT115" t="s">
        <v>153</v>
      </c>
      <c r="BU115" t="s">
        <v>150</v>
      </c>
      <c r="BV115" t="s">
        <v>154</v>
      </c>
      <c r="BW115" t="s">
        <v>155</v>
      </c>
      <c r="BX115">
        <v>200</v>
      </c>
      <c r="BY115">
        <v>200</v>
      </c>
      <c r="BZ115" t="s">
        <v>601</v>
      </c>
      <c r="CA115" t="s">
        <v>604</v>
      </c>
      <c r="CB115" t="s">
        <v>149</v>
      </c>
      <c r="CC115" t="s">
        <v>156</v>
      </c>
      <c r="CD115" t="s">
        <v>157</v>
      </c>
      <c r="CJ115" t="s">
        <v>605</v>
      </c>
      <c r="CK115" t="s">
        <v>606</v>
      </c>
    </row>
    <row r="116" spans="1:89" x14ac:dyDescent="0.3">
      <c r="A116" t="s">
        <v>607</v>
      </c>
      <c r="B116" t="s">
        <v>6</v>
      </c>
      <c r="C116" t="s">
        <v>145</v>
      </c>
      <c r="D116">
        <v>200</v>
      </c>
      <c r="E116" t="s">
        <v>146</v>
      </c>
      <c r="F116" t="s">
        <v>147</v>
      </c>
      <c r="H116" t="s">
        <v>608</v>
      </c>
      <c r="I116">
        <v>31</v>
      </c>
      <c r="J116">
        <v>304</v>
      </c>
      <c r="L116">
        <v>0</v>
      </c>
      <c r="M116">
        <v>0</v>
      </c>
      <c r="O116">
        <v>0</v>
      </c>
      <c r="P116">
        <v>0</v>
      </c>
      <c r="S116" t="s">
        <v>603</v>
      </c>
      <c r="T116">
        <v>2</v>
      </c>
      <c r="V116">
        <v>0</v>
      </c>
      <c r="AB116" t="s">
        <v>607</v>
      </c>
      <c r="AH116">
        <v>509118</v>
      </c>
      <c r="AI116">
        <v>82369</v>
      </c>
      <c r="AJ116">
        <v>82369</v>
      </c>
      <c r="AK116">
        <v>32.097799027000001</v>
      </c>
      <c r="AM116">
        <v>631</v>
      </c>
      <c r="AS116">
        <v>4</v>
      </c>
      <c r="AT116">
        <v>1</v>
      </c>
      <c r="AV116">
        <v>9</v>
      </c>
      <c r="AW116">
        <v>3</v>
      </c>
      <c r="AX116">
        <v>0</v>
      </c>
      <c r="AY116">
        <v>0.78</v>
      </c>
      <c r="AZ116">
        <v>196</v>
      </c>
      <c r="BA116">
        <v>70</v>
      </c>
      <c r="BB116">
        <v>0</v>
      </c>
      <c r="BP116" t="s">
        <v>151</v>
      </c>
      <c r="BQ116">
        <v>1.1000000000000001</v>
      </c>
      <c r="BR116" t="s">
        <v>604</v>
      </c>
      <c r="BS116" t="s">
        <v>149</v>
      </c>
      <c r="BT116" t="s">
        <v>153</v>
      </c>
      <c r="BU116" t="s">
        <v>150</v>
      </c>
      <c r="BV116" t="s">
        <v>154</v>
      </c>
      <c r="BW116" t="s">
        <v>155</v>
      </c>
      <c r="BX116">
        <v>200</v>
      </c>
      <c r="BY116">
        <v>200</v>
      </c>
      <c r="BZ116" t="s">
        <v>607</v>
      </c>
      <c r="CA116" t="s">
        <v>604</v>
      </c>
      <c r="CB116" t="s">
        <v>149</v>
      </c>
      <c r="CC116" t="s">
        <v>156</v>
      </c>
      <c r="CD116" t="s">
        <v>157</v>
      </c>
      <c r="CJ116" t="s">
        <v>607</v>
      </c>
      <c r="CK116" t="s">
        <v>609</v>
      </c>
    </row>
    <row r="117" spans="1:89" x14ac:dyDescent="0.3">
      <c r="A117" t="s">
        <v>610</v>
      </c>
      <c r="B117" t="s">
        <v>6</v>
      </c>
      <c r="C117" t="s">
        <v>145</v>
      </c>
      <c r="D117">
        <v>200</v>
      </c>
      <c r="E117" t="s">
        <v>146</v>
      </c>
      <c r="F117" t="s">
        <v>147</v>
      </c>
      <c r="H117" t="s">
        <v>611</v>
      </c>
      <c r="I117">
        <v>24</v>
      </c>
      <c r="J117">
        <v>259</v>
      </c>
      <c r="L117">
        <v>0</v>
      </c>
      <c r="M117">
        <v>0</v>
      </c>
      <c r="O117">
        <v>0</v>
      </c>
      <c r="P117">
        <v>0</v>
      </c>
      <c r="S117" t="s">
        <v>612</v>
      </c>
      <c r="T117">
        <v>4</v>
      </c>
      <c r="V117">
        <v>0</v>
      </c>
      <c r="AB117" t="s">
        <v>610</v>
      </c>
      <c r="AH117">
        <v>549289</v>
      </c>
      <c r="AI117">
        <v>86129</v>
      </c>
      <c r="AJ117">
        <v>86129</v>
      </c>
      <c r="AK117">
        <v>33.563007106999997</v>
      </c>
      <c r="AM117">
        <v>607</v>
      </c>
      <c r="AS117">
        <v>4</v>
      </c>
      <c r="AT117">
        <v>1</v>
      </c>
      <c r="AV117">
        <v>13</v>
      </c>
      <c r="AW117">
        <v>5</v>
      </c>
      <c r="AX117">
        <v>0</v>
      </c>
      <c r="AY117">
        <v>1.29</v>
      </c>
      <c r="AZ117">
        <v>211</v>
      </c>
      <c r="BA117">
        <v>76</v>
      </c>
      <c r="BB117">
        <v>0</v>
      </c>
      <c r="BP117" t="s">
        <v>151</v>
      </c>
      <c r="BQ117">
        <v>1.1000000000000001</v>
      </c>
      <c r="BR117" t="s">
        <v>613</v>
      </c>
      <c r="BS117" t="s">
        <v>149</v>
      </c>
      <c r="BT117" t="s">
        <v>153</v>
      </c>
      <c r="BU117" t="s">
        <v>150</v>
      </c>
      <c r="BV117" t="s">
        <v>154</v>
      </c>
      <c r="BW117" t="s">
        <v>155</v>
      </c>
      <c r="BX117">
        <v>200</v>
      </c>
      <c r="BY117">
        <v>200</v>
      </c>
      <c r="BZ117" t="s">
        <v>610</v>
      </c>
      <c r="CA117" t="s">
        <v>613</v>
      </c>
      <c r="CB117" t="s">
        <v>149</v>
      </c>
      <c r="CC117" t="s">
        <v>156</v>
      </c>
      <c r="CD117" t="s">
        <v>157</v>
      </c>
      <c r="CJ117" t="s">
        <v>610</v>
      </c>
      <c r="CK117" t="s">
        <v>614</v>
      </c>
    </row>
    <row r="118" spans="1:89" x14ac:dyDescent="0.3">
      <c r="A118" t="s">
        <v>615</v>
      </c>
      <c r="B118" t="s">
        <v>6</v>
      </c>
      <c r="C118" t="s">
        <v>145</v>
      </c>
      <c r="D118">
        <v>200</v>
      </c>
      <c r="E118" t="s">
        <v>146</v>
      </c>
      <c r="F118" t="s">
        <v>161</v>
      </c>
      <c r="G118" t="s">
        <v>226</v>
      </c>
      <c r="H118" t="s">
        <v>611</v>
      </c>
      <c r="I118">
        <v>24</v>
      </c>
      <c r="J118">
        <v>259</v>
      </c>
      <c r="L118">
        <v>0</v>
      </c>
      <c r="M118">
        <v>0</v>
      </c>
      <c r="O118">
        <v>0</v>
      </c>
      <c r="P118">
        <v>0</v>
      </c>
      <c r="S118" t="s">
        <v>612</v>
      </c>
      <c r="T118">
        <v>4</v>
      </c>
      <c r="V118">
        <v>0</v>
      </c>
      <c r="AB118" t="s">
        <v>610</v>
      </c>
      <c r="AH118">
        <v>549338</v>
      </c>
      <c r="AI118">
        <v>85632</v>
      </c>
      <c r="AJ118">
        <v>85632</v>
      </c>
      <c r="AK118">
        <v>33.369334655999999</v>
      </c>
      <c r="AM118">
        <v>607</v>
      </c>
      <c r="AS118">
        <v>6</v>
      </c>
      <c r="AT118">
        <v>1</v>
      </c>
      <c r="AV118">
        <v>7</v>
      </c>
      <c r="AW118">
        <v>2</v>
      </c>
      <c r="AX118">
        <v>0</v>
      </c>
      <c r="AY118">
        <v>0.52</v>
      </c>
      <c r="AZ118">
        <v>211</v>
      </c>
      <c r="BA118">
        <v>77</v>
      </c>
      <c r="BB118">
        <v>0</v>
      </c>
      <c r="BP118" t="s">
        <v>151</v>
      </c>
      <c r="BQ118">
        <v>1.1000000000000001</v>
      </c>
      <c r="BR118" t="s">
        <v>613</v>
      </c>
      <c r="BS118" t="s">
        <v>149</v>
      </c>
      <c r="BT118" t="s">
        <v>153</v>
      </c>
      <c r="BU118" t="s">
        <v>150</v>
      </c>
      <c r="BV118" t="s">
        <v>154</v>
      </c>
      <c r="BW118" t="s">
        <v>155</v>
      </c>
      <c r="BX118">
        <v>200</v>
      </c>
      <c r="BY118">
        <v>200</v>
      </c>
      <c r="BZ118" t="s">
        <v>610</v>
      </c>
      <c r="CA118" t="s">
        <v>613</v>
      </c>
      <c r="CB118" t="s">
        <v>149</v>
      </c>
      <c r="CC118" t="s">
        <v>156</v>
      </c>
      <c r="CD118" t="s">
        <v>157</v>
      </c>
      <c r="CJ118" t="s">
        <v>615</v>
      </c>
      <c r="CK118" t="s">
        <v>616</v>
      </c>
    </row>
    <row r="119" spans="1:89" x14ac:dyDescent="0.3">
      <c r="A119" t="s">
        <v>617</v>
      </c>
      <c r="B119" t="s">
        <v>6</v>
      </c>
      <c r="C119" t="s">
        <v>145</v>
      </c>
      <c r="D119">
        <v>200</v>
      </c>
      <c r="E119" t="s">
        <v>146</v>
      </c>
      <c r="F119" t="s">
        <v>147</v>
      </c>
      <c r="H119" t="s">
        <v>618</v>
      </c>
      <c r="I119">
        <v>33</v>
      </c>
      <c r="J119">
        <v>344</v>
      </c>
      <c r="L119">
        <v>0</v>
      </c>
      <c r="M119">
        <v>0</v>
      </c>
      <c r="O119">
        <v>0</v>
      </c>
      <c r="P119">
        <v>0</v>
      </c>
      <c r="S119" t="s">
        <v>612</v>
      </c>
      <c r="T119">
        <v>4</v>
      </c>
      <c r="V119">
        <v>0</v>
      </c>
      <c r="AB119" t="s">
        <v>617</v>
      </c>
      <c r="AH119">
        <v>477594</v>
      </c>
      <c r="AI119">
        <v>81186</v>
      </c>
      <c r="AJ119">
        <v>81186</v>
      </c>
      <c r="AK119">
        <v>31.636804038000001</v>
      </c>
      <c r="AM119">
        <v>540</v>
      </c>
      <c r="AS119">
        <v>5</v>
      </c>
      <c r="AT119">
        <v>1</v>
      </c>
      <c r="AV119">
        <v>9</v>
      </c>
      <c r="AW119">
        <v>3</v>
      </c>
      <c r="AX119">
        <v>0</v>
      </c>
      <c r="AY119">
        <v>0.78</v>
      </c>
      <c r="AZ119">
        <v>193</v>
      </c>
      <c r="BA119">
        <v>68</v>
      </c>
      <c r="BB119">
        <v>0</v>
      </c>
      <c r="BP119" t="s">
        <v>151</v>
      </c>
      <c r="BQ119">
        <v>1.1000000000000001</v>
      </c>
      <c r="BR119" t="s">
        <v>613</v>
      </c>
      <c r="BS119" t="s">
        <v>149</v>
      </c>
      <c r="BT119" t="s">
        <v>153</v>
      </c>
      <c r="BU119" t="s">
        <v>150</v>
      </c>
      <c r="BV119" t="s">
        <v>154</v>
      </c>
      <c r="BW119" t="s">
        <v>155</v>
      </c>
      <c r="BX119">
        <v>200</v>
      </c>
      <c r="BY119">
        <v>200</v>
      </c>
      <c r="BZ119" t="s">
        <v>617</v>
      </c>
      <c r="CA119" t="s">
        <v>613</v>
      </c>
      <c r="CB119" t="s">
        <v>149</v>
      </c>
      <c r="CC119" t="s">
        <v>156</v>
      </c>
      <c r="CD119" t="s">
        <v>157</v>
      </c>
      <c r="CJ119" t="s">
        <v>617</v>
      </c>
      <c r="CK119" t="s">
        <v>619</v>
      </c>
    </row>
    <row r="120" spans="1:89" x14ac:dyDescent="0.3">
      <c r="A120" t="s">
        <v>620</v>
      </c>
      <c r="B120" t="s">
        <v>6</v>
      </c>
      <c r="C120" t="s">
        <v>145</v>
      </c>
      <c r="D120">
        <v>200</v>
      </c>
      <c r="E120" t="s">
        <v>146</v>
      </c>
      <c r="F120" t="s">
        <v>147</v>
      </c>
      <c r="H120" t="s">
        <v>621</v>
      </c>
      <c r="I120">
        <v>24</v>
      </c>
      <c r="J120">
        <v>259</v>
      </c>
      <c r="L120">
        <v>0</v>
      </c>
      <c r="M120">
        <v>0</v>
      </c>
      <c r="O120">
        <v>0</v>
      </c>
      <c r="P120">
        <v>0</v>
      </c>
      <c r="S120" t="s">
        <v>622</v>
      </c>
      <c r="T120">
        <v>4</v>
      </c>
      <c r="V120">
        <v>0</v>
      </c>
      <c r="AB120" t="s">
        <v>620</v>
      </c>
      <c r="AH120">
        <v>695141</v>
      </c>
      <c r="AI120">
        <v>89847</v>
      </c>
      <c r="AJ120">
        <v>89847</v>
      </c>
      <c r="AK120">
        <v>35.011848501000003</v>
      </c>
      <c r="AM120">
        <v>1090</v>
      </c>
      <c r="AS120">
        <v>3</v>
      </c>
      <c r="AT120">
        <v>1</v>
      </c>
      <c r="AV120">
        <v>50</v>
      </c>
      <c r="AW120">
        <v>32</v>
      </c>
      <c r="AX120">
        <v>0</v>
      </c>
      <c r="AY120">
        <v>8.27</v>
      </c>
      <c r="AZ120">
        <v>213</v>
      </c>
      <c r="BA120">
        <v>78</v>
      </c>
      <c r="BB120">
        <v>0</v>
      </c>
      <c r="BP120" t="s">
        <v>151</v>
      </c>
      <c r="BQ120">
        <v>1.1000000000000001</v>
      </c>
      <c r="BR120" t="s">
        <v>623</v>
      </c>
      <c r="BS120" t="s">
        <v>149</v>
      </c>
      <c r="BT120" t="s">
        <v>153</v>
      </c>
      <c r="BU120" t="s">
        <v>150</v>
      </c>
      <c r="BV120" t="s">
        <v>154</v>
      </c>
      <c r="BW120" t="s">
        <v>155</v>
      </c>
      <c r="BX120">
        <v>200</v>
      </c>
      <c r="BY120">
        <v>200</v>
      </c>
      <c r="BZ120" t="s">
        <v>620</v>
      </c>
      <c r="CA120" t="s">
        <v>623</v>
      </c>
      <c r="CB120" t="s">
        <v>149</v>
      </c>
      <c r="CC120" t="s">
        <v>156</v>
      </c>
      <c r="CD120" t="s">
        <v>157</v>
      </c>
      <c r="CJ120" t="s">
        <v>620</v>
      </c>
      <c r="CK120" t="s">
        <v>444</v>
      </c>
    </row>
    <row r="121" spans="1:89" x14ac:dyDescent="0.3">
      <c r="A121" t="s">
        <v>624</v>
      </c>
      <c r="B121" t="s">
        <v>6</v>
      </c>
      <c r="C121" t="s">
        <v>145</v>
      </c>
      <c r="D121">
        <v>200</v>
      </c>
      <c r="E121" t="s">
        <v>146</v>
      </c>
      <c r="F121" t="s">
        <v>161</v>
      </c>
      <c r="G121" t="s">
        <v>226</v>
      </c>
      <c r="H121" t="s">
        <v>621</v>
      </c>
      <c r="I121">
        <v>24</v>
      </c>
      <c r="J121">
        <v>259</v>
      </c>
      <c r="L121">
        <v>0</v>
      </c>
      <c r="M121">
        <v>0</v>
      </c>
      <c r="O121">
        <v>0</v>
      </c>
      <c r="P121">
        <v>0</v>
      </c>
      <c r="S121" t="s">
        <v>622</v>
      </c>
      <c r="T121">
        <v>4</v>
      </c>
      <c r="V121">
        <v>0</v>
      </c>
      <c r="AB121" t="s">
        <v>620</v>
      </c>
      <c r="AH121">
        <v>695190</v>
      </c>
      <c r="AI121">
        <v>89989</v>
      </c>
      <c r="AJ121">
        <v>89989</v>
      </c>
      <c r="AK121">
        <v>35.067183486999987</v>
      </c>
      <c r="AM121">
        <v>1090</v>
      </c>
      <c r="AS121">
        <v>5</v>
      </c>
      <c r="AT121">
        <v>1</v>
      </c>
      <c r="AV121">
        <v>15</v>
      </c>
      <c r="AW121">
        <v>10</v>
      </c>
      <c r="AX121">
        <v>0</v>
      </c>
      <c r="AY121">
        <v>2.58</v>
      </c>
      <c r="AZ121">
        <v>213</v>
      </c>
      <c r="BA121">
        <v>79</v>
      </c>
      <c r="BB121">
        <v>0</v>
      </c>
      <c r="BP121" t="s">
        <v>151</v>
      </c>
      <c r="BQ121">
        <v>1.1000000000000001</v>
      </c>
      <c r="BR121" t="s">
        <v>623</v>
      </c>
      <c r="BS121" t="s">
        <v>149</v>
      </c>
      <c r="BT121" t="s">
        <v>153</v>
      </c>
      <c r="BU121" t="s">
        <v>150</v>
      </c>
      <c r="BV121" t="s">
        <v>154</v>
      </c>
      <c r="BW121" t="s">
        <v>155</v>
      </c>
      <c r="BX121">
        <v>200</v>
      </c>
      <c r="BY121">
        <v>200</v>
      </c>
      <c r="BZ121" t="s">
        <v>620</v>
      </c>
      <c r="CA121" t="s">
        <v>623</v>
      </c>
      <c r="CB121" t="s">
        <v>149</v>
      </c>
      <c r="CC121" t="s">
        <v>156</v>
      </c>
      <c r="CD121" t="s">
        <v>157</v>
      </c>
      <c r="CJ121" t="s">
        <v>624</v>
      </c>
      <c r="CK121" t="s">
        <v>625</v>
      </c>
    </row>
    <row r="122" spans="1:89" x14ac:dyDescent="0.3">
      <c r="A122" t="s">
        <v>626</v>
      </c>
      <c r="B122" t="s">
        <v>6</v>
      </c>
      <c r="C122" t="s">
        <v>145</v>
      </c>
      <c r="D122">
        <v>200</v>
      </c>
      <c r="E122" t="s">
        <v>146</v>
      </c>
      <c r="F122" t="s">
        <v>147</v>
      </c>
      <c r="H122" t="s">
        <v>627</v>
      </c>
      <c r="I122">
        <v>34</v>
      </c>
      <c r="J122">
        <v>355</v>
      </c>
      <c r="L122">
        <v>0</v>
      </c>
      <c r="M122">
        <v>0</v>
      </c>
      <c r="O122">
        <v>0</v>
      </c>
      <c r="P122">
        <v>0</v>
      </c>
      <c r="S122" t="s">
        <v>622</v>
      </c>
      <c r="T122">
        <v>4</v>
      </c>
      <c r="V122">
        <v>0</v>
      </c>
      <c r="AB122" t="s">
        <v>626</v>
      </c>
      <c r="AH122">
        <v>652576</v>
      </c>
      <c r="AI122">
        <v>86928</v>
      </c>
      <c r="AJ122">
        <v>86928</v>
      </c>
      <c r="AK122">
        <v>33.874363824</v>
      </c>
      <c r="AM122">
        <v>1088</v>
      </c>
      <c r="AS122">
        <v>4</v>
      </c>
      <c r="AT122">
        <v>1</v>
      </c>
      <c r="AV122">
        <v>16</v>
      </c>
      <c r="AW122">
        <v>11</v>
      </c>
      <c r="AX122">
        <v>0</v>
      </c>
      <c r="AY122">
        <v>2.84</v>
      </c>
      <c r="AZ122">
        <v>201</v>
      </c>
      <c r="BA122">
        <v>73</v>
      </c>
      <c r="BB122">
        <v>0</v>
      </c>
      <c r="BP122" t="s">
        <v>151</v>
      </c>
      <c r="BQ122">
        <v>1.1000000000000001</v>
      </c>
      <c r="BR122" t="s">
        <v>623</v>
      </c>
      <c r="BS122" t="s">
        <v>149</v>
      </c>
      <c r="BT122" t="s">
        <v>153</v>
      </c>
      <c r="BU122" t="s">
        <v>150</v>
      </c>
      <c r="BV122" t="s">
        <v>154</v>
      </c>
      <c r="BW122" t="s">
        <v>155</v>
      </c>
      <c r="BX122">
        <v>200</v>
      </c>
      <c r="BY122">
        <v>200</v>
      </c>
      <c r="BZ122" t="s">
        <v>626</v>
      </c>
      <c r="CA122" t="s">
        <v>623</v>
      </c>
      <c r="CB122" t="s">
        <v>149</v>
      </c>
      <c r="CC122" t="s">
        <v>156</v>
      </c>
      <c r="CD122" t="s">
        <v>157</v>
      </c>
      <c r="CJ122" t="s">
        <v>626</v>
      </c>
      <c r="CK122" t="s">
        <v>609</v>
      </c>
    </row>
    <row r="123" spans="1:89" x14ac:dyDescent="0.3">
      <c r="A123" t="s">
        <v>628</v>
      </c>
      <c r="B123" t="s">
        <v>6</v>
      </c>
      <c r="C123" t="s">
        <v>145</v>
      </c>
      <c r="D123">
        <v>200</v>
      </c>
      <c r="E123" t="s">
        <v>146</v>
      </c>
      <c r="F123" t="s">
        <v>147</v>
      </c>
      <c r="H123" t="s">
        <v>629</v>
      </c>
      <c r="I123">
        <v>33</v>
      </c>
      <c r="J123">
        <v>344</v>
      </c>
      <c r="L123">
        <v>0</v>
      </c>
      <c r="M123">
        <v>0</v>
      </c>
      <c r="O123">
        <v>0</v>
      </c>
      <c r="P123">
        <v>0</v>
      </c>
      <c r="S123" t="s">
        <v>622</v>
      </c>
      <c r="T123">
        <v>4</v>
      </c>
      <c r="V123">
        <v>0</v>
      </c>
      <c r="AB123" t="s">
        <v>628</v>
      </c>
      <c r="AH123">
        <v>693513</v>
      </c>
      <c r="AI123">
        <v>89461</v>
      </c>
      <c r="AJ123">
        <v>89461</v>
      </c>
      <c r="AK123">
        <v>34.861430863000002</v>
      </c>
      <c r="AM123">
        <v>1088</v>
      </c>
      <c r="AS123">
        <v>4</v>
      </c>
      <c r="AT123">
        <v>1</v>
      </c>
      <c r="AV123">
        <v>12</v>
      </c>
      <c r="AW123">
        <v>5</v>
      </c>
      <c r="AX123">
        <v>0</v>
      </c>
      <c r="AY123">
        <v>1.29</v>
      </c>
      <c r="AZ123">
        <v>215</v>
      </c>
      <c r="BA123">
        <v>80</v>
      </c>
      <c r="BB123">
        <v>0</v>
      </c>
      <c r="BP123" t="s">
        <v>151</v>
      </c>
      <c r="BQ123">
        <v>1.1000000000000001</v>
      </c>
      <c r="BR123" t="s">
        <v>623</v>
      </c>
      <c r="BS123" t="s">
        <v>149</v>
      </c>
      <c r="BT123" t="s">
        <v>153</v>
      </c>
      <c r="BU123" t="s">
        <v>150</v>
      </c>
      <c r="BV123" t="s">
        <v>154</v>
      </c>
      <c r="BW123" t="s">
        <v>155</v>
      </c>
      <c r="BX123">
        <v>200</v>
      </c>
      <c r="BY123">
        <v>200</v>
      </c>
      <c r="BZ123" t="s">
        <v>628</v>
      </c>
      <c r="CA123" t="s">
        <v>623</v>
      </c>
      <c r="CB123" t="s">
        <v>149</v>
      </c>
      <c r="CC123" t="s">
        <v>156</v>
      </c>
      <c r="CD123" t="s">
        <v>157</v>
      </c>
      <c r="CJ123" t="s">
        <v>628</v>
      </c>
      <c r="CK123" t="s">
        <v>609</v>
      </c>
    </row>
    <row r="124" spans="1:89" x14ac:dyDescent="0.3">
      <c r="A124" t="s">
        <v>630</v>
      </c>
      <c r="B124" t="s">
        <v>6</v>
      </c>
      <c r="C124" t="s">
        <v>145</v>
      </c>
      <c r="D124">
        <v>200</v>
      </c>
      <c r="E124" t="s">
        <v>146</v>
      </c>
      <c r="F124" t="s">
        <v>147</v>
      </c>
      <c r="H124" t="s">
        <v>631</v>
      </c>
      <c r="I124">
        <v>33</v>
      </c>
      <c r="J124">
        <v>344</v>
      </c>
      <c r="L124">
        <v>0</v>
      </c>
      <c r="M124">
        <v>0</v>
      </c>
      <c r="O124">
        <v>0</v>
      </c>
      <c r="P124">
        <v>0</v>
      </c>
      <c r="S124" t="s">
        <v>622</v>
      </c>
      <c r="T124">
        <v>4</v>
      </c>
      <c r="V124">
        <v>0</v>
      </c>
      <c r="AB124" t="s">
        <v>630</v>
      </c>
      <c r="AH124">
        <v>695086</v>
      </c>
      <c r="AI124">
        <v>89615</v>
      </c>
      <c r="AJ124">
        <v>89615</v>
      </c>
      <c r="AK124">
        <v>34.921442044999999</v>
      </c>
      <c r="AM124">
        <v>1090</v>
      </c>
      <c r="AS124">
        <v>4</v>
      </c>
      <c r="AT124">
        <v>1</v>
      </c>
      <c r="AV124">
        <v>12</v>
      </c>
      <c r="AW124">
        <v>6</v>
      </c>
      <c r="AX124">
        <v>0</v>
      </c>
      <c r="AY124">
        <v>1.55</v>
      </c>
      <c r="AZ124">
        <v>216</v>
      </c>
      <c r="BA124">
        <v>81</v>
      </c>
      <c r="BB124">
        <v>0</v>
      </c>
      <c r="BP124" t="s">
        <v>151</v>
      </c>
      <c r="BQ124">
        <v>1.1000000000000001</v>
      </c>
      <c r="BR124" t="s">
        <v>623</v>
      </c>
      <c r="BS124" t="s">
        <v>149</v>
      </c>
      <c r="BT124" t="s">
        <v>153</v>
      </c>
      <c r="BU124" t="s">
        <v>150</v>
      </c>
      <c r="BV124" t="s">
        <v>154</v>
      </c>
      <c r="BW124" t="s">
        <v>155</v>
      </c>
      <c r="BX124">
        <v>200</v>
      </c>
      <c r="BY124">
        <v>200</v>
      </c>
      <c r="BZ124" t="s">
        <v>630</v>
      </c>
      <c r="CA124" t="s">
        <v>623</v>
      </c>
      <c r="CB124" t="s">
        <v>149</v>
      </c>
      <c r="CC124" t="s">
        <v>156</v>
      </c>
      <c r="CD124" t="s">
        <v>157</v>
      </c>
      <c r="CJ124" t="s">
        <v>630</v>
      </c>
      <c r="CK124" t="s">
        <v>409</v>
      </c>
    </row>
    <row r="125" spans="1:89" x14ac:dyDescent="0.3">
      <c r="A125" t="s">
        <v>632</v>
      </c>
      <c r="B125" t="s">
        <v>6</v>
      </c>
      <c r="C125" t="s">
        <v>145</v>
      </c>
      <c r="D125">
        <v>200</v>
      </c>
      <c r="E125" t="s">
        <v>146</v>
      </c>
      <c r="F125" t="s">
        <v>147</v>
      </c>
      <c r="H125" t="s">
        <v>633</v>
      </c>
      <c r="I125">
        <v>33</v>
      </c>
      <c r="J125">
        <v>344</v>
      </c>
      <c r="L125">
        <v>0</v>
      </c>
      <c r="M125">
        <v>0</v>
      </c>
      <c r="O125">
        <v>0</v>
      </c>
      <c r="P125">
        <v>0</v>
      </c>
      <c r="S125" t="s">
        <v>622</v>
      </c>
      <c r="T125">
        <v>4</v>
      </c>
      <c r="V125">
        <v>0</v>
      </c>
      <c r="AB125" t="s">
        <v>632</v>
      </c>
      <c r="AH125">
        <v>695327</v>
      </c>
      <c r="AI125">
        <v>89963</v>
      </c>
      <c r="AJ125">
        <v>89963</v>
      </c>
      <c r="AK125">
        <v>35.057051729000001</v>
      </c>
      <c r="AM125">
        <v>1091</v>
      </c>
      <c r="AS125">
        <v>5</v>
      </c>
      <c r="AT125">
        <v>1</v>
      </c>
      <c r="AV125">
        <v>11</v>
      </c>
      <c r="AW125">
        <v>5</v>
      </c>
      <c r="AX125">
        <v>0</v>
      </c>
      <c r="AY125">
        <v>1.29</v>
      </c>
      <c r="AZ125">
        <v>217</v>
      </c>
      <c r="BA125">
        <v>82</v>
      </c>
      <c r="BB125">
        <v>0</v>
      </c>
      <c r="BP125" t="s">
        <v>151</v>
      </c>
      <c r="BQ125">
        <v>1.1000000000000001</v>
      </c>
      <c r="BR125" t="s">
        <v>623</v>
      </c>
      <c r="BS125" t="s">
        <v>149</v>
      </c>
      <c r="BT125" t="s">
        <v>153</v>
      </c>
      <c r="BU125" t="s">
        <v>150</v>
      </c>
      <c r="BV125" t="s">
        <v>154</v>
      </c>
      <c r="BW125" t="s">
        <v>155</v>
      </c>
      <c r="BX125">
        <v>200</v>
      </c>
      <c r="BY125">
        <v>200</v>
      </c>
      <c r="BZ125" t="s">
        <v>632</v>
      </c>
      <c r="CA125" t="s">
        <v>623</v>
      </c>
      <c r="CB125" t="s">
        <v>149</v>
      </c>
      <c r="CC125" t="s">
        <v>156</v>
      </c>
      <c r="CD125" t="s">
        <v>157</v>
      </c>
      <c r="CJ125" t="s">
        <v>632</v>
      </c>
      <c r="CK125" t="s">
        <v>625</v>
      </c>
    </row>
    <row r="126" spans="1:89" x14ac:dyDescent="0.3">
      <c r="A126" t="s">
        <v>634</v>
      </c>
      <c r="B126" t="s">
        <v>6</v>
      </c>
      <c r="C126" t="s">
        <v>145</v>
      </c>
      <c r="D126">
        <v>200</v>
      </c>
      <c r="E126" t="s">
        <v>146</v>
      </c>
      <c r="F126" t="s">
        <v>147</v>
      </c>
      <c r="H126" t="s">
        <v>635</v>
      </c>
      <c r="I126">
        <v>33</v>
      </c>
      <c r="J126">
        <v>344</v>
      </c>
      <c r="L126">
        <v>0</v>
      </c>
      <c r="M126">
        <v>0</v>
      </c>
      <c r="O126">
        <v>0</v>
      </c>
      <c r="P126">
        <v>0</v>
      </c>
      <c r="S126" t="s">
        <v>622</v>
      </c>
      <c r="T126">
        <v>4</v>
      </c>
      <c r="V126">
        <v>0</v>
      </c>
      <c r="AB126" t="s">
        <v>634</v>
      </c>
      <c r="AH126">
        <v>695810</v>
      </c>
      <c r="AI126">
        <v>90428</v>
      </c>
      <c r="AJ126">
        <v>90428</v>
      </c>
      <c r="AK126">
        <v>35.238254324000003</v>
      </c>
      <c r="AM126">
        <v>1090</v>
      </c>
      <c r="AS126">
        <v>5</v>
      </c>
      <c r="AT126">
        <v>1</v>
      </c>
      <c r="AV126">
        <v>11</v>
      </c>
      <c r="AW126">
        <v>5</v>
      </c>
      <c r="AX126">
        <v>0</v>
      </c>
      <c r="AY126">
        <v>1.29</v>
      </c>
      <c r="AZ126">
        <v>217</v>
      </c>
      <c r="BA126">
        <v>82</v>
      </c>
      <c r="BB126">
        <v>0</v>
      </c>
      <c r="BP126" t="s">
        <v>151</v>
      </c>
      <c r="BQ126">
        <v>1.1000000000000001</v>
      </c>
      <c r="BR126" t="s">
        <v>623</v>
      </c>
      <c r="BS126" t="s">
        <v>149</v>
      </c>
      <c r="BT126" t="s">
        <v>153</v>
      </c>
      <c r="BU126" t="s">
        <v>150</v>
      </c>
      <c r="BV126" t="s">
        <v>154</v>
      </c>
      <c r="BW126" t="s">
        <v>155</v>
      </c>
      <c r="BX126">
        <v>200</v>
      </c>
      <c r="BY126">
        <v>200</v>
      </c>
      <c r="BZ126" t="s">
        <v>634</v>
      </c>
      <c r="CA126" t="s">
        <v>623</v>
      </c>
      <c r="CB126" t="s">
        <v>149</v>
      </c>
      <c r="CC126" t="s">
        <v>156</v>
      </c>
      <c r="CD126" t="s">
        <v>157</v>
      </c>
      <c r="CJ126" t="s">
        <v>634</v>
      </c>
      <c r="CK126" t="s">
        <v>606</v>
      </c>
    </row>
    <row r="127" spans="1:89" x14ac:dyDescent="0.3">
      <c r="A127" t="s">
        <v>636</v>
      </c>
      <c r="B127" t="s">
        <v>6</v>
      </c>
      <c r="C127" t="s">
        <v>145</v>
      </c>
      <c r="D127">
        <v>200</v>
      </c>
      <c r="E127" t="s">
        <v>146</v>
      </c>
      <c r="F127" t="s">
        <v>147</v>
      </c>
      <c r="H127" t="s">
        <v>637</v>
      </c>
      <c r="I127">
        <v>33</v>
      </c>
      <c r="J127">
        <v>344</v>
      </c>
      <c r="L127">
        <v>0</v>
      </c>
      <c r="M127">
        <v>0</v>
      </c>
      <c r="O127">
        <v>0</v>
      </c>
      <c r="P127">
        <v>0</v>
      </c>
      <c r="S127" t="s">
        <v>622</v>
      </c>
      <c r="T127">
        <v>4</v>
      </c>
      <c r="V127">
        <v>0</v>
      </c>
      <c r="AB127" t="s">
        <v>636</v>
      </c>
      <c r="AH127">
        <v>694552</v>
      </c>
      <c r="AI127">
        <v>90185</v>
      </c>
      <c r="AJ127">
        <v>90185</v>
      </c>
      <c r="AK127">
        <v>35.143561355000003</v>
      </c>
      <c r="AM127">
        <v>1088</v>
      </c>
      <c r="AS127">
        <v>6</v>
      </c>
      <c r="AT127">
        <v>1</v>
      </c>
      <c r="AV127">
        <v>11</v>
      </c>
      <c r="AW127">
        <v>5</v>
      </c>
      <c r="AX127">
        <v>0</v>
      </c>
      <c r="AY127">
        <v>1.29</v>
      </c>
      <c r="AZ127">
        <v>217</v>
      </c>
      <c r="BA127">
        <v>82</v>
      </c>
      <c r="BB127">
        <v>0</v>
      </c>
      <c r="BP127" t="s">
        <v>151</v>
      </c>
      <c r="BQ127">
        <v>1.1000000000000001</v>
      </c>
      <c r="BR127" t="s">
        <v>623</v>
      </c>
      <c r="BS127" t="s">
        <v>149</v>
      </c>
      <c r="BT127" t="s">
        <v>153</v>
      </c>
      <c r="BU127" t="s">
        <v>150</v>
      </c>
      <c r="BV127" t="s">
        <v>154</v>
      </c>
      <c r="BW127" t="s">
        <v>155</v>
      </c>
      <c r="BX127">
        <v>200</v>
      </c>
      <c r="BY127">
        <v>200</v>
      </c>
      <c r="BZ127" t="s">
        <v>636</v>
      </c>
      <c r="CA127" t="s">
        <v>623</v>
      </c>
      <c r="CB127" t="s">
        <v>149</v>
      </c>
      <c r="CC127" t="s">
        <v>156</v>
      </c>
      <c r="CD127" t="s">
        <v>157</v>
      </c>
      <c r="CJ127" t="s">
        <v>636</v>
      </c>
      <c r="CK127" t="s">
        <v>521</v>
      </c>
    </row>
    <row r="128" spans="1:89" x14ac:dyDescent="0.3">
      <c r="A128" t="s">
        <v>638</v>
      </c>
      <c r="B128" t="s">
        <v>6</v>
      </c>
      <c r="C128" t="s">
        <v>145</v>
      </c>
      <c r="D128">
        <v>200</v>
      </c>
      <c r="E128" t="s">
        <v>146</v>
      </c>
      <c r="F128" t="s">
        <v>147</v>
      </c>
      <c r="H128" t="s">
        <v>639</v>
      </c>
      <c r="I128">
        <v>33</v>
      </c>
      <c r="J128">
        <v>344</v>
      </c>
      <c r="L128">
        <v>0</v>
      </c>
      <c r="M128">
        <v>0</v>
      </c>
      <c r="O128">
        <v>0</v>
      </c>
      <c r="P128">
        <v>0</v>
      </c>
      <c r="S128" t="s">
        <v>622</v>
      </c>
      <c r="T128">
        <v>4</v>
      </c>
      <c r="V128">
        <v>0</v>
      </c>
      <c r="AB128" t="s">
        <v>638</v>
      </c>
      <c r="AH128">
        <v>694743</v>
      </c>
      <c r="AI128">
        <v>89377</v>
      </c>
      <c r="AJ128">
        <v>89377</v>
      </c>
      <c r="AK128">
        <v>34.828697491</v>
      </c>
      <c r="AM128">
        <v>1089</v>
      </c>
      <c r="AS128">
        <v>6</v>
      </c>
      <c r="AT128">
        <v>1</v>
      </c>
      <c r="AV128">
        <v>11</v>
      </c>
      <c r="AW128">
        <v>5</v>
      </c>
      <c r="AX128">
        <v>0</v>
      </c>
      <c r="AY128">
        <v>1.29</v>
      </c>
      <c r="AZ128">
        <v>217</v>
      </c>
      <c r="BA128">
        <v>82</v>
      </c>
      <c r="BB128">
        <v>0</v>
      </c>
      <c r="BP128" t="s">
        <v>151</v>
      </c>
      <c r="BQ128">
        <v>1.1000000000000001</v>
      </c>
      <c r="BR128" t="s">
        <v>623</v>
      </c>
      <c r="BS128" t="s">
        <v>149</v>
      </c>
      <c r="BT128" t="s">
        <v>153</v>
      </c>
      <c r="BU128" t="s">
        <v>150</v>
      </c>
      <c r="BV128" t="s">
        <v>154</v>
      </c>
      <c r="BW128" t="s">
        <v>155</v>
      </c>
      <c r="BX128">
        <v>200</v>
      </c>
      <c r="BY128">
        <v>200</v>
      </c>
      <c r="BZ128" t="s">
        <v>638</v>
      </c>
      <c r="CA128" t="s">
        <v>623</v>
      </c>
      <c r="CB128" t="s">
        <v>149</v>
      </c>
      <c r="CC128" t="s">
        <v>156</v>
      </c>
      <c r="CD128" t="s">
        <v>157</v>
      </c>
      <c r="CJ128" t="s">
        <v>638</v>
      </c>
      <c r="CK128" t="s">
        <v>616</v>
      </c>
    </row>
    <row r="129" spans="1:89" x14ac:dyDescent="0.3">
      <c r="A129" t="s">
        <v>640</v>
      </c>
      <c r="B129" t="s">
        <v>6</v>
      </c>
      <c r="C129" t="s">
        <v>145</v>
      </c>
      <c r="D129">
        <v>200</v>
      </c>
      <c r="E129" t="s">
        <v>146</v>
      </c>
      <c r="F129" t="s">
        <v>147</v>
      </c>
      <c r="H129" t="s">
        <v>641</v>
      </c>
      <c r="I129">
        <v>33</v>
      </c>
      <c r="J129">
        <v>344</v>
      </c>
      <c r="L129">
        <v>0</v>
      </c>
      <c r="M129">
        <v>0</v>
      </c>
      <c r="O129">
        <v>0</v>
      </c>
      <c r="P129">
        <v>0</v>
      </c>
      <c r="S129" t="s">
        <v>622</v>
      </c>
      <c r="T129">
        <v>4</v>
      </c>
      <c r="V129">
        <v>0</v>
      </c>
      <c r="AB129" t="s">
        <v>640</v>
      </c>
      <c r="AH129">
        <v>698731</v>
      </c>
      <c r="AI129">
        <v>90480</v>
      </c>
      <c r="AJ129">
        <v>90480</v>
      </c>
      <c r="AK129">
        <v>35.258517840000003</v>
      </c>
      <c r="AM129">
        <v>1106</v>
      </c>
      <c r="AS129">
        <v>5</v>
      </c>
      <c r="AT129">
        <v>1</v>
      </c>
      <c r="AV129">
        <v>11</v>
      </c>
      <c r="AW129">
        <v>5</v>
      </c>
      <c r="AX129">
        <v>0</v>
      </c>
      <c r="AY129">
        <v>1.29</v>
      </c>
      <c r="AZ129">
        <v>216</v>
      </c>
      <c r="BA129">
        <v>81</v>
      </c>
      <c r="BB129">
        <v>0</v>
      </c>
      <c r="BP129" t="s">
        <v>151</v>
      </c>
      <c r="BQ129">
        <v>1.1000000000000001</v>
      </c>
      <c r="BR129" t="s">
        <v>623</v>
      </c>
      <c r="BS129" t="s">
        <v>149</v>
      </c>
      <c r="BT129" t="s">
        <v>153</v>
      </c>
      <c r="BU129" t="s">
        <v>150</v>
      </c>
      <c r="BV129" t="s">
        <v>154</v>
      </c>
      <c r="BW129" t="s">
        <v>155</v>
      </c>
      <c r="BX129">
        <v>200</v>
      </c>
      <c r="BY129">
        <v>200</v>
      </c>
      <c r="BZ129" t="s">
        <v>640</v>
      </c>
      <c r="CA129" t="s">
        <v>623</v>
      </c>
      <c r="CB129" t="s">
        <v>149</v>
      </c>
      <c r="CC129" t="s">
        <v>156</v>
      </c>
      <c r="CD129" t="s">
        <v>157</v>
      </c>
      <c r="CJ129" t="s">
        <v>640</v>
      </c>
      <c r="CK129" t="s">
        <v>606</v>
      </c>
    </row>
    <row r="130" spans="1:89" x14ac:dyDescent="0.3">
      <c r="A130" t="s">
        <v>642</v>
      </c>
      <c r="B130" t="s">
        <v>6</v>
      </c>
      <c r="C130" t="s">
        <v>145</v>
      </c>
      <c r="D130">
        <v>200</v>
      </c>
      <c r="E130" t="s">
        <v>146</v>
      </c>
      <c r="F130" t="s">
        <v>147</v>
      </c>
      <c r="H130" t="s">
        <v>643</v>
      </c>
      <c r="I130">
        <v>33</v>
      </c>
      <c r="J130">
        <v>344</v>
      </c>
      <c r="L130">
        <v>0</v>
      </c>
      <c r="M130">
        <v>0</v>
      </c>
      <c r="O130">
        <v>0</v>
      </c>
      <c r="P130">
        <v>0</v>
      </c>
      <c r="S130" t="s">
        <v>622</v>
      </c>
      <c r="T130">
        <v>4</v>
      </c>
      <c r="V130">
        <v>0</v>
      </c>
      <c r="AB130" t="s">
        <v>642</v>
      </c>
      <c r="AH130">
        <v>703533</v>
      </c>
      <c r="AI130">
        <v>89230</v>
      </c>
      <c r="AJ130">
        <v>89230</v>
      </c>
      <c r="AK130">
        <v>34.77141409</v>
      </c>
      <c r="AM130">
        <v>1170</v>
      </c>
      <c r="AS130">
        <v>5</v>
      </c>
      <c r="AT130">
        <v>1</v>
      </c>
      <c r="AV130">
        <v>10</v>
      </c>
      <c r="AW130">
        <v>4</v>
      </c>
      <c r="AX130">
        <v>0</v>
      </c>
      <c r="AY130">
        <v>1.03</v>
      </c>
      <c r="AZ130">
        <v>215</v>
      </c>
      <c r="BA130">
        <v>80</v>
      </c>
      <c r="BB130">
        <v>0</v>
      </c>
      <c r="BP130" t="s">
        <v>151</v>
      </c>
      <c r="BQ130">
        <v>1.1000000000000001</v>
      </c>
      <c r="BR130" t="s">
        <v>623</v>
      </c>
      <c r="BS130" t="s">
        <v>149</v>
      </c>
      <c r="BT130" t="s">
        <v>153</v>
      </c>
      <c r="BU130" t="s">
        <v>150</v>
      </c>
      <c r="BV130" t="s">
        <v>154</v>
      </c>
      <c r="BW130" t="s">
        <v>155</v>
      </c>
      <c r="BX130">
        <v>200</v>
      </c>
      <c r="BY130">
        <v>200</v>
      </c>
      <c r="BZ130" t="s">
        <v>642</v>
      </c>
      <c r="CA130" t="s">
        <v>623</v>
      </c>
      <c r="CB130" t="s">
        <v>149</v>
      </c>
      <c r="CC130" t="s">
        <v>156</v>
      </c>
      <c r="CD130" t="s">
        <v>157</v>
      </c>
      <c r="CJ130" t="s">
        <v>642</v>
      </c>
      <c r="CK130" t="s">
        <v>644</v>
      </c>
    </row>
    <row r="131" spans="1:89" x14ac:dyDescent="0.3">
      <c r="A131" t="s">
        <v>645</v>
      </c>
      <c r="B131" t="s">
        <v>6</v>
      </c>
      <c r="C131" t="s">
        <v>145</v>
      </c>
      <c r="D131">
        <v>200</v>
      </c>
      <c r="E131" t="s">
        <v>146</v>
      </c>
      <c r="F131" t="s">
        <v>147</v>
      </c>
      <c r="H131" t="s">
        <v>646</v>
      </c>
      <c r="I131">
        <v>26</v>
      </c>
      <c r="J131">
        <v>288</v>
      </c>
      <c r="L131">
        <v>0</v>
      </c>
      <c r="M131">
        <v>0</v>
      </c>
      <c r="O131">
        <v>0</v>
      </c>
      <c r="P131">
        <v>0</v>
      </c>
      <c r="S131" t="s">
        <v>647</v>
      </c>
      <c r="T131">
        <v>6</v>
      </c>
      <c r="V131">
        <v>0</v>
      </c>
      <c r="AB131" t="s">
        <v>645</v>
      </c>
      <c r="AH131">
        <v>527677</v>
      </c>
      <c r="AI131">
        <v>83920</v>
      </c>
      <c r="AJ131">
        <v>83920</v>
      </c>
      <c r="AK131">
        <v>32.70219736</v>
      </c>
      <c r="AM131">
        <v>546</v>
      </c>
      <c r="AS131">
        <v>3</v>
      </c>
      <c r="AT131">
        <v>1</v>
      </c>
      <c r="AV131">
        <v>11</v>
      </c>
      <c r="AW131">
        <v>5</v>
      </c>
      <c r="AX131">
        <v>0</v>
      </c>
      <c r="AY131">
        <v>1.29</v>
      </c>
      <c r="AZ131">
        <v>210</v>
      </c>
      <c r="BA131">
        <v>76</v>
      </c>
      <c r="BB131">
        <v>0</v>
      </c>
      <c r="BP131" t="s">
        <v>151</v>
      </c>
      <c r="BQ131">
        <v>1.1000000000000001</v>
      </c>
      <c r="BR131" t="s">
        <v>648</v>
      </c>
      <c r="BS131" t="s">
        <v>149</v>
      </c>
      <c r="BT131" t="s">
        <v>153</v>
      </c>
      <c r="BU131" t="s">
        <v>150</v>
      </c>
      <c r="BV131" t="s">
        <v>154</v>
      </c>
      <c r="BW131" t="s">
        <v>155</v>
      </c>
      <c r="BX131">
        <v>200</v>
      </c>
      <c r="BY131">
        <v>200</v>
      </c>
      <c r="BZ131" t="s">
        <v>645</v>
      </c>
      <c r="CA131" t="s">
        <v>648</v>
      </c>
      <c r="CB131" t="s">
        <v>149</v>
      </c>
      <c r="CC131" t="s">
        <v>156</v>
      </c>
      <c r="CD131" t="s">
        <v>157</v>
      </c>
      <c r="CJ131" t="s">
        <v>645</v>
      </c>
      <c r="CK131" t="s">
        <v>422</v>
      </c>
    </row>
    <row r="132" spans="1:89" x14ac:dyDescent="0.3">
      <c r="A132" t="s">
        <v>649</v>
      </c>
      <c r="B132" t="s">
        <v>6</v>
      </c>
      <c r="C132" t="s">
        <v>145</v>
      </c>
      <c r="D132">
        <v>200</v>
      </c>
      <c r="E132" t="s">
        <v>146</v>
      </c>
      <c r="F132" t="s">
        <v>147</v>
      </c>
      <c r="H132" t="s">
        <v>650</v>
      </c>
      <c r="I132">
        <v>22</v>
      </c>
      <c r="J132">
        <v>219</v>
      </c>
      <c r="L132">
        <v>0</v>
      </c>
      <c r="M132">
        <v>0</v>
      </c>
      <c r="O132">
        <v>0</v>
      </c>
      <c r="P132">
        <v>0</v>
      </c>
      <c r="S132" t="s">
        <v>651</v>
      </c>
      <c r="T132">
        <v>2</v>
      </c>
      <c r="V132">
        <v>0</v>
      </c>
      <c r="AB132" t="s">
        <v>649</v>
      </c>
      <c r="AH132">
        <v>382256</v>
      </c>
      <c r="AI132">
        <v>72986</v>
      </c>
      <c r="AJ132">
        <v>72986</v>
      </c>
      <c r="AK132">
        <v>28.441403437999998</v>
      </c>
      <c r="AM132">
        <v>302</v>
      </c>
      <c r="AS132">
        <v>1</v>
      </c>
      <c r="AT132">
        <v>1</v>
      </c>
      <c r="AV132">
        <v>1027</v>
      </c>
      <c r="AW132">
        <v>387</v>
      </c>
      <c r="AX132">
        <v>0</v>
      </c>
      <c r="AY132">
        <v>100</v>
      </c>
      <c r="AZ132">
        <v>185</v>
      </c>
      <c r="BA132">
        <v>62</v>
      </c>
      <c r="BB132">
        <v>0</v>
      </c>
      <c r="BP132" t="s">
        <v>151</v>
      </c>
      <c r="BQ132">
        <v>1.1000000000000001</v>
      </c>
      <c r="BR132" t="s">
        <v>652</v>
      </c>
      <c r="BS132" t="s">
        <v>149</v>
      </c>
      <c r="BT132" t="s">
        <v>153</v>
      </c>
      <c r="BU132" t="s">
        <v>150</v>
      </c>
      <c r="BV132" t="s">
        <v>154</v>
      </c>
      <c r="BW132" t="s">
        <v>155</v>
      </c>
      <c r="BX132">
        <v>200</v>
      </c>
      <c r="BY132">
        <v>200</v>
      </c>
      <c r="BZ132" t="s">
        <v>649</v>
      </c>
      <c r="CA132" t="s">
        <v>652</v>
      </c>
      <c r="CB132" t="s">
        <v>149</v>
      </c>
      <c r="CC132" t="s">
        <v>156</v>
      </c>
      <c r="CD132" t="s">
        <v>157</v>
      </c>
      <c r="CJ132" t="s">
        <v>649</v>
      </c>
      <c r="CK132" t="s">
        <v>653</v>
      </c>
    </row>
    <row r="133" spans="1:89" x14ac:dyDescent="0.3">
      <c r="A133" t="s">
        <v>654</v>
      </c>
      <c r="B133" t="s">
        <v>6</v>
      </c>
      <c r="C133" t="s">
        <v>145</v>
      </c>
      <c r="D133">
        <v>200</v>
      </c>
      <c r="E133" t="s">
        <v>146</v>
      </c>
      <c r="F133" t="s">
        <v>147</v>
      </c>
      <c r="H133" t="s">
        <v>655</v>
      </c>
      <c r="I133">
        <v>24</v>
      </c>
      <c r="J133">
        <v>259</v>
      </c>
      <c r="L133">
        <v>0</v>
      </c>
      <c r="M133">
        <v>0</v>
      </c>
      <c r="O133">
        <v>0</v>
      </c>
      <c r="P133">
        <v>0</v>
      </c>
      <c r="S133" t="s">
        <v>656</v>
      </c>
      <c r="T133">
        <v>4</v>
      </c>
      <c r="V133">
        <v>0</v>
      </c>
      <c r="AB133" t="s">
        <v>654</v>
      </c>
      <c r="AH133">
        <v>427278</v>
      </c>
      <c r="AI133">
        <v>78393</v>
      </c>
      <c r="AJ133">
        <v>78393</v>
      </c>
      <c r="AK133">
        <v>30.548419418999998</v>
      </c>
      <c r="AM133">
        <v>418</v>
      </c>
      <c r="AS133">
        <v>1</v>
      </c>
      <c r="AT133">
        <v>1</v>
      </c>
      <c r="AV133">
        <v>1029</v>
      </c>
      <c r="AW133">
        <v>387</v>
      </c>
      <c r="AX133">
        <v>0</v>
      </c>
      <c r="AY133">
        <v>100</v>
      </c>
      <c r="AZ133">
        <v>187</v>
      </c>
      <c r="BA133">
        <v>63</v>
      </c>
      <c r="BB133">
        <v>0</v>
      </c>
      <c r="BP133" t="s">
        <v>151</v>
      </c>
      <c r="BQ133">
        <v>1.1000000000000001</v>
      </c>
      <c r="BR133" t="s">
        <v>657</v>
      </c>
      <c r="BS133" t="s">
        <v>149</v>
      </c>
      <c r="BT133" t="s">
        <v>153</v>
      </c>
      <c r="BU133" t="s">
        <v>150</v>
      </c>
      <c r="BV133" t="s">
        <v>154</v>
      </c>
      <c r="BW133" t="s">
        <v>155</v>
      </c>
      <c r="BX133">
        <v>200</v>
      </c>
      <c r="BY133">
        <v>200</v>
      </c>
      <c r="BZ133" t="s">
        <v>654</v>
      </c>
      <c r="CA133" t="s">
        <v>657</v>
      </c>
      <c r="CB133" t="s">
        <v>149</v>
      </c>
      <c r="CC133" t="s">
        <v>156</v>
      </c>
      <c r="CD133" t="s">
        <v>157</v>
      </c>
      <c r="CJ133" t="s">
        <v>654</v>
      </c>
      <c r="CK133" t="s">
        <v>658</v>
      </c>
    </row>
    <row r="134" spans="1:89" x14ac:dyDescent="0.3">
      <c r="A134" t="s">
        <v>659</v>
      </c>
      <c r="B134" t="s">
        <v>6</v>
      </c>
      <c r="C134" t="s">
        <v>145</v>
      </c>
      <c r="D134">
        <v>200</v>
      </c>
      <c r="E134" t="s">
        <v>146</v>
      </c>
      <c r="F134" t="s">
        <v>147</v>
      </c>
      <c r="H134" t="s">
        <v>660</v>
      </c>
      <c r="I134">
        <v>27</v>
      </c>
      <c r="J134">
        <v>297</v>
      </c>
      <c r="L134">
        <v>0</v>
      </c>
      <c r="M134">
        <v>0</v>
      </c>
      <c r="O134">
        <v>0</v>
      </c>
      <c r="P134">
        <v>0</v>
      </c>
      <c r="S134" t="s">
        <v>661</v>
      </c>
      <c r="T134">
        <v>7</v>
      </c>
      <c r="V134">
        <v>0</v>
      </c>
      <c r="AB134" t="s">
        <v>659</v>
      </c>
      <c r="AH134">
        <v>381880</v>
      </c>
      <c r="AI134">
        <v>73230</v>
      </c>
      <c r="AJ134">
        <v>73230</v>
      </c>
      <c r="AK134">
        <v>28.53648609</v>
      </c>
      <c r="AM134">
        <v>303</v>
      </c>
      <c r="AS134">
        <v>2</v>
      </c>
      <c r="AT134">
        <v>1</v>
      </c>
      <c r="AV134">
        <v>252</v>
      </c>
      <c r="AW134">
        <v>123</v>
      </c>
      <c r="AX134">
        <v>0</v>
      </c>
      <c r="AY134">
        <v>31.78</v>
      </c>
      <c r="AZ134">
        <v>184</v>
      </c>
      <c r="BA134">
        <v>62</v>
      </c>
      <c r="BB134">
        <v>0</v>
      </c>
      <c r="BP134" t="s">
        <v>151</v>
      </c>
      <c r="BQ134">
        <v>1.1000000000000001</v>
      </c>
      <c r="BR134" t="s">
        <v>662</v>
      </c>
      <c r="BS134" t="s">
        <v>149</v>
      </c>
      <c r="BT134" t="s">
        <v>153</v>
      </c>
      <c r="BU134" t="s">
        <v>150</v>
      </c>
      <c r="BV134" t="s">
        <v>154</v>
      </c>
      <c r="BW134" t="s">
        <v>155</v>
      </c>
      <c r="BX134">
        <v>200</v>
      </c>
      <c r="BY134">
        <v>200</v>
      </c>
      <c r="BZ134" t="s">
        <v>659</v>
      </c>
      <c r="CA134" t="s">
        <v>662</v>
      </c>
      <c r="CB134" t="s">
        <v>149</v>
      </c>
      <c r="CC134" t="s">
        <v>156</v>
      </c>
      <c r="CD134" t="s">
        <v>157</v>
      </c>
      <c r="CJ134" t="s">
        <v>659</v>
      </c>
      <c r="CK134" t="s">
        <v>663</v>
      </c>
    </row>
    <row r="135" spans="1:89" x14ac:dyDescent="0.3">
      <c r="A135" t="s">
        <v>664</v>
      </c>
      <c r="B135" t="s">
        <v>6</v>
      </c>
      <c r="C135" t="s">
        <v>145</v>
      </c>
      <c r="D135">
        <v>200</v>
      </c>
      <c r="E135" t="s">
        <v>146</v>
      </c>
      <c r="F135" t="s">
        <v>147</v>
      </c>
      <c r="H135" t="s">
        <v>665</v>
      </c>
      <c r="I135">
        <v>32</v>
      </c>
      <c r="J135">
        <v>393</v>
      </c>
      <c r="L135">
        <v>0</v>
      </c>
      <c r="M135">
        <v>0</v>
      </c>
      <c r="O135">
        <v>0</v>
      </c>
      <c r="P135">
        <v>0</v>
      </c>
      <c r="S135" t="s">
        <v>666</v>
      </c>
      <c r="T135">
        <v>12</v>
      </c>
      <c r="V135">
        <v>0</v>
      </c>
      <c r="AB135" t="s">
        <v>664</v>
      </c>
      <c r="AH135">
        <v>466478</v>
      </c>
      <c r="AI135">
        <v>80347</v>
      </c>
      <c r="AJ135">
        <v>80347</v>
      </c>
      <c r="AK135">
        <v>31.309860001000001</v>
      </c>
      <c r="AM135">
        <v>513</v>
      </c>
      <c r="AS135">
        <v>2</v>
      </c>
      <c r="AT135">
        <v>1</v>
      </c>
      <c r="AV135">
        <v>255</v>
      </c>
      <c r="AW135">
        <v>124</v>
      </c>
      <c r="AX135">
        <v>0</v>
      </c>
      <c r="AY135">
        <v>32.04</v>
      </c>
      <c r="AZ135">
        <v>191</v>
      </c>
      <c r="BA135">
        <v>65</v>
      </c>
      <c r="BB135">
        <v>0</v>
      </c>
      <c r="BP135" t="s">
        <v>151</v>
      </c>
      <c r="BQ135">
        <v>1.1000000000000001</v>
      </c>
      <c r="BR135" t="s">
        <v>667</v>
      </c>
      <c r="BS135" t="s">
        <v>149</v>
      </c>
      <c r="BT135" t="s">
        <v>153</v>
      </c>
      <c r="BU135" t="s">
        <v>150</v>
      </c>
      <c r="BV135" t="s">
        <v>154</v>
      </c>
      <c r="BW135" t="s">
        <v>155</v>
      </c>
      <c r="BX135">
        <v>200</v>
      </c>
      <c r="BY135">
        <v>200</v>
      </c>
      <c r="BZ135" t="s">
        <v>664</v>
      </c>
      <c r="CA135" t="s">
        <v>667</v>
      </c>
      <c r="CB135" t="s">
        <v>149</v>
      </c>
      <c r="CC135" t="s">
        <v>156</v>
      </c>
      <c r="CD135" t="s">
        <v>157</v>
      </c>
      <c r="CJ135" t="s">
        <v>664</v>
      </c>
      <c r="CK135" t="s">
        <v>663</v>
      </c>
    </row>
    <row r="136" spans="1:89" x14ac:dyDescent="0.3">
      <c r="A136" t="s">
        <v>668</v>
      </c>
      <c r="B136" t="s">
        <v>6</v>
      </c>
      <c r="C136" t="s">
        <v>145</v>
      </c>
      <c r="D136">
        <v>200</v>
      </c>
      <c r="E136" t="s">
        <v>146</v>
      </c>
      <c r="F136" t="s">
        <v>147</v>
      </c>
      <c r="H136" t="s">
        <v>669</v>
      </c>
      <c r="I136">
        <v>29</v>
      </c>
      <c r="J136">
        <v>359</v>
      </c>
      <c r="L136">
        <v>0</v>
      </c>
      <c r="M136">
        <v>0</v>
      </c>
      <c r="O136">
        <v>0</v>
      </c>
      <c r="P136">
        <v>0</v>
      </c>
      <c r="S136" t="s">
        <v>670</v>
      </c>
      <c r="T136">
        <v>9</v>
      </c>
      <c r="V136">
        <v>0</v>
      </c>
      <c r="AB136" t="s">
        <v>668</v>
      </c>
      <c r="AH136">
        <v>609984</v>
      </c>
      <c r="AI136">
        <v>87386</v>
      </c>
      <c r="AJ136">
        <v>87386</v>
      </c>
      <c r="AK136">
        <v>34.052838637999997</v>
      </c>
      <c r="AM136">
        <v>809</v>
      </c>
      <c r="AS136">
        <v>1</v>
      </c>
      <c r="AT136">
        <v>1</v>
      </c>
      <c r="AV136">
        <v>1034</v>
      </c>
      <c r="AW136">
        <v>387</v>
      </c>
      <c r="AX136">
        <v>0</v>
      </c>
      <c r="AY136">
        <v>100</v>
      </c>
      <c r="AZ136">
        <v>213</v>
      </c>
      <c r="BA136">
        <v>76</v>
      </c>
      <c r="BB136">
        <v>0</v>
      </c>
      <c r="BP136" t="s">
        <v>151</v>
      </c>
      <c r="BQ136">
        <v>1.1000000000000001</v>
      </c>
      <c r="BR136" t="s">
        <v>671</v>
      </c>
      <c r="BS136" t="s">
        <v>149</v>
      </c>
      <c r="BT136" t="s">
        <v>153</v>
      </c>
      <c r="BU136" t="s">
        <v>150</v>
      </c>
      <c r="BV136" t="s">
        <v>154</v>
      </c>
      <c r="BW136" t="s">
        <v>155</v>
      </c>
      <c r="BX136">
        <v>200</v>
      </c>
      <c r="BY136">
        <v>200</v>
      </c>
      <c r="BZ136" t="s">
        <v>668</v>
      </c>
      <c r="CA136" t="s">
        <v>671</v>
      </c>
      <c r="CB136" t="s">
        <v>149</v>
      </c>
      <c r="CC136" t="s">
        <v>156</v>
      </c>
      <c r="CD136" t="s">
        <v>157</v>
      </c>
      <c r="CJ136" t="s">
        <v>668</v>
      </c>
      <c r="CK136" t="s">
        <v>178</v>
      </c>
    </row>
    <row r="137" spans="1:89" x14ac:dyDescent="0.3">
      <c r="A137" t="s">
        <v>672</v>
      </c>
      <c r="B137" t="s">
        <v>6</v>
      </c>
      <c r="C137" t="s">
        <v>145</v>
      </c>
      <c r="D137">
        <v>200</v>
      </c>
      <c r="E137" t="s">
        <v>146</v>
      </c>
      <c r="F137" t="s">
        <v>161</v>
      </c>
      <c r="G137" t="s">
        <v>226</v>
      </c>
      <c r="H137" t="s">
        <v>669</v>
      </c>
      <c r="I137">
        <v>29</v>
      </c>
      <c r="J137">
        <v>359</v>
      </c>
      <c r="L137">
        <v>0</v>
      </c>
      <c r="M137">
        <v>0</v>
      </c>
      <c r="O137">
        <v>0</v>
      </c>
      <c r="P137">
        <v>0</v>
      </c>
      <c r="S137" t="s">
        <v>670</v>
      </c>
      <c r="T137">
        <v>9</v>
      </c>
      <c r="V137">
        <v>0</v>
      </c>
      <c r="AB137" t="s">
        <v>668</v>
      </c>
      <c r="AH137">
        <v>610033</v>
      </c>
      <c r="AI137">
        <v>87044</v>
      </c>
      <c r="AJ137">
        <v>87044</v>
      </c>
      <c r="AK137">
        <v>33.919567051999998</v>
      </c>
      <c r="AM137">
        <v>809</v>
      </c>
      <c r="AS137">
        <v>3</v>
      </c>
      <c r="AT137">
        <v>1</v>
      </c>
      <c r="AV137">
        <v>8</v>
      </c>
      <c r="AW137">
        <v>3</v>
      </c>
      <c r="AX137">
        <v>0</v>
      </c>
      <c r="AY137">
        <v>0.78</v>
      </c>
      <c r="AZ137">
        <v>213</v>
      </c>
      <c r="BA137">
        <v>77</v>
      </c>
      <c r="BB137">
        <v>0</v>
      </c>
      <c r="BP137" t="s">
        <v>151</v>
      </c>
      <c r="BQ137">
        <v>1.1000000000000001</v>
      </c>
      <c r="BR137" t="s">
        <v>671</v>
      </c>
      <c r="BS137" t="s">
        <v>149</v>
      </c>
      <c r="BT137" t="s">
        <v>153</v>
      </c>
      <c r="BU137" t="s">
        <v>150</v>
      </c>
      <c r="BV137" t="s">
        <v>154</v>
      </c>
      <c r="BW137" t="s">
        <v>155</v>
      </c>
      <c r="BX137">
        <v>200</v>
      </c>
      <c r="BY137">
        <v>200</v>
      </c>
      <c r="BZ137" t="s">
        <v>668</v>
      </c>
      <c r="CA137" t="s">
        <v>671</v>
      </c>
      <c r="CB137" t="s">
        <v>149</v>
      </c>
      <c r="CC137" t="s">
        <v>156</v>
      </c>
      <c r="CD137" t="s">
        <v>157</v>
      </c>
      <c r="CJ137" t="s">
        <v>672</v>
      </c>
      <c r="CK137" t="s">
        <v>673</v>
      </c>
    </row>
    <row r="138" spans="1:89" x14ac:dyDescent="0.3">
      <c r="A138" t="s">
        <v>674</v>
      </c>
      <c r="B138" t="s">
        <v>6</v>
      </c>
      <c r="C138" t="s">
        <v>145</v>
      </c>
      <c r="D138">
        <v>200</v>
      </c>
      <c r="E138" t="s">
        <v>146</v>
      </c>
      <c r="F138" t="s">
        <v>147</v>
      </c>
      <c r="H138" t="s">
        <v>675</v>
      </c>
      <c r="I138">
        <v>38</v>
      </c>
      <c r="J138">
        <v>444</v>
      </c>
      <c r="L138">
        <v>0</v>
      </c>
      <c r="M138">
        <v>0</v>
      </c>
      <c r="O138">
        <v>0</v>
      </c>
      <c r="P138">
        <v>0</v>
      </c>
      <c r="S138" t="s">
        <v>670</v>
      </c>
      <c r="T138">
        <v>9</v>
      </c>
      <c r="V138">
        <v>0</v>
      </c>
      <c r="AB138" t="s">
        <v>674</v>
      </c>
      <c r="AH138">
        <v>615446</v>
      </c>
      <c r="AI138">
        <v>87654</v>
      </c>
      <c r="AJ138">
        <v>87654</v>
      </c>
      <c r="AK138">
        <v>34.157273682000003</v>
      </c>
      <c r="AM138">
        <v>843</v>
      </c>
      <c r="AS138">
        <v>2</v>
      </c>
      <c r="AT138">
        <v>1</v>
      </c>
      <c r="AV138">
        <v>11</v>
      </c>
      <c r="AW138">
        <v>4</v>
      </c>
      <c r="AX138">
        <v>0</v>
      </c>
      <c r="AY138">
        <v>1.03</v>
      </c>
      <c r="AZ138">
        <v>214</v>
      </c>
      <c r="BA138">
        <v>77</v>
      </c>
      <c r="BB138">
        <v>0</v>
      </c>
      <c r="BP138" t="s">
        <v>151</v>
      </c>
      <c r="BQ138">
        <v>1.1000000000000001</v>
      </c>
      <c r="BR138" t="s">
        <v>671</v>
      </c>
      <c r="BS138" t="s">
        <v>149</v>
      </c>
      <c r="BT138" t="s">
        <v>153</v>
      </c>
      <c r="BU138" t="s">
        <v>150</v>
      </c>
      <c r="BV138" t="s">
        <v>154</v>
      </c>
      <c r="BW138" t="s">
        <v>155</v>
      </c>
      <c r="BX138">
        <v>200</v>
      </c>
      <c r="BY138">
        <v>200</v>
      </c>
      <c r="BZ138" t="s">
        <v>674</v>
      </c>
      <c r="CA138" t="s">
        <v>671</v>
      </c>
      <c r="CB138" t="s">
        <v>149</v>
      </c>
      <c r="CC138" t="s">
        <v>156</v>
      </c>
      <c r="CD138" t="s">
        <v>157</v>
      </c>
      <c r="CJ138" t="s">
        <v>674</v>
      </c>
      <c r="CK138" t="s">
        <v>676</v>
      </c>
    </row>
    <row r="139" spans="1:89" x14ac:dyDescent="0.3">
      <c r="A139" t="s">
        <v>677</v>
      </c>
      <c r="B139" t="s">
        <v>6</v>
      </c>
      <c r="C139" t="s">
        <v>145</v>
      </c>
      <c r="D139">
        <v>200</v>
      </c>
      <c r="E139" t="s">
        <v>146</v>
      </c>
      <c r="F139" t="s">
        <v>147</v>
      </c>
      <c r="H139" t="s">
        <v>678</v>
      </c>
      <c r="I139">
        <v>38</v>
      </c>
      <c r="J139">
        <v>444</v>
      </c>
      <c r="L139">
        <v>0</v>
      </c>
      <c r="M139">
        <v>0</v>
      </c>
      <c r="O139">
        <v>0</v>
      </c>
      <c r="P139">
        <v>0</v>
      </c>
      <c r="S139" t="s">
        <v>670</v>
      </c>
      <c r="T139">
        <v>9</v>
      </c>
      <c r="V139">
        <v>0</v>
      </c>
      <c r="AB139" t="s">
        <v>677</v>
      </c>
      <c r="AH139">
        <v>524192</v>
      </c>
      <c r="AI139">
        <v>82038</v>
      </c>
      <c r="AJ139">
        <v>82038</v>
      </c>
      <c r="AK139">
        <v>31.968813954000002</v>
      </c>
      <c r="AM139">
        <v>738</v>
      </c>
      <c r="AS139">
        <v>2</v>
      </c>
      <c r="AT139">
        <v>1</v>
      </c>
      <c r="AV139">
        <v>9</v>
      </c>
      <c r="AW139">
        <v>4</v>
      </c>
      <c r="AX139">
        <v>0</v>
      </c>
      <c r="AY139">
        <v>1.03</v>
      </c>
      <c r="AZ139">
        <v>191</v>
      </c>
      <c r="BA139">
        <v>66</v>
      </c>
      <c r="BB139">
        <v>0</v>
      </c>
      <c r="BP139" t="s">
        <v>151</v>
      </c>
      <c r="BQ139">
        <v>1.1000000000000001</v>
      </c>
      <c r="BR139" t="s">
        <v>671</v>
      </c>
      <c r="BS139" t="s">
        <v>149</v>
      </c>
      <c r="BT139" t="s">
        <v>153</v>
      </c>
      <c r="BU139" t="s">
        <v>150</v>
      </c>
      <c r="BV139" t="s">
        <v>154</v>
      </c>
      <c r="BW139" t="s">
        <v>155</v>
      </c>
      <c r="BX139">
        <v>200</v>
      </c>
      <c r="BY139">
        <v>200</v>
      </c>
      <c r="BZ139" t="s">
        <v>677</v>
      </c>
      <c r="CA139" t="s">
        <v>671</v>
      </c>
      <c r="CB139" t="s">
        <v>149</v>
      </c>
      <c r="CC139" t="s">
        <v>156</v>
      </c>
      <c r="CD139" t="s">
        <v>157</v>
      </c>
      <c r="CJ139" t="s">
        <v>677</v>
      </c>
      <c r="CK139" t="s">
        <v>676</v>
      </c>
    </row>
    <row r="140" spans="1:89" x14ac:dyDescent="0.3">
      <c r="A140" t="s">
        <v>679</v>
      </c>
      <c r="B140" t="s">
        <v>6</v>
      </c>
      <c r="C140" t="s">
        <v>145</v>
      </c>
      <c r="D140">
        <v>200</v>
      </c>
      <c r="E140" t="s">
        <v>146</v>
      </c>
      <c r="F140" t="s">
        <v>147</v>
      </c>
      <c r="H140" t="s">
        <v>680</v>
      </c>
      <c r="I140">
        <v>24</v>
      </c>
      <c r="J140">
        <v>259</v>
      </c>
      <c r="L140">
        <v>0</v>
      </c>
      <c r="M140">
        <v>0</v>
      </c>
      <c r="O140">
        <v>0</v>
      </c>
      <c r="P140">
        <v>0</v>
      </c>
      <c r="S140" t="s">
        <v>681</v>
      </c>
      <c r="T140">
        <v>4</v>
      </c>
      <c r="V140">
        <v>0</v>
      </c>
      <c r="AB140" t="s">
        <v>679</v>
      </c>
      <c r="AH140">
        <v>475359</v>
      </c>
      <c r="AI140">
        <v>81703</v>
      </c>
      <c r="AJ140">
        <v>81703</v>
      </c>
      <c r="AK140">
        <v>31.838270149</v>
      </c>
      <c r="AM140">
        <v>482</v>
      </c>
      <c r="AS140">
        <v>1</v>
      </c>
      <c r="AT140">
        <v>1</v>
      </c>
      <c r="AV140">
        <v>1028</v>
      </c>
      <c r="AW140">
        <v>387</v>
      </c>
      <c r="AX140">
        <v>0</v>
      </c>
      <c r="AY140">
        <v>100</v>
      </c>
      <c r="AZ140">
        <v>198</v>
      </c>
      <c r="BA140">
        <v>68</v>
      </c>
      <c r="BB140">
        <v>0</v>
      </c>
      <c r="BP140" t="s">
        <v>151</v>
      </c>
      <c r="BQ140">
        <v>1.1000000000000001</v>
      </c>
      <c r="BR140" t="s">
        <v>682</v>
      </c>
      <c r="BS140" t="s">
        <v>149</v>
      </c>
      <c r="BT140" t="s">
        <v>153</v>
      </c>
      <c r="BU140" t="s">
        <v>150</v>
      </c>
      <c r="BV140" t="s">
        <v>154</v>
      </c>
      <c r="BW140" t="s">
        <v>155</v>
      </c>
      <c r="BX140">
        <v>200</v>
      </c>
      <c r="BY140">
        <v>200</v>
      </c>
      <c r="BZ140" t="s">
        <v>679</v>
      </c>
      <c r="CA140" t="s">
        <v>682</v>
      </c>
      <c r="CB140" t="s">
        <v>149</v>
      </c>
      <c r="CC140" t="s">
        <v>156</v>
      </c>
      <c r="CD140" t="s">
        <v>157</v>
      </c>
      <c r="CJ140" t="s">
        <v>679</v>
      </c>
      <c r="CK140" t="s">
        <v>467</v>
      </c>
    </row>
    <row r="141" spans="1:89" x14ac:dyDescent="0.3">
      <c r="A141" t="s">
        <v>683</v>
      </c>
      <c r="B141" t="s">
        <v>6</v>
      </c>
      <c r="C141" t="s">
        <v>145</v>
      </c>
      <c r="D141">
        <v>200</v>
      </c>
      <c r="E141" t="s">
        <v>146</v>
      </c>
      <c r="F141" t="s">
        <v>147</v>
      </c>
      <c r="H141" t="s">
        <v>684</v>
      </c>
      <c r="I141">
        <v>27</v>
      </c>
      <c r="J141">
        <v>308</v>
      </c>
      <c r="L141">
        <v>0</v>
      </c>
      <c r="M141">
        <v>0</v>
      </c>
      <c r="O141">
        <v>0</v>
      </c>
      <c r="P141">
        <v>0</v>
      </c>
      <c r="S141" t="s">
        <v>685</v>
      </c>
      <c r="T141">
        <v>7</v>
      </c>
      <c r="V141">
        <v>0</v>
      </c>
      <c r="AB141" t="s">
        <v>683</v>
      </c>
      <c r="AH141">
        <v>479690</v>
      </c>
      <c r="AI141">
        <v>81979</v>
      </c>
      <c r="AJ141">
        <v>81979</v>
      </c>
      <c r="AK141">
        <v>31.945822657000001</v>
      </c>
      <c r="AM141">
        <v>501</v>
      </c>
      <c r="AS141">
        <v>1</v>
      </c>
      <c r="AT141">
        <v>1</v>
      </c>
      <c r="AV141">
        <v>1028</v>
      </c>
      <c r="AW141">
        <v>387</v>
      </c>
      <c r="AX141">
        <v>0</v>
      </c>
      <c r="AY141">
        <v>100</v>
      </c>
      <c r="AZ141">
        <v>198</v>
      </c>
      <c r="BA141">
        <v>68</v>
      </c>
      <c r="BB141">
        <v>0</v>
      </c>
      <c r="BP141" t="s">
        <v>151</v>
      </c>
      <c r="BQ141">
        <v>1.1000000000000001</v>
      </c>
      <c r="BR141" t="s">
        <v>686</v>
      </c>
      <c r="BS141" t="s">
        <v>149</v>
      </c>
      <c r="BT141" t="s">
        <v>153</v>
      </c>
      <c r="BU141" t="s">
        <v>150</v>
      </c>
      <c r="BV141" t="s">
        <v>154</v>
      </c>
      <c r="BW141" t="s">
        <v>155</v>
      </c>
      <c r="BX141">
        <v>200</v>
      </c>
      <c r="BY141">
        <v>200</v>
      </c>
      <c r="BZ141" t="s">
        <v>683</v>
      </c>
      <c r="CA141" t="s">
        <v>686</v>
      </c>
      <c r="CB141" t="s">
        <v>149</v>
      </c>
      <c r="CC141" t="s">
        <v>156</v>
      </c>
      <c r="CD141" t="s">
        <v>157</v>
      </c>
      <c r="CJ141" t="s">
        <v>683</v>
      </c>
      <c r="CK141" t="s">
        <v>653</v>
      </c>
    </row>
    <row r="142" spans="1:89" x14ac:dyDescent="0.3">
      <c r="A142" t="s">
        <v>687</v>
      </c>
      <c r="B142" t="s">
        <v>6</v>
      </c>
      <c r="C142" t="s">
        <v>145</v>
      </c>
      <c r="D142">
        <v>200</v>
      </c>
      <c r="E142" t="s">
        <v>146</v>
      </c>
      <c r="F142" t="s">
        <v>147</v>
      </c>
      <c r="H142" t="s">
        <v>688</v>
      </c>
      <c r="I142">
        <v>26</v>
      </c>
      <c r="J142">
        <v>299</v>
      </c>
      <c r="L142">
        <v>0</v>
      </c>
      <c r="M142">
        <v>0</v>
      </c>
      <c r="O142">
        <v>0</v>
      </c>
      <c r="P142">
        <v>0</v>
      </c>
      <c r="S142" t="s">
        <v>689</v>
      </c>
      <c r="T142">
        <v>6</v>
      </c>
      <c r="V142">
        <v>0</v>
      </c>
      <c r="AB142" t="s">
        <v>687</v>
      </c>
      <c r="AH142">
        <v>616072</v>
      </c>
      <c r="AI142">
        <v>87417</v>
      </c>
      <c r="AJ142">
        <v>87417</v>
      </c>
      <c r="AK142">
        <v>34.064918811000013</v>
      </c>
      <c r="AM142">
        <v>827</v>
      </c>
      <c r="AS142">
        <v>2</v>
      </c>
      <c r="AT142">
        <v>1</v>
      </c>
      <c r="AV142">
        <v>257</v>
      </c>
      <c r="AW142">
        <v>123</v>
      </c>
      <c r="AX142">
        <v>0</v>
      </c>
      <c r="AY142">
        <v>31.78</v>
      </c>
      <c r="AZ142">
        <v>211</v>
      </c>
      <c r="BA142">
        <v>75</v>
      </c>
      <c r="BB142">
        <v>0</v>
      </c>
      <c r="BP142" t="s">
        <v>151</v>
      </c>
      <c r="BQ142">
        <v>1.1000000000000001</v>
      </c>
      <c r="BR142" t="s">
        <v>690</v>
      </c>
      <c r="BS142" t="s">
        <v>149</v>
      </c>
      <c r="BT142" t="s">
        <v>153</v>
      </c>
      <c r="BU142" t="s">
        <v>150</v>
      </c>
      <c r="BV142" t="s">
        <v>154</v>
      </c>
      <c r="BW142" t="s">
        <v>155</v>
      </c>
      <c r="BX142">
        <v>200</v>
      </c>
      <c r="BY142">
        <v>200</v>
      </c>
      <c r="BZ142" t="s">
        <v>687</v>
      </c>
      <c r="CA142" t="s">
        <v>690</v>
      </c>
      <c r="CB142" t="s">
        <v>149</v>
      </c>
      <c r="CC142" t="s">
        <v>156</v>
      </c>
      <c r="CD142" t="s">
        <v>157</v>
      </c>
      <c r="CJ142" t="s">
        <v>687</v>
      </c>
      <c r="CK142" t="s">
        <v>407</v>
      </c>
    </row>
    <row r="143" spans="1:89" x14ac:dyDescent="0.3">
      <c r="A143" t="s">
        <v>691</v>
      </c>
      <c r="B143" t="s">
        <v>6</v>
      </c>
      <c r="C143" t="s">
        <v>145</v>
      </c>
      <c r="D143">
        <v>200</v>
      </c>
      <c r="E143" t="s">
        <v>146</v>
      </c>
      <c r="F143" t="s">
        <v>161</v>
      </c>
      <c r="G143" t="s">
        <v>226</v>
      </c>
      <c r="H143" t="s">
        <v>688</v>
      </c>
      <c r="I143">
        <v>26</v>
      </c>
      <c r="J143">
        <v>299</v>
      </c>
      <c r="L143">
        <v>0</v>
      </c>
      <c r="M143">
        <v>0</v>
      </c>
      <c r="O143">
        <v>0</v>
      </c>
      <c r="P143">
        <v>0</v>
      </c>
      <c r="S143" t="s">
        <v>689</v>
      </c>
      <c r="T143">
        <v>6</v>
      </c>
      <c r="V143">
        <v>0</v>
      </c>
      <c r="AB143" t="s">
        <v>687</v>
      </c>
      <c r="AH143">
        <v>616121</v>
      </c>
      <c r="AI143">
        <v>87810</v>
      </c>
      <c r="AJ143">
        <v>87810</v>
      </c>
      <c r="AK143">
        <v>34.218064230000003</v>
      </c>
      <c r="AM143">
        <v>827</v>
      </c>
      <c r="AS143">
        <v>4</v>
      </c>
      <c r="AT143">
        <v>1</v>
      </c>
      <c r="AV143">
        <v>7</v>
      </c>
      <c r="AW143">
        <v>2</v>
      </c>
      <c r="AX143">
        <v>0</v>
      </c>
      <c r="AY143">
        <v>0.52</v>
      </c>
      <c r="AZ143">
        <v>211</v>
      </c>
      <c r="BA143">
        <v>76</v>
      </c>
      <c r="BB143">
        <v>0</v>
      </c>
      <c r="BP143" t="s">
        <v>151</v>
      </c>
      <c r="BQ143">
        <v>1.1000000000000001</v>
      </c>
      <c r="BR143" t="s">
        <v>690</v>
      </c>
      <c r="BS143" t="s">
        <v>149</v>
      </c>
      <c r="BT143" t="s">
        <v>153</v>
      </c>
      <c r="BU143" t="s">
        <v>150</v>
      </c>
      <c r="BV143" t="s">
        <v>154</v>
      </c>
      <c r="BW143" t="s">
        <v>155</v>
      </c>
      <c r="BX143">
        <v>200</v>
      </c>
      <c r="BY143">
        <v>200</v>
      </c>
      <c r="BZ143" t="s">
        <v>687</v>
      </c>
      <c r="CA143" t="s">
        <v>690</v>
      </c>
      <c r="CB143" t="s">
        <v>149</v>
      </c>
      <c r="CC143" t="s">
        <v>156</v>
      </c>
      <c r="CD143" t="s">
        <v>157</v>
      </c>
      <c r="CJ143" t="s">
        <v>691</v>
      </c>
      <c r="CK143" t="s">
        <v>409</v>
      </c>
    </row>
    <row r="144" spans="1:89" x14ac:dyDescent="0.3">
      <c r="A144" t="s">
        <v>692</v>
      </c>
      <c r="B144" t="s">
        <v>6</v>
      </c>
      <c r="C144" t="s">
        <v>145</v>
      </c>
      <c r="D144">
        <v>200</v>
      </c>
      <c r="E144" t="s">
        <v>146</v>
      </c>
      <c r="F144" t="s">
        <v>147</v>
      </c>
      <c r="H144" t="s">
        <v>693</v>
      </c>
      <c r="I144">
        <v>35</v>
      </c>
      <c r="J144">
        <v>384</v>
      </c>
      <c r="L144">
        <v>0</v>
      </c>
      <c r="M144">
        <v>0</v>
      </c>
      <c r="O144">
        <v>0</v>
      </c>
      <c r="P144">
        <v>0</v>
      </c>
      <c r="S144" t="s">
        <v>689</v>
      </c>
      <c r="T144">
        <v>6</v>
      </c>
      <c r="V144">
        <v>0</v>
      </c>
      <c r="AB144" t="s">
        <v>692</v>
      </c>
      <c r="AH144">
        <v>559911</v>
      </c>
      <c r="AI144">
        <v>84756</v>
      </c>
      <c r="AJ144">
        <v>84756</v>
      </c>
      <c r="AK144">
        <v>33.027972347999999</v>
      </c>
      <c r="AM144">
        <v>778</v>
      </c>
      <c r="AS144">
        <v>3</v>
      </c>
      <c r="AT144">
        <v>1</v>
      </c>
      <c r="AV144">
        <v>9</v>
      </c>
      <c r="AW144">
        <v>3</v>
      </c>
      <c r="AX144">
        <v>0</v>
      </c>
      <c r="AY144">
        <v>0.78</v>
      </c>
      <c r="AZ144">
        <v>197</v>
      </c>
      <c r="BA144">
        <v>69</v>
      </c>
      <c r="BB144">
        <v>0</v>
      </c>
      <c r="BP144" t="s">
        <v>151</v>
      </c>
      <c r="BQ144">
        <v>1.1000000000000001</v>
      </c>
      <c r="BR144" t="s">
        <v>690</v>
      </c>
      <c r="BS144" t="s">
        <v>149</v>
      </c>
      <c r="BT144" t="s">
        <v>153</v>
      </c>
      <c r="BU144" t="s">
        <v>150</v>
      </c>
      <c r="BV144" t="s">
        <v>154</v>
      </c>
      <c r="BW144" t="s">
        <v>155</v>
      </c>
      <c r="BX144">
        <v>200</v>
      </c>
      <c r="BY144">
        <v>200</v>
      </c>
      <c r="BZ144" t="s">
        <v>692</v>
      </c>
      <c r="CA144" t="s">
        <v>690</v>
      </c>
      <c r="CB144" t="s">
        <v>149</v>
      </c>
      <c r="CC144" t="s">
        <v>156</v>
      </c>
      <c r="CD144" t="s">
        <v>157</v>
      </c>
      <c r="CJ144" t="s">
        <v>692</v>
      </c>
      <c r="CK144" t="s">
        <v>412</v>
      </c>
    </row>
    <row r="145" spans="1:89" x14ac:dyDescent="0.3">
      <c r="A145" t="s">
        <v>694</v>
      </c>
      <c r="B145" t="s">
        <v>6</v>
      </c>
      <c r="C145" t="s">
        <v>145</v>
      </c>
      <c r="D145">
        <v>200</v>
      </c>
      <c r="E145" t="s">
        <v>146</v>
      </c>
      <c r="F145" t="s">
        <v>147</v>
      </c>
      <c r="H145" t="s">
        <v>695</v>
      </c>
      <c r="I145">
        <v>23</v>
      </c>
      <c r="J145">
        <v>239</v>
      </c>
      <c r="L145">
        <v>0</v>
      </c>
      <c r="M145">
        <v>0</v>
      </c>
      <c r="O145">
        <v>0</v>
      </c>
      <c r="P145">
        <v>0</v>
      </c>
      <c r="S145" t="s">
        <v>696</v>
      </c>
      <c r="T145">
        <v>3</v>
      </c>
      <c r="V145">
        <v>0</v>
      </c>
      <c r="AB145" t="s">
        <v>694</v>
      </c>
      <c r="AH145">
        <v>427986</v>
      </c>
      <c r="AI145">
        <v>78879</v>
      </c>
      <c r="AJ145">
        <v>78879</v>
      </c>
      <c r="AK145">
        <v>30.737805356999999</v>
      </c>
      <c r="AM145">
        <v>401</v>
      </c>
      <c r="AS145">
        <v>1</v>
      </c>
      <c r="AT145">
        <v>1</v>
      </c>
      <c r="AV145">
        <v>1028</v>
      </c>
      <c r="AW145">
        <v>387</v>
      </c>
      <c r="AX145">
        <v>0</v>
      </c>
      <c r="AY145">
        <v>100</v>
      </c>
      <c r="AZ145">
        <v>190</v>
      </c>
      <c r="BA145">
        <v>64</v>
      </c>
      <c r="BB145">
        <v>0</v>
      </c>
      <c r="BP145" t="s">
        <v>151</v>
      </c>
      <c r="BQ145">
        <v>1.1000000000000001</v>
      </c>
      <c r="BR145" t="s">
        <v>697</v>
      </c>
      <c r="BS145" t="s">
        <v>149</v>
      </c>
      <c r="BT145" t="s">
        <v>153</v>
      </c>
      <c r="BU145" t="s">
        <v>150</v>
      </c>
      <c r="BV145" t="s">
        <v>154</v>
      </c>
      <c r="BW145" t="s">
        <v>155</v>
      </c>
      <c r="BX145">
        <v>200</v>
      </c>
      <c r="BY145">
        <v>200</v>
      </c>
      <c r="BZ145" t="s">
        <v>694</v>
      </c>
      <c r="CA145" t="s">
        <v>697</v>
      </c>
      <c r="CB145" t="s">
        <v>149</v>
      </c>
      <c r="CC145" t="s">
        <v>156</v>
      </c>
      <c r="CD145" t="s">
        <v>157</v>
      </c>
      <c r="CJ145" t="s">
        <v>694</v>
      </c>
      <c r="CK145" t="s">
        <v>653</v>
      </c>
    </row>
    <row r="146" spans="1:89" x14ac:dyDescent="0.3">
      <c r="A146" t="s">
        <v>698</v>
      </c>
      <c r="B146" t="s">
        <v>6</v>
      </c>
      <c r="C146" t="s">
        <v>145</v>
      </c>
      <c r="D146">
        <v>200</v>
      </c>
      <c r="E146" t="s">
        <v>146</v>
      </c>
      <c r="F146" t="s">
        <v>147</v>
      </c>
      <c r="H146" t="s">
        <v>699</v>
      </c>
      <c r="I146">
        <v>22</v>
      </c>
      <c r="J146">
        <v>219</v>
      </c>
      <c r="L146">
        <v>0</v>
      </c>
      <c r="M146">
        <v>0</v>
      </c>
      <c r="O146">
        <v>0</v>
      </c>
      <c r="P146">
        <v>0</v>
      </c>
      <c r="S146" t="s">
        <v>700</v>
      </c>
      <c r="T146">
        <v>2</v>
      </c>
      <c r="V146">
        <v>0</v>
      </c>
      <c r="AB146" t="s">
        <v>698</v>
      </c>
      <c r="AH146">
        <v>417022</v>
      </c>
      <c r="AI146">
        <v>78440</v>
      </c>
      <c r="AJ146">
        <v>78440</v>
      </c>
      <c r="AK146">
        <v>30.566734520000001</v>
      </c>
      <c r="AM146">
        <v>382</v>
      </c>
      <c r="AS146">
        <v>1</v>
      </c>
      <c r="AT146">
        <v>1</v>
      </c>
      <c r="AV146">
        <v>1028</v>
      </c>
      <c r="AW146">
        <v>387</v>
      </c>
      <c r="AX146">
        <v>0</v>
      </c>
      <c r="AY146">
        <v>100</v>
      </c>
      <c r="AZ146">
        <v>188</v>
      </c>
      <c r="BA146">
        <v>63</v>
      </c>
      <c r="BB146">
        <v>0</v>
      </c>
      <c r="BP146" t="s">
        <v>151</v>
      </c>
      <c r="BQ146">
        <v>1.1000000000000001</v>
      </c>
      <c r="BR146" t="s">
        <v>701</v>
      </c>
      <c r="BS146" t="s">
        <v>149</v>
      </c>
      <c r="BT146" t="s">
        <v>153</v>
      </c>
      <c r="BU146" t="s">
        <v>150</v>
      </c>
      <c r="BV146" t="s">
        <v>154</v>
      </c>
      <c r="BW146" t="s">
        <v>155</v>
      </c>
      <c r="BX146">
        <v>200</v>
      </c>
      <c r="BY146">
        <v>200</v>
      </c>
      <c r="BZ146" t="s">
        <v>698</v>
      </c>
      <c r="CA146" t="s">
        <v>701</v>
      </c>
      <c r="CB146" t="s">
        <v>149</v>
      </c>
      <c r="CC146" t="s">
        <v>156</v>
      </c>
      <c r="CD146" t="s">
        <v>157</v>
      </c>
      <c r="CJ146" t="s">
        <v>698</v>
      </c>
      <c r="CK146" t="s">
        <v>546</v>
      </c>
    </row>
    <row r="147" spans="1:89" x14ac:dyDescent="0.3">
      <c r="A147" t="s">
        <v>702</v>
      </c>
      <c r="B147" t="s">
        <v>6</v>
      </c>
      <c r="C147" t="s">
        <v>145</v>
      </c>
      <c r="D147">
        <v>200</v>
      </c>
      <c r="E147" t="s">
        <v>146</v>
      </c>
      <c r="F147" t="s">
        <v>147</v>
      </c>
      <c r="H147" t="s">
        <v>703</v>
      </c>
      <c r="I147">
        <v>22</v>
      </c>
      <c r="J147">
        <v>219</v>
      </c>
      <c r="L147">
        <v>0</v>
      </c>
      <c r="M147">
        <v>0</v>
      </c>
      <c r="O147">
        <v>0</v>
      </c>
      <c r="P147">
        <v>0</v>
      </c>
      <c r="S147" t="s">
        <v>704</v>
      </c>
      <c r="T147">
        <v>2</v>
      </c>
      <c r="V147">
        <v>0</v>
      </c>
      <c r="AB147" t="s">
        <v>702</v>
      </c>
      <c r="AH147">
        <v>477828</v>
      </c>
      <c r="AI147">
        <v>81696</v>
      </c>
      <c r="AJ147">
        <v>81696</v>
      </c>
      <c r="AK147">
        <v>31.835542367999999</v>
      </c>
      <c r="AM147">
        <v>472</v>
      </c>
      <c r="AS147">
        <v>4</v>
      </c>
      <c r="AT147">
        <v>1</v>
      </c>
      <c r="AV147">
        <v>8</v>
      </c>
      <c r="AW147">
        <v>2</v>
      </c>
      <c r="AX147">
        <v>0</v>
      </c>
      <c r="AY147">
        <v>0.52</v>
      </c>
      <c r="AZ147">
        <v>200</v>
      </c>
      <c r="BA147">
        <v>71</v>
      </c>
      <c r="BB147">
        <v>0</v>
      </c>
      <c r="BP147" t="s">
        <v>151</v>
      </c>
      <c r="BQ147">
        <v>1.1000000000000001</v>
      </c>
      <c r="BR147" t="s">
        <v>705</v>
      </c>
      <c r="BS147" t="s">
        <v>149</v>
      </c>
      <c r="BT147" t="s">
        <v>153</v>
      </c>
      <c r="BU147" t="s">
        <v>150</v>
      </c>
      <c r="BV147" t="s">
        <v>154</v>
      </c>
      <c r="BW147" t="s">
        <v>155</v>
      </c>
      <c r="BX147">
        <v>200</v>
      </c>
      <c r="BY147">
        <v>200</v>
      </c>
      <c r="BZ147" t="s">
        <v>702</v>
      </c>
      <c r="CA147" t="s">
        <v>705</v>
      </c>
      <c r="CB147" t="s">
        <v>149</v>
      </c>
      <c r="CC147" t="s">
        <v>156</v>
      </c>
      <c r="CD147" t="s">
        <v>157</v>
      </c>
      <c r="CJ147" t="s">
        <v>702</v>
      </c>
      <c r="CK147" t="s">
        <v>614</v>
      </c>
    </row>
    <row r="148" spans="1:89" x14ac:dyDescent="0.3">
      <c r="A148" t="s">
        <v>706</v>
      </c>
      <c r="B148" t="s">
        <v>6</v>
      </c>
      <c r="C148" t="s">
        <v>145</v>
      </c>
      <c r="D148">
        <v>200</v>
      </c>
      <c r="E148" t="s">
        <v>146</v>
      </c>
      <c r="F148" t="s">
        <v>147</v>
      </c>
      <c r="H148" t="s">
        <v>707</v>
      </c>
      <c r="I148">
        <v>25</v>
      </c>
      <c r="J148">
        <v>268</v>
      </c>
      <c r="L148">
        <v>0</v>
      </c>
      <c r="M148">
        <v>0</v>
      </c>
      <c r="O148">
        <v>0</v>
      </c>
      <c r="P148">
        <v>0</v>
      </c>
      <c r="S148" t="s">
        <v>708</v>
      </c>
      <c r="T148">
        <v>5</v>
      </c>
      <c r="V148">
        <v>0</v>
      </c>
      <c r="AB148" t="s">
        <v>706</v>
      </c>
      <c r="AH148">
        <v>580844</v>
      </c>
      <c r="AI148">
        <v>86546</v>
      </c>
      <c r="AJ148">
        <v>86546</v>
      </c>
      <c r="AK148">
        <v>33.725504917999999</v>
      </c>
      <c r="AM148">
        <v>714</v>
      </c>
      <c r="AS148">
        <v>1</v>
      </c>
      <c r="AT148">
        <v>1</v>
      </c>
      <c r="AV148">
        <v>1039</v>
      </c>
      <c r="AW148">
        <v>387</v>
      </c>
      <c r="AX148">
        <v>0</v>
      </c>
      <c r="AY148">
        <v>100</v>
      </c>
      <c r="AZ148">
        <v>212</v>
      </c>
      <c r="BA148">
        <v>75</v>
      </c>
      <c r="BB148">
        <v>0</v>
      </c>
      <c r="BP148" t="s">
        <v>151</v>
      </c>
      <c r="BQ148">
        <v>1.1000000000000001</v>
      </c>
      <c r="BR148" t="s">
        <v>709</v>
      </c>
      <c r="BS148" t="s">
        <v>149</v>
      </c>
      <c r="BT148" t="s">
        <v>153</v>
      </c>
      <c r="BU148" t="s">
        <v>150</v>
      </c>
      <c r="BV148" t="s">
        <v>154</v>
      </c>
      <c r="BW148" t="s">
        <v>155</v>
      </c>
      <c r="BX148">
        <v>200</v>
      </c>
      <c r="BY148">
        <v>200</v>
      </c>
      <c r="BZ148" t="s">
        <v>706</v>
      </c>
      <c r="CA148" t="s">
        <v>709</v>
      </c>
      <c r="CB148" t="s">
        <v>149</v>
      </c>
      <c r="CC148" t="s">
        <v>156</v>
      </c>
      <c r="CD148" t="s">
        <v>157</v>
      </c>
      <c r="CJ148" t="s">
        <v>706</v>
      </c>
      <c r="CK148" t="s">
        <v>710</v>
      </c>
    </row>
    <row r="149" spans="1:89" x14ac:dyDescent="0.3">
      <c r="A149" t="s">
        <v>711</v>
      </c>
      <c r="B149" t="s">
        <v>6</v>
      </c>
      <c r="C149" t="s">
        <v>145</v>
      </c>
      <c r="D149">
        <v>200</v>
      </c>
      <c r="E149" t="s">
        <v>146</v>
      </c>
      <c r="F149" t="s">
        <v>161</v>
      </c>
      <c r="G149" t="s">
        <v>226</v>
      </c>
      <c r="H149" t="s">
        <v>707</v>
      </c>
      <c r="I149">
        <v>25</v>
      </c>
      <c r="J149">
        <v>268</v>
      </c>
      <c r="L149">
        <v>0</v>
      </c>
      <c r="M149">
        <v>0</v>
      </c>
      <c r="O149">
        <v>0</v>
      </c>
      <c r="P149">
        <v>0</v>
      </c>
      <c r="S149" t="s">
        <v>708</v>
      </c>
      <c r="T149">
        <v>5</v>
      </c>
      <c r="V149">
        <v>0</v>
      </c>
      <c r="AB149" t="s">
        <v>706</v>
      </c>
      <c r="AH149">
        <v>580893</v>
      </c>
      <c r="AI149">
        <v>86237</v>
      </c>
      <c r="AJ149">
        <v>86237</v>
      </c>
      <c r="AK149">
        <v>33.605092870999997</v>
      </c>
      <c r="AM149">
        <v>714</v>
      </c>
      <c r="AS149">
        <v>3</v>
      </c>
      <c r="AT149">
        <v>1</v>
      </c>
      <c r="AV149">
        <v>7</v>
      </c>
      <c r="AW149">
        <v>2</v>
      </c>
      <c r="AX149">
        <v>0</v>
      </c>
      <c r="AY149">
        <v>0.52</v>
      </c>
      <c r="AZ149">
        <v>212</v>
      </c>
      <c r="BA149">
        <v>76</v>
      </c>
      <c r="BB149">
        <v>0</v>
      </c>
      <c r="BP149" t="s">
        <v>151</v>
      </c>
      <c r="BQ149">
        <v>1.1000000000000001</v>
      </c>
      <c r="BR149" t="s">
        <v>709</v>
      </c>
      <c r="BS149" t="s">
        <v>149</v>
      </c>
      <c r="BT149" t="s">
        <v>153</v>
      </c>
      <c r="BU149" t="s">
        <v>150</v>
      </c>
      <c r="BV149" t="s">
        <v>154</v>
      </c>
      <c r="BW149" t="s">
        <v>155</v>
      </c>
      <c r="BX149">
        <v>200</v>
      </c>
      <c r="BY149">
        <v>200</v>
      </c>
      <c r="BZ149" t="s">
        <v>706</v>
      </c>
      <c r="CA149" t="s">
        <v>709</v>
      </c>
      <c r="CB149" t="s">
        <v>149</v>
      </c>
      <c r="CC149" t="s">
        <v>156</v>
      </c>
      <c r="CD149" t="s">
        <v>157</v>
      </c>
      <c r="CJ149" t="s">
        <v>711</v>
      </c>
      <c r="CK149" t="s">
        <v>515</v>
      </c>
    </row>
    <row r="150" spans="1:89" x14ac:dyDescent="0.3">
      <c r="A150" t="s">
        <v>712</v>
      </c>
      <c r="B150" t="s">
        <v>6</v>
      </c>
      <c r="C150" t="s">
        <v>145</v>
      </c>
      <c r="D150">
        <v>200</v>
      </c>
      <c r="E150" t="s">
        <v>146</v>
      </c>
      <c r="F150" t="s">
        <v>147</v>
      </c>
      <c r="H150" t="s">
        <v>713</v>
      </c>
      <c r="I150">
        <v>34</v>
      </c>
      <c r="J150">
        <v>353</v>
      </c>
      <c r="L150">
        <v>0</v>
      </c>
      <c r="M150">
        <v>0</v>
      </c>
      <c r="O150">
        <v>0</v>
      </c>
      <c r="P150">
        <v>0</v>
      </c>
      <c r="S150" t="s">
        <v>708</v>
      </c>
      <c r="T150">
        <v>5</v>
      </c>
      <c r="V150">
        <v>0</v>
      </c>
      <c r="AB150" t="s">
        <v>712</v>
      </c>
      <c r="AH150">
        <v>556412</v>
      </c>
      <c r="AI150">
        <v>85151</v>
      </c>
      <c r="AJ150">
        <v>85151</v>
      </c>
      <c r="AK150">
        <v>33.181897133</v>
      </c>
      <c r="AM150">
        <v>690</v>
      </c>
      <c r="AS150">
        <v>2</v>
      </c>
      <c r="AT150">
        <v>1</v>
      </c>
      <c r="AV150">
        <v>9</v>
      </c>
      <c r="AW150">
        <v>3</v>
      </c>
      <c r="AX150">
        <v>0</v>
      </c>
      <c r="AY150">
        <v>0.78</v>
      </c>
      <c r="AZ150">
        <v>206</v>
      </c>
      <c r="BA150">
        <v>73</v>
      </c>
      <c r="BB150">
        <v>0</v>
      </c>
      <c r="BP150" t="s">
        <v>151</v>
      </c>
      <c r="BQ150">
        <v>1.1000000000000001</v>
      </c>
      <c r="BR150" t="s">
        <v>709</v>
      </c>
      <c r="BS150" t="s">
        <v>149</v>
      </c>
      <c r="BT150" t="s">
        <v>153</v>
      </c>
      <c r="BU150" t="s">
        <v>150</v>
      </c>
      <c r="BV150" t="s">
        <v>154</v>
      </c>
      <c r="BW150" t="s">
        <v>155</v>
      </c>
      <c r="BX150">
        <v>200</v>
      </c>
      <c r="BY150">
        <v>200</v>
      </c>
      <c r="BZ150" t="s">
        <v>712</v>
      </c>
      <c r="CA150" t="s">
        <v>709</v>
      </c>
      <c r="CB150" t="s">
        <v>149</v>
      </c>
      <c r="CC150" t="s">
        <v>156</v>
      </c>
      <c r="CD150" t="s">
        <v>157</v>
      </c>
      <c r="CJ150" t="s">
        <v>712</v>
      </c>
      <c r="CK150" t="s">
        <v>714</v>
      </c>
    </row>
    <row r="151" spans="1:89" x14ac:dyDescent="0.3">
      <c r="A151" t="s">
        <v>715</v>
      </c>
      <c r="B151" t="s">
        <v>6</v>
      </c>
      <c r="C151" t="s">
        <v>145</v>
      </c>
      <c r="D151">
        <v>200</v>
      </c>
      <c r="E151" t="s">
        <v>146</v>
      </c>
      <c r="F151" t="s">
        <v>147</v>
      </c>
      <c r="H151" t="s">
        <v>716</v>
      </c>
      <c r="I151">
        <v>22</v>
      </c>
      <c r="J151">
        <v>219</v>
      </c>
      <c r="L151">
        <v>0</v>
      </c>
      <c r="M151">
        <v>0</v>
      </c>
      <c r="O151">
        <v>0</v>
      </c>
      <c r="P151">
        <v>0</v>
      </c>
      <c r="S151" t="s">
        <v>717</v>
      </c>
      <c r="T151">
        <v>2</v>
      </c>
      <c r="V151">
        <v>0</v>
      </c>
      <c r="AB151" t="s">
        <v>715</v>
      </c>
      <c r="AH151">
        <v>664440</v>
      </c>
      <c r="AI151">
        <v>88421</v>
      </c>
      <c r="AJ151">
        <v>88421</v>
      </c>
      <c r="AK151">
        <v>34.456160543000003</v>
      </c>
      <c r="AM151">
        <v>995</v>
      </c>
      <c r="AS151">
        <v>1</v>
      </c>
      <c r="AT151">
        <v>1</v>
      </c>
      <c r="AV151">
        <v>1561</v>
      </c>
      <c r="AW151">
        <v>387</v>
      </c>
      <c r="AX151">
        <v>0</v>
      </c>
      <c r="AY151">
        <v>100</v>
      </c>
      <c r="AZ151">
        <v>213</v>
      </c>
      <c r="BA151">
        <v>77</v>
      </c>
      <c r="BB151">
        <v>0</v>
      </c>
      <c r="BP151" t="s">
        <v>151</v>
      </c>
      <c r="BQ151">
        <v>1.1000000000000001</v>
      </c>
      <c r="BR151" t="s">
        <v>718</v>
      </c>
      <c r="BS151" t="s">
        <v>149</v>
      </c>
      <c r="BT151" t="s">
        <v>153</v>
      </c>
      <c r="BU151" t="s">
        <v>150</v>
      </c>
      <c r="BV151" t="s">
        <v>154</v>
      </c>
      <c r="BW151" t="s">
        <v>155</v>
      </c>
      <c r="BX151">
        <v>200</v>
      </c>
      <c r="BY151">
        <v>200</v>
      </c>
      <c r="BZ151" t="s">
        <v>715</v>
      </c>
      <c r="CA151" t="s">
        <v>718</v>
      </c>
      <c r="CB151" t="s">
        <v>149</v>
      </c>
      <c r="CC151" t="s">
        <v>156</v>
      </c>
      <c r="CD151" t="s">
        <v>157</v>
      </c>
      <c r="CJ151" t="s">
        <v>715</v>
      </c>
      <c r="CK151" t="s">
        <v>205</v>
      </c>
    </row>
    <row r="152" spans="1:89" x14ac:dyDescent="0.3">
      <c r="A152" t="s">
        <v>719</v>
      </c>
      <c r="B152" t="s">
        <v>6</v>
      </c>
      <c r="C152" t="s">
        <v>145</v>
      </c>
      <c r="D152">
        <v>200</v>
      </c>
      <c r="E152" t="s">
        <v>146</v>
      </c>
      <c r="F152" t="s">
        <v>161</v>
      </c>
      <c r="G152" t="s">
        <v>226</v>
      </c>
      <c r="H152" t="s">
        <v>716</v>
      </c>
      <c r="I152">
        <v>22</v>
      </c>
      <c r="J152">
        <v>219</v>
      </c>
      <c r="L152">
        <v>0</v>
      </c>
      <c r="M152">
        <v>0</v>
      </c>
      <c r="O152">
        <v>0</v>
      </c>
      <c r="P152">
        <v>0</v>
      </c>
      <c r="S152" t="s">
        <v>717</v>
      </c>
      <c r="T152">
        <v>2</v>
      </c>
      <c r="V152">
        <v>0</v>
      </c>
      <c r="AB152" t="s">
        <v>715</v>
      </c>
      <c r="AH152">
        <v>664489</v>
      </c>
      <c r="AI152">
        <v>88229</v>
      </c>
      <c r="AJ152">
        <v>88229</v>
      </c>
      <c r="AK152">
        <v>34.381341407000001</v>
      </c>
      <c r="AM152">
        <v>995</v>
      </c>
      <c r="AS152">
        <v>3</v>
      </c>
      <c r="AT152">
        <v>1</v>
      </c>
      <c r="AV152">
        <v>13</v>
      </c>
      <c r="AW152">
        <v>8</v>
      </c>
      <c r="AX152">
        <v>0</v>
      </c>
      <c r="AY152">
        <v>2.0699999999999998</v>
      </c>
      <c r="AZ152">
        <v>213</v>
      </c>
      <c r="BA152">
        <v>78</v>
      </c>
      <c r="BB152">
        <v>0</v>
      </c>
      <c r="BP152" t="s">
        <v>151</v>
      </c>
      <c r="BQ152">
        <v>1.1000000000000001</v>
      </c>
      <c r="BR152" t="s">
        <v>718</v>
      </c>
      <c r="BS152" t="s">
        <v>149</v>
      </c>
      <c r="BT152" t="s">
        <v>153</v>
      </c>
      <c r="BU152" t="s">
        <v>150</v>
      </c>
      <c r="BV152" t="s">
        <v>154</v>
      </c>
      <c r="BW152" t="s">
        <v>155</v>
      </c>
      <c r="BX152">
        <v>200</v>
      </c>
      <c r="BY152">
        <v>200</v>
      </c>
      <c r="BZ152" t="s">
        <v>715</v>
      </c>
      <c r="CA152" t="s">
        <v>718</v>
      </c>
      <c r="CB152" t="s">
        <v>149</v>
      </c>
      <c r="CC152" t="s">
        <v>156</v>
      </c>
      <c r="CD152" t="s">
        <v>157</v>
      </c>
      <c r="CJ152" t="s">
        <v>719</v>
      </c>
      <c r="CK152" t="s">
        <v>720</v>
      </c>
    </row>
    <row r="153" spans="1:89" x14ac:dyDescent="0.3">
      <c r="A153" t="s">
        <v>721</v>
      </c>
      <c r="B153" t="s">
        <v>6</v>
      </c>
      <c r="C153" t="s">
        <v>145</v>
      </c>
      <c r="D153">
        <v>200</v>
      </c>
      <c r="E153" t="s">
        <v>146</v>
      </c>
      <c r="F153" t="s">
        <v>147</v>
      </c>
      <c r="H153" t="s">
        <v>722</v>
      </c>
      <c r="I153">
        <v>31</v>
      </c>
      <c r="J153">
        <v>304</v>
      </c>
      <c r="L153">
        <v>0</v>
      </c>
      <c r="M153">
        <v>0</v>
      </c>
      <c r="O153">
        <v>0</v>
      </c>
      <c r="P153">
        <v>0</v>
      </c>
      <c r="S153" t="s">
        <v>717</v>
      </c>
      <c r="T153">
        <v>2</v>
      </c>
      <c r="V153">
        <v>0</v>
      </c>
      <c r="AB153" t="s">
        <v>721</v>
      </c>
      <c r="AH153">
        <v>664673</v>
      </c>
      <c r="AI153">
        <v>88440</v>
      </c>
      <c r="AJ153">
        <v>88440</v>
      </c>
      <c r="AK153">
        <v>34.463564520000013</v>
      </c>
      <c r="AM153">
        <v>992</v>
      </c>
      <c r="AS153">
        <v>2</v>
      </c>
      <c r="AT153">
        <v>1</v>
      </c>
      <c r="AV153">
        <v>12</v>
      </c>
      <c r="AW153">
        <v>5</v>
      </c>
      <c r="AX153">
        <v>0</v>
      </c>
      <c r="AY153">
        <v>1.29</v>
      </c>
      <c r="AZ153">
        <v>215</v>
      </c>
      <c r="BA153">
        <v>79</v>
      </c>
      <c r="BB153">
        <v>0</v>
      </c>
      <c r="BP153" t="s">
        <v>151</v>
      </c>
      <c r="BQ153">
        <v>1.1000000000000001</v>
      </c>
      <c r="BR153" t="s">
        <v>718</v>
      </c>
      <c r="BS153" t="s">
        <v>149</v>
      </c>
      <c r="BT153" t="s">
        <v>153</v>
      </c>
      <c r="BU153" t="s">
        <v>150</v>
      </c>
      <c r="BV153" t="s">
        <v>154</v>
      </c>
      <c r="BW153" t="s">
        <v>155</v>
      </c>
      <c r="BX153">
        <v>200</v>
      </c>
      <c r="BY153">
        <v>200</v>
      </c>
      <c r="BZ153" t="s">
        <v>721</v>
      </c>
      <c r="CA153" t="s">
        <v>718</v>
      </c>
      <c r="CB153" t="s">
        <v>149</v>
      </c>
      <c r="CC153" t="s">
        <v>156</v>
      </c>
      <c r="CD153" t="s">
        <v>157</v>
      </c>
      <c r="CJ153" t="s">
        <v>721</v>
      </c>
      <c r="CK153" t="s">
        <v>723</v>
      </c>
    </row>
    <row r="154" spans="1:89" x14ac:dyDescent="0.3">
      <c r="A154" t="s">
        <v>724</v>
      </c>
      <c r="B154" t="s">
        <v>6</v>
      </c>
      <c r="C154" t="s">
        <v>145</v>
      </c>
      <c r="D154">
        <v>200</v>
      </c>
      <c r="E154" t="s">
        <v>146</v>
      </c>
      <c r="F154" t="s">
        <v>147</v>
      </c>
      <c r="H154" t="s">
        <v>725</v>
      </c>
      <c r="I154">
        <v>31</v>
      </c>
      <c r="J154">
        <v>304</v>
      </c>
      <c r="L154">
        <v>0</v>
      </c>
      <c r="M154">
        <v>0</v>
      </c>
      <c r="O154">
        <v>0</v>
      </c>
      <c r="P154">
        <v>0</v>
      </c>
      <c r="S154" t="s">
        <v>717</v>
      </c>
      <c r="T154">
        <v>2</v>
      </c>
      <c r="V154">
        <v>0</v>
      </c>
      <c r="AB154" t="s">
        <v>724</v>
      </c>
      <c r="AH154">
        <v>665744</v>
      </c>
      <c r="AI154">
        <v>89480</v>
      </c>
      <c r="AJ154">
        <v>89480</v>
      </c>
      <c r="AK154">
        <v>34.868834839999998</v>
      </c>
      <c r="AM154">
        <v>997</v>
      </c>
      <c r="AS154">
        <v>2</v>
      </c>
      <c r="AT154">
        <v>1</v>
      </c>
      <c r="AV154">
        <v>12</v>
      </c>
      <c r="AW154">
        <v>6</v>
      </c>
      <c r="AX154">
        <v>0</v>
      </c>
      <c r="AY154">
        <v>1.55</v>
      </c>
      <c r="AZ154">
        <v>216</v>
      </c>
      <c r="BA154">
        <v>80</v>
      </c>
      <c r="BB154">
        <v>0</v>
      </c>
      <c r="BP154" t="s">
        <v>151</v>
      </c>
      <c r="BQ154">
        <v>1.1000000000000001</v>
      </c>
      <c r="BR154" t="s">
        <v>718</v>
      </c>
      <c r="BS154" t="s">
        <v>149</v>
      </c>
      <c r="BT154" t="s">
        <v>153</v>
      </c>
      <c r="BU154" t="s">
        <v>150</v>
      </c>
      <c r="BV154" t="s">
        <v>154</v>
      </c>
      <c r="BW154" t="s">
        <v>155</v>
      </c>
      <c r="BX154">
        <v>200</v>
      </c>
      <c r="BY154">
        <v>200</v>
      </c>
      <c r="BZ154" t="s">
        <v>724</v>
      </c>
      <c r="CA154" t="s">
        <v>718</v>
      </c>
      <c r="CB154" t="s">
        <v>149</v>
      </c>
      <c r="CC154" t="s">
        <v>156</v>
      </c>
      <c r="CD154" t="s">
        <v>157</v>
      </c>
      <c r="CJ154" t="s">
        <v>724</v>
      </c>
      <c r="CK154" t="s">
        <v>723</v>
      </c>
    </row>
    <row r="155" spans="1:89" x14ac:dyDescent="0.3">
      <c r="A155" t="s">
        <v>726</v>
      </c>
      <c r="B155" t="s">
        <v>6</v>
      </c>
      <c r="C155" t="s">
        <v>145</v>
      </c>
      <c r="D155">
        <v>200</v>
      </c>
      <c r="E155" t="s">
        <v>146</v>
      </c>
      <c r="F155" t="s">
        <v>147</v>
      </c>
      <c r="H155" t="s">
        <v>727</v>
      </c>
      <c r="I155">
        <v>31</v>
      </c>
      <c r="J155">
        <v>304</v>
      </c>
      <c r="L155">
        <v>0</v>
      </c>
      <c r="M155">
        <v>0</v>
      </c>
      <c r="O155">
        <v>0</v>
      </c>
      <c r="P155">
        <v>0</v>
      </c>
      <c r="S155" t="s">
        <v>717</v>
      </c>
      <c r="T155">
        <v>2</v>
      </c>
      <c r="V155">
        <v>0</v>
      </c>
      <c r="AB155" t="s">
        <v>726</v>
      </c>
      <c r="AH155">
        <v>666332</v>
      </c>
      <c r="AI155">
        <v>89635</v>
      </c>
      <c r="AJ155">
        <v>89635</v>
      </c>
      <c r="AK155">
        <v>34.929235705000004</v>
      </c>
      <c r="AM155">
        <v>995</v>
      </c>
      <c r="AS155">
        <v>3</v>
      </c>
      <c r="AT155">
        <v>1</v>
      </c>
      <c r="AV155">
        <v>11</v>
      </c>
      <c r="AW155">
        <v>5</v>
      </c>
      <c r="AX155">
        <v>0</v>
      </c>
      <c r="AY155">
        <v>1.29</v>
      </c>
      <c r="AZ155">
        <v>217</v>
      </c>
      <c r="BA155">
        <v>81</v>
      </c>
      <c r="BB155">
        <v>0</v>
      </c>
      <c r="BP155" t="s">
        <v>151</v>
      </c>
      <c r="BQ155">
        <v>1.1000000000000001</v>
      </c>
      <c r="BR155" t="s">
        <v>718</v>
      </c>
      <c r="BS155" t="s">
        <v>149</v>
      </c>
      <c r="BT155" t="s">
        <v>153</v>
      </c>
      <c r="BU155" t="s">
        <v>150</v>
      </c>
      <c r="BV155" t="s">
        <v>154</v>
      </c>
      <c r="BW155" t="s">
        <v>155</v>
      </c>
      <c r="BX155">
        <v>200</v>
      </c>
      <c r="BY155">
        <v>200</v>
      </c>
      <c r="BZ155" t="s">
        <v>726</v>
      </c>
      <c r="CA155" t="s">
        <v>718</v>
      </c>
      <c r="CB155" t="s">
        <v>149</v>
      </c>
      <c r="CC155" t="s">
        <v>156</v>
      </c>
      <c r="CD155" t="s">
        <v>157</v>
      </c>
      <c r="CJ155" t="s">
        <v>726</v>
      </c>
      <c r="CK155" t="s">
        <v>256</v>
      </c>
    </row>
    <row r="156" spans="1:89" x14ac:dyDescent="0.3">
      <c r="A156" t="s">
        <v>728</v>
      </c>
      <c r="B156" t="s">
        <v>6</v>
      </c>
      <c r="C156" t="s">
        <v>145</v>
      </c>
      <c r="D156">
        <v>200</v>
      </c>
      <c r="E156" t="s">
        <v>146</v>
      </c>
      <c r="F156" t="s">
        <v>147</v>
      </c>
      <c r="H156" t="s">
        <v>729</v>
      </c>
      <c r="I156">
        <v>31</v>
      </c>
      <c r="J156">
        <v>304</v>
      </c>
      <c r="L156">
        <v>0</v>
      </c>
      <c r="M156">
        <v>0</v>
      </c>
      <c r="O156">
        <v>0</v>
      </c>
      <c r="P156">
        <v>0</v>
      </c>
      <c r="S156" t="s">
        <v>717</v>
      </c>
      <c r="T156">
        <v>2</v>
      </c>
      <c r="V156">
        <v>0</v>
      </c>
      <c r="AB156" t="s">
        <v>728</v>
      </c>
      <c r="AH156">
        <v>666116</v>
      </c>
      <c r="AI156">
        <v>89131</v>
      </c>
      <c r="AJ156">
        <v>89131</v>
      </c>
      <c r="AK156">
        <v>34.732835473000002</v>
      </c>
      <c r="AM156">
        <v>992</v>
      </c>
      <c r="AS156">
        <v>3</v>
      </c>
      <c r="AT156">
        <v>1</v>
      </c>
      <c r="AV156">
        <v>11</v>
      </c>
      <c r="AW156">
        <v>5</v>
      </c>
      <c r="AX156">
        <v>0</v>
      </c>
      <c r="AY156">
        <v>1.29</v>
      </c>
      <c r="AZ156">
        <v>217</v>
      </c>
      <c r="BA156">
        <v>81</v>
      </c>
      <c r="BB156">
        <v>0</v>
      </c>
      <c r="BP156" t="s">
        <v>151</v>
      </c>
      <c r="BQ156">
        <v>1.1000000000000001</v>
      </c>
      <c r="BR156" t="s">
        <v>718</v>
      </c>
      <c r="BS156" t="s">
        <v>149</v>
      </c>
      <c r="BT156" t="s">
        <v>153</v>
      </c>
      <c r="BU156" t="s">
        <v>150</v>
      </c>
      <c r="BV156" t="s">
        <v>154</v>
      </c>
      <c r="BW156" t="s">
        <v>155</v>
      </c>
      <c r="BX156">
        <v>200</v>
      </c>
      <c r="BY156">
        <v>200</v>
      </c>
      <c r="BZ156" t="s">
        <v>728</v>
      </c>
      <c r="CA156" t="s">
        <v>718</v>
      </c>
      <c r="CB156" t="s">
        <v>149</v>
      </c>
      <c r="CC156" t="s">
        <v>156</v>
      </c>
      <c r="CD156" t="s">
        <v>157</v>
      </c>
      <c r="CJ156" t="s">
        <v>728</v>
      </c>
      <c r="CK156" t="s">
        <v>730</v>
      </c>
    </row>
    <row r="157" spans="1:89" x14ac:dyDescent="0.3">
      <c r="A157" t="s">
        <v>731</v>
      </c>
      <c r="B157" t="s">
        <v>6</v>
      </c>
      <c r="C157" t="s">
        <v>145</v>
      </c>
      <c r="D157">
        <v>200</v>
      </c>
      <c r="E157" t="s">
        <v>146</v>
      </c>
      <c r="F157" t="s">
        <v>147</v>
      </c>
      <c r="H157" t="s">
        <v>732</v>
      </c>
      <c r="I157">
        <v>31</v>
      </c>
      <c r="J157">
        <v>304</v>
      </c>
      <c r="L157">
        <v>0</v>
      </c>
      <c r="M157">
        <v>0</v>
      </c>
      <c r="O157">
        <v>0</v>
      </c>
      <c r="P157">
        <v>0</v>
      </c>
      <c r="S157" t="s">
        <v>717</v>
      </c>
      <c r="T157">
        <v>2</v>
      </c>
      <c r="V157">
        <v>0</v>
      </c>
      <c r="AB157" t="s">
        <v>731</v>
      </c>
      <c r="AH157">
        <v>666470</v>
      </c>
      <c r="AI157">
        <v>88695</v>
      </c>
      <c r="AJ157">
        <v>88695</v>
      </c>
      <c r="AK157">
        <v>34.562933684999997</v>
      </c>
      <c r="AM157">
        <v>994</v>
      </c>
      <c r="AS157">
        <v>3</v>
      </c>
      <c r="AT157">
        <v>1</v>
      </c>
      <c r="AV157">
        <v>11</v>
      </c>
      <c r="AW157">
        <v>5</v>
      </c>
      <c r="AX157">
        <v>0</v>
      </c>
      <c r="AY157">
        <v>1.29</v>
      </c>
      <c r="AZ157">
        <v>216</v>
      </c>
      <c r="BA157">
        <v>80</v>
      </c>
      <c r="BB157">
        <v>0</v>
      </c>
      <c r="BP157" t="s">
        <v>151</v>
      </c>
      <c r="BQ157">
        <v>1.1000000000000001</v>
      </c>
      <c r="BR157" t="s">
        <v>718</v>
      </c>
      <c r="BS157" t="s">
        <v>149</v>
      </c>
      <c r="BT157" t="s">
        <v>153</v>
      </c>
      <c r="BU157" t="s">
        <v>150</v>
      </c>
      <c r="BV157" t="s">
        <v>154</v>
      </c>
      <c r="BW157" t="s">
        <v>155</v>
      </c>
      <c r="BX157">
        <v>200</v>
      </c>
      <c r="BY157">
        <v>200</v>
      </c>
      <c r="BZ157" t="s">
        <v>731</v>
      </c>
      <c r="CA157" t="s">
        <v>718</v>
      </c>
      <c r="CB157" t="s">
        <v>149</v>
      </c>
      <c r="CC157" t="s">
        <v>156</v>
      </c>
      <c r="CD157" t="s">
        <v>157</v>
      </c>
      <c r="CJ157" t="s">
        <v>731</v>
      </c>
      <c r="CK157" t="s">
        <v>730</v>
      </c>
    </row>
    <row r="158" spans="1:89" x14ac:dyDescent="0.3">
      <c r="A158" t="s">
        <v>733</v>
      </c>
      <c r="B158" t="s">
        <v>6</v>
      </c>
      <c r="C158" t="s">
        <v>145</v>
      </c>
      <c r="D158">
        <v>200</v>
      </c>
      <c r="E158" t="s">
        <v>146</v>
      </c>
      <c r="F158" t="s">
        <v>147</v>
      </c>
      <c r="H158" t="s">
        <v>734</v>
      </c>
      <c r="I158">
        <v>31</v>
      </c>
      <c r="J158">
        <v>304</v>
      </c>
      <c r="L158">
        <v>0</v>
      </c>
      <c r="M158">
        <v>0</v>
      </c>
      <c r="O158">
        <v>0</v>
      </c>
      <c r="P158">
        <v>0</v>
      </c>
      <c r="S158" t="s">
        <v>717</v>
      </c>
      <c r="T158">
        <v>2</v>
      </c>
      <c r="V158">
        <v>0</v>
      </c>
      <c r="AB158" t="s">
        <v>733</v>
      </c>
      <c r="AH158">
        <v>672925</v>
      </c>
      <c r="AI158">
        <v>88914</v>
      </c>
      <c r="AJ158">
        <v>88914</v>
      </c>
      <c r="AK158">
        <v>34.648274262000001</v>
      </c>
      <c r="AM158">
        <v>1058</v>
      </c>
      <c r="AS158">
        <v>3</v>
      </c>
      <c r="AT158">
        <v>1</v>
      </c>
      <c r="AV158">
        <v>10</v>
      </c>
      <c r="AW158">
        <v>4</v>
      </c>
      <c r="AX158">
        <v>0</v>
      </c>
      <c r="AY158">
        <v>1.03</v>
      </c>
      <c r="AZ158">
        <v>215</v>
      </c>
      <c r="BA158">
        <v>79</v>
      </c>
      <c r="BB158">
        <v>0</v>
      </c>
      <c r="BP158" t="s">
        <v>151</v>
      </c>
      <c r="BQ158">
        <v>1.1000000000000001</v>
      </c>
      <c r="BR158" t="s">
        <v>718</v>
      </c>
      <c r="BS158" t="s">
        <v>149</v>
      </c>
      <c r="BT158" t="s">
        <v>153</v>
      </c>
      <c r="BU158" t="s">
        <v>150</v>
      </c>
      <c r="BV158" t="s">
        <v>154</v>
      </c>
      <c r="BW158" t="s">
        <v>155</v>
      </c>
      <c r="BX158">
        <v>200</v>
      </c>
      <c r="BY158">
        <v>200</v>
      </c>
      <c r="BZ158" t="s">
        <v>733</v>
      </c>
      <c r="CA158" t="s">
        <v>718</v>
      </c>
      <c r="CB158" t="s">
        <v>149</v>
      </c>
      <c r="CC158" t="s">
        <v>156</v>
      </c>
      <c r="CD158" t="s">
        <v>157</v>
      </c>
      <c r="CJ158" t="s">
        <v>733</v>
      </c>
      <c r="CK158" t="s">
        <v>720</v>
      </c>
    </row>
    <row r="159" spans="1:89" x14ac:dyDescent="0.3">
      <c r="A159" t="s">
        <v>735</v>
      </c>
      <c r="B159" t="s">
        <v>6</v>
      </c>
      <c r="C159" t="s">
        <v>145</v>
      </c>
      <c r="D159">
        <v>200</v>
      </c>
      <c r="E159" t="s">
        <v>146</v>
      </c>
      <c r="F159" t="s">
        <v>147</v>
      </c>
      <c r="H159" t="s">
        <v>736</v>
      </c>
      <c r="I159">
        <v>31</v>
      </c>
      <c r="J159">
        <v>304</v>
      </c>
      <c r="L159">
        <v>0</v>
      </c>
      <c r="M159">
        <v>0</v>
      </c>
      <c r="O159">
        <v>0</v>
      </c>
      <c r="P159">
        <v>0</v>
      </c>
      <c r="S159" t="s">
        <v>717</v>
      </c>
      <c r="T159">
        <v>2</v>
      </c>
      <c r="V159">
        <v>0</v>
      </c>
      <c r="AB159" t="s">
        <v>735</v>
      </c>
      <c r="AH159">
        <v>623296</v>
      </c>
      <c r="AI159">
        <v>86133</v>
      </c>
      <c r="AJ159">
        <v>86133</v>
      </c>
      <c r="AK159">
        <v>33.564565838999997</v>
      </c>
      <c r="AM159">
        <v>992</v>
      </c>
      <c r="AS159">
        <v>2</v>
      </c>
      <c r="AT159">
        <v>1</v>
      </c>
      <c r="AV159">
        <v>14</v>
      </c>
      <c r="AW159">
        <v>9</v>
      </c>
      <c r="AX159">
        <v>0</v>
      </c>
      <c r="AY159">
        <v>2.33</v>
      </c>
      <c r="AZ159">
        <v>201</v>
      </c>
      <c r="BA159">
        <v>72</v>
      </c>
      <c r="BB159">
        <v>0</v>
      </c>
      <c r="BP159" t="s">
        <v>151</v>
      </c>
      <c r="BQ159">
        <v>1.1000000000000001</v>
      </c>
      <c r="BR159" t="s">
        <v>718</v>
      </c>
      <c r="BS159" t="s">
        <v>149</v>
      </c>
      <c r="BT159" t="s">
        <v>153</v>
      </c>
      <c r="BU159" t="s">
        <v>150</v>
      </c>
      <c r="BV159" t="s">
        <v>154</v>
      </c>
      <c r="BW159" t="s">
        <v>155</v>
      </c>
      <c r="BX159">
        <v>200</v>
      </c>
      <c r="BY159">
        <v>200</v>
      </c>
      <c r="BZ159" t="s">
        <v>735</v>
      </c>
      <c r="CA159" t="s">
        <v>718</v>
      </c>
      <c r="CB159" t="s">
        <v>149</v>
      </c>
      <c r="CC159" t="s">
        <v>156</v>
      </c>
      <c r="CD159" t="s">
        <v>157</v>
      </c>
      <c r="CJ159" t="s">
        <v>735</v>
      </c>
      <c r="CK159" t="s">
        <v>737</v>
      </c>
    </row>
    <row r="160" spans="1:89" x14ac:dyDescent="0.3">
      <c r="A160" t="s">
        <v>738</v>
      </c>
      <c r="B160" t="s">
        <v>6</v>
      </c>
      <c r="C160" t="s">
        <v>145</v>
      </c>
      <c r="D160">
        <v>200</v>
      </c>
      <c r="E160" t="s">
        <v>146</v>
      </c>
      <c r="F160" t="s">
        <v>147</v>
      </c>
      <c r="H160" t="s">
        <v>739</v>
      </c>
      <c r="I160">
        <v>22</v>
      </c>
      <c r="J160">
        <v>219</v>
      </c>
      <c r="L160">
        <v>0</v>
      </c>
      <c r="M160">
        <v>0</v>
      </c>
      <c r="O160">
        <v>0</v>
      </c>
      <c r="P160">
        <v>0</v>
      </c>
      <c r="S160" t="s">
        <v>740</v>
      </c>
      <c r="T160">
        <v>2</v>
      </c>
      <c r="V160">
        <v>0</v>
      </c>
      <c r="AB160" t="s">
        <v>738</v>
      </c>
      <c r="AH160">
        <v>587321</v>
      </c>
      <c r="AI160">
        <v>86875</v>
      </c>
      <c r="AJ160">
        <v>86875</v>
      </c>
      <c r="AK160">
        <v>33.853710624999998</v>
      </c>
      <c r="AM160">
        <v>726</v>
      </c>
      <c r="AS160">
        <v>1</v>
      </c>
      <c r="AT160">
        <v>1</v>
      </c>
      <c r="AV160">
        <v>1455</v>
      </c>
      <c r="AW160">
        <v>387</v>
      </c>
      <c r="AX160">
        <v>0</v>
      </c>
      <c r="AY160">
        <v>100</v>
      </c>
      <c r="AZ160">
        <v>212</v>
      </c>
      <c r="BA160">
        <v>76</v>
      </c>
      <c r="BB160">
        <v>0</v>
      </c>
      <c r="BP160" t="s">
        <v>151</v>
      </c>
      <c r="BQ160">
        <v>1.1000000000000001</v>
      </c>
      <c r="BR160" t="s">
        <v>741</v>
      </c>
      <c r="BS160" t="s">
        <v>149</v>
      </c>
      <c r="BT160" t="s">
        <v>153</v>
      </c>
      <c r="BU160" t="s">
        <v>150</v>
      </c>
      <c r="BV160" t="s">
        <v>154</v>
      </c>
      <c r="BW160" t="s">
        <v>155</v>
      </c>
      <c r="BX160">
        <v>200</v>
      </c>
      <c r="BY160">
        <v>200</v>
      </c>
      <c r="BZ160" t="s">
        <v>738</v>
      </c>
      <c r="CA160" t="s">
        <v>741</v>
      </c>
      <c r="CB160" t="s">
        <v>149</v>
      </c>
      <c r="CC160" t="s">
        <v>156</v>
      </c>
      <c r="CD160" t="s">
        <v>157</v>
      </c>
      <c r="CJ160" t="s">
        <v>738</v>
      </c>
      <c r="CK160" t="s">
        <v>578</v>
      </c>
    </row>
    <row r="161" spans="1:89" x14ac:dyDescent="0.3">
      <c r="A161" t="s">
        <v>742</v>
      </c>
      <c r="B161" t="s">
        <v>6</v>
      </c>
      <c r="C161" t="s">
        <v>145</v>
      </c>
      <c r="D161">
        <v>200</v>
      </c>
      <c r="E161" t="s">
        <v>146</v>
      </c>
      <c r="F161" t="s">
        <v>147</v>
      </c>
      <c r="H161" t="s">
        <v>743</v>
      </c>
      <c r="I161">
        <v>25</v>
      </c>
      <c r="J161">
        <v>268</v>
      </c>
      <c r="L161">
        <v>0</v>
      </c>
      <c r="M161">
        <v>0</v>
      </c>
      <c r="O161">
        <v>0</v>
      </c>
      <c r="P161">
        <v>0</v>
      </c>
      <c r="S161" t="s">
        <v>744</v>
      </c>
      <c r="T161">
        <v>5</v>
      </c>
      <c r="V161">
        <v>0</v>
      </c>
      <c r="AB161" t="s">
        <v>742</v>
      </c>
      <c r="AH161">
        <v>527962</v>
      </c>
      <c r="AI161">
        <v>83874</v>
      </c>
      <c r="AJ161">
        <v>83874</v>
      </c>
      <c r="AK161">
        <v>32.684271942000002</v>
      </c>
      <c r="AM161">
        <v>546</v>
      </c>
      <c r="AS161">
        <v>1</v>
      </c>
      <c r="AT161">
        <v>1</v>
      </c>
      <c r="AV161">
        <v>1028</v>
      </c>
      <c r="AW161">
        <v>387</v>
      </c>
      <c r="AX161">
        <v>0</v>
      </c>
      <c r="AY161">
        <v>100</v>
      </c>
      <c r="AZ161">
        <v>210</v>
      </c>
      <c r="BA161">
        <v>74</v>
      </c>
      <c r="BB161">
        <v>0</v>
      </c>
      <c r="BP161" t="s">
        <v>151</v>
      </c>
      <c r="BQ161">
        <v>1.1000000000000001</v>
      </c>
      <c r="BR161" t="s">
        <v>745</v>
      </c>
      <c r="BS161" t="s">
        <v>149</v>
      </c>
      <c r="BT161" t="s">
        <v>153</v>
      </c>
      <c r="BU161" t="s">
        <v>150</v>
      </c>
      <c r="BV161" t="s">
        <v>154</v>
      </c>
      <c r="BW161" t="s">
        <v>155</v>
      </c>
      <c r="BX161">
        <v>200</v>
      </c>
      <c r="BY161">
        <v>200</v>
      </c>
      <c r="BZ161" t="s">
        <v>742</v>
      </c>
      <c r="CA161" t="s">
        <v>745</v>
      </c>
      <c r="CB161" t="s">
        <v>149</v>
      </c>
      <c r="CC161" t="s">
        <v>156</v>
      </c>
      <c r="CD161" t="s">
        <v>157</v>
      </c>
      <c r="CJ161" t="s">
        <v>742</v>
      </c>
      <c r="CK161" t="s">
        <v>746</v>
      </c>
    </row>
    <row r="162" spans="1:89" x14ac:dyDescent="0.3">
      <c r="A162" t="s">
        <v>747</v>
      </c>
      <c r="B162" t="s">
        <v>6</v>
      </c>
      <c r="C162" t="s">
        <v>145</v>
      </c>
      <c r="D162">
        <v>200</v>
      </c>
      <c r="E162" t="s">
        <v>146</v>
      </c>
      <c r="F162" t="s">
        <v>147</v>
      </c>
      <c r="H162" t="s">
        <v>748</v>
      </c>
      <c r="I162">
        <v>24</v>
      </c>
      <c r="J162">
        <v>259</v>
      </c>
      <c r="L162">
        <v>0</v>
      </c>
      <c r="M162">
        <v>0</v>
      </c>
      <c r="O162">
        <v>0</v>
      </c>
      <c r="P162">
        <v>0</v>
      </c>
      <c r="S162" t="s">
        <v>749</v>
      </c>
      <c r="T162">
        <v>4</v>
      </c>
      <c r="V162">
        <v>0</v>
      </c>
      <c r="AB162" t="s">
        <v>747</v>
      </c>
      <c r="AH162">
        <v>504885</v>
      </c>
      <c r="AI162">
        <v>83269</v>
      </c>
      <c r="AJ162">
        <v>83269</v>
      </c>
      <c r="AK162">
        <v>32.448513726999998</v>
      </c>
      <c r="AM162">
        <v>483</v>
      </c>
      <c r="AS162">
        <v>1</v>
      </c>
      <c r="AT162">
        <v>1</v>
      </c>
      <c r="AV162">
        <v>1040</v>
      </c>
      <c r="AW162">
        <v>387</v>
      </c>
      <c r="AX162">
        <v>0</v>
      </c>
      <c r="AY162">
        <v>100</v>
      </c>
      <c r="AZ162">
        <v>209</v>
      </c>
      <c r="BA162">
        <v>74</v>
      </c>
      <c r="BB162">
        <v>0</v>
      </c>
      <c r="BP162" t="s">
        <v>151</v>
      </c>
      <c r="BQ162">
        <v>1.1000000000000001</v>
      </c>
      <c r="BR162" t="s">
        <v>750</v>
      </c>
      <c r="BS162" t="s">
        <v>149</v>
      </c>
      <c r="BT162" t="s">
        <v>153</v>
      </c>
      <c r="BU162" t="s">
        <v>150</v>
      </c>
      <c r="BV162" t="s">
        <v>154</v>
      </c>
      <c r="BW162" t="s">
        <v>155</v>
      </c>
      <c r="BX162">
        <v>200</v>
      </c>
      <c r="BY162">
        <v>200</v>
      </c>
      <c r="BZ162" t="s">
        <v>747</v>
      </c>
      <c r="CA162" t="s">
        <v>750</v>
      </c>
      <c r="CB162" t="s">
        <v>149</v>
      </c>
      <c r="CC162" t="s">
        <v>156</v>
      </c>
      <c r="CD162" t="s">
        <v>157</v>
      </c>
      <c r="CJ162" t="s">
        <v>747</v>
      </c>
      <c r="CK162" t="s">
        <v>266</v>
      </c>
    </row>
    <row r="163" spans="1:89" x14ac:dyDescent="0.3">
      <c r="A163" t="s">
        <v>751</v>
      </c>
      <c r="B163" t="s">
        <v>6</v>
      </c>
      <c r="C163" t="s">
        <v>145</v>
      </c>
      <c r="D163">
        <v>200</v>
      </c>
      <c r="E163" t="s">
        <v>146</v>
      </c>
      <c r="F163" t="s">
        <v>161</v>
      </c>
      <c r="G163" t="s">
        <v>226</v>
      </c>
      <c r="H163" t="s">
        <v>739</v>
      </c>
      <c r="I163">
        <v>22</v>
      </c>
      <c r="J163">
        <v>219</v>
      </c>
      <c r="L163">
        <v>0</v>
      </c>
      <c r="M163">
        <v>0</v>
      </c>
      <c r="O163">
        <v>0</v>
      </c>
      <c r="P163">
        <v>0</v>
      </c>
      <c r="S163" t="s">
        <v>740</v>
      </c>
      <c r="T163">
        <v>2</v>
      </c>
      <c r="V163">
        <v>0</v>
      </c>
      <c r="AB163" t="s">
        <v>738</v>
      </c>
      <c r="AH163">
        <v>587370</v>
      </c>
      <c r="AI163">
        <v>87208</v>
      </c>
      <c r="AJ163">
        <v>87208</v>
      </c>
      <c r="AK163">
        <v>33.983475063999997</v>
      </c>
      <c r="AM163">
        <v>726</v>
      </c>
      <c r="AS163">
        <v>3</v>
      </c>
      <c r="AT163">
        <v>1</v>
      </c>
      <c r="AV163">
        <v>8</v>
      </c>
      <c r="AW163">
        <v>3</v>
      </c>
      <c r="AX163">
        <v>0</v>
      </c>
      <c r="AY163">
        <v>0.78</v>
      </c>
      <c r="AZ163">
        <v>212</v>
      </c>
      <c r="BA163">
        <v>77</v>
      </c>
      <c r="BB163">
        <v>0</v>
      </c>
      <c r="BP163" t="s">
        <v>151</v>
      </c>
      <c r="BQ163">
        <v>1.1000000000000001</v>
      </c>
      <c r="BR163" t="s">
        <v>741</v>
      </c>
      <c r="BS163" t="s">
        <v>149</v>
      </c>
      <c r="BT163" t="s">
        <v>153</v>
      </c>
      <c r="BU163" t="s">
        <v>150</v>
      </c>
      <c r="BV163" t="s">
        <v>154</v>
      </c>
      <c r="BW163" t="s">
        <v>155</v>
      </c>
      <c r="BX163">
        <v>200</v>
      </c>
      <c r="BY163">
        <v>200</v>
      </c>
      <c r="BZ163" t="s">
        <v>738</v>
      </c>
      <c r="CA163" t="s">
        <v>741</v>
      </c>
      <c r="CB163" t="s">
        <v>149</v>
      </c>
      <c r="CC163" t="s">
        <v>156</v>
      </c>
      <c r="CD163" t="s">
        <v>157</v>
      </c>
      <c r="CJ163" t="s">
        <v>751</v>
      </c>
      <c r="CK163" t="s">
        <v>752</v>
      </c>
    </row>
    <row r="164" spans="1:89" x14ac:dyDescent="0.3">
      <c r="A164" t="s">
        <v>753</v>
      </c>
      <c r="B164" t="s">
        <v>6</v>
      </c>
      <c r="C164" t="s">
        <v>145</v>
      </c>
      <c r="D164">
        <v>200</v>
      </c>
      <c r="E164" t="s">
        <v>146</v>
      </c>
      <c r="F164" t="s">
        <v>147</v>
      </c>
      <c r="H164" t="s">
        <v>754</v>
      </c>
      <c r="I164">
        <v>31</v>
      </c>
      <c r="J164">
        <v>304</v>
      </c>
      <c r="L164">
        <v>0</v>
      </c>
      <c r="M164">
        <v>0</v>
      </c>
      <c r="O164">
        <v>0</v>
      </c>
      <c r="P164">
        <v>0</v>
      </c>
      <c r="S164" t="s">
        <v>740</v>
      </c>
      <c r="T164">
        <v>2</v>
      </c>
      <c r="V164">
        <v>0</v>
      </c>
      <c r="AB164" t="s">
        <v>753</v>
      </c>
      <c r="AH164">
        <v>587772</v>
      </c>
      <c r="AI164">
        <v>87525</v>
      </c>
      <c r="AJ164">
        <v>87525</v>
      </c>
      <c r="AK164">
        <v>34.107004574999998</v>
      </c>
      <c r="AM164">
        <v>725</v>
      </c>
      <c r="AS164">
        <v>2</v>
      </c>
      <c r="AT164">
        <v>1</v>
      </c>
      <c r="AV164">
        <v>11</v>
      </c>
      <c r="AW164">
        <v>4</v>
      </c>
      <c r="AX164">
        <v>0</v>
      </c>
      <c r="AY164">
        <v>1.03</v>
      </c>
      <c r="AZ164">
        <v>213</v>
      </c>
      <c r="BA164">
        <v>77</v>
      </c>
      <c r="BB164">
        <v>0</v>
      </c>
      <c r="BP164" t="s">
        <v>151</v>
      </c>
      <c r="BQ164">
        <v>1.1000000000000001</v>
      </c>
      <c r="BR164" t="s">
        <v>741</v>
      </c>
      <c r="BS164" t="s">
        <v>149</v>
      </c>
      <c r="BT164" t="s">
        <v>153</v>
      </c>
      <c r="BU164" t="s">
        <v>150</v>
      </c>
      <c r="BV164" t="s">
        <v>154</v>
      </c>
      <c r="BW164" t="s">
        <v>155</v>
      </c>
      <c r="BX164">
        <v>200</v>
      </c>
      <c r="BY164">
        <v>200</v>
      </c>
      <c r="BZ164" t="s">
        <v>753</v>
      </c>
      <c r="CA164" t="s">
        <v>741</v>
      </c>
      <c r="CB164" t="s">
        <v>149</v>
      </c>
      <c r="CC164" t="s">
        <v>156</v>
      </c>
      <c r="CD164" t="s">
        <v>157</v>
      </c>
      <c r="CJ164" t="s">
        <v>753</v>
      </c>
      <c r="CK164" t="s">
        <v>755</v>
      </c>
    </row>
    <row r="165" spans="1:89" x14ac:dyDescent="0.3">
      <c r="A165" t="s">
        <v>756</v>
      </c>
      <c r="B165" t="s">
        <v>6</v>
      </c>
      <c r="C165" t="s">
        <v>145</v>
      </c>
      <c r="D165">
        <v>200</v>
      </c>
      <c r="E165" t="s">
        <v>146</v>
      </c>
      <c r="F165" t="s">
        <v>147</v>
      </c>
      <c r="H165" t="s">
        <v>757</v>
      </c>
      <c r="I165">
        <v>31</v>
      </c>
      <c r="J165">
        <v>304</v>
      </c>
      <c r="L165">
        <v>0</v>
      </c>
      <c r="M165">
        <v>0</v>
      </c>
      <c r="O165">
        <v>0</v>
      </c>
      <c r="P165">
        <v>0</v>
      </c>
      <c r="S165" t="s">
        <v>740</v>
      </c>
      <c r="T165">
        <v>2</v>
      </c>
      <c r="V165">
        <v>0</v>
      </c>
      <c r="AB165" t="s">
        <v>756</v>
      </c>
      <c r="AH165">
        <v>523208</v>
      </c>
      <c r="AI165">
        <v>82837</v>
      </c>
      <c r="AJ165">
        <v>82837</v>
      </c>
      <c r="AK165">
        <v>32.280170671</v>
      </c>
      <c r="AM165">
        <v>667</v>
      </c>
      <c r="AS165">
        <v>2</v>
      </c>
      <c r="AT165">
        <v>1</v>
      </c>
      <c r="AV165">
        <v>9</v>
      </c>
      <c r="AW165">
        <v>4</v>
      </c>
      <c r="AX165">
        <v>0</v>
      </c>
      <c r="AY165">
        <v>1.03</v>
      </c>
      <c r="AZ165">
        <v>196</v>
      </c>
      <c r="BA165">
        <v>69</v>
      </c>
      <c r="BB165">
        <v>0</v>
      </c>
      <c r="BP165" t="s">
        <v>151</v>
      </c>
      <c r="BQ165">
        <v>1.1000000000000001</v>
      </c>
      <c r="BR165" t="s">
        <v>741</v>
      </c>
      <c r="BS165" t="s">
        <v>149</v>
      </c>
      <c r="BT165" t="s">
        <v>153</v>
      </c>
      <c r="BU165" t="s">
        <v>150</v>
      </c>
      <c r="BV165" t="s">
        <v>154</v>
      </c>
      <c r="BW165" t="s">
        <v>155</v>
      </c>
      <c r="BX165">
        <v>200</v>
      </c>
      <c r="BY165">
        <v>200</v>
      </c>
      <c r="BZ165" t="s">
        <v>756</v>
      </c>
      <c r="CA165" t="s">
        <v>741</v>
      </c>
      <c r="CB165" t="s">
        <v>149</v>
      </c>
      <c r="CC165" t="s">
        <v>156</v>
      </c>
      <c r="CD165" t="s">
        <v>157</v>
      </c>
      <c r="CJ165" t="s">
        <v>756</v>
      </c>
      <c r="CK165" t="s">
        <v>755</v>
      </c>
    </row>
    <row r="166" spans="1:89" x14ac:dyDescent="0.3">
      <c r="A166" t="s">
        <v>758</v>
      </c>
      <c r="B166" t="s">
        <v>6</v>
      </c>
      <c r="C166" t="s">
        <v>145</v>
      </c>
      <c r="D166">
        <v>200</v>
      </c>
      <c r="E166" t="s">
        <v>146</v>
      </c>
      <c r="F166" t="s">
        <v>147</v>
      </c>
      <c r="H166" t="s">
        <v>759</v>
      </c>
      <c r="I166">
        <v>41</v>
      </c>
      <c r="J166">
        <v>542</v>
      </c>
      <c r="L166">
        <v>0</v>
      </c>
      <c r="M166">
        <v>0</v>
      </c>
      <c r="O166">
        <v>0</v>
      </c>
      <c r="P166">
        <v>0</v>
      </c>
      <c r="S166" t="s">
        <v>760</v>
      </c>
      <c r="T166">
        <v>21</v>
      </c>
      <c r="V166">
        <v>0</v>
      </c>
      <c r="AB166" t="s">
        <v>758</v>
      </c>
      <c r="AH166">
        <v>382160</v>
      </c>
      <c r="AI166">
        <v>72941</v>
      </c>
      <c r="AJ166">
        <v>72941</v>
      </c>
      <c r="AK166">
        <v>28.423867702999999</v>
      </c>
      <c r="AM166">
        <v>304</v>
      </c>
      <c r="AS166">
        <v>2</v>
      </c>
      <c r="AT166">
        <v>1</v>
      </c>
      <c r="AV166">
        <v>252</v>
      </c>
      <c r="AW166">
        <v>123</v>
      </c>
      <c r="AX166">
        <v>0</v>
      </c>
      <c r="AY166">
        <v>31.78</v>
      </c>
      <c r="AZ166">
        <v>184</v>
      </c>
      <c r="BA166">
        <v>62</v>
      </c>
      <c r="BB166">
        <v>0</v>
      </c>
      <c r="BP166" t="s">
        <v>151</v>
      </c>
      <c r="BQ166">
        <v>1.1000000000000001</v>
      </c>
      <c r="BR166" t="s">
        <v>761</v>
      </c>
      <c r="BS166" t="s">
        <v>149</v>
      </c>
      <c r="BT166" t="s">
        <v>153</v>
      </c>
      <c r="BU166" t="s">
        <v>150</v>
      </c>
      <c r="BV166" t="s">
        <v>154</v>
      </c>
      <c r="BW166" t="s">
        <v>155</v>
      </c>
      <c r="BX166">
        <v>200</v>
      </c>
      <c r="BY166">
        <v>200</v>
      </c>
      <c r="BZ166" t="s">
        <v>758</v>
      </c>
      <c r="CA166" t="s">
        <v>761</v>
      </c>
      <c r="CB166" t="s">
        <v>149</v>
      </c>
      <c r="CC166" t="s">
        <v>156</v>
      </c>
      <c r="CD166" t="s">
        <v>157</v>
      </c>
      <c r="CJ166" t="s">
        <v>758</v>
      </c>
      <c r="CK166" t="s">
        <v>663</v>
      </c>
    </row>
    <row r="167" spans="1:89" x14ac:dyDescent="0.3">
      <c r="A167" t="s">
        <v>762</v>
      </c>
      <c r="B167" t="s">
        <v>6</v>
      </c>
      <c r="C167" t="s">
        <v>145</v>
      </c>
      <c r="D167">
        <v>200</v>
      </c>
      <c r="E167" t="s">
        <v>146</v>
      </c>
      <c r="F167" t="s">
        <v>147</v>
      </c>
      <c r="H167" t="s">
        <v>763</v>
      </c>
      <c r="I167">
        <v>24</v>
      </c>
      <c r="J167">
        <v>259</v>
      </c>
      <c r="L167">
        <v>0</v>
      </c>
      <c r="M167">
        <v>0</v>
      </c>
      <c r="O167">
        <v>0</v>
      </c>
      <c r="P167">
        <v>0</v>
      </c>
      <c r="S167" t="s">
        <v>764</v>
      </c>
      <c r="T167">
        <v>4</v>
      </c>
      <c r="V167">
        <v>0</v>
      </c>
      <c r="AB167" t="s">
        <v>762</v>
      </c>
      <c r="AH167">
        <v>501515</v>
      </c>
      <c r="AI167">
        <v>82458</v>
      </c>
      <c r="AJ167">
        <v>82458</v>
      </c>
      <c r="AK167">
        <v>32.132480813999997</v>
      </c>
      <c r="AM167">
        <v>596</v>
      </c>
      <c r="AS167">
        <v>1</v>
      </c>
      <c r="AT167">
        <v>1</v>
      </c>
      <c r="AV167">
        <v>1332</v>
      </c>
      <c r="AW167">
        <v>387</v>
      </c>
      <c r="AX167">
        <v>0</v>
      </c>
      <c r="AY167">
        <v>100</v>
      </c>
      <c r="AZ167">
        <v>197</v>
      </c>
      <c r="BA167">
        <v>68</v>
      </c>
      <c r="BB167">
        <v>0</v>
      </c>
      <c r="BP167" t="s">
        <v>151</v>
      </c>
      <c r="BQ167">
        <v>1.1000000000000001</v>
      </c>
      <c r="BR167" t="s">
        <v>765</v>
      </c>
      <c r="BS167" t="s">
        <v>149</v>
      </c>
      <c r="BT167" t="s">
        <v>153</v>
      </c>
      <c r="BU167" t="s">
        <v>150</v>
      </c>
      <c r="BV167" t="s">
        <v>154</v>
      </c>
      <c r="BW167" t="s">
        <v>155</v>
      </c>
      <c r="BX167">
        <v>200</v>
      </c>
      <c r="BY167">
        <v>200</v>
      </c>
      <c r="BZ167" t="s">
        <v>762</v>
      </c>
      <c r="CA167" t="s">
        <v>765</v>
      </c>
      <c r="CB167" t="s">
        <v>149</v>
      </c>
      <c r="CC167" t="s">
        <v>156</v>
      </c>
      <c r="CD167" t="s">
        <v>157</v>
      </c>
      <c r="CJ167" t="s">
        <v>762</v>
      </c>
      <c r="CK167" t="s">
        <v>478</v>
      </c>
    </row>
    <row r="168" spans="1:89" x14ac:dyDescent="0.3">
      <c r="A168" t="s">
        <v>766</v>
      </c>
      <c r="B168" t="s">
        <v>6</v>
      </c>
      <c r="C168" t="s">
        <v>145</v>
      </c>
      <c r="D168">
        <v>200</v>
      </c>
      <c r="E168" t="s">
        <v>146</v>
      </c>
      <c r="F168" t="s">
        <v>147</v>
      </c>
      <c r="H168" t="s">
        <v>767</v>
      </c>
      <c r="I168">
        <v>28</v>
      </c>
      <c r="J168">
        <v>339</v>
      </c>
      <c r="L168">
        <v>0</v>
      </c>
      <c r="M168">
        <v>0</v>
      </c>
      <c r="O168">
        <v>0</v>
      </c>
      <c r="P168">
        <v>0</v>
      </c>
      <c r="S168" t="s">
        <v>768</v>
      </c>
      <c r="T168">
        <v>8</v>
      </c>
      <c r="V168">
        <v>0</v>
      </c>
      <c r="AB168" t="s">
        <v>766</v>
      </c>
      <c r="AH168">
        <v>489204</v>
      </c>
      <c r="AI168">
        <v>81588</v>
      </c>
      <c r="AJ168">
        <v>81588</v>
      </c>
      <c r="AK168">
        <v>31.793456603999999</v>
      </c>
      <c r="AM168">
        <v>546</v>
      </c>
      <c r="AS168">
        <v>1</v>
      </c>
      <c r="AT168">
        <v>1</v>
      </c>
      <c r="AV168">
        <v>1028</v>
      </c>
      <c r="AW168">
        <v>387</v>
      </c>
      <c r="AX168">
        <v>0</v>
      </c>
      <c r="AY168">
        <v>100</v>
      </c>
      <c r="AZ168">
        <v>196</v>
      </c>
      <c r="BA168">
        <v>67</v>
      </c>
      <c r="BB168">
        <v>0</v>
      </c>
      <c r="BP168" t="s">
        <v>151</v>
      </c>
      <c r="BQ168">
        <v>1.1000000000000001</v>
      </c>
      <c r="BR168" t="s">
        <v>769</v>
      </c>
      <c r="BS168" t="s">
        <v>149</v>
      </c>
      <c r="BT168" t="s">
        <v>153</v>
      </c>
      <c r="BU168" t="s">
        <v>150</v>
      </c>
      <c r="BV168" t="s">
        <v>154</v>
      </c>
      <c r="BW168" t="s">
        <v>155</v>
      </c>
      <c r="BX168">
        <v>200</v>
      </c>
      <c r="BY168">
        <v>200</v>
      </c>
      <c r="BZ168" t="s">
        <v>766</v>
      </c>
      <c r="CA168" t="s">
        <v>769</v>
      </c>
      <c r="CB168" t="s">
        <v>149</v>
      </c>
      <c r="CC168" t="s">
        <v>156</v>
      </c>
      <c r="CD168" t="s">
        <v>157</v>
      </c>
      <c r="CJ168" t="s">
        <v>766</v>
      </c>
      <c r="CK168" t="s">
        <v>710</v>
      </c>
    </row>
    <row r="169" spans="1:89" x14ac:dyDescent="0.3">
      <c r="A169" t="s">
        <v>770</v>
      </c>
      <c r="B169" t="s">
        <v>6</v>
      </c>
      <c r="C169" t="s">
        <v>145</v>
      </c>
      <c r="D169">
        <v>200</v>
      </c>
      <c r="E169" t="s">
        <v>146</v>
      </c>
      <c r="F169" t="s">
        <v>147</v>
      </c>
      <c r="H169" t="s">
        <v>771</v>
      </c>
      <c r="I169">
        <v>23</v>
      </c>
      <c r="J169">
        <v>239</v>
      </c>
      <c r="L169">
        <v>0</v>
      </c>
      <c r="M169">
        <v>0</v>
      </c>
      <c r="O169">
        <v>0</v>
      </c>
      <c r="P169">
        <v>0</v>
      </c>
      <c r="S169" t="s">
        <v>772</v>
      </c>
      <c r="T169">
        <v>3</v>
      </c>
      <c r="V169">
        <v>0</v>
      </c>
      <c r="AB169" t="s">
        <v>770</v>
      </c>
      <c r="AH169">
        <v>431413</v>
      </c>
      <c r="AI169">
        <v>79130</v>
      </c>
      <c r="AJ169">
        <v>79130</v>
      </c>
      <c r="AK169">
        <v>30.835615789999999</v>
      </c>
      <c r="AM169">
        <v>414</v>
      </c>
      <c r="AS169">
        <v>3</v>
      </c>
      <c r="AT169">
        <v>1</v>
      </c>
      <c r="AV169">
        <v>8</v>
      </c>
      <c r="AW169">
        <v>2</v>
      </c>
      <c r="AX169">
        <v>0</v>
      </c>
      <c r="AY169">
        <v>0.52</v>
      </c>
      <c r="AZ169">
        <v>190</v>
      </c>
      <c r="BA169">
        <v>66</v>
      </c>
      <c r="BB169">
        <v>0</v>
      </c>
      <c r="BP169" t="s">
        <v>151</v>
      </c>
      <c r="BQ169">
        <v>1.1000000000000001</v>
      </c>
      <c r="BR169" t="s">
        <v>773</v>
      </c>
      <c r="BS169" t="s">
        <v>149</v>
      </c>
      <c r="BT169" t="s">
        <v>153</v>
      </c>
      <c r="BU169" t="s">
        <v>150</v>
      </c>
      <c r="BV169" t="s">
        <v>154</v>
      </c>
      <c r="BW169" t="s">
        <v>155</v>
      </c>
      <c r="BX169">
        <v>200</v>
      </c>
      <c r="BY169">
        <v>200</v>
      </c>
      <c r="BZ169" t="s">
        <v>770</v>
      </c>
      <c r="CA169" t="s">
        <v>773</v>
      </c>
      <c r="CB169" t="s">
        <v>149</v>
      </c>
      <c r="CC169" t="s">
        <v>156</v>
      </c>
      <c r="CD169" t="s">
        <v>157</v>
      </c>
      <c r="CJ169" t="s">
        <v>770</v>
      </c>
      <c r="CK169" t="s">
        <v>428</v>
      </c>
    </row>
    <row r="170" spans="1:89" x14ac:dyDescent="0.3">
      <c r="A170" t="s">
        <v>774</v>
      </c>
      <c r="B170" t="s">
        <v>6</v>
      </c>
      <c r="C170" t="s">
        <v>145</v>
      </c>
      <c r="D170">
        <v>200</v>
      </c>
      <c r="E170" t="s">
        <v>146</v>
      </c>
      <c r="F170" t="s">
        <v>147</v>
      </c>
      <c r="H170" t="s">
        <v>775</v>
      </c>
      <c r="I170">
        <v>24</v>
      </c>
      <c r="J170">
        <v>259</v>
      </c>
      <c r="L170">
        <v>0</v>
      </c>
      <c r="M170">
        <v>0</v>
      </c>
      <c r="O170">
        <v>0</v>
      </c>
      <c r="P170">
        <v>0</v>
      </c>
      <c r="S170" t="s">
        <v>776</v>
      </c>
      <c r="T170">
        <v>4</v>
      </c>
      <c r="V170">
        <v>0</v>
      </c>
      <c r="AB170" t="s">
        <v>774</v>
      </c>
      <c r="AH170">
        <v>646204</v>
      </c>
      <c r="AI170">
        <v>88264</v>
      </c>
      <c r="AJ170">
        <v>88264</v>
      </c>
      <c r="AK170">
        <v>34.394980312000001</v>
      </c>
      <c r="AM170">
        <v>934</v>
      </c>
      <c r="AS170">
        <v>1</v>
      </c>
      <c r="AT170">
        <v>1</v>
      </c>
      <c r="AV170">
        <v>1448</v>
      </c>
      <c r="AW170">
        <v>387</v>
      </c>
      <c r="AX170">
        <v>0</v>
      </c>
      <c r="AY170">
        <v>100</v>
      </c>
      <c r="AZ170">
        <v>213</v>
      </c>
      <c r="BA170">
        <v>77</v>
      </c>
      <c r="BB170">
        <v>0</v>
      </c>
      <c r="BP170" t="s">
        <v>151</v>
      </c>
      <c r="BQ170">
        <v>1.1000000000000001</v>
      </c>
      <c r="BR170" t="s">
        <v>777</v>
      </c>
      <c r="BS170" t="s">
        <v>149</v>
      </c>
      <c r="BT170" t="s">
        <v>153</v>
      </c>
      <c r="BU170" t="s">
        <v>150</v>
      </c>
      <c r="BV170" t="s">
        <v>154</v>
      </c>
      <c r="BW170" t="s">
        <v>155</v>
      </c>
      <c r="BX170">
        <v>200</v>
      </c>
      <c r="BY170">
        <v>200</v>
      </c>
      <c r="BZ170" t="s">
        <v>774</v>
      </c>
      <c r="CA170" t="s">
        <v>777</v>
      </c>
      <c r="CB170" t="s">
        <v>149</v>
      </c>
      <c r="CC170" t="s">
        <v>156</v>
      </c>
      <c r="CD170" t="s">
        <v>157</v>
      </c>
      <c r="CJ170" t="s">
        <v>774</v>
      </c>
      <c r="CK170" t="s">
        <v>653</v>
      </c>
    </row>
    <row r="171" spans="1:89" x14ac:dyDescent="0.3">
      <c r="A171" t="s">
        <v>778</v>
      </c>
      <c r="B171" t="s">
        <v>6</v>
      </c>
      <c r="C171" t="s">
        <v>145</v>
      </c>
      <c r="D171">
        <v>200</v>
      </c>
      <c r="E171" t="s">
        <v>146</v>
      </c>
      <c r="F171" t="s">
        <v>161</v>
      </c>
      <c r="G171" t="s">
        <v>226</v>
      </c>
      <c r="H171" t="s">
        <v>775</v>
      </c>
      <c r="I171">
        <v>24</v>
      </c>
      <c r="J171">
        <v>259</v>
      </c>
      <c r="L171">
        <v>0</v>
      </c>
      <c r="M171">
        <v>0</v>
      </c>
      <c r="O171">
        <v>0</v>
      </c>
      <c r="P171">
        <v>0</v>
      </c>
      <c r="S171" t="s">
        <v>776</v>
      </c>
      <c r="T171">
        <v>4</v>
      </c>
      <c r="V171">
        <v>0</v>
      </c>
      <c r="AB171" t="s">
        <v>774</v>
      </c>
      <c r="AH171">
        <v>646253</v>
      </c>
      <c r="AI171">
        <v>88028</v>
      </c>
      <c r="AJ171">
        <v>88028</v>
      </c>
      <c r="AK171">
        <v>34.303015124000012</v>
      </c>
      <c r="AM171">
        <v>934</v>
      </c>
      <c r="AS171">
        <v>3</v>
      </c>
      <c r="AT171">
        <v>1</v>
      </c>
      <c r="AV171">
        <v>13</v>
      </c>
      <c r="AW171">
        <v>8</v>
      </c>
      <c r="AX171">
        <v>0</v>
      </c>
      <c r="AY171">
        <v>2.0699999999999998</v>
      </c>
      <c r="AZ171">
        <v>213</v>
      </c>
      <c r="BA171">
        <v>78</v>
      </c>
      <c r="BB171">
        <v>0</v>
      </c>
      <c r="BP171" t="s">
        <v>151</v>
      </c>
      <c r="BQ171">
        <v>1.1000000000000001</v>
      </c>
      <c r="BR171" t="s">
        <v>777</v>
      </c>
      <c r="BS171" t="s">
        <v>149</v>
      </c>
      <c r="BT171" t="s">
        <v>153</v>
      </c>
      <c r="BU171" t="s">
        <v>150</v>
      </c>
      <c r="BV171" t="s">
        <v>154</v>
      </c>
      <c r="BW171" t="s">
        <v>155</v>
      </c>
      <c r="BX171">
        <v>200</v>
      </c>
      <c r="BY171">
        <v>200</v>
      </c>
      <c r="BZ171" t="s">
        <v>774</v>
      </c>
      <c r="CA171" t="s">
        <v>777</v>
      </c>
      <c r="CB171" t="s">
        <v>149</v>
      </c>
      <c r="CC171" t="s">
        <v>156</v>
      </c>
      <c r="CD171" t="s">
        <v>157</v>
      </c>
      <c r="CJ171" t="s">
        <v>778</v>
      </c>
      <c r="CK171" t="s">
        <v>779</v>
      </c>
    </row>
    <row r="172" spans="1:89" x14ac:dyDescent="0.3">
      <c r="A172" t="s">
        <v>780</v>
      </c>
      <c r="B172" t="s">
        <v>6</v>
      </c>
      <c r="C172" t="s">
        <v>145</v>
      </c>
      <c r="D172">
        <v>200</v>
      </c>
      <c r="E172" t="s">
        <v>146</v>
      </c>
      <c r="F172" t="s">
        <v>147</v>
      </c>
      <c r="H172" t="s">
        <v>781</v>
      </c>
      <c r="I172">
        <v>33</v>
      </c>
      <c r="J172">
        <v>344</v>
      </c>
      <c r="L172">
        <v>0</v>
      </c>
      <c r="M172">
        <v>0</v>
      </c>
      <c r="O172">
        <v>0</v>
      </c>
      <c r="P172">
        <v>0</v>
      </c>
      <c r="S172" t="s">
        <v>776</v>
      </c>
      <c r="T172">
        <v>4</v>
      </c>
      <c r="V172">
        <v>0</v>
      </c>
      <c r="AB172" t="s">
        <v>780</v>
      </c>
      <c r="AH172">
        <v>647472</v>
      </c>
      <c r="AI172">
        <v>88505</v>
      </c>
      <c r="AJ172">
        <v>88505</v>
      </c>
      <c r="AK172">
        <v>34.488893914999998</v>
      </c>
      <c r="AM172">
        <v>932</v>
      </c>
      <c r="AS172">
        <v>2</v>
      </c>
      <c r="AT172">
        <v>1</v>
      </c>
      <c r="AV172">
        <v>12</v>
      </c>
      <c r="AW172">
        <v>5</v>
      </c>
      <c r="AX172">
        <v>0</v>
      </c>
      <c r="AY172">
        <v>1.29</v>
      </c>
      <c r="AZ172">
        <v>215</v>
      </c>
      <c r="BA172">
        <v>79</v>
      </c>
      <c r="BB172">
        <v>0</v>
      </c>
      <c r="BP172" t="s">
        <v>151</v>
      </c>
      <c r="BQ172">
        <v>1.1000000000000001</v>
      </c>
      <c r="BR172" t="s">
        <v>777</v>
      </c>
      <c r="BS172" t="s">
        <v>149</v>
      </c>
      <c r="BT172" t="s">
        <v>153</v>
      </c>
      <c r="BU172" t="s">
        <v>150</v>
      </c>
      <c r="BV172" t="s">
        <v>154</v>
      </c>
      <c r="BW172" t="s">
        <v>155</v>
      </c>
      <c r="BX172">
        <v>200</v>
      </c>
      <c r="BY172">
        <v>200</v>
      </c>
      <c r="BZ172" t="s">
        <v>780</v>
      </c>
      <c r="CA172" t="s">
        <v>777</v>
      </c>
      <c r="CB172" t="s">
        <v>149</v>
      </c>
      <c r="CC172" t="s">
        <v>156</v>
      </c>
      <c r="CD172" t="s">
        <v>157</v>
      </c>
      <c r="CJ172" t="s">
        <v>780</v>
      </c>
      <c r="CK172" t="s">
        <v>782</v>
      </c>
    </row>
    <row r="173" spans="1:89" x14ac:dyDescent="0.3">
      <c r="A173" t="s">
        <v>783</v>
      </c>
      <c r="B173" t="s">
        <v>6</v>
      </c>
      <c r="C173" t="s">
        <v>145</v>
      </c>
      <c r="D173">
        <v>200</v>
      </c>
      <c r="E173" t="s">
        <v>146</v>
      </c>
      <c r="F173" t="s">
        <v>147</v>
      </c>
      <c r="H173" t="s">
        <v>784</v>
      </c>
      <c r="I173">
        <v>33</v>
      </c>
      <c r="J173">
        <v>344</v>
      </c>
      <c r="L173">
        <v>0</v>
      </c>
      <c r="M173">
        <v>0</v>
      </c>
      <c r="O173">
        <v>0</v>
      </c>
      <c r="P173">
        <v>0</v>
      </c>
      <c r="S173" t="s">
        <v>776</v>
      </c>
      <c r="T173">
        <v>4</v>
      </c>
      <c r="V173">
        <v>0</v>
      </c>
      <c r="AB173" t="s">
        <v>783</v>
      </c>
      <c r="AH173">
        <v>647395</v>
      </c>
      <c r="AI173">
        <v>88608</v>
      </c>
      <c r="AJ173">
        <v>88608</v>
      </c>
      <c r="AK173">
        <v>34.529031263999997</v>
      </c>
      <c r="AM173">
        <v>930</v>
      </c>
      <c r="AS173">
        <v>2</v>
      </c>
      <c r="AT173">
        <v>1</v>
      </c>
      <c r="AV173">
        <v>12</v>
      </c>
      <c r="AW173">
        <v>6</v>
      </c>
      <c r="AX173">
        <v>0</v>
      </c>
      <c r="AY173">
        <v>1.55</v>
      </c>
      <c r="AZ173">
        <v>216</v>
      </c>
      <c r="BA173">
        <v>80</v>
      </c>
      <c r="BB173">
        <v>0</v>
      </c>
      <c r="BP173" t="s">
        <v>151</v>
      </c>
      <c r="BQ173">
        <v>1.1000000000000001</v>
      </c>
      <c r="BR173" t="s">
        <v>777</v>
      </c>
      <c r="BS173" t="s">
        <v>149</v>
      </c>
      <c r="BT173" t="s">
        <v>153</v>
      </c>
      <c r="BU173" t="s">
        <v>150</v>
      </c>
      <c r="BV173" t="s">
        <v>154</v>
      </c>
      <c r="BW173" t="s">
        <v>155</v>
      </c>
      <c r="BX173">
        <v>200</v>
      </c>
      <c r="BY173">
        <v>200</v>
      </c>
      <c r="BZ173" t="s">
        <v>783</v>
      </c>
      <c r="CA173" t="s">
        <v>777</v>
      </c>
      <c r="CB173" t="s">
        <v>149</v>
      </c>
      <c r="CC173" t="s">
        <v>156</v>
      </c>
      <c r="CD173" t="s">
        <v>157</v>
      </c>
      <c r="CJ173" t="s">
        <v>783</v>
      </c>
      <c r="CK173" t="s">
        <v>782</v>
      </c>
    </row>
    <row r="174" spans="1:89" x14ac:dyDescent="0.3">
      <c r="A174" t="s">
        <v>785</v>
      </c>
      <c r="B174" t="s">
        <v>6</v>
      </c>
      <c r="C174" t="s">
        <v>145</v>
      </c>
      <c r="D174">
        <v>200</v>
      </c>
      <c r="E174" t="s">
        <v>146</v>
      </c>
      <c r="F174" t="s">
        <v>147</v>
      </c>
      <c r="H174" t="s">
        <v>786</v>
      </c>
      <c r="I174">
        <v>33</v>
      </c>
      <c r="J174">
        <v>344</v>
      </c>
      <c r="L174">
        <v>0</v>
      </c>
      <c r="M174">
        <v>0</v>
      </c>
      <c r="O174">
        <v>0</v>
      </c>
      <c r="P174">
        <v>0</v>
      </c>
      <c r="S174" t="s">
        <v>776</v>
      </c>
      <c r="T174">
        <v>4</v>
      </c>
      <c r="V174">
        <v>0</v>
      </c>
      <c r="AB174" t="s">
        <v>785</v>
      </c>
      <c r="AH174">
        <v>648360</v>
      </c>
      <c r="AI174">
        <v>89212</v>
      </c>
      <c r="AJ174">
        <v>89212</v>
      </c>
      <c r="AK174">
        <v>34.764399796000014</v>
      </c>
      <c r="AM174">
        <v>931</v>
      </c>
      <c r="AS174">
        <v>3</v>
      </c>
      <c r="AT174">
        <v>1</v>
      </c>
      <c r="AV174">
        <v>11</v>
      </c>
      <c r="AW174">
        <v>5</v>
      </c>
      <c r="AX174">
        <v>0</v>
      </c>
      <c r="AY174">
        <v>1.29</v>
      </c>
      <c r="AZ174">
        <v>217</v>
      </c>
      <c r="BA174">
        <v>81</v>
      </c>
      <c r="BB174">
        <v>0</v>
      </c>
      <c r="BP174" t="s">
        <v>151</v>
      </c>
      <c r="BQ174">
        <v>1.1000000000000001</v>
      </c>
      <c r="BR174" t="s">
        <v>777</v>
      </c>
      <c r="BS174" t="s">
        <v>149</v>
      </c>
      <c r="BT174" t="s">
        <v>153</v>
      </c>
      <c r="BU174" t="s">
        <v>150</v>
      </c>
      <c r="BV174" t="s">
        <v>154</v>
      </c>
      <c r="BW174" t="s">
        <v>155</v>
      </c>
      <c r="BX174">
        <v>200</v>
      </c>
      <c r="BY174">
        <v>200</v>
      </c>
      <c r="BZ174" t="s">
        <v>785</v>
      </c>
      <c r="CA174" t="s">
        <v>777</v>
      </c>
      <c r="CB174" t="s">
        <v>149</v>
      </c>
      <c r="CC174" t="s">
        <v>156</v>
      </c>
      <c r="CD174" t="s">
        <v>157</v>
      </c>
      <c r="CJ174" t="s">
        <v>785</v>
      </c>
      <c r="CK174" t="s">
        <v>787</v>
      </c>
    </row>
    <row r="175" spans="1:89" x14ac:dyDescent="0.3">
      <c r="A175" t="s">
        <v>788</v>
      </c>
      <c r="B175" t="s">
        <v>6</v>
      </c>
      <c r="C175" t="s">
        <v>145</v>
      </c>
      <c r="D175">
        <v>200</v>
      </c>
      <c r="E175" t="s">
        <v>146</v>
      </c>
      <c r="F175" t="s">
        <v>147</v>
      </c>
      <c r="H175" t="s">
        <v>789</v>
      </c>
      <c r="I175">
        <v>33</v>
      </c>
      <c r="J175">
        <v>344</v>
      </c>
      <c r="L175">
        <v>0</v>
      </c>
      <c r="M175">
        <v>0</v>
      </c>
      <c r="O175">
        <v>0</v>
      </c>
      <c r="P175">
        <v>0</v>
      </c>
      <c r="S175" t="s">
        <v>776</v>
      </c>
      <c r="T175">
        <v>4</v>
      </c>
      <c r="V175">
        <v>0</v>
      </c>
      <c r="AB175" t="s">
        <v>788</v>
      </c>
      <c r="AH175">
        <v>646870</v>
      </c>
      <c r="AI175">
        <v>88567</v>
      </c>
      <c r="AJ175">
        <v>88567</v>
      </c>
      <c r="AK175">
        <v>34.513054261000001</v>
      </c>
      <c r="AM175">
        <v>931</v>
      </c>
      <c r="AS175">
        <v>3</v>
      </c>
      <c r="AT175">
        <v>1</v>
      </c>
      <c r="AV175">
        <v>11</v>
      </c>
      <c r="AW175">
        <v>5</v>
      </c>
      <c r="AX175">
        <v>0</v>
      </c>
      <c r="AY175">
        <v>1.29</v>
      </c>
      <c r="AZ175">
        <v>217</v>
      </c>
      <c r="BA175">
        <v>81</v>
      </c>
      <c r="BB175">
        <v>0</v>
      </c>
      <c r="BP175" t="s">
        <v>151</v>
      </c>
      <c r="BQ175">
        <v>1.1000000000000001</v>
      </c>
      <c r="BR175" t="s">
        <v>777</v>
      </c>
      <c r="BS175" t="s">
        <v>149</v>
      </c>
      <c r="BT175" t="s">
        <v>153</v>
      </c>
      <c r="BU175" t="s">
        <v>150</v>
      </c>
      <c r="BV175" t="s">
        <v>154</v>
      </c>
      <c r="BW175" t="s">
        <v>155</v>
      </c>
      <c r="BX175">
        <v>200</v>
      </c>
      <c r="BY175">
        <v>200</v>
      </c>
      <c r="BZ175" t="s">
        <v>788</v>
      </c>
      <c r="CA175" t="s">
        <v>777</v>
      </c>
      <c r="CB175" t="s">
        <v>149</v>
      </c>
      <c r="CC175" t="s">
        <v>156</v>
      </c>
      <c r="CD175" t="s">
        <v>157</v>
      </c>
      <c r="CJ175" t="s">
        <v>788</v>
      </c>
      <c r="CK175" t="s">
        <v>779</v>
      </c>
    </row>
    <row r="176" spans="1:89" x14ac:dyDescent="0.3">
      <c r="A176" t="s">
        <v>790</v>
      </c>
      <c r="B176" t="s">
        <v>6</v>
      </c>
      <c r="C176" t="s">
        <v>145</v>
      </c>
      <c r="D176">
        <v>200</v>
      </c>
      <c r="E176" t="s">
        <v>146</v>
      </c>
      <c r="F176" t="s">
        <v>147</v>
      </c>
      <c r="H176" t="s">
        <v>791</v>
      </c>
      <c r="I176">
        <v>33</v>
      </c>
      <c r="J176">
        <v>344</v>
      </c>
      <c r="L176">
        <v>0</v>
      </c>
      <c r="M176">
        <v>0</v>
      </c>
      <c r="O176">
        <v>0</v>
      </c>
      <c r="P176">
        <v>0</v>
      </c>
      <c r="S176" t="s">
        <v>776</v>
      </c>
      <c r="T176">
        <v>4</v>
      </c>
      <c r="V176">
        <v>0</v>
      </c>
      <c r="AB176" t="s">
        <v>790</v>
      </c>
      <c r="AH176">
        <v>649973</v>
      </c>
      <c r="AI176">
        <v>89282</v>
      </c>
      <c r="AJ176">
        <v>89282</v>
      </c>
      <c r="AK176">
        <v>34.791677606</v>
      </c>
      <c r="AM176">
        <v>946</v>
      </c>
      <c r="AS176">
        <v>3</v>
      </c>
      <c r="AT176">
        <v>1</v>
      </c>
      <c r="AV176">
        <v>11</v>
      </c>
      <c r="AW176">
        <v>5</v>
      </c>
      <c r="AX176">
        <v>0</v>
      </c>
      <c r="AY176">
        <v>1.29</v>
      </c>
      <c r="AZ176">
        <v>216</v>
      </c>
      <c r="BA176">
        <v>80</v>
      </c>
      <c r="BB176">
        <v>0</v>
      </c>
      <c r="BP176" t="s">
        <v>151</v>
      </c>
      <c r="BQ176">
        <v>1.1000000000000001</v>
      </c>
      <c r="BR176" t="s">
        <v>777</v>
      </c>
      <c r="BS176" t="s">
        <v>149</v>
      </c>
      <c r="BT176" t="s">
        <v>153</v>
      </c>
      <c r="BU176" t="s">
        <v>150</v>
      </c>
      <c r="BV176" t="s">
        <v>154</v>
      </c>
      <c r="BW176" t="s">
        <v>155</v>
      </c>
      <c r="BX176">
        <v>200</v>
      </c>
      <c r="BY176">
        <v>200</v>
      </c>
      <c r="BZ176" t="s">
        <v>790</v>
      </c>
      <c r="CA176" t="s">
        <v>777</v>
      </c>
      <c r="CB176" t="s">
        <v>149</v>
      </c>
      <c r="CC176" t="s">
        <v>156</v>
      </c>
      <c r="CD176" t="s">
        <v>157</v>
      </c>
      <c r="CJ176" t="s">
        <v>790</v>
      </c>
      <c r="CK176" t="s">
        <v>792</v>
      </c>
    </row>
    <row r="177" spans="1:89" x14ac:dyDescent="0.3">
      <c r="A177" t="s">
        <v>793</v>
      </c>
      <c r="B177" t="s">
        <v>6</v>
      </c>
      <c r="C177" t="s">
        <v>145</v>
      </c>
      <c r="D177">
        <v>200</v>
      </c>
      <c r="E177" t="s">
        <v>146</v>
      </c>
      <c r="F177" t="s">
        <v>147</v>
      </c>
      <c r="H177" t="s">
        <v>794</v>
      </c>
      <c r="I177">
        <v>33</v>
      </c>
      <c r="J177">
        <v>344</v>
      </c>
      <c r="L177">
        <v>0</v>
      </c>
      <c r="M177">
        <v>0</v>
      </c>
      <c r="O177">
        <v>0</v>
      </c>
      <c r="P177">
        <v>0</v>
      </c>
      <c r="S177" t="s">
        <v>776</v>
      </c>
      <c r="T177">
        <v>4</v>
      </c>
      <c r="V177">
        <v>0</v>
      </c>
      <c r="AB177" t="s">
        <v>793</v>
      </c>
      <c r="AH177">
        <v>656033</v>
      </c>
      <c r="AI177">
        <v>88049</v>
      </c>
      <c r="AJ177">
        <v>88049</v>
      </c>
      <c r="AK177">
        <v>34.311198466999997</v>
      </c>
      <c r="AM177">
        <v>1014</v>
      </c>
      <c r="AS177">
        <v>3</v>
      </c>
      <c r="AT177">
        <v>1</v>
      </c>
      <c r="AV177">
        <v>10</v>
      </c>
      <c r="AW177">
        <v>4</v>
      </c>
      <c r="AX177">
        <v>0</v>
      </c>
      <c r="AY177">
        <v>1.03</v>
      </c>
      <c r="AZ177">
        <v>215</v>
      </c>
      <c r="BA177">
        <v>79</v>
      </c>
      <c r="BB177">
        <v>0</v>
      </c>
      <c r="BP177" t="s">
        <v>151</v>
      </c>
      <c r="BQ177">
        <v>1.1000000000000001</v>
      </c>
      <c r="BR177" t="s">
        <v>777</v>
      </c>
      <c r="BS177" t="s">
        <v>149</v>
      </c>
      <c r="BT177" t="s">
        <v>153</v>
      </c>
      <c r="BU177" t="s">
        <v>150</v>
      </c>
      <c r="BV177" t="s">
        <v>154</v>
      </c>
      <c r="BW177" t="s">
        <v>155</v>
      </c>
      <c r="BX177">
        <v>200</v>
      </c>
      <c r="BY177">
        <v>200</v>
      </c>
      <c r="BZ177" t="s">
        <v>793</v>
      </c>
      <c r="CA177" t="s">
        <v>777</v>
      </c>
      <c r="CB177" t="s">
        <v>149</v>
      </c>
      <c r="CC177" t="s">
        <v>156</v>
      </c>
      <c r="CD177" t="s">
        <v>157</v>
      </c>
      <c r="CJ177" t="s">
        <v>793</v>
      </c>
      <c r="CK177" t="s">
        <v>792</v>
      </c>
    </row>
    <row r="178" spans="1:89" x14ac:dyDescent="0.3">
      <c r="A178" t="s">
        <v>795</v>
      </c>
      <c r="B178" t="s">
        <v>6</v>
      </c>
      <c r="C178" t="s">
        <v>145</v>
      </c>
      <c r="D178">
        <v>200</v>
      </c>
      <c r="E178" t="s">
        <v>146</v>
      </c>
      <c r="F178" t="s">
        <v>147</v>
      </c>
      <c r="H178" t="s">
        <v>796</v>
      </c>
      <c r="I178">
        <v>33</v>
      </c>
      <c r="J178">
        <v>344</v>
      </c>
      <c r="L178">
        <v>0</v>
      </c>
      <c r="M178">
        <v>0</v>
      </c>
      <c r="O178">
        <v>0</v>
      </c>
      <c r="P178">
        <v>0</v>
      </c>
      <c r="S178" t="s">
        <v>776</v>
      </c>
      <c r="T178">
        <v>4</v>
      </c>
      <c r="V178">
        <v>0</v>
      </c>
      <c r="AB178" t="s">
        <v>795</v>
      </c>
      <c r="AH178">
        <v>605058</v>
      </c>
      <c r="AI178">
        <v>85839</v>
      </c>
      <c r="AJ178">
        <v>85839</v>
      </c>
      <c r="AK178">
        <v>33.449999036999998</v>
      </c>
      <c r="AM178">
        <v>932</v>
      </c>
      <c r="AS178">
        <v>2</v>
      </c>
      <c r="AT178">
        <v>1</v>
      </c>
      <c r="AV178">
        <v>14</v>
      </c>
      <c r="AW178">
        <v>9</v>
      </c>
      <c r="AX178">
        <v>0</v>
      </c>
      <c r="AY178">
        <v>2.33</v>
      </c>
      <c r="AZ178">
        <v>201</v>
      </c>
      <c r="BA178">
        <v>72</v>
      </c>
      <c r="BB178">
        <v>0</v>
      </c>
      <c r="BP178" t="s">
        <v>151</v>
      </c>
      <c r="BQ178">
        <v>1.1000000000000001</v>
      </c>
      <c r="BR178" t="s">
        <v>777</v>
      </c>
      <c r="BS178" t="s">
        <v>149</v>
      </c>
      <c r="BT178" t="s">
        <v>153</v>
      </c>
      <c r="BU178" t="s">
        <v>150</v>
      </c>
      <c r="BV178" t="s">
        <v>154</v>
      </c>
      <c r="BW178" t="s">
        <v>155</v>
      </c>
      <c r="BX178">
        <v>200</v>
      </c>
      <c r="BY178">
        <v>200</v>
      </c>
      <c r="BZ178" t="s">
        <v>795</v>
      </c>
      <c r="CA178" t="s">
        <v>777</v>
      </c>
      <c r="CB178" t="s">
        <v>149</v>
      </c>
      <c r="CC178" t="s">
        <v>156</v>
      </c>
      <c r="CD178" t="s">
        <v>157</v>
      </c>
      <c r="CJ178" t="s">
        <v>795</v>
      </c>
      <c r="CK178" t="s">
        <v>797</v>
      </c>
    </row>
    <row r="179" spans="1:89" x14ac:dyDescent="0.3">
      <c r="A179" t="s">
        <v>798</v>
      </c>
      <c r="B179" t="s">
        <v>6</v>
      </c>
      <c r="C179" t="s">
        <v>145</v>
      </c>
      <c r="D179">
        <v>200</v>
      </c>
      <c r="E179" t="s">
        <v>146</v>
      </c>
      <c r="F179" t="s">
        <v>147</v>
      </c>
      <c r="H179" t="s">
        <v>799</v>
      </c>
      <c r="I179">
        <v>24</v>
      </c>
      <c r="J179">
        <v>259</v>
      </c>
      <c r="L179">
        <v>0</v>
      </c>
      <c r="M179">
        <v>0</v>
      </c>
      <c r="O179">
        <v>0</v>
      </c>
      <c r="P179">
        <v>0</v>
      </c>
      <c r="S179" t="s">
        <v>800</v>
      </c>
      <c r="T179">
        <v>4</v>
      </c>
      <c r="V179">
        <v>0</v>
      </c>
      <c r="AB179" t="s">
        <v>798</v>
      </c>
      <c r="AH179">
        <v>381537</v>
      </c>
      <c r="AI179">
        <v>72757</v>
      </c>
      <c r="AJ179">
        <v>72757</v>
      </c>
      <c r="AK179">
        <v>28.352166030999999</v>
      </c>
      <c r="AM179">
        <v>302</v>
      </c>
      <c r="AS179">
        <v>2</v>
      </c>
      <c r="AT179">
        <v>1</v>
      </c>
      <c r="AV179">
        <v>252</v>
      </c>
      <c r="AW179">
        <v>123</v>
      </c>
      <c r="AX179">
        <v>0</v>
      </c>
      <c r="AY179">
        <v>31.78</v>
      </c>
      <c r="AZ179">
        <v>184</v>
      </c>
      <c r="BA179">
        <v>62</v>
      </c>
      <c r="BB179">
        <v>0</v>
      </c>
      <c r="BP179" t="s">
        <v>151</v>
      </c>
      <c r="BQ179">
        <v>1.1000000000000001</v>
      </c>
      <c r="BR179" t="s">
        <v>801</v>
      </c>
      <c r="BS179" t="s">
        <v>149</v>
      </c>
      <c r="BT179" t="s">
        <v>153</v>
      </c>
      <c r="BU179" t="s">
        <v>150</v>
      </c>
      <c r="BV179" t="s">
        <v>154</v>
      </c>
      <c r="BW179" t="s">
        <v>155</v>
      </c>
      <c r="BX179">
        <v>200</v>
      </c>
      <c r="BY179">
        <v>200</v>
      </c>
      <c r="BZ179" t="s">
        <v>798</v>
      </c>
      <c r="CA179" t="s">
        <v>801</v>
      </c>
      <c r="CB179" t="s">
        <v>149</v>
      </c>
      <c r="CC179" t="s">
        <v>156</v>
      </c>
      <c r="CD179" t="s">
        <v>157</v>
      </c>
      <c r="CJ179" t="s">
        <v>798</v>
      </c>
      <c r="CK179" t="s">
        <v>568</v>
      </c>
    </row>
    <row r="180" spans="1:89" x14ac:dyDescent="0.3">
      <c r="A180" t="s">
        <v>802</v>
      </c>
      <c r="B180" t="s">
        <v>6</v>
      </c>
      <c r="C180" t="s">
        <v>145</v>
      </c>
      <c r="D180">
        <v>200</v>
      </c>
      <c r="E180" t="s">
        <v>146</v>
      </c>
      <c r="F180" t="s">
        <v>147</v>
      </c>
      <c r="H180" t="s">
        <v>803</v>
      </c>
      <c r="I180">
        <v>22</v>
      </c>
      <c r="J180">
        <v>219</v>
      </c>
      <c r="L180">
        <v>0</v>
      </c>
      <c r="M180">
        <v>0</v>
      </c>
      <c r="O180">
        <v>0</v>
      </c>
      <c r="P180">
        <v>0</v>
      </c>
      <c r="S180" t="s">
        <v>804</v>
      </c>
      <c r="T180">
        <v>2</v>
      </c>
      <c r="V180">
        <v>0</v>
      </c>
      <c r="AB180" t="s">
        <v>802</v>
      </c>
      <c r="AH180">
        <v>605394</v>
      </c>
      <c r="AI180">
        <v>86833</v>
      </c>
      <c r="AJ180">
        <v>86833</v>
      </c>
      <c r="AK180">
        <v>33.837343939</v>
      </c>
      <c r="AM180">
        <v>800</v>
      </c>
      <c r="AS180">
        <v>3</v>
      </c>
      <c r="AT180">
        <v>1</v>
      </c>
      <c r="AV180">
        <v>18</v>
      </c>
      <c r="AW180">
        <v>8</v>
      </c>
      <c r="AX180">
        <v>0</v>
      </c>
      <c r="AY180">
        <v>2.0699999999999998</v>
      </c>
      <c r="AZ180">
        <v>214</v>
      </c>
      <c r="BA180">
        <v>79</v>
      </c>
      <c r="BB180">
        <v>0</v>
      </c>
      <c r="BP180" t="s">
        <v>151</v>
      </c>
      <c r="BQ180">
        <v>1.1000000000000001</v>
      </c>
      <c r="BR180" t="s">
        <v>805</v>
      </c>
      <c r="BS180" t="s">
        <v>149</v>
      </c>
      <c r="BT180" t="s">
        <v>153</v>
      </c>
      <c r="BU180" t="s">
        <v>150</v>
      </c>
      <c r="BV180" t="s">
        <v>154</v>
      </c>
      <c r="BW180" t="s">
        <v>155</v>
      </c>
      <c r="BX180">
        <v>200</v>
      </c>
      <c r="BY180">
        <v>200</v>
      </c>
      <c r="BZ180" t="s">
        <v>802</v>
      </c>
      <c r="CA180" t="s">
        <v>805</v>
      </c>
      <c r="CB180" t="s">
        <v>149</v>
      </c>
      <c r="CC180" t="s">
        <v>156</v>
      </c>
      <c r="CD180" t="s">
        <v>157</v>
      </c>
      <c r="CJ180" t="s">
        <v>802</v>
      </c>
      <c r="CK180" t="s">
        <v>422</v>
      </c>
    </row>
    <row r="181" spans="1:89" x14ac:dyDescent="0.3">
      <c r="A181" t="s">
        <v>806</v>
      </c>
      <c r="B181" t="s">
        <v>6</v>
      </c>
      <c r="C181" t="s">
        <v>145</v>
      </c>
      <c r="D181">
        <v>200</v>
      </c>
      <c r="E181" t="s">
        <v>146</v>
      </c>
      <c r="F181" t="s">
        <v>161</v>
      </c>
      <c r="G181" t="s">
        <v>226</v>
      </c>
      <c r="H181" t="s">
        <v>803</v>
      </c>
      <c r="I181">
        <v>22</v>
      </c>
      <c r="J181">
        <v>219</v>
      </c>
      <c r="L181">
        <v>0</v>
      </c>
      <c r="M181">
        <v>0</v>
      </c>
      <c r="O181">
        <v>0</v>
      </c>
      <c r="P181">
        <v>0</v>
      </c>
      <c r="S181" t="s">
        <v>804</v>
      </c>
      <c r="T181">
        <v>2</v>
      </c>
      <c r="V181">
        <v>0</v>
      </c>
      <c r="AB181" t="s">
        <v>802</v>
      </c>
      <c r="AH181">
        <v>605443</v>
      </c>
      <c r="AI181">
        <v>86937</v>
      </c>
      <c r="AJ181">
        <v>86937</v>
      </c>
      <c r="AK181">
        <v>33.877870971</v>
      </c>
      <c r="AM181">
        <v>800</v>
      </c>
      <c r="AS181">
        <v>5</v>
      </c>
      <c r="AT181">
        <v>1</v>
      </c>
      <c r="AV181">
        <v>9</v>
      </c>
      <c r="AW181">
        <v>4</v>
      </c>
      <c r="AX181">
        <v>0</v>
      </c>
      <c r="AY181">
        <v>1.03</v>
      </c>
      <c r="AZ181">
        <v>214</v>
      </c>
      <c r="BA181">
        <v>80</v>
      </c>
      <c r="BB181">
        <v>0</v>
      </c>
      <c r="BP181" t="s">
        <v>151</v>
      </c>
      <c r="BQ181">
        <v>1.1000000000000001</v>
      </c>
      <c r="BR181" t="s">
        <v>805</v>
      </c>
      <c r="BS181" t="s">
        <v>149</v>
      </c>
      <c r="BT181" t="s">
        <v>153</v>
      </c>
      <c r="BU181" t="s">
        <v>150</v>
      </c>
      <c r="BV181" t="s">
        <v>154</v>
      </c>
      <c r="BW181" t="s">
        <v>155</v>
      </c>
      <c r="BX181">
        <v>200</v>
      </c>
      <c r="BY181">
        <v>200</v>
      </c>
      <c r="BZ181" t="s">
        <v>802</v>
      </c>
      <c r="CA181" t="s">
        <v>805</v>
      </c>
      <c r="CB181" t="s">
        <v>149</v>
      </c>
      <c r="CC181" t="s">
        <v>156</v>
      </c>
      <c r="CD181" t="s">
        <v>157</v>
      </c>
      <c r="CJ181" t="s">
        <v>806</v>
      </c>
      <c r="CK181" t="s">
        <v>619</v>
      </c>
    </row>
    <row r="182" spans="1:89" x14ac:dyDescent="0.3">
      <c r="A182" t="s">
        <v>807</v>
      </c>
      <c r="B182" t="s">
        <v>6</v>
      </c>
      <c r="C182" t="s">
        <v>145</v>
      </c>
      <c r="D182">
        <v>200</v>
      </c>
      <c r="E182" t="s">
        <v>146</v>
      </c>
      <c r="F182" t="s">
        <v>147</v>
      </c>
      <c r="H182" t="s">
        <v>808</v>
      </c>
      <c r="I182">
        <v>31</v>
      </c>
      <c r="J182">
        <v>304</v>
      </c>
      <c r="L182">
        <v>0</v>
      </c>
      <c r="M182">
        <v>0</v>
      </c>
      <c r="O182">
        <v>0</v>
      </c>
      <c r="P182">
        <v>0</v>
      </c>
      <c r="S182" t="s">
        <v>804</v>
      </c>
      <c r="T182">
        <v>2</v>
      </c>
      <c r="V182">
        <v>0</v>
      </c>
      <c r="AB182" t="s">
        <v>807</v>
      </c>
      <c r="AH182">
        <v>606410</v>
      </c>
      <c r="AI182">
        <v>87274</v>
      </c>
      <c r="AJ182">
        <v>87274</v>
      </c>
      <c r="AK182">
        <v>34.009194141999998</v>
      </c>
      <c r="AM182">
        <v>805</v>
      </c>
      <c r="AS182">
        <v>4</v>
      </c>
      <c r="AT182">
        <v>1</v>
      </c>
      <c r="AV182">
        <v>12</v>
      </c>
      <c r="AW182">
        <v>5</v>
      </c>
      <c r="AX182">
        <v>0</v>
      </c>
      <c r="AY182">
        <v>1.29</v>
      </c>
      <c r="AZ182">
        <v>215</v>
      </c>
      <c r="BA182">
        <v>80</v>
      </c>
      <c r="BB182">
        <v>0</v>
      </c>
      <c r="BP182" t="s">
        <v>151</v>
      </c>
      <c r="BQ182">
        <v>1.1000000000000001</v>
      </c>
      <c r="BR182" t="s">
        <v>805</v>
      </c>
      <c r="BS182" t="s">
        <v>149</v>
      </c>
      <c r="BT182" t="s">
        <v>153</v>
      </c>
      <c r="BU182" t="s">
        <v>150</v>
      </c>
      <c r="BV182" t="s">
        <v>154</v>
      </c>
      <c r="BW182" t="s">
        <v>155</v>
      </c>
      <c r="BX182">
        <v>200</v>
      </c>
      <c r="BY182">
        <v>200</v>
      </c>
      <c r="BZ182" t="s">
        <v>807</v>
      </c>
      <c r="CA182" t="s">
        <v>805</v>
      </c>
      <c r="CB182" t="s">
        <v>149</v>
      </c>
      <c r="CC182" t="s">
        <v>156</v>
      </c>
      <c r="CD182" t="s">
        <v>157</v>
      </c>
      <c r="CJ182" t="s">
        <v>807</v>
      </c>
      <c r="CK182" t="s">
        <v>809</v>
      </c>
    </row>
    <row r="183" spans="1:89" x14ac:dyDescent="0.3">
      <c r="A183" t="s">
        <v>810</v>
      </c>
      <c r="B183" t="s">
        <v>6</v>
      </c>
      <c r="C183" t="s">
        <v>145</v>
      </c>
      <c r="D183">
        <v>200</v>
      </c>
      <c r="E183" t="s">
        <v>146</v>
      </c>
      <c r="F183" t="s">
        <v>147</v>
      </c>
      <c r="H183" t="s">
        <v>811</v>
      </c>
      <c r="I183">
        <v>31</v>
      </c>
      <c r="J183">
        <v>304</v>
      </c>
      <c r="L183">
        <v>0</v>
      </c>
      <c r="M183">
        <v>0</v>
      </c>
      <c r="O183">
        <v>0</v>
      </c>
      <c r="P183">
        <v>0</v>
      </c>
      <c r="S183" t="s">
        <v>804</v>
      </c>
      <c r="T183">
        <v>2</v>
      </c>
      <c r="V183">
        <v>0</v>
      </c>
      <c r="AB183" t="s">
        <v>810</v>
      </c>
      <c r="AH183">
        <v>614504</v>
      </c>
      <c r="AI183">
        <v>86781</v>
      </c>
      <c r="AJ183">
        <v>86781</v>
      </c>
      <c r="AK183">
        <v>33.817080423</v>
      </c>
      <c r="AM183">
        <v>886</v>
      </c>
      <c r="AS183">
        <v>4</v>
      </c>
      <c r="AT183">
        <v>1</v>
      </c>
      <c r="AV183">
        <v>11</v>
      </c>
      <c r="AW183">
        <v>5</v>
      </c>
      <c r="AX183">
        <v>0</v>
      </c>
      <c r="AY183">
        <v>1.29</v>
      </c>
      <c r="AZ183">
        <v>215</v>
      </c>
      <c r="BA183">
        <v>80</v>
      </c>
      <c r="BB183">
        <v>0</v>
      </c>
      <c r="BP183" t="s">
        <v>151</v>
      </c>
      <c r="BQ183">
        <v>1.1000000000000001</v>
      </c>
      <c r="BR183" t="s">
        <v>805</v>
      </c>
      <c r="BS183" t="s">
        <v>149</v>
      </c>
      <c r="BT183" t="s">
        <v>153</v>
      </c>
      <c r="BU183" t="s">
        <v>150</v>
      </c>
      <c r="BV183" t="s">
        <v>154</v>
      </c>
      <c r="BW183" t="s">
        <v>155</v>
      </c>
      <c r="BX183">
        <v>200</v>
      </c>
      <c r="BY183">
        <v>200</v>
      </c>
      <c r="BZ183" t="s">
        <v>810</v>
      </c>
      <c r="CA183" t="s">
        <v>805</v>
      </c>
      <c r="CB183" t="s">
        <v>149</v>
      </c>
      <c r="CC183" t="s">
        <v>156</v>
      </c>
      <c r="CD183" t="s">
        <v>157</v>
      </c>
      <c r="CJ183" t="s">
        <v>810</v>
      </c>
      <c r="CK183" t="s">
        <v>425</v>
      </c>
    </row>
    <row r="184" spans="1:89" x14ac:dyDescent="0.3">
      <c r="A184" t="s">
        <v>812</v>
      </c>
      <c r="B184" t="s">
        <v>6</v>
      </c>
      <c r="C184" t="s">
        <v>145</v>
      </c>
      <c r="D184">
        <v>200</v>
      </c>
      <c r="E184" t="s">
        <v>146</v>
      </c>
      <c r="F184" t="s">
        <v>147</v>
      </c>
      <c r="H184" t="s">
        <v>813</v>
      </c>
      <c r="I184">
        <v>31</v>
      </c>
      <c r="J184">
        <v>304</v>
      </c>
      <c r="L184">
        <v>0</v>
      </c>
      <c r="M184">
        <v>0</v>
      </c>
      <c r="O184">
        <v>0</v>
      </c>
      <c r="P184">
        <v>0</v>
      </c>
      <c r="S184" t="s">
        <v>804</v>
      </c>
      <c r="T184">
        <v>2</v>
      </c>
      <c r="V184">
        <v>0</v>
      </c>
      <c r="AB184" t="s">
        <v>812</v>
      </c>
      <c r="AH184">
        <v>554263</v>
      </c>
      <c r="AI184">
        <v>84227</v>
      </c>
      <c r="AJ184">
        <v>84227</v>
      </c>
      <c r="AK184">
        <v>32.821830040999998</v>
      </c>
      <c r="AM184">
        <v>784</v>
      </c>
      <c r="AS184">
        <v>4</v>
      </c>
      <c r="AT184">
        <v>1</v>
      </c>
      <c r="AV184">
        <v>10</v>
      </c>
      <c r="AW184">
        <v>5</v>
      </c>
      <c r="AX184">
        <v>0</v>
      </c>
      <c r="AY184">
        <v>1.29</v>
      </c>
      <c r="AZ184">
        <v>200</v>
      </c>
      <c r="BA184">
        <v>73</v>
      </c>
      <c r="BB184">
        <v>0</v>
      </c>
      <c r="BP184" t="s">
        <v>151</v>
      </c>
      <c r="BQ184">
        <v>1.1000000000000001</v>
      </c>
      <c r="BR184" t="s">
        <v>805</v>
      </c>
      <c r="BS184" t="s">
        <v>149</v>
      </c>
      <c r="BT184" t="s">
        <v>153</v>
      </c>
      <c r="BU184" t="s">
        <v>150</v>
      </c>
      <c r="BV184" t="s">
        <v>154</v>
      </c>
      <c r="BW184" t="s">
        <v>155</v>
      </c>
      <c r="BX184">
        <v>200</v>
      </c>
      <c r="BY184">
        <v>200</v>
      </c>
      <c r="BZ184" t="s">
        <v>812</v>
      </c>
      <c r="CA184" t="s">
        <v>805</v>
      </c>
      <c r="CB184" t="s">
        <v>149</v>
      </c>
      <c r="CC184" t="s">
        <v>156</v>
      </c>
      <c r="CD184" t="s">
        <v>157</v>
      </c>
      <c r="CJ184" t="s">
        <v>812</v>
      </c>
      <c r="CK184" t="s">
        <v>809</v>
      </c>
    </row>
    <row r="185" spans="1:89" x14ac:dyDescent="0.3">
      <c r="A185" t="s">
        <v>814</v>
      </c>
      <c r="B185" t="s">
        <v>6</v>
      </c>
      <c r="C185" t="s">
        <v>145</v>
      </c>
      <c r="D185">
        <v>200</v>
      </c>
      <c r="E185" t="s">
        <v>146</v>
      </c>
      <c r="F185" t="s">
        <v>147</v>
      </c>
      <c r="H185" t="s">
        <v>815</v>
      </c>
      <c r="I185">
        <v>24</v>
      </c>
      <c r="J185">
        <v>259</v>
      </c>
      <c r="L185">
        <v>0</v>
      </c>
      <c r="M185">
        <v>0</v>
      </c>
      <c r="O185">
        <v>0</v>
      </c>
      <c r="P185">
        <v>0</v>
      </c>
      <c r="S185" t="s">
        <v>816</v>
      </c>
      <c r="T185">
        <v>4</v>
      </c>
      <c r="V185">
        <v>0</v>
      </c>
      <c r="AB185" t="s">
        <v>814</v>
      </c>
      <c r="AH185">
        <v>517319</v>
      </c>
      <c r="AI185">
        <v>84508</v>
      </c>
      <c r="AJ185">
        <v>84508</v>
      </c>
      <c r="AK185">
        <v>32.931330963999997</v>
      </c>
      <c r="AM185">
        <v>530</v>
      </c>
      <c r="AS185">
        <v>4</v>
      </c>
      <c r="AT185">
        <v>1</v>
      </c>
      <c r="AV185">
        <v>8</v>
      </c>
      <c r="AW185">
        <v>2</v>
      </c>
      <c r="AX185">
        <v>0</v>
      </c>
      <c r="AY185">
        <v>0.52</v>
      </c>
      <c r="AZ185">
        <v>208</v>
      </c>
      <c r="BA185">
        <v>75</v>
      </c>
      <c r="BB185">
        <v>0</v>
      </c>
      <c r="BP185" t="s">
        <v>151</v>
      </c>
      <c r="BQ185">
        <v>1.1000000000000001</v>
      </c>
      <c r="BR185" t="s">
        <v>817</v>
      </c>
      <c r="BS185" t="s">
        <v>149</v>
      </c>
      <c r="BT185" t="s">
        <v>153</v>
      </c>
      <c r="BU185" t="s">
        <v>150</v>
      </c>
      <c r="BV185" t="s">
        <v>154</v>
      </c>
      <c r="BW185" t="s">
        <v>155</v>
      </c>
      <c r="BX185">
        <v>200</v>
      </c>
      <c r="BY185">
        <v>200</v>
      </c>
      <c r="BZ185" t="s">
        <v>814</v>
      </c>
      <c r="CA185" t="s">
        <v>817</v>
      </c>
      <c r="CB185" t="s">
        <v>149</v>
      </c>
      <c r="CC185" t="s">
        <v>156</v>
      </c>
      <c r="CD185" t="s">
        <v>157</v>
      </c>
      <c r="CJ185" t="s">
        <v>814</v>
      </c>
      <c r="CK185" t="s">
        <v>818</v>
      </c>
    </row>
    <row r="186" spans="1:89" x14ac:dyDescent="0.3">
      <c r="A186" t="s">
        <v>819</v>
      </c>
      <c r="B186" t="s">
        <v>6</v>
      </c>
      <c r="C186" t="s">
        <v>145</v>
      </c>
      <c r="D186">
        <v>200</v>
      </c>
      <c r="E186" t="s">
        <v>146</v>
      </c>
      <c r="F186" t="s">
        <v>147</v>
      </c>
      <c r="H186" t="s">
        <v>820</v>
      </c>
      <c r="I186">
        <v>26</v>
      </c>
      <c r="J186">
        <v>288</v>
      </c>
      <c r="L186">
        <v>0</v>
      </c>
      <c r="M186">
        <v>0</v>
      </c>
      <c r="O186">
        <v>0</v>
      </c>
      <c r="P186">
        <v>0</v>
      </c>
      <c r="S186" t="s">
        <v>821</v>
      </c>
      <c r="T186">
        <v>6</v>
      </c>
      <c r="V186">
        <v>0</v>
      </c>
      <c r="AB186" t="s">
        <v>819</v>
      </c>
      <c r="AH186">
        <v>534868</v>
      </c>
      <c r="AI186">
        <v>84302</v>
      </c>
      <c r="AJ186">
        <v>84302</v>
      </c>
      <c r="AK186">
        <v>32.851056266000001</v>
      </c>
      <c r="AM186">
        <v>580</v>
      </c>
      <c r="AS186">
        <v>1</v>
      </c>
      <c r="AT186">
        <v>1</v>
      </c>
      <c r="AV186">
        <v>1029</v>
      </c>
      <c r="AW186">
        <v>387</v>
      </c>
      <c r="AX186">
        <v>0</v>
      </c>
      <c r="AY186">
        <v>100</v>
      </c>
      <c r="AZ186">
        <v>210</v>
      </c>
      <c r="BA186">
        <v>74</v>
      </c>
      <c r="BB186">
        <v>0</v>
      </c>
      <c r="BP186" t="s">
        <v>151</v>
      </c>
      <c r="BQ186">
        <v>1.1000000000000001</v>
      </c>
      <c r="BR186" t="s">
        <v>822</v>
      </c>
      <c r="BS186" t="s">
        <v>149</v>
      </c>
      <c r="BT186" t="s">
        <v>153</v>
      </c>
      <c r="BU186" t="s">
        <v>150</v>
      </c>
      <c r="BV186" t="s">
        <v>154</v>
      </c>
      <c r="BW186" t="s">
        <v>155</v>
      </c>
      <c r="BX186">
        <v>200</v>
      </c>
      <c r="BY186">
        <v>200</v>
      </c>
      <c r="BZ186" t="s">
        <v>819</v>
      </c>
      <c r="CA186" t="s">
        <v>822</v>
      </c>
      <c r="CB186" t="s">
        <v>149</v>
      </c>
      <c r="CC186" t="s">
        <v>156</v>
      </c>
      <c r="CD186" t="s">
        <v>157</v>
      </c>
      <c r="CJ186" t="s">
        <v>819</v>
      </c>
      <c r="CK186" t="s">
        <v>595</v>
      </c>
    </row>
    <row r="187" spans="1:89" x14ac:dyDescent="0.3">
      <c r="A187" t="s">
        <v>823</v>
      </c>
      <c r="B187" t="s">
        <v>6</v>
      </c>
      <c r="C187" t="s">
        <v>145</v>
      </c>
      <c r="D187">
        <v>200</v>
      </c>
      <c r="E187" t="s">
        <v>146</v>
      </c>
      <c r="F187" t="s">
        <v>147</v>
      </c>
      <c r="H187" t="s">
        <v>824</v>
      </c>
      <c r="I187">
        <v>27</v>
      </c>
      <c r="J187">
        <v>308</v>
      </c>
      <c r="L187">
        <v>0</v>
      </c>
      <c r="M187">
        <v>0</v>
      </c>
      <c r="O187">
        <v>0</v>
      </c>
      <c r="P187">
        <v>0</v>
      </c>
      <c r="S187" t="s">
        <v>825</v>
      </c>
      <c r="T187">
        <v>7</v>
      </c>
      <c r="V187">
        <v>0</v>
      </c>
      <c r="AB187" t="s">
        <v>823</v>
      </c>
      <c r="AH187">
        <v>512088</v>
      </c>
      <c r="AI187">
        <v>83584</v>
      </c>
      <c r="AJ187">
        <v>83584</v>
      </c>
      <c r="AK187">
        <v>32.571263872000003</v>
      </c>
      <c r="AM187">
        <v>592</v>
      </c>
      <c r="AS187">
        <v>1</v>
      </c>
      <c r="AT187">
        <v>1</v>
      </c>
      <c r="AV187">
        <v>1028</v>
      </c>
      <c r="AW187">
        <v>387</v>
      </c>
      <c r="AX187">
        <v>0</v>
      </c>
      <c r="AY187">
        <v>100</v>
      </c>
      <c r="AZ187">
        <v>200</v>
      </c>
      <c r="BA187">
        <v>69</v>
      </c>
      <c r="BB187">
        <v>0</v>
      </c>
      <c r="BP187" t="s">
        <v>151</v>
      </c>
      <c r="BQ187">
        <v>1.1000000000000001</v>
      </c>
      <c r="BR187" t="s">
        <v>826</v>
      </c>
      <c r="BS187" t="s">
        <v>149</v>
      </c>
      <c r="BT187" t="s">
        <v>153</v>
      </c>
      <c r="BU187" t="s">
        <v>150</v>
      </c>
      <c r="BV187" t="s">
        <v>154</v>
      </c>
      <c r="BW187" t="s">
        <v>155</v>
      </c>
      <c r="BX187">
        <v>200</v>
      </c>
      <c r="BY187">
        <v>200</v>
      </c>
      <c r="BZ187" t="s">
        <v>823</v>
      </c>
      <c r="CA187" t="s">
        <v>826</v>
      </c>
      <c r="CB187" t="s">
        <v>149</v>
      </c>
      <c r="CC187" t="s">
        <v>156</v>
      </c>
      <c r="CD187" t="s">
        <v>157</v>
      </c>
      <c r="CJ187" t="s">
        <v>823</v>
      </c>
      <c r="CK187" t="s">
        <v>710</v>
      </c>
    </row>
    <row r="188" spans="1:89" x14ac:dyDescent="0.3">
      <c r="A188" t="s">
        <v>827</v>
      </c>
      <c r="B188" t="s">
        <v>6</v>
      </c>
      <c r="C188" t="s">
        <v>145</v>
      </c>
      <c r="D188">
        <v>200</v>
      </c>
      <c r="E188" t="s">
        <v>146</v>
      </c>
      <c r="F188" t="s">
        <v>147</v>
      </c>
      <c r="H188" t="s">
        <v>828</v>
      </c>
      <c r="I188">
        <v>29</v>
      </c>
      <c r="J188">
        <v>359</v>
      </c>
      <c r="L188">
        <v>0</v>
      </c>
      <c r="M188">
        <v>0</v>
      </c>
      <c r="O188">
        <v>0</v>
      </c>
      <c r="P188">
        <v>0</v>
      </c>
      <c r="S188" t="s">
        <v>829</v>
      </c>
      <c r="T188">
        <v>9</v>
      </c>
      <c r="V188">
        <v>0</v>
      </c>
      <c r="AB188" t="s">
        <v>827</v>
      </c>
      <c r="AH188">
        <v>478164</v>
      </c>
      <c r="AI188">
        <v>81496</v>
      </c>
      <c r="AJ188">
        <v>81496</v>
      </c>
      <c r="AK188">
        <v>31.757605768000001</v>
      </c>
      <c r="AM188">
        <v>510</v>
      </c>
      <c r="AS188">
        <v>1</v>
      </c>
      <c r="AT188">
        <v>1</v>
      </c>
      <c r="AV188">
        <v>1028</v>
      </c>
      <c r="AW188">
        <v>387</v>
      </c>
      <c r="AX188">
        <v>0</v>
      </c>
      <c r="AY188">
        <v>100</v>
      </c>
      <c r="AZ188">
        <v>196</v>
      </c>
      <c r="BA188">
        <v>67</v>
      </c>
      <c r="BB188">
        <v>0</v>
      </c>
      <c r="BP188" t="s">
        <v>151</v>
      </c>
      <c r="BQ188">
        <v>1.1000000000000001</v>
      </c>
      <c r="BR188" t="s">
        <v>830</v>
      </c>
      <c r="BS188" t="s">
        <v>149</v>
      </c>
      <c r="BT188" t="s">
        <v>153</v>
      </c>
      <c r="BU188" t="s">
        <v>150</v>
      </c>
      <c r="BV188" t="s">
        <v>154</v>
      </c>
      <c r="BW188" t="s">
        <v>155</v>
      </c>
      <c r="BX188">
        <v>200</v>
      </c>
      <c r="BY188">
        <v>200</v>
      </c>
      <c r="BZ188" t="s">
        <v>827</v>
      </c>
      <c r="CA188" t="s">
        <v>830</v>
      </c>
      <c r="CB188" t="s">
        <v>149</v>
      </c>
      <c r="CC188" t="s">
        <v>156</v>
      </c>
      <c r="CD188" t="s">
        <v>157</v>
      </c>
      <c r="CJ188" t="s">
        <v>827</v>
      </c>
      <c r="CK188" t="s">
        <v>219</v>
      </c>
    </row>
    <row r="189" spans="1:89" x14ac:dyDescent="0.3">
      <c r="A189" t="s">
        <v>831</v>
      </c>
      <c r="B189" t="s">
        <v>6</v>
      </c>
      <c r="C189" t="s">
        <v>145</v>
      </c>
      <c r="D189">
        <v>200</v>
      </c>
      <c r="E189" t="s">
        <v>146</v>
      </c>
      <c r="F189" t="s">
        <v>147</v>
      </c>
      <c r="H189" t="s">
        <v>832</v>
      </c>
      <c r="I189">
        <v>28</v>
      </c>
      <c r="J189">
        <v>332</v>
      </c>
      <c r="L189">
        <v>0</v>
      </c>
      <c r="M189">
        <v>0</v>
      </c>
      <c r="O189">
        <v>0</v>
      </c>
      <c r="P189">
        <v>0</v>
      </c>
      <c r="S189" t="s">
        <v>833</v>
      </c>
      <c r="T189">
        <v>8</v>
      </c>
      <c r="V189">
        <v>0</v>
      </c>
      <c r="AB189" t="s">
        <v>831</v>
      </c>
      <c r="AH189">
        <v>558113</v>
      </c>
      <c r="AI189">
        <v>86074</v>
      </c>
      <c r="AJ189">
        <v>86074</v>
      </c>
      <c r="AK189">
        <v>33.541574541999999</v>
      </c>
      <c r="AM189">
        <v>653</v>
      </c>
      <c r="AS189">
        <v>1</v>
      </c>
      <c r="AT189">
        <v>1</v>
      </c>
      <c r="AV189">
        <v>1032</v>
      </c>
      <c r="AW189">
        <v>387</v>
      </c>
      <c r="AX189">
        <v>0</v>
      </c>
      <c r="AY189">
        <v>100</v>
      </c>
      <c r="AZ189">
        <v>212</v>
      </c>
      <c r="BA189">
        <v>75</v>
      </c>
      <c r="BB189">
        <v>0</v>
      </c>
      <c r="BP189" t="s">
        <v>151</v>
      </c>
      <c r="BQ189">
        <v>1.1000000000000001</v>
      </c>
      <c r="BR189" t="s">
        <v>834</v>
      </c>
      <c r="BS189" t="s">
        <v>149</v>
      </c>
      <c r="BT189" t="s">
        <v>153</v>
      </c>
      <c r="BU189" t="s">
        <v>150</v>
      </c>
      <c r="BV189" t="s">
        <v>154</v>
      </c>
      <c r="BW189" t="s">
        <v>155</v>
      </c>
      <c r="BX189">
        <v>200</v>
      </c>
      <c r="BY189">
        <v>200</v>
      </c>
      <c r="BZ189" t="s">
        <v>831</v>
      </c>
      <c r="CA189" t="s">
        <v>834</v>
      </c>
      <c r="CB189" t="s">
        <v>149</v>
      </c>
      <c r="CC189" t="s">
        <v>156</v>
      </c>
      <c r="CD189" t="s">
        <v>157</v>
      </c>
      <c r="CJ189" t="s">
        <v>831</v>
      </c>
      <c r="CK189" t="s">
        <v>835</v>
      </c>
    </row>
    <row r="190" spans="1:89" x14ac:dyDescent="0.3">
      <c r="A190" t="s">
        <v>836</v>
      </c>
      <c r="B190" t="s">
        <v>6</v>
      </c>
      <c r="C190" t="s">
        <v>145</v>
      </c>
      <c r="D190">
        <v>200</v>
      </c>
      <c r="E190" t="s">
        <v>146</v>
      </c>
      <c r="F190" t="s">
        <v>161</v>
      </c>
      <c r="G190" t="s">
        <v>226</v>
      </c>
      <c r="H190" t="s">
        <v>832</v>
      </c>
      <c r="I190">
        <v>28</v>
      </c>
      <c r="J190">
        <v>332</v>
      </c>
      <c r="L190">
        <v>0</v>
      </c>
      <c r="M190">
        <v>0</v>
      </c>
      <c r="O190">
        <v>0</v>
      </c>
      <c r="P190">
        <v>0</v>
      </c>
      <c r="S190" t="s">
        <v>833</v>
      </c>
      <c r="T190">
        <v>8</v>
      </c>
      <c r="V190">
        <v>0</v>
      </c>
      <c r="AB190" t="s">
        <v>831</v>
      </c>
      <c r="AH190">
        <v>558162</v>
      </c>
      <c r="AI190">
        <v>86177</v>
      </c>
      <c r="AJ190">
        <v>86177</v>
      </c>
      <c r="AK190">
        <v>33.581711890999998</v>
      </c>
      <c r="AM190">
        <v>653</v>
      </c>
      <c r="AS190">
        <v>3</v>
      </c>
      <c r="AT190">
        <v>1</v>
      </c>
      <c r="AV190">
        <v>7</v>
      </c>
      <c r="AW190">
        <v>2</v>
      </c>
      <c r="AX190">
        <v>0</v>
      </c>
      <c r="AY190">
        <v>0.52</v>
      </c>
      <c r="AZ190">
        <v>212</v>
      </c>
      <c r="BA190">
        <v>76</v>
      </c>
      <c r="BB190">
        <v>0</v>
      </c>
      <c r="BP190" t="s">
        <v>151</v>
      </c>
      <c r="BQ190">
        <v>1.1000000000000001</v>
      </c>
      <c r="BR190" t="s">
        <v>834</v>
      </c>
      <c r="BS190" t="s">
        <v>149</v>
      </c>
      <c r="BT190" t="s">
        <v>153</v>
      </c>
      <c r="BU190" t="s">
        <v>150</v>
      </c>
      <c r="BV190" t="s">
        <v>154</v>
      </c>
      <c r="BW190" t="s">
        <v>155</v>
      </c>
      <c r="BX190">
        <v>200</v>
      </c>
      <c r="BY190">
        <v>200</v>
      </c>
      <c r="BZ190" t="s">
        <v>831</v>
      </c>
      <c r="CA190" t="s">
        <v>834</v>
      </c>
      <c r="CB190" t="s">
        <v>149</v>
      </c>
      <c r="CC190" t="s">
        <v>156</v>
      </c>
      <c r="CD190" t="s">
        <v>157</v>
      </c>
      <c r="CJ190" t="s">
        <v>836</v>
      </c>
      <c r="CK190" t="s">
        <v>837</v>
      </c>
    </row>
    <row r="191" spans="1:89" x14ac:dyDescent="0.3">
      <c r="A191" t="s">
        <v>838</v>
      </c>
      <c r="B191" t="s">
        <v>6</v>
      </c>
      <c r="C191" t="s">
        <v>145</v>
      </c>
      <c r="D191">
        <v>200</v>
      </c>
      <c r="E191" t="s">
        <v>146</v>
      </c>
      <c r="F191" t="s">
        <v>147</v>
      </c>
      <c r="H191" t="s">
        <v>839</v>
      </c>
      <c r="I191">
        <v>37</v>
      </c>
      <c r="J191">
        <v>417</v>
      </c>
      <c r="L191">
        <v>0</v>
      </c>
      <c r="M191">
        <v>0</v>
      </c>
      <c r="O191">
        <v>0</v>
      </c>
      <c r="P191">
        <v>0</v>
      </c>
      <c r="S191" t="s">
        <v>833</v>
      </c>
      <c r="T191">
        <v>8</v>
      </c>
      <c r="V191">
        <v>0</v>
      </c>
      <c r="AB191" t="s">
        <v>838</v>
      </c>
      <c r="AH191">
        <v>494835</v>
      </c>
      <c r="AI191">
        <v>82130</v>
      </c>
      <c r="AJ191">
        <v>82130</v>
      </c>
      <c r="AK191">
        <v>32.00466479</v>
      </c>
      <c r="AM191">
        <v>604</v>
      </c>
      <c r="AS191">
        <v>2</v>
      </c>
      <c r="AT191">
        <v>1</v>
      </c>
      <c r="AV191">
        <v>9</v>
      </c>
      <c r="AW191">
        <v>3</v>
      </c>
      <c r="AX191">
        <v>0</v>
      </c>
      <c r="AY191">
        <v>0.78</v>
      </c>
      <c r="AZ191">
        <v>196</v>
      </c>
      <c r="BA191">
        <v>68</v>
      </c>
      <c r="BB191">
        <v>0</v>
      </c>
      <c r="BP191" t="s">
        <v>151</v>
      </c>
      <c r="BQ191">
        <v>1.1000000000000001</v>
      </c>
      <c r="BR191" t="s">
        <v>834</v>
      </c>
      <c r="BS191" t="s">
        <v>149</v>
      </c>
      <c r="BT191" t="s">
        <v>153</v>
      </c>
      <c r="BU191" t="s">
        <v>150</v>
      </c>
      <c r="BV191" t="s">
        <v>154</v>
      </c>
      <c r="BW191" t="s">
        <v>155</v>
      </c>
      <c r="BX191">
        <v>200</v>
      </c>
      <c r="BY191">
        <v>200</v>
      </c>
      <c r="BZ191" t="s">
        <v>838</v>
      </c>
      <c r="CA191" t="s">
        <v>834</v>
      </c>
      <c r="CB191" t="s">
        <v>149</v>
      </c>
      <c r="CC191" t="s">
        <v>156</v>
      </c>
      <c r="CD191" t="s">
        <v>157</v>
      </c>
      <c r="CJ191" t="s">
        <v>838</v>
      </c>
      <c r="CK191" t="s">
        <v>840</v>
      </c>
    </row>
    <row r="192" spans="1:89" x14ac:dyDescent="0.3">
      <c r="A192" t="s">
        <v>841</v>
      </c>
      <c r="B192" t="s">
        <v>6</v>
      </c>
      <c r="C192" t="s">
        <v>145</v>
      </c>
      <c r="D192">
        <v>200</v>
      </c>
      <c r="E192" t="s">
        <v>146</v>
      </c>
      <c r="F192" t="s">
        <v>147</v>
      </c>
      <c r="H192" t="s">
        <v>842</v>
      </c>
      <c r="I192">
        <v>29</v>
      </c>
      <c r="J192">
        <v>359</v>
      </c>
      <c r="L192">
        <v>0</v>
      </c>
      <c r="M192">
        <v>0</v>
      </c>
      <c r="O192">
        <v>0</v>
      </c>
      <c r="P192">
        <v>0</v>
      </c>
      <c r="S192" t="s">
        <v>843</v>
      </c>
      <c r="T192">
        <v>9</v>
      </c>
      <c r="V192">
        <v>0</v>
      </c>
      <c r="AB192" t="s">
        <v>841</v>
      </c>
      <c r="AH192">
        <v>497994</v>
      </c>
      <c r="AI192">
        <v>82448</v>
      </c>
      <c r="AJ192">
        <v>82448</v>
      </c>
      <c r="AK192">
        <v>32.128583984000002</v>
      </c>
      <c r="AM192">
        <v>536</v>
      </c>
      <c r="AS192">
        <v>1</v>
      </c>
      <c r="AT192">
        <v>1</v>
      </c>
      <c r="AV192">
        <v>1028</v>
      </c>
      <c r="AW192">
        <v>387</v>
      </c>
      <c r="AX192">
        <v>0</v>
      </c>
      <c r="AY192">
        <v>100</v>
      </c>
      <c r="AZ192">
        <v>200</v>
      </c>
      <c r="BA192">
        <v>69</v>
      </c>
      <c r="BB192">
        <v>0</v>
      </c>
      <c r="BP192" t="s">
        <v>151</v>
      </c>
      <c r="BQ192">
        <v>1.1000000000000001</v>
      </c>
      <c r="BR192" t="s">
        <v>844</v>
      </c>
      <c r="BS192" t="s">
        <v>149</v>
      </c>
      <c r="BT192" t="s">
        <v>153</v>
      </c>
      <c r="BU192" t="s">
        <v>150</v>
      </c>
      <c r="BV192" t="s">
        <v>154</v>
      </c>
      <c r="BW192" t="s">
        <v>155</v>
      </c>
      <c r="BX192">
        <v>200</v>
      </c>
      <c r="BY192">
        <v>200</v>
      </c>
      <c r="BZ192" t="s">
        <v>841</v>
      </c>
      <c r="CA192" t="s">
        <v>844</v>
      </c>
      <c r="CB192" t="s">
        <v>149</v>
      </c>
      <c r="CC192" t="s">
        <v>156</v>
      </c>
      <c r="CD192" t="s">
        <v>157</v>
      </c>
      <c r="CJ192" t="s">
        <v>841</v>
      </c>
      <c r="CK192" t="s">
        <v>478</v>
      </c>
    </row>
    <row r="193" spans="1:89" x14ac:dyDescent="0.3">
      <c r="A193" t="s">
        <v>845</v>
      </c>
      <c r="B193" t="s">
        <v>6</v>
      </c>
      <c r="C193" t="s">
        <v>145</v>
      </c>
      <c r="D193">
        <v>200</v>
      </c>
      <c r="E193" t="s">
        <v>146</v>
      </c>
      <c r="F193" t="s">
        <v>147</v>
      </c>
      <c r="H193" t="s">
        <v>846</v>
      </c>
      <c r="I193">
        <v>26</v>
      </c>
      <c r="J193">
        <v>299</v>
      </c>
      <c r="L193">
        <v>0</v>
      </c>
      <c r="M193">
        <v>0</v>
      </c>
      <c r="O193">
        <v>0</v>
      </c>
      <c r="P193">
        <v>0</v>
      </c>
      <c r="S193" t="s">
        <v>847</v>
      </c>
      <c r="T193">
        <v>6</v>
      </c>
      <c r="V193">
        <v>0</v>
      </c>
      <c r="AB193" t="s">
        <v>845</v>
      </c>
      <c r="AH193">
        <v>491245</v>
      </c>
      <c r="AI193">
        <v>82046</v>
      </c>
      <c r="AJ193">
        <v>82046</v>
      </c>
      <c r="AK193">
        <v>31.971931418</v>
      </c>
      <c r="AM193">
        <v>550</v>
      </c>
      <c r="AS193">
        <v>2</v>
      </c>
      <c r="AT193">
        <v>1</v>
      </c>
      <c r="AV193">
        <v>253</v>
      </c>
      <c r="AW193">
        <v>123</v>
      </c>
      <c r="AX193">
        <v>0</v>
      </c>
      <c r="AY193">
        <v>31.78</v>
      </c>
      <c r="AZ193">
        <v>195</v>
      </c>
      <c r="BA193">
        <v>67</v>
      </c>
      <c r="BB193">
        <v>0</v>
      </c>
      <c r="BP193" t="s">
        <v>151</v>
      </c>
      <c r="BQ193">
        <v>1.1000000000000001</v>
      </c>
      <c r="BR193" t="s">
        <v>848</v>
      </c>
      <c r="BS193" t="s">
        <v>149</v>
      </c>
      <c r="BT193" t="s">
        <v>153</v>
      </c>
      <c r="BU193" t="s">
        <v>150</v>
      </c>
      <c r="BV193" t="s">
        <v>154</v>
      </c>
      <c r="BW193" t="s">
        <v>155</v>
      </c>
      <c r="BX193">
        <v>200</v>
      </c>
      <c r="BY193">
        <v>200</v>
      </c>
      <c r="BZ193" t="s">
        <v>845</v>
      </c>
      <c r="CA193" t="s">
        <v>848</v>
      </c>
      <c r="CB193" t="s">
        <v>149</v>
      </c>
      <c r="CC193" t="s">
        <v>156</v>
      </c>
      <c r="CD193" t="s">
        <v>157</v>
      </c>
      <c r="CJ193" t="s">
        <v>845</v>
      </c>
      <c r="CK193" t="s">
        <v>590</v>
      </c>
    </row>
    <row r="194" spans="1:89" x14ac:dyDescent="0.3">
      <c r="A194" t="s">
        <v>849</v>
      </c>
      <c r="B194" t="s">
        <v>6</v>
      </c>
      <c r="C194" t="s">
        <v>145</v>
      </c>
      <c r="D194">
        <v>200</v>
      </c>
      <c r="E194" t="s">
        <v>146</v>
      </c>
      <c r="F194" t="s">
        <v>147</v>
      </c>
      <c r="H194" t="s">
        <v>850</v>
      </c>
      <c r="I194">
        <v>24</v>
      </c>
      <c r="J194">
        <v>259</v>
      </c>
      <c r="L194">
        <v>0</v>
      </c>
      <c r="M194">
        <v>0</v>
      </c>
      <c r="O194">
        <v>0</v>
      </c>
      <c r="P194">
        <v>0</v>
      </c>
      <c r="S194" t="s">
        <v>851</v>
      </c>
      <c r="T194">
        <v>4</v>
      </c>
      <c r="V194">
        <v>0</v>
      </c>
      <c r="AB194" t="s">
        <v>849</v>
      </c>
      <c r="AH194">
        <v>382043</v>
      </c>
      <c r="AI194">
        <v>73258</v>
      </c>
      <c r="AJ194">
        <v>73258</v>
      </c>
      <c r="AK194">
        <v>28.547397214</v>
      </c>
      <c r="AM194">
        <v>302</v>
      </c>
      <c r="AS194">
        <v>1</v>
      </c>
      <c r="AT194">
        <v>1</v>
      </c>
      <c r="AV194">
        <v>781</v>
      </c>
      <c r="AW194">
        <v>387</v>
      </c>
      <c r="AX194">
        <v>0</v>
      </c>
      <c r="AY194">
        <v>100</v>
      </c>
      <c r="AZ194">
        <v>184</v>
      </c>
      <c r="BA194">
        <v>62</v>
      </c>
      <c r="BB194">
        <v>0</v>
      </c>
      <c r="BP194" t="s">
        <v>151</v>
      </c>
      <c r="BQ194">
        <v>1.1000000000000001</v>
      </c>
      <c r="BR194" t="s">
        <v>852</v>
      </c>
      <c r="BS194" t="s">
        <v>149</v>
      </c>
      <c r="BT194" t="s">
        <v>153</v>
      </c>
      <c r="BU194" t="s">
        <v>150</v>
      </c>
      <c r="BV194" t="s">
        <v>154</v>
      </c>
      <c r="BW194" t="s">
        <v>155</v>
      </c>
      <c r="BX194">
        <v>200</v>
      </c>
      <c r="BY194">
        <v>200</v>
      </c>
      <c r="BZ194" t="s">
        <v>853</v>
      </c>
      <c r="CA194" t="s">
        <v>852</v>
      </c>
      <c r="CB194" t="s">
        <v>149</v>
      </c>
      <c r="CC194" t="s">
        <v>156</v>
      </c>
      <c r="CD194" t="s">
        <v>157</v>
      </c>
      <c r="CJ194" t="s">
        <v>854</v>
      </c>
      <c r="CK194" t="s">
        <v>266</v>
      </c>
    </row>
    <row r="195" spans="1:89" x14ac:dyDescent="0.3">
      <c r="A195" t="s">
        <v>855</v>
      </c>
      <c r="B195" t="s">
        <v>8</v>
      </c>
      <c r="C195" t="s">
        <v>145</v>
      </c>
      <c r="D195">
        <v>200</v>
      </c>
      <c r="E195" t="s">
        <v>146</v>
      </c>
      <c r="F195" t="s">
        <v>147</v>
      </c>
      <c r="H195" t="s">
        <v>856</v>
      </c>
      <c r="I195">
        <v>24</v>
      </c>
      <c r="J195">
        <v>259</v>
      </c>
      <c r="L195">
        <v>0</v>
      </c>
      <c r="M195">
        <v>0</v>
      </c>
      <c r="N195" t="s">
        <v>857</v>
      </c>
      <c r="O195">
        <v>122</v>
      </c>
      <c r="P195">
        <v>1636</v>
      </c>
      <c r="T195">
        <v>0</v>
      </c>
      <c r="V195">
        <v>0</v>
      </c>
      <c r="AB195" t="s">
        <v>855</v>
      </c>
      <c r="AH195">
        <v>342108</v>
      </c>
      <c r="AI195">
        <v>73341</v>
      </c>
      <c r="AJ195">
        <v>73341</v>
      </c>
      <c r="AK195">
        <v>28.579740903000001</v>
      </c>
      <c r="AM195">
        <v>192</v>
      </c>
      <c r="AS195">
        <v>1</v>
      </c>
      <c r="AT195">
        <v>1</v>
      </c>
      <c r="AV195">
        <v>788</v>
      </c>
      <c r="AW195">
        <v>387</v>
      </c>
      <c r="AX195">
        <v>0</v>
      </c>
      <c r="AY195">
        <v>100</v>
      </c>
      <c r="AZ195">
        <v>115</v>
      </c>
      <c r="BA195">
        <v>59</v>
      </c>
      <c r="BB195">
        <v>0</v>
      </c>
      <c r="BP195" t="s">
        <v>151</v>
      </c>
      <c r="BQ195">
        <v>1.1000000000000001</v>
      </c>
      <c r="BR195" t="s">
        <v>858</v>
      </c>
      <c r="BS195" t="s">
        <v>857</v>
      </c>
      <c r="BT195" t="s">
        <v>153</v>
      </c>
      <c r="BU195" t="s">
        <v>150</v>
      </c>
      <c r="BV195" t="s">
        <v>154</v>
      </c>
      <c r="BW195" t="s">
        <v>155</v>
      </c>
      <c r="BX195">
        <v>200</v>
      </c>
      <c r="BY195">
        <v>200</v>
      </c>
      <c r="BZ195" t="s">
        <v>855</v>
      </c>
      <c r="CA195" t="s">
        <v>858</v>
      </c>
      <c r="CB195" t="s">
        <v>857</v>
      </c>
      <c r="CC195" t="s">
        <v>156</v>
      </c>
      <c r="CD195" t="s">
        <v>859</v>
      </c>
      <c r="CJ195" t="s">
        <v>855</v>
      </c>
      <c r="CK195" t="s">
        <v>595</v>
      </c>
    </row>
    <row r="196" spans="1:89" x14ac:dyDescent="0.3">
      <c r="A196" t="s">
        <v>860</v>
      </c>
      <c r="B196" t="s">
        <v>8</v>
      </c>
      <c r="C196" t="s">
        <v>145</v>
      </c>
      <c r="D196">
        <v>200</v>
      </c>
      <c r="E196" t="s">
        <v>146</v>
      </c>
      <c r="F196" t="s">
        <v>147</v>
      </c>
      <c r="H196" t="s">
        <v>861</v>
      </c>
      <c r="I196">
        <v>47</v>
      </c>
      <c r="J196">
        <v>450</v>
      </c>
      <c r="L196">
        <v>0</v>
      </c>
      <c r="M196">
        <v>0</v>
      </c>
      <c r="O196">
        <v>0</v>
      </c>
      <c r="P196">
        <v>0</v>
      </c>
      <c r="T196">
        <v>0</v>
      </c>
      <c r="V196">
        <v>0</v>
      </c>
      <c r="AB196" t="s">
        <v>860</v>
      </c>
      <c r="AH196">
        <v>344608</v>
      </c>
      <c r="AI196">
        <v>74396</v>
      </c>
      <c r="AJ196">
        <v>74396</v>
      </c>
      <c r="AK196">
        <v>28.990856468</v>
      </c>
      <c r="AM196">
        <v>256</v>
      </c>
      <c r="AS196">
        <v>1</v>
      </c>
      <c r="AT196">
        <v>1</v>
      </c>
      <c r="AV196">
        <v>398</v>
      </c>
      <c r="AW196">
        <v>387</v>
      </c>
      <c r="AX196">
        <v>0</v>
      </c>
      <c r="AY196">
        <v>100</v>
      </c>
      <c r="AZ196">
        <v>110</v>
      </c>
      <c r="BA196">
        <v>54</v>
      </c>
      <c r="BB196">
        <v>0</v>
      </c>
      <c r="BP196" t="s">
        <v>151</v>
      </c>
      <c r="BQ196">
        <v>1.1000000000000001</v>
      </c>
      <c r="BR196" t="s">
        <v>862</v>
      </c>
      <c r="BS196" t="s">
        <v>149</v>
      </c>
      <c r="BT196" t="s">
        <v>153</v>
      </c>
      <c r="BU196" t="s">
        <v>150</v>
      </c>
      <c r="BV196" t="s">
        <v>154</v>
      </c>
      <c r="BW196" t="s">
        <v>155</v>
      </c>
      <c r="BX196">
        <v>200</v>
      </c>
      <c r="BY196">
        <v>200</v>
      </c>
      <c r="BZ196" t="s">
        <v>860</v>
      </c>
      <c r="CA196" t="s">
        <v>862</v>
      </c>
      <c r="CB196" t="s">
        <v>149</v>
      </c>
      <c r="CC196" t="s">
        <v>156</v>
      </c>
      <c r="CD196" t="s">
        <v>859</v>
      </c>
      <c r="CJ196" t="s">
        <v>860</v>
      </c>
      <c r="CK196" t="s">
        <v>456</v>
      </c>
    </row>
    <row r="197" spans="1:89" x14ac:dyDescent="0.3">
      <c r="A197" t="s">
        <v>863</v>
      </c>
      <c r="B197" t="s">
        <v>8</v>
      </c>
      <c r="C197" t="s">
        <v>145</v>
      </c>
      <c r="D197">
        <v>200</v>
      </c>
      <c r="E197" t="s">
        <v>146</v>
      </c>
      <c r="F197" t="s">
        <v>147</v>
      </c>
      <c r="H197" t="s">
        <v>864</v>
      </c>
      <c r="I197">
        <v>42</v>
      </c>
      <c r="J197">
        <v>376</v>
      </c>
      <c r="L197">
        <v>0</v>
      </c>
      <c r="M197">
        <v>0</v>
      </c>
      <c r="O197">
        <v>0</v>
      </c>
      <c r="P197">
        <v>0</v>
      </c>
      <c r="T197">
        <v>0</v>
      </c>
      <c r="V197">
        <v>0</v>
      </c>
      <c r="AB197" t="s">
        <v>863</v>
      </c>
      <c r="AH197">
        <v>358044</v>
      </c>
      <c r="AI197">
        <v>81079</v>
      </c>
      <c r="AJ197">
        <v>81079</v>
      </c>
      <c r="AK197">
        <v>31.595107957</v>
      </c>
      <c r="AM197">
        <v>207</v>
      </c>
      <c r="AS197">
        <v>2</v>
      </c>
      <c r="AT197">
        <v>1</v>
      </c>
      <c r="AV197">
        <v>31</v>
      </c>
      <c r="AW197">
        <v>12</v>
      </c>
      <c r="AX197">
        <v>0</v>
      </c>
      <c r="AY197">
        <v>3.1</v>
      </c>
      <c r="AZ197">
        <v>129</v>
      </c>
      <c r="BA197">
        <v>65</v>
      </c>
      <c r="BB197">
        <v>0</v>
      </c>
      <c r="BP197" t="s">
        <v>151</v>
      </c>
      <c r="BQ197">
        <v>1.1000000000000001</v>
      </c>
      <c r="BR197" t="s">
        <v>865</v>
      </c>
      <c r="BS197" t="s">
        <v>149</v>
      </c>
      <c r="BT197" t="s">
        <v>153</v>
      </c>
      <c r="BU197" t="s">
        <v>150</v>
      </c>
      <c r="BV197" t="s">
        <v>154</v>
      </c>
      <c r="BW197" t="s">
        <v>155</v>
      </c>
      <c r="BX197">
        <v>200</v>
      </c>
      <c r="BY197">
        <v>200</v>
      </c>
      <c r="BZ197" t="s">
        <v>863</v>
      </c>
      <c r="CA197" t="s">
        <v>865</v>
      </c>
      <c r="CB197" t="s">
        <v>149</v>
      </c>
      <c r="CC197" t="s">
        <v>156</v>
      </c>
      <c r="CD197" t="s">
        <v>859</v>
      </c>
      <c r="CJ197" t="s">
        <v>863</v>
      </c>
      <c r="CK197" t="s">
        <v>866</v>
      </c>
    </row>
    <row r="198" spans="1:89" x14ac:dyDescent="0.3">
      <c r="A198" t="s">
        <v>867</v>
      </c>
      <c r="B198" t="s">
        <v>8</v>
      </c>
      <c r="C198" t="s">
        <v>145</v>
      </c>
      <c r="D198">
        <v>200</v>
      </c>
      <c r="E198" t="s">
        <v>146</v>
      </c>
      <c r="F198" t="s">
        <v>147</v>
      </c>
      <c r="H198" t="s">
        <v>868</v>
      </c>
      <c r="I198">
        <v>52</v>
      </c>
      <c r="J198">
        <v>483</v>
      </c>
      <c r="L198">
        <v>0</v>
      </c>
      <c r="M198">
        <v>0</v>
      </c>
      <c r="O198">
        <v>0</v>
      </c>
      <c r="P198">
        <v>0</v>
      </c>
      <c r="T198">
        <v>0</v>
      </c>
      <c r="V198">
        <v>0</v>
      </c>
      <c r="AB198" t="s">
        <v>867</v>
      </c>
      <c r="AH198">
        <v>358518</v>
      </c>
      <c r="AI198">
        <v>81198</v>
      </c>
      <c r="AJ198">
        <v>81198</v>
      </c>
      <c r="AK198">
        <v>31.641480233999999</v>
      </c>
      <c r="AM198">
        <v>206</v>
      </c>
      <c r="AS198">
        <v>2</v>
      </c>
      <c r="AT198">
        <v>1</v>
      </c>
      <c r="AV198">
        <v>31</v>
      </c>
      <c r="AW198">
        <v>12</v>
      </c>
      <c r="AX198">
        <v>0</v>
      </c>
      <c r="AY198">
        <v>3.1</v>
      </c>
      <c r="AZ198">
        <v>129</v>
      </c>
      <c r="BA198">
        <v>65</v>
      </c>
      <c r="BB198">
        <v>0</v>
      </c>
      <c r="BP198" t="s">
        <v>151</v>
      </c>
      <c r="BQ198">
        <v>1.1000000000000001</v>
      </c>
      <c r="BR198" t="s">
        <v>869</v>
      </c>
      <c r="BS198" t="s">
        <v>149</v>
      </c>
      <c r="BT198" t="s">
        <v>153</v>
      </c>
      <c r="BU198" t="s">
        <v>150</v>
      </c>
      <c r="BV198" t="s">
        <v>154</v>
      </c>
      <c r="BW198" t="s">
        <v>155</v>
      </c>
      <c r="BX198">
        <v>200</v>
      </c>
      <c r="BY198">
        <v>200</v>
      </c>
      <c r="BZ198" t="s">
        <v>867</v>
      </c>
      <c r="CA198" t="s">
        <v>869</v>
      </c>
      <c r="CB198" t="s">
        <v>149</v>
      </c>
      <c r="CC198" t="s">
        <v>156</v>
      </c>
      <c r="CD198" t="s">
        <v>859</v>
      </c>
      <c r="CJ198" t="s">
        <v>867</v>
      </c>
      <c r="CK198" t="s">
        <v>870</v>
      </c>
    </row>
    <row r="199" spans="1:89" x14ac:dyDescent="0.3">
      <c r="A199" t="s">
        <v>871</v>
      </c>
      <c r="B199" t="s">
        <v>8</v>
      </c>
      <c r="C199" t="s">
        <v>145</v>
      </c>
      <c r="D199">
        <v>200</v>
      </c>
      <c r="E199" t="s">
        <v>146</v>
      </c>
      <c r="F199" t="s">
        <v>147</v>
      </c>
      <c r="H199" t="s">
        <v>872</v>
      </c>
      <c r="I199">
        <v>50</v>
      </c>
      <c r="J199">
        <v>457</v>
      </c>
      <c r="L199">
        <v>0</v>
      </c>
      <c r="M199">
        <v>0</v>
      </c>
      <c r="O199">
        <v>0</v>
      </c>
      <c r="P199">
        <v>0</v>
      </c>
      <c r="T199">
        <v>0</v>
      </c>
      <c r="V199">
        <v>0</v>
      </c>
      <c r="AB199" t="s">
        <v>871</v>
      </c>
      <c r="AH199">
        <v>358222</v>
      </c>
      <c r="AI199">
        <v>81167</v>
      </c>
      <c r="AJ199">
        <v>81167</v>
      </c>
      <c r="AK199">
        <v>31.629400060999998</v>
      </c>
      <c r="AM199">
        <v>206</v>
      </c>
      <c r="AS199">
        <v>2</v>
      </c>
      <c r="AT199">
        <v>1</v>
      </c>
      <c r="AV199">
        <v>31</v>
      </c>
      <c r="AW199">
        <v>12</v>
      </c>
      <c r="AX199">
        <v>0</v>
      </c>
      <c r="AY199">
        <v>3.1</v>
      </c>
      <c r="AZ199">
        <v>129</v>
      </c>
      <c r="BA199">
        <v>65</v>
      </c>
      <c r="BB199">
        <v>0</v>
      </c>
      <c r="BP199" t="s">
        <v>151</v>
      </c>
      <c r="BQ199">
        <v>1.1000000000000001</v>
      </c>
      <c r="BR199" t="s">
        <v>873</v>
      </c>
      <c r="BS199" t="s">
        <v>149</v>
      </c>
      <c r="BT199" t="s">
        <v>153</v>
      </c>
      <c r="BU199" t="s">
        <v>150</v>
      </c>
      <c r="BV199" t="s">
        <v>154</v>
      </c>
      <c r="BW199" t="s">
        <v>155</v>
      </c>
      <c r="BX199">
        <v>200</v>
      </c>
      <c r="BY199">
        <v>200</v>
      </c>
      <c r="BZ199" t="s">
        <v>871</v>
      </c>
      <c r="CA199" t="s">
        <v>873</v>
      </c>
      <c r="CB199" t="s">
        <v>149</v>
      </c>
      <c r="CC199" t="s">
        <v>156</v>
      </c>
      <c r="CD199" t="s">
        <v>859</v>
      </c>
      <c r="CJ199" t="s">
        <v>871</v>
      </c>
      <c r="CK199" t="s">
        <v>874</v>
      </c>
    </row>
    <row r="200" spans="1:89" x14ac:dyDescent="0.3">
      <c r="A200" t="s">
        <v>875</v>
      </c>
      <c r="B200" t="s">
        <v>8</v>
      </c>
      <c r="C200" t="s">
        <v>145</v>
      </c>
      <c r="D200">
        <v>200</v>
      </c>
      <c r="E200" t="s">
        <v>146</v>
      </c>
      <c r="F200" t="s">
        <v>147</v>
      </c>
      <c r="H200" t="s">
        <v>876</v>
      </c>
      <c r="I200">
        <v>47</v>
      </c>
      <c r="J200">
        <v>436</v>
      </c>
      <c r="L200">
        <v>0</v>
      </c>
      <c r="M200">
        <v>0</v>
      </c>
      <c r="O200">
        <v>0</v>
      </c>
      <c r="P200">
        <v>0</v>
      </c>
      <c r="T200">
        <v>0</v>
      </c>
      <c r="V200">
        <v>0</v>
      </c>
      <c r="AB200" t="s">
        <v>875</v>
      </c>
      <c r="AH200">
        <v>379992</v>
      </c>
      <c r="AI200">
        <v>87710</v>
      </c>
      <c r="AJ200">
        <v>87710</v>
      </c>
      <c r="AK200">
        <v>34.179095930000003</v>
      </c>
      <c r="AM200">
        <v>338</v>
      </c>
      <c r="AS200">
        <v>1</v>
      </c>
      <c r="AT200">
        <v>1</v>
      </c>
      <c r="AV200">
        <v>429</v>
      </c>
      <c r="AW200">
        <v>387</v>
      </c>
      <c r="AX200">
        <v>0</v>
      </c>
      <c r="AY200">
        <v>100</v>
      </c>
      <c r="AZ200">
        <v>146</v>
      </c>
      <c r="BA200">
        <v>70</v>
      </c>
      <c r="BB200">
        <v>0</v>
      </c>
      <c r="BP200" t="s">
        <v>151</v>
      </c>
      <c r="BQ200">
        <v>1.1000000000000001</v>
      </c>
      <c r="BR200" t="s">
        <v>877</v>
      </c>
      <c r="BS200" t="s">
        <v>149</v>
      </c>
      <c r="BT200" t="s">
        <v>153</v>
      </c>
      <c r="BU200" t="s">
        <v>150</v>
      </c>
      <c r="BV200" t="s">
        <v>154</v>
      </c>
      <c r="BW200" t="s">
        <v>155</v>
      </c>
      <c r="BX200">
        <v>200</v>
      </c>
      <c r="BY200">
        <v>200</v>
      </c>
      <c r="BZ200" t="s">
        <v>875</v>
      </c>
      <c r="CA200" t="s">
        <v>877</v>
      </c>
      <c r="CB200" t="s">
        <v>149</v>
      </c>
      <c r="CC200" t="s">
        <v>156</v>
      </c>
      <c r="CD200" t="s">
        <v>859</v>
      </c>
      <c r="CJ200" t="s">
        <v>875</v>
      </c>
      <c r="CK200" t="s">
        <v>531</v>
      </c>
    </row>
    <row r="201" spans="1:89" x14ac:dyDescent="0.3">
      <c r="A201" t="s">
        <v>878</v>
      </c>
      <c r="B201" t="s">
        <v>8</v>
      </c>
      <c r="C201" t="s">
        <v>145</v>
      </c>
      <c r="D201">
        <v>200</v>
      </c>
      <c r="E201" t="s">
        <v>146</v>
      </c>
      <c r="F201" t="s">
        <v>147</v>
      </c>
      <c r="H201" t="s">
        <v>879</v>
      </c>
      <c r="I201">
        <v>51</v>
      </c>
      <c r="J201">
        <v>476</v>
      </c>
      <c r="L201">
        <v>0</v>
      </c>
      <c r="M201">
        <v>0</v>
      </c>
      <c r="O201">
        <v>0</v>
      </c>
      <c r="P201">
        <v>0</v>
      </c>
      <c r="T201">
        <v>0</v>
      </c>
      <c r="V201">
        <v>0</v>
      </c>
      <c r="AB201" t="s">
        <v>878</v>
      </c>
      <c r="AH201">
        <v>358027</v>
      </c>
      <c r="AI201">
        <v>81142</v>
      </c>
      <c r="AJ201">
        <v>81142</v>
      </c>
      <c r="AK201">
        <v>31.619657986</v>
      </c>
      <c r="AM201">
        <v>207</v>
      </c>
      <c r="AS201">
        <v>2</v>
      </c>
      <c r="AT201">
        <v>1</v>
      </c>
      <c r="AV201">
        <v>31</v>
      </c>
      <c r="AW201">
        <v>12</v>
      </c>
      <c r="AX201">
        <v>0</v>
      </c>
      <c r="AY201">
        <v>3.1</v>
      </c>
      <c r="AZ201">
        <v>129</v>
      </c>
      <c r="BA201">
        <v>65</v>
      </c>
      <c r="BB201">
        <v>0</v>
      </c>
      <c r="BP201" t="s">
        <v>151</v>
      </c>
      <c r="BQ201">
        <v>1.1000000000000001</v>
      </c>
      <c r="BR201" t="s">
        <v>880</v>
      </c>
      <c r="BS201" t="s">
        <v>149</v>
      </c>
      <c r="BT201" t="s">
        <v>153</v>
      </c>
      <c r="BU201" t="s">
        <v>150</v>
      </c>
      <c r="BV201" t="s">
        <v>154</v>
      </c>
      <c r="BW201" t="s">
        <v>155</v>
      </c>
      <c r="BX201">
        <v>200</v>
      </c>
      <c r="BY201">
        <v>200</v>
      </c>
      <c r="BZ201" t="s">
        <v>878</v>
      </c>
      <c r="CA201" t="s">
        <v>880</v>
      </c>
      <c r="CB201" t="s">
        <v>149</v>
      </c>
      <c r="CC201" t="s">
        <v>156</v>
      </c>
      <c r="CD201" t="s">
        <v>859</v>
      </c>
      <c r="CJ201" t="s">
        <v>878</v>
      </c>
      <c r="CK201" t="s">
        <v>866</v>
      </c>
    </row>
    <row r="202" spans="1:89" x14ac:dyDescent="0.3">
      <c r="A202" t="s">
        <v>881</v>
      </c>
      <c r="B202" t="s">
        <v>8</v>
      </c>
      <c r="C202" t="s">
        <v>145</v>
      </c>
      <c r="D202">
        <v>200</v>
      </c>
      <c r="E202" t="s">
        <v>146</v>
      </c>
      <c r="F202" t="s">
        <v>147</v>
      </c>
      <c r="H202" t="s">
        <v>882</v>
      </c>
      <c r="I202">
        <v>52</v>
      </c>
      <c r="J202">
        <v>492</v>
      </c>
      <c r="L202">
        <v>0</v>
      </c>
      <c r="M202">
        <v>0</v>
      </c>
      <c r="O202">
        <v>0</v>
      </c>
      <c r="P202">
        <v>0</v>
      </c>
      <c r="T202">
        <v>0</v>
      </c>
      <c r="V202">
        <v>0</v>
      </c>
      <c r="AB202" t="s">
        <v>881</v>
      </c>
      <c r="AH202">
        <v>360704</v>
      </c>
      <c r="AI202">
        <v>82062</v>
      </c>
      <c r="AJ202">
        <v>82062</v>
      </c>
      <c r="AK202">
        <v>31.978166345999998</v>
      </c>
      <c r="AM202">
        <v>226</v>
      </c>
      <c r="AS202">
        <v>2</v>
      </c>
      <c r="AT202">
        <v>1</v>
      </c>
      <c r="AV202">
        <v>33</v>
      </c>
      <c r="AW202">
        <v>12</v>
      </c>
      <c r="AX202">
        <v>0</v>
      </c>
      <c r="AY202">
        <v>3.1</v>
      </c>
      <c r="AZ202">
        <v>131</v>
      </c>
      <c r="BA202">
        <v>65</v>
      </c>
      <c r="BB202">
        <v>0</v>
      </c>
      <c r="BP202" t="s">
        <v>151</v>
      </c>
      <c r="BQ202">
        <v>1.1000000000000001</v>
      </c>
      <c r="BR202" t="s">
        <v>883</v>
      </c>
      <c r="BS202" t="s">
        <v>149</v>
      </c>
      <c r="BT202" t="s">
        <v>153</v>
      </c>
      <c r="BU202" t="s">
        <v>150</v>
      </c>
      <c r="BV202" t="s">
        <v>154</v>
      </c>
      <c r="BW202" t="s">
        <v>155</v>
      </c>
      <c r="BX202">
        <v>200</v>
      </c>
      <c r="BY202">
        <v>200</v>
      </c>
      <c r="BZ202" t="s">
        <v>881</v>
      </c>
      <c r="CA202" t="s">
        <v>883</v>
      </c>
      <c r="CB202" t="s">
        <v>149</v>
      </c>
      <c r="CC202" t="s">
        <v>156</v>
      </c>
      <c r="CD202" t="s">
        <v>859</v>
      </c>
      <c r="CJ202" t="s">
        <v>881</v>
      </c>
      <c r="CK202" t="s">
        <v>884</v>
      </c>
    </row>
    <row r="203" spans="1:89" x14ac:dyDescent="0.3">
      <c r="A203" t="s">
        <v>885</v>
      </c>
      <c r="B203" t="s">
        <v>8</v>
      </c>
      <c r="C203" t="s">
        <v>145</v>
      </c>
      <c r="D203">
        <v>200</v>
      </c>
      <c r="E203" t="s">
        <v>146</v>
      </c>
      <c r="F203" t="s">
        <v>147</v>
      </c>
      <c r="H203" t="s">
        <v>886</v>
      </c>
      <c r="I203">
        <v>44</v>
      </c>
      <c r="J203">
        <v>401</v>
      </c>
      <c r="L203">
        <v>0</v>
      </c>
      <c r="M203">
        <v>0</v>
      </c>
      <c r="O203">
        <v>0</v>
      </c>
      <c r="P203">
        <v>0</v>
      </c>
      <c r="T203">
        <v>0</v>
      </c>
      <c r="V203">
        <v>0</v>
      </c>
      <c r="AB203" t="s">
        <v>885</v>
      </c>
      <c r="AH203">
        <v>358805</v>
      </c>
      <c r="AI203">
        <v>81148</v>
      </c>
      <c r="AJ203">
        <v>81148</v>
      </c>
      <c r="AK203">
        <v>31.621996083999999</v>
      </c>
      <c r="AM203">
        <v>213</v>
      </c>
      <c r="AS203">
        <v>2</v>
      </c>
      <c r="AT203">
        <v>1</v>
      </c>
      <c r="AV203">
        <v>31</v>
      </c>
      <c r="AW203">
        <v>12</v>
      </c>
      <c r="AX203">
        <v>0</v>
      </c>
      <c r="AY203">
        <v>3.1</v>
      </c>
      <c r="AZ203">
        <v>129</v>
      </c>
      <c r="BA203">
        <v>65</v>
      </c>
      <c r="BB203">
        <v>0</v>
      </c>
      <c r="BP203" t="s">
        <v>151</v>
      </c>
      <c r="BQ203">
        <v>1.1000000000000001</v>
      </c>
      <c r="BR203" t="s">
        <v>887</v>
      </c>
      <c r="BS203" t="s">
        <v>149</v>
      </c>
      <c r="BT203" t="s">
        <v>153</v>
      </c>
      <c r="BU203" t="s">
        <v>150</v>
      </c>
      <c r="BV203" t="s">
        <v>154</v>
      </c>
      <c r="BW203" t="s">
        <v>155</v>
      </c>
      <c r="BX203">
        <v>200</v>
      </c>
      <c r="BY203">
        <v>200</v>
      </c>
      <c r="BZ203" t="s">
        <v>885</v>
      </c>
      <c r="CA203" t="s">
        <v>887</v>
      </c>
      <c r="CB203" t="s">
        <v>149</v>
      </c>
      <c r="CC203" t="s">
        <v>156</v>
      </c>
      <c r="CD203" t="s">
        <v>859</v>
      </c>
      <c r="CJ203" t="s">
        <v>885</v>
      </c>
      <c r="CK203" t="s">
        <v>888</v>
      </c>
    </row>
    <row r="204" spans="1:89" x14ac:dyDescent="0.3">
      <c r="A204" t="s">
        <v>889</v>
      </c>
      <c r="B204" t="s">
        <v>8</v>
      </c>
      <c r="C204" t="s">
        <v>145</v>
      </c>
      <c r="D204">
        <v>200</v>
      </c>
      <c r="E204" t="s">
        <v>146</v>
      </c>
      <c r="F204" t="s">
        <v>147</v>
      </c>
      <c r="H204" t="s">
        <v>890</v>
      </c>
      <c r="I204">
        <v>48</v>
      </c>
      <c r="J204">
        <v>442</v>
      </c>
      <c r="L204">
        <v>0</v>
      </c>
      <c r="M204">
        <v>0</v>
      </c>
      <c r="O204">
        <v>0</v>
      </c>
      <c r="P204">
        <v>0</v>
      </c>
      <c r="T204">
        <v>0</v>
      </c>
      <c r="V204">
        <v>0</v>
      </c>
      <c r="AB204" t="s">
        <v>889</v>
      </c>
      <c r="AH204">
        <v>358632</v>
      </c>
      <c r="AI204">
        <v>81087</v>
      </c>
      <c r="AJ204">
        <v>81087</v>
      </c>
      <c r="AK204">
        <v>31.598225420999999</v>
      </c>
      <c r="AM204">
        <v>209</v>
      </c>
      <c r="AS204">
        <v>2</v>
      </c>
      <c r="AT204">
        <v>1</v>
      </c>
      <c r="AV204">
        <v>31</v>
      </c>
      <c r="AW204">
        <v>12</v>
      </c>
      <c r="AX204">
        <v>0</v>
      </c>
      <c r="AY204">
        <v>3.1</v>
      </c>
      <c r="AZ204">
        <v>129</v>
      </c>
      <c r="BA204">
        <v>65</v>
      </c>
      <c r="BB204">
        <v>0</v>
      </c>
      <c r="BP204" t="s">
        <v>151</v>
      </c>
      <c r="BQ204">
        <v>1.1000000000000001</v>
      </c>
      <c r="BR204" t="s">
        <v>891</v>
      </c>
      <c r="BS204" t="s">
        <v>149</v>
      </c>
      <c r="BT204" t="s">
        <v>153</v>
      </c>
      <c r="BU204" t="s">
        <v>150</v>
      </c>
      <c r="BV204" t="s">
        <v>154</v>
      </c>
      <c r="BW204" t="s">
        <v>155</v>
      </c>
      <c r="BX204">
        <v>200</v>
      </c>
      <c r="BY204">
        <v>200</v>
      </c>
      <c r="BZ204" t="s">
        <v>889</v>
      </c>
      <c r="CA204" t="s">
        <v>891</v>
      </c>
      <c r="CB204" t="s">
        <v>149</v>
      </c>
      <c r="CC204" t="s">
        <v>156</v>
      </c>
      <c r="CD204" t="s">
        <v>859</v>
      </c>
      <c r="CJ204" t="s">
        <v>889</v>
      </c>
      <c r="CK204" t="s">
        <v>888</v>
      </c>
    </row>
    <row r="205" spans="1:89" x14ac:dyDescent="0.3">
      <c r="A205" t="s">
        <v>892</v>
      </c>
      <c r="B205" t="s">
        <v>8</v>
      </c>
      <c r="C205" t="s">
        <v>145</v>
      </c>
      <c r="D205">
        <v>200</v>
      </c>
      <c r="E205" t="s">
        <v>146</v>
      </c>
      <c r="F205" t="s">
        <v>147</v>
      </c>
      <c r="H205" t="s">
        <v>893</v>
      </c>
      <c r="I205">
        <v>49</v>
      </c>
      <c r="J205">
        <v>465</v>
      </c>
      <c r="L205">
        <v>0</v>
      </c>
      <c r="M205">
        <v>0</v>
      </c>
      <c r="O205">
        <v>0</v>
      </c>
      <c r="P205">
        <v>0</v>
      </c>
      <c r="T205">
        <v>0</v>
      </c>
      <c r="V205">
        <v>0</v>
      </c>
      <c r="AB205" t="s">
        <v>892</v>
      </c>
      <c r="AH205">
        <v>357927</v>
      </c>
      <c r="AI205">
        <v>80575</v>
      </c>
      <c r="AJ205">
        <v>80575</v>
      </c>
      <c r="AK205">
        <v>31.398707725000001</v>
      </c>
      <c r="AM205">
        <v>201</v>
      </c>
      <c r="AS205">
        <v>2</v>
      </c>
      <c r="AT205">
        <v>1</v>
      </c>
      <c r="AV205">
        <v>29</v>
      </c>
      <c r="AW205">
        <v>12</v>
      </c>
      <c r="AX205">
        <v>0</v>
      </c>
      <c r="AY205">
        <v>3.1</v>
      </c>
      <c r="AZ205">
        <v>127</v>
      </c>
      <c r="BA205">
        <v>65</v>
      </c>
      <c r="BB205">
        <v>0</v>
      </c>
      <c r="BP205" t="s">
        <v>151</v>
      </c>
      <c r="BQ205">
        <v>1.1000000000000001</v>
      </c>
      <c r="BR205" t="s">
        <v>894</v>
      </c>
      <c r="BS205" t="s">
        <v>149</v>
      </c>
      <c r="BT205" t="s">
        <v>153</v>
      </c>
      <c r="BU205" t="s">
        <v>150</v>
      </c>
      <c r="BV205" t="s">
        <v>154</v>
      </c>
      <c r="BW205" t="s">
        <v>155</v>
      </c>
      <c r="BX205">
        <v>200</v>
      </c>
      <c r="BY205">
        <v>200</v>
      </c>
      <c r="BZ205" t="s">
        <v>892</v>
      </c>
      <c r="CA205" t="s">
        <v>894</v>
      </c>
      <c r="CB205" t="s">
        <v>149</v>
      </c>
      <c r="CC205" t="s">
        <v>156</v>
      </c>
      <c r="CD205" t="s">
        <v>859</v>
      </c>
      <c r="CJ205" t="s">
        <v>892</v>
      </c>
      <c r="CK205" t="s">
        <v>884</v>
      </c>
    </row>
    <row r="206" spans="1:89" x14ac:dyDescent="0.3">
      <c r="A206" t="s">
        <v>895</v>
      </c>
      <c r="B206" t="s">
        <v>8</v>
      </c>
      <c r="C206" t="s">
        <v>145</v>
      </c>
      <c r="D206">
        <v>200</v>
      </c>
      <c r="E206" t="s">
        <v>146</v>
      </c>
      <c r="F206" t="s">
        <v>147</v>
      </c>
      <c r="H206" t="s">
        <v>896</v>
      </c>
      <c r="I206">
        <v>45</v>
      </c>
      <c r="J206">
        <v>419</v>
      </c>
      <c r="L206">
        <v>0</v>
      </c>
      <c r="M206">
        <v>0</v>
      </c>
      <c r="O206">
        <v>0</v>
      </c>
      <c r="P206">
        <v>0</v>
      </c>
      <c r="T206">
        <v>0</v>
      </c>
      <c r="V206">
        <v>0</v>
      </c>
      <c r="AB206" t="s">
        <v>895</v>
      </c>
      <c r="AH206">
        <v>358216</v>
      </c>
      <c r="AI206">
        <v>81163</v>
      </c>
      <c r="AJ206">
        <v>81163</v>
      </c>
      <c r="AK206">
        <v>31.627841328999999</v>
      </c>
      <c r="AM206">
        <v>204</v>
      </c>
      <c r="AS206">
        <v>2</v>
      </c>
      <c r="AT206">
        <v>1</v>
      </c>
      <c r="AV206">
        <v>29</v>
      </c>
      <c r="AW206">
        <v>12</v>
      </c>
      <c r="AX206">
        <v>0</v>
      </c>
      <c r="AY206">
        <v>3.1</v>
      </c>
      <c r="AZ206">
        <v>127</v>
      </c>
      <c r="BA206">
        <v>65</v>
      </c>
      <c r="BB206">
        <v>0</v>
      </c>
      <c r="BP206" t="s">
        <v>151</v>
      </c>
      <c r="BQ206">
        <v>1.1000000000000001</v>
      </c>
      <c r="BR206" t="s">
        <v>897</v>
      </c>
      <c r="BS206" t="s">
        <v>149</v>
      </c>
      <c r="BT206" t="s">
        <v>153</v>
      </c>
      <c r="BU206" t="s">
        <v>150</v>
      </c>
      <c r="BV206" t="s">
        <v>154</v>
      </c>
      <c r="BW206" t="s">
        <v>155</v>
      </c>
      <c r="BX206">
        <v>200</v>
      </c>
      <c r="BY206">
        <v>200</v>
      </c>
      <c r="BZ206" t="s">
        <v>895</v>
      </c>
      <c r="CA206" t="s">
        <v>897</v>
      </c>
      <c r="CB206" t="s">
        <v>149</v>
      </c>
      <c r="CC206" t="s">
        <v>156</v>
      </c>
      <c r="CD206" t="s">
        <v>859</v>
      </c>
      <c r="CJ206" t="s">
        <v>895</v>
      </c>
      <c r="CK206" t="s">
        <v>874</v>
      </c>
    </row>
    <row r="207" spans="1:89" x14ac:dyDescent="0.3">
      <c r="A207" t="s">
        <v>898</v>
      </c>
      <c r="B207" t="s">
        <v>8</v>
      </c>
      <c r="C207" t="s">
        <v>145</v>
      </c>
      <c r="D207">
        <v>200</v>
      </c>
      <c r="E207" t="s">
        <v>146</v>
      </c>
      <c r="F207" t="s">
        <v>147</v>
      </c>
      <c r="H207" t="s">
        <v>899</v>
      </c>
      <c r="I207">
        <v>47</v>
      </c>
      <c r="J207">
        <v>433</v>
      </c>
      <c r="L207">
        <v>0</v>
      </c>
      <c r="M207">
        <v>0</v>
      </c>
      <c r="O207">
        <v>0</v>
      </c>
      <c r="P207">
        <v>0</v>
      </c>
      <c r="T207">
        <v>0</v>
      </c>
      <c r="V207">
        <v>0</v>
      </c>
      <c r="AB207" t="s">
        <v>898</v>
      </c>
      <c r="AH207">
        <v>359617</v>
      </c>
      <c r="AI207">
        <v>81580</v>
      </c>
      <c r="AJ207">
        <v>81580</v>
      </c>
      <c r="AK207">
        <v>31.79033914</v>
      </c>
      <c r="AM207">
        <v>215</v>
      </c>
      <c r="AS207">
        <v>2</v>
      </c>
      <c r="AT207">
        <v>1</v>
      </c>
      <c r="AV207">
        <v>31</v>
      </c>
      <c r="AW207">
        <v>12</v>
      </c>
      <c r="AX207">
        <v>0</v>
      </c>
      <c r="AY207">
        <v>3.1</v>
      </c>
      <c r="AZ207">
        <v>129</v>
      </c>
      <c r="BA207">
        <v>65</v>
      </c>
      <c r="BB207">
        <v>0</v>
      </c>
      <c r="BP207" t="s">
        <v>151</v>
      </c>
      <c r="BQ207">
        <v>1.1000000000000001</v>
      </c>
      <c r="BR207" t="s">
        <v>900</v>
      </c>
      <c r="BS207" t="s">
        <v>149</v>
      </c>
      <c r="BT207" t="s">
        <v>153</v>
      </c>
      <c r="BU207" t="s">
        <v>150</v>
      </c>
      <c r="BV207" t="s">
        <v>154</v>
      </c>
      <c r="BW207" t="s">
        <v>155</v>
      </c>
      <c r="BX207">
        <v>200</v>
      </c>
      <c r="BY207">
        <v>200</v>
      </c>
      <c r="BZ207" t="s">
        <v>898</v>
      </c>
      <c r="CA207" t="s">
        <v>900</v>
      </c>
      <c r="CB207" t="s">
        <v>149</v>
      </c>
      <c r="CC207" t="s">
        <v>156</v>
      </c>
      <c r="CD207" t="s">
        <v>859</v>
      </c>
      <c r="CJ207" t="s">
        <v>898</v>
      </c>
      <c r="CK207" t="s">
        <v>866</v>
      </c>
    </row>
    <row r="208" spans="1:89" x14ac:dyDescent="0.3">
      <c r="A208" t="s">
        <v>901</v>
      </c>
      <c r="B208" t="s">
        <v>8</v>
      </c>
      <c r="C208" t="s">
        <v>145</v>
      </c>
      <c r="D208">
        <v>200</v>
      </c>
      <c r="E208" t="s">
        <v>146</v>
      </c>
      <c r="F208" t="s">
        <v>147</v>
      </c>
      <c r="H208" t="s">
        <v>902</v>
      </c>
      <c r="I208">
        <v>46</v>
      </c>
      <c r="J208">
        <v>419</v>
      </c>
      <c r="L208">
        <v>0</v>
      </c>
      <c r="M208">
        <v>0</v>
      </c>
      <c r="O208">
        <v>0</v>
      </c>
      <c r="P208">
        <v>0</v>
      </c>
      <c r="T208">
        <v>0</v>
      </c>
      <c r="V208">
        <v>0</v>
      </c>
      <c r="AB208" t="s">
        <v>901</v>
      </c>
      <c r="AH208">
        <v>360391</v>
      </c>
      <c r="AI208">
        <v>81727</v>
      </c>
      <c r="AJ208">
        <v>81727</v>
      </c>
      <c r="AK208">
        <v>31.847622541</v>
      </c>
      <c r="AM208">
        <v>232</v>
      </c>
      <c r="AS208">
        <v>2</v>
      </c>
      <c r="AT208">
        <v>1</v>
      </c>
      <c r="AV208">
        <v>34</v>
      </c>
      <c r="AW208">
        <v>12</v>
      </c>
      <c r="AX208">
        <v>0</v>
      </c>
      <c r="AY208">
        <v>3.1</v>
      </c>
      <c r="AZ208">
        <v>132</v>
      </c>
      <c r="BA208">
        <v>65</v>
      </c>
      <c r="BB208">
        <v>0</v>
      </c>
      <c r="BP208" t="s">
        <v>151</v>
      </c>
      <c r="BQ208">
        <v>1.1000000000000001</v>
      </c>
      <c r="BR208" t="s">
        <v>903</v>
      </c>
      <c r="BS208" t="s">
        <v>149</v>
      </c>
      <c r="BT208" t="s">
        <v>153</v>
      </c>
      <c r="BU208" t="s">
        <v>150</v>
      </c>
      <c r="BV208" t="s">
        <v>154</v>
      </c>
      <c r="BW208" t="s">
        <v>155</v>
      </c>
      <c r="BX208">
        <v>200</v>
      </c>
      <c r="BY208">
        <v>200</v>
      </c>
      <c r="BZ208" t="s">
        <v>901</v>
      </c>
      <c r="CA208" t="s">
        <v>903</v>
      </c>
      <c r="CB208" t="s">
        <v>149</v>
      </c>
      <c r="CC208" t="s">
        <v>156</v>
      </c>
      <c r="CD208" t="s">
        <v>859</v>
      </c>
      <c r="CJ208" t="s">
        <v>901</v>
      </c>
      <c r="CK208" t="s">
        <v>888</v>
      </c>
    </row>
    <row r="209" spans="1:89" x14ac:dyDescent="0.3">
      <c r="A209" s="38" t="s">
        <v>904</v>
      </c>
      <c r="B209" t="s">
        <v>8</v>
      </c>
      <c r="C209" t="s">
        <v>145</v>
      </c>
      <c r="D209">
        <v>200</v>
      </c>
      <c r="E209" t="s">
        <v>146</v>
      </c>
      <c r="F209" t="s">
        <v>147</v>
      </c>
      <c r="H209" t="s">
        <v>905</v>
      </c>
      <c r="I209">
        <v>41</v>
      </c>
      <c r="J209">
        <v>378</v>
      </c>
      <c r="L209">
        <v>0</v>
      </c>
      <c r="M209">
        <v>0</v>
      </c>
      <c r="O209">
        <v>0</v>
      </c>
      <c r="P209">
        <v>0</v>
      </c>
      <c r="T209">
        <v>0</v>
      </c>
      <c r="V209">
        <v>0</v>
      </c>
      <c r="AB209" t="s">
        <v>904</v>
      </c>
      <c r="AH209">
        <v>318354</v>
      </c>
      <c r="AI209">
        <v>68127</v>
      </c>
      <c r="AJ209">
        <v>68127</v>
      </c>
      <c r="AK209">
        <v>26.547933741000001</v>
      </c>
      <c r="AM209">
        <v>125</v>
      </c>
      <c r="AS209">
        <v>1</v>
      </c>
      <c r="AT209">
        <v>1</v>
      </c>
      <c r="AV209">
        <v>9</v>
      </c>
      <c r="AW209">
        <v>5</v>
      </c>
      <c r="AX209">
        <v>0</v>
      </c>
      <c r="AY209">
        <v>1.29</v>
      </c>
      <c r="AZ209">
        <v>103</v>
      </c>
      <c r="BA209">
        <v>55</v>
      </c>
      <c r="BB209">
        <v>0</v>
      </c>
      <c r="BP209" t="s">
        <v>151</v>
      </c>
      <c r="BQ209">
        <v>1.1000000000000001</v>
      </c>
      <c r="BR209" t="s">
        <v>906</v>
      </c>
      <c r="BS209" t="s">
        <v>149</v>
      </c>
      <c r="BT209" t="s">
        <v>153</v>
      </c>
      <c r="BU209" t="s">
        <v>150</v>
      </c>
      <c r="BV209" t="s">
        <v>154</v>
      </c>
      <c r="BW209" t="s">
        <v>155</v>
      </c>
      <c r="BX209">
        <v>200</v>
      </c>
      <c r="BY209">
        <v>200</v>
      </c>
      <c r="BZ209" t="s">
        <v>904</v>
      </c>
      <c r="CA209" t="s">
        <v>906</v>
      </c>
      <c r="CB209" t="s">
        <v>149</v>
      </c>
      <c r="CC209" t="s">
        <v>156</v>
      </c>
      <c r="CD209" t="s">
        <v>859</v>
      </c>
      <c r="CJ209" t="s">
        <v>904</v>
      </c>
      <c r="CK209" t="s">
        <v>219</v>
      </c>
    </row>
    <row r="210" spans="1:89" x14ac:dyDescent="0.3">
      <c r="A210" s="39" t="s">
        <v>907</v>
      </c>
      <c r="B210" t="s">
        <v>8</v>
      </c>
      <c r="C210" t="s">
        <v>145</v>
      </c>
      <c r="D210">
        <v>200</v>
      </c>
      <c r="E210" t="s">
        <v>146</v>
      </c>
      <c r="F210" t="s">
        <v>147</v>
      </c>
      <c r="H210" t="s">
        <v>908</v>
      </c>
      <c r="I210">
        <v>24</v>
      </c>
      <c r="J210">
        <v>259</v>
      </c>
      <c r="L210">
        <v>0</v>
      </c>
      <c r="M210">
        <v>0</v>
      </c>
      <c r="N210" t="s">
        <v>909</v>
      </c>
      <c r="O210">
        <v>82</v>
      </c>
      <c r="P210">
        <v>932</v>
      </c>
      <c r="S210" t="s">
        <v>910</v>
      </c>
      <c r="T210">
        <v>4</v>
      </c>
      <c r="V210">
        <v>0</v>
      </c>
      <c r="AB210" t="s">
        <v>907</v>
      </c>
      <c r="AH210">
        <v>329049</v>
      </c>
      <c r="AI210">
        <v>69182</v>
      </c>
      <c r="AJ210">
        <v>69182</v>
      </c>
      <c r="AK210">
        <v>26.959049306000001</v>
      </c>
      <c r="AM210">
        <v>126</v>
      </c>
      <c r="AS210">
        <v>1</v>
      </c>
      <c r="AT210">
        <v>1</v>
      </c>
      <c r="AV210">
        <v>407</v>
      </c>
      <c r="AW210">
        <v>387</v>
      </c>
      <c r="AX210">
        <v>0</v>
      </c>
      <c r="AY210">
        <v>100</v>
      </c>
      <c r="AZ210">
        <v>119</v>
      </c>
      <c r="BA210">
        <v>54</v>
      </c>
      <c r="BB210">
        <v>0</v>
      </c>
      <c r="BP210" t="s">
        <v>151</v>
      </c>
      <c r="BQ210">
        <v>1.1000000000000001</v>
      </c>
      <c r="BR210" t="s">
        <v>911</v>
      </c>
      <c r="BS210" t="s">
        <v>909</v>
      </c>
      <c r="BT210" t="s">
        <v>153</v>
      </c>
      <c r="BU210" t="s">
        <v>150</v>
      </c>
      <c r="BV210" t="s">
        <v>154</v>
      </c>
      <c r="BW210" t="s">
        <v>155</v>
      </c>
      <c r="BX210">
        <v>200</v>
      </c>
      <c r="BY210">
        <v>200</v>
      </c>
      <c r="BZ210" t="s">
        <v>907</v>
      </c>
      <c r="CA210" t="s">
        <v>911</v>
      </c>
      <c r="CB210" t="s">
        <v>909</v>
      </c>
      <c r="CC210" t="s">
        <v>156</v>
      </c>
      <c r="CD210" t="s">
        <v>157</v>
      </c>
      <c r="CJ210" t="s">
        <v>907</v>
      </c>
      <c r="CK210" t="s">
        <v>573</v>
      </c>
    </row>
    <row r="211" spans="1:89" x14ac:dyDescent="0.3">
      <c r="A211" t="s">
        <v>912</v>
      </c>
      <c r="B211" t="s">
        <v>8</v>
      </c>
      <c r="C211" t="s">
        <v>145</v>
      </c>
      <c r="D211">
        <v>200</v>
      </c>
      <c r="E211" t="s">
        <v>146</v>
      </c>
      <c r="F211" t="s">
        <v>147</v>
      </c>
      <c r="H211" t="s">
        <v>913</v>
      </c>
      <c r="I211">
        <v>26</v>
      </c>
      <c r="J211">
        <v>299</v>
      </c>
      <c r="L211">
        <v>0</v>
      </c>
      <c r="M211">
        <v>0</v>
      </c>
      <c r="N211" t="s">
        <v>914</v>
      </c>
      <c r="O211">
        <v>31</v>
      </c>
      <c r="P211">
        <v>422</v>
      </c>
      <c r="S211" t="s">
        <v>915</v>
      </c>
      <c r="T211">
        <v>6</v>
      </c>
      <c r="V211">
        <v>0</v>
      </c>
      <c r="AB211" t="s">
        <v>912</v>
      </c>
      <c r="AH211">
        <v>366658</v>
      </c>
      <c r="AI211">
        <v>73225</v>
      </c>
      <c r="AJ211">
        <v>73225</v>
      </c>
      <c r="AK211">
        <v>28.534537674999999</v>
      </c>
      <c r="AM211">
        <v>179</v>
      </c>
      <c r="AS211">
        <v>2</v>
      </c>
      <c r="AT211">
        <v>1</v>
      </c>
      <c r="AV211">
        <v>12</v>
      </c>
      <c r="AW211">
        <v>4</v>
      </c>
      <c r="AX211">
        <v>0</v>
      </c>
      <c r="AY211">
        <v>1.03</v>
      </c>
      <c r="AZ211">
        <v>117</v>
      </c>
      <c r="BA211">
        <v>60</v>
      </c>
      <c r="BB211">
        <v>0</v>
      </c>
      <c r="BP211" t="s">
        <v>151</v>
      </c>
      <c r="BQ211">
        <v>1.1000000000000001</v>
      </c>
      <c r="BR211" t="s">
        <v>916</v>
      </c>
      <c r="BS211" t="s">
        <v>914</v>
      </c>
      <c r="BT211" t="s">
        <v>153</v>
      </c>
      <c r="BU211" t="s">
        <v>150</v>
      </c>
      <c r="BV211" t="s">
        <v>154</v>
      </c>
      <c r="BW211" t="s">
        <v>155</v>
      </c>
      <c r="BX211">
        <v>200</v>
      </c>
      <c r="BY211">
        <v>200</v>
      </c>
      <c r="BZ211" t="s">
        <v>912</v>
      </c>
      <c r="CA211" t="s">
        <v>916</v>
      </c>
      <c r="CB211" t="s">
        <v>914</v>
      </c>
      <c r="CC211" t="s">
        <v>156</v>
      </c>
      <c r="CD211" t="s">
        <v>157</v>
      </c>
      <c r="CJ211" t="s">
        <v>912</v>
      </c>
      <c r="CK211" t="s">
        <v>917</v>
      </c>
    </row>
    <row r="212" spans="1:89" x14ac:dyDescent="0.3">
      <c r="A212" t="s">
        <v>918</v>
      </c>
      <c r="B212" t="s">
        <v>8</v>
      </c>
      <c r="C212" t="s">
        <v>145</v>
      </c>
      <c r="D212">
        <v>200</v>
      </c>
      <c r="E212" t="s">
        <v>146</v>
      </c>
      <c r="F212" t="s">
        <v>147</v>
      </c>
      <c r="H212" t="s">
        <v>919</v>
      </c>
      <c r="I212">
        <v>25</v>
      </c>
      <c r="J212">
        <v>279</v>
      </c>
      <c r="L212">
        <v>0</v>
      </c>
      <c r="M212">
        <v>0</v>
      </c>
      <c r="O212">
        <v>0</v>
      </c>
      <c r="P212">
        <v>0</v>
      </c>
      <c r="S212" t="s">
        <v>920</v>
      </c>
      <c r="T212">
        <v>5</v>
      </c>
      <c r="V212">
        <v>0</v>
      </c>
      <c r="AB212" t="s">
        <v>918</v>
      </c>
      <c r="AH212">
        <v>324474</v>
      </c>
      <c r="AI212">
        <v>70433</v>
      </c>
      <c r="AJ212">
        <v>70433</v>
      </c>
      <c r="AK212">
        <v>27.446542739000002</v>
      </c>
      <c r="AM212">
        <v>156</v>
      </c>
      <c r="AS212">
        <v>2</v>
      </c>
      <c r="AT212">
        <v>1</v>
      </c>
      <c r="AV212">
        <v>8</v>
      </c>
      <c r="AW212">
        <v>3</v>
      </c>
      <c r="AX212">
        <v>0</v>
      </c>
      <c r="AY212">
        <v>0.78</v>
      </c>
      <c r="AZ212">
        <v>106</v>
      </c>
      <c r="BA212">
        <v>55</v>
      </c>
      <c r="BB212">
        <v>0</v>
      </c>
      <c r="BP212" t="s">
        <v>151</v>
      </c>
      <c r="BQ212">
        <v>1.1000000000000001</v>
      </c>
      <c r="BR212" t="s">
        <v>921</v>
      </c>
      <c r="BS212" t="s">
        <v>149</v>
      </c>
      <c r="BT212" t="s">
        <v>153</v>
      </c>
      <c r="BU212" t="s">
        <v>150</v>
      </c>
      <c r="BV212" t="s">
        <v>154</v>
      </c>
      <c r="BW212" t="s">
        <v>155</v>
      </c>
      <c r="BX212">
        <v>200</v>
      </c>
      <c r="BY212">
        <v>200</v>
      </c>
      <c r="BZ212" t="s">
        <v>918</v>
      </c>
      <c r="CA212" t="s">
        <v>921</v>
      </c>
      <c r="CB212" t="s">
        <v>149</v>
      </c>
      <c r="CC212" t="s">
        <v>156</v>
      </c>
      <c r="CD212" t="s">
        <v>157</v>
      </c>
      <c r="CJ212" t="s">
        <v>918</v>
      </c>
      <c r="CK212" t="s">
        <v>922</v>
      </c>
    </row>
    <row r="213" spans="1:89" x14ac:dyDescent="0.3">
      <c r="A213" t="s">
        <v>923</v>
      </c>
      <c r="B213" t="s">
        <v>8</v>
      </c>
      <c r="C213" t="s">
        <v>145</v>
      </c>
      <c r="D213">
        <v>200</v>
      </c>
      <c r="E213" t="s">
        <v>146</v>
      </c>
      <c r="F213" t="s">
        <v>147</v>
      </c>
      <c r="H213" t="s">
        <v>924</v>
      </c>
      <c r="I213">
        <v>25</v>
      </c>
      <c r="J213">
        <v>279</v>
      </c>
      <c r="L213">
        <v>0</v>
      </c>
      <c r="M213">
        <v>0</v>
      </c>
      <c r="O213">
        <v>0</v>
      </c>
      <c r="P213">
        <v>0</v>
      </c>
      <c r="S213" t="s">
        <v>925</v>
      </c>
      <c r="T213">
        <v>5</v>
      </c>
      <c r="V213">
        <v>0</v>
      </c>
      <c r="AB213" t="s">
        <v>923</v>
      </c>
      <c r="AH213">
        <v>327074</v>
      </c>
      <c r="AI213">
        <v>70738</v>
      </c>
      <c r="AJ213">
        <v>70738</v>
      </c>
      <c r="AK213">
        <v>27.565396054000001</v>
      </c>
      <c r="AM213">
        <v>202</v>
      </c>
      <c r="AS213">
        <v>1</v>
      </c>
      <c r="AT213">
        <v>1</v>
      </c>
      <c r="AV213">
        <v>395</v>
      </c>
      <c r="AW213">
        <v>387</v>
      </c>
      <c r="AX213">
        <v>0</v>
      </c>
      <c r="AY213">
        <v>100</v>
      </c>
      <c r="AZ213">
        <v>106</v>
      </c>
      <c r="BA213">
        <v>55</v>
      </c>
      <c r="BB213">
        <v>0</v>
      </c>
      <c r="BP213" t="s">
        <v>151</v>
      </c>
      <c r="BQ213">
        <v>1.1000000000000001</v>
      </c>
      <c r="BR213" t="s">
        <v>926</v>
      </c>
      <c r="BS213" t="s">
        <v>149</v>
      </c>
      <c r="BT213" t="s">
        <v>153</v>
      </c>
      <c r="BU213" t="s">
        <v>150</v>
      </c>
      <c r="BV213" t="s">
        <v>154</v>
      </c>
      <c r="BW213" t="s">
        <v>155</v>
      </c>
      <c r="BX213">
        <v>200</v>
      </c>
      <c r="BY213">
        <v>200</v>
      </c>
      <c r="BZ213" t="s">
        <v>923</v>
      </c>
      <c r="CA213" t="s">
        <v>926</v>
      </c>
      <c r="CB213" t="s">
        <v>149</v>
      </c>
      <c r="CC213" t="s">
        <v>156</v>
      </c>
      <c r="CD213" t="s">
        <v>157</v>
      </c>
      <c r="CJ213" t="s">
        <v>923</v>
      </c>
      <c r="CK213" t="s">
        <v>526</v>
      </c>
    </row>
    <row r="214" spans="1:89" x14ac:dyDescent="0.3">
      <c r="A214" t="s">
        <v>927</v>
      </c>
      <c r="B214" t="s">
        <v>8</v>
      </c>
      <c r="C214" t="s">
        <v>145</v>
      </c>
      <c r="D214">
        <v>200</v>
      </c>
      <c r="E214" t="s">
        <v>146</v>
      </c>
      <c r="F214" t="s">
        <v>147</v>
      </c>
      <c r="H214" t="s">
        <v>908</v>
      </c>
      <c r="I214">
        <v>24</v>
      </c>
      <c r="J214">
        <v>259</v>
      </c>
      <c r="L214">
        <v>0</v>
      </c>
      <c r="M214">
        <v>0</v>
      </c>
      <c r="N214" t="s">
        <v>928</v>
      </c>
      <c r="O214">
        <v>54</v>
      </c>
      <c r="P214">
        <v>678</v>
      </c>
      <c r="S214" t="s">
        <v>929</v>
      </c>
      <c r="T214">
        <v>4</v>
      </c>
      <c r="V214">
        <v>0</v>
      </c>
      <c r="AB214" t="s">
        <v>927</v>
      </c>
      <c r="AH214">
        <v>332495</v>
      </c>
      <c r="AI214">
        <v>70460</v>
      </c>
      <c r="AJ214">
        <v>70460</v>
      </c>
      <c r="AK214">
        <v>27.45706418</v>
      </c>
      <c r="AM214">
        <v>173</v>
      </c>
      <c r="AS214">
        <v>1</v>
      </c>
      <c r="AT214">
        <v>1</v>
      </c>
      <c r="AV214">
        <v>408</v>
      </c>
      <c r="AW214">
        <v>387</v>
      </c>
      <c r="AX214">
        <v>0</v>
      </c>
      <c r="AY214">
        <v>100</v>
      </c>
      <c r="AZ214">
        <v>121</v>
      </c>
      <c r="BA214">
        <v>55</v>
      </c>
      <c r="BB214">
        <v>0</v>
      </c>
      <c r="BP214" t="s">
        <v>151</v>
      </c>
      <c r="BQ214">
        <v>1.1000000000000001</v>
      </c>
      <c r="BR214" t="s">
        <v>911</v>
      </c>
      <c r="BS214" t="s">
        <v>928</v>
      </c>
      <c r="BT214" t="s">
        <v>153</v>
      </c>
      <c r="BU214" t="s">
        <v>150</v>
      </c>
      <c r="BV214" t="s">
        <v>154</v>
      </c>
      <c r="BW214" t="s">
        <v>155</v>
      </c>
      <c r="BX214">
        <v>200</v>
      </c>
      <c r="BY214">
        <v>200</v>
      </c>
      <c r="BZ214" t="s">
        <v>927</v>
      </c>
      <c r="CA214" t="s">
        <v>911</v>
      </c>
      <c r="CB214" t="s">
        <v>928</v>
      </c>
      <c r="CC214" t="s">
        <v>156</v>
      </c>
      <c r="CD214" t="s">
        <v>157</v>
      </c>
      <c r="CJ214" t="s">
        <v>927</v>
      </c>
      <c r="CK214" t="s">
        <v>746</v>
      </c>
    </row>
    <row r="215" spans="1:89" x14ac:dyDescent="0.3">
      <c r="A215" t="s">
        <v>930</v>
      </c>
      <c r="B215" t="s">
        <v>8</v>
      </c>
      <c r="C215" t="s">
        <v>145</v>
      </c>
      <c r="D215">
        <v>200</v>
      </c>
      <c r="E215" t="s">
        <v>146</v>
      </c>
      <c r="F215" t="s">
        <v>147</v>
      </c>
      <c r="H215" t="s">
        <v>931</v>
      </c>
      <c r="I215">
        <v>24</v>
      </c>
      <c r="J215">
        <v>259</v>
      </c>
      <c r="L215">
        <v>0</v>
      </c>
      <c r="M215">
        <v>0</v>
      </c>
      <c r="N215" t="s">
        <v>932</v>
      </c>
      <c r="O215">
        <v>118</v>
      </c>
      <c r="P215">
        <v>1267</v>
      </c>
      <c r="S215" t="s">
        <v>933</v>
      </c>
      <c r="T215">
        <v>4</v>
      </c>
      <c r="V215">
        <v>0</v>
      </c>
      <c r="AB215" t="s">
        <v>930</v>
      </c>
      <c r="AH215">
        <v>390116</v>
      </c>
      <c r="AI215">
        <v>75409</v>
      </c>
      <c r="AJ215">
        <v>75409</v>
      </c>
      <c r="AK215">
        <v>29.385605346999998</v>
      </c>
      <c r="AM215">
        <v>251</v>
      </c>
      <c r="AS215">
        <v>1</v>
      </c>
      <c r="AT215">
        <v>1</v>
      </c>
      <c r="AV215">
        <v>407</v>
      </c>
      <c r="AW215">
        <v>387</v>
      </c>
      <c r="AX215">
        <v>0</v>
      </c>
      <c r="AY215">
        <v>100</v>
      </c>
      <c r="AZ215">
        <v>119</v>
      </c>
      <c r="BA215">
        <v>54</v>
      </c>
      <c r="BB215">
        <v>0</v>
      </c>
      <c r="BP215" t="s">
        <v>151</v>
      </c>
      <c r="BQ215">
        <v>1.1000000000000001</v>
      </c>
      <c r="BR215" t="s">
        <v>934</v>
      </c>
      <c r="BS215" t="s">
        <v>932</v>
      </c>
      <c r="BT215" t="s">
        <v>153</v>
      </c>
      <c r="BU215" t="s">
        <v>150</v>
      </c>
      <c r="BV215" t="s">
        <v>154</v>
      </c>
      <c r="BW215" t="s">
        <v>155</v>
      </c>
      <c r="BX215">
        <v>200</v>
      </c>
      <c r="BY215">
        <v>200</v>
      </c>
      <c r="BZ215" t="s">
        <v>930</v>
      </c>
      <c r="CA215" t="s">
        <v>934</v>
      </c>
      <c r="CB215" t="s">
        <v>932</v>
      </c>
      <c r="CC215" t="s">
        <v>156</v>
      </c>
      <c r="CD215" t="s">
        <v>157</v>
      </c>
      <c r="CJ215" t="s">
        <v>930</v>
      </c>
      <c r="CK215" t="s">
        <v>219</v>
      </c>
    </row>
    <row r="216" spans="1:89" x14ac:dyDescent="0.3">
      <c r="A216" t="s">
        <v>935</v>
      </c>
      <c r="B216" t="s">
        <v>8</v>
      </c>
      <c r="C216" t="s">
        <v>145</v>
      </c>
      <c r="D216">
        <v>200</v>
      </c>
      <c r="E216" t="s">
        <v>146</v>
      </c>
      <c r="F216" t="s">
        <v>147</v>
      </c>
      <c r="H216" t="s">
        <v>936</v>
      </c>
      <c r="I216">
        <v>24</v>
      </c>
      <c r="J216">
        <v>259</v>
      </c>
      <c r="L216">
        <v>0</v>
      </c>
      <c r="M216">
        <v>0</v>
      </c>
      <c r="N216" t="s">
        <v>937</v>
      </c>
      <c r="O216">
        <v>71</v>
      </c>
      <c r="P216">
        <v>922</v>
      </c>
      <c r="S216" t="s">
        <v>938</v>
      </c>
      <c r="T216">
        <v>4</v>
      </c>
      <c r="V216">
        <v>0</v>
      </c>
      <c r="AB216" t="s">
        <v>935</v>
      </c>
      <c r="AH216">
        <v>335311</v>
      </c>
      <c r="AI216">
        <v>70942</v>
      </c>
      <c r="AJ216">
        <v>70942</v>
      </c>
      <c r="AK216">
        <v>27.644891386000001</v>
      </c>
      <c r="AM216">
        <v>258</v>
      </c>
      <c r="AS216">
        <v>1</v>
      </c>
      <c r="AT216">
        <v>1</v>
      </c>
      <c r="AV216">
        <v>419</v>
      </c>
      <c r="AW216">
        <v>387</v>
      </c>
      <c r="AX216">
        <v>0</v>
      </c>
      <c r="AY216">
        <v>100</v>
      </c>
      <c r="AZ216">
        <v>121</v>
      </c>
      <c r="BA216">
        <v>54</v>
      </c>
      <c r="BB216">
        <v>0</v>
      </c>
      <c r="BP216" t="s">
        <v>151</v>
      </c>
      <c r="BQ216">
        <v>1.1000000000000001</v>
      </c>
      <c r="BR216" t="s">
        <v>939</v>
      </c>
      <c r="BS216" t="s">
        <v>937</v>
      </c>
      <c r="BT216" t="s">
        <v>153</v>
      </c>
      <c r="BU216" t="s">
        <v>150</v>
      </c>
      <c r="BV216" t="s">
        <v>154</v>
      </c>
      <c r="BW216" t="s">
        <v>155</v>
      </c>
      <c r="BX216">
        <v>200</v>
      </c>
      <c r="BY216">
        <v>200</v>
      </c>
      <c r="BZ216" t="s">
        <v>935</v>
      </c>
      <c r="CA216" t="s">
        <v>939</v>
      </c>
      <c r="CB216" t="s">
        <v>937</v>
      </c>
      <c r="CC216" t="s">
        <v>156</v>
      </c>
      <c r="CD216" t="s">
        <v>157</v>
      </c>
      <c r="CJ216" t="s">
        <v>935</v>
      </c>
      <c r="CK216" t="s">
        <v>600</v>
      </c>
    </row>
    <row r="217" spans="1:89" x14ac:dyDescent="0.3">
      <c r="A217" t="s">
        <v>940</v>
      </c>
      <c r="B217" t="s">
        <v>8</v>
      </c>
      <c r="C217" t="s">
        <v>145</v>
      </c>
      <c r="D217">
        <v>200</v>
      </c>
      <c r="E217" t="s">
        <v>146</v>
      </c>
      <c r="F217" t="s">
        <v>147</v>
      </c>
      <c r="H217" t="s">
        <v>941</v>
      </c>
      <c r="I217">
        <v>24</v>
      </c>
      <c r="J217">
        <v>259</v>
      </c>
      <c r="L217">
        <v>0</v>
      </c>
      <c r="M217">
        <v>0</v>
      </c>
      <c r="O217">
        <v>0</v>
      </c>
      <c r="P217">
        <v>0</v>
      </c>
      <c r="S217" t="s">
        <v>942</v>
      </c>
      <c r="T217">
        <v>4</v>
      </c>
      <c r="V217">
        <v>0</v>
      </c>
      <c r="AB217" t="s">
        <v>940</v>
      </c>
      <c r="AH217">
        <v>325313</v>
      </c>
      <c r="AI217">
        <v>69599</v>
      </c>
      <c r="AJ217">
        <v>69599</v>
      </c>
      <c r="AK217">
        <v>27.121547116999999</v>
      </c>
      <c r="AM217">
        <v>258</v>
      </c>
      <c r="AS217">
        <v>1</v>
      </c>
      <c r="AT217">
        <v>1</v>
      </c>
      <c r="AV217">
        <v>780</v>
      </c>
      <c r="AW217">
        <v>387</v>
      </c>
      <c r="AX217">
        <v>0</v>
      </c>
      <c r="AY217">
        <v>100</v>
      </c>
      <c r="AZ217">
        <v>105</v>
      </c>
      <c r="BA217">
        <v>54</v>
      </c>
      <c r="BB217">
        <v>0</v>
      </c>
      <c r="BP217" t="s">
        <v>151</v>
      </c>
      <c r="BQ217">
        <v>1.1000000000000001</v>
      </c>
      <c r="BR217" t="s">
        <v>943</v>
      </c>
      <c r="BS217" t="s">
        <v>149</v>
      </c>
      <c r="BT217" t="s">
        <v>153</v>
      </c>
      <c r="BU217" t="s">
        <v>150</v>
      </c>
      <c r="BV217" t="s">
        <v>154</v>
      </c>
      <c r="BW217" t="s">
        <v>155</v>
      </c>
      <c r="BX217">
        <v>200</v>
      </c>
      <c r="BY217">
        <v>200</v>
      </c>
      <c r="BZ217" t="s">
        <v>940</v>
      </c>
      <c r="CA217" t="s">
        <v>943</v>
      </c>
      <c r="CB217" t="s">
        <v>149</v>
      </c>
      <c r="CC217" t="s">
        <v>156</v>
      </c>
      <c r="CD217" t="s">
        <v>157</v>
      </c>
      <c r="CJ217" t="s">
        <v>940</v>
      </c>
      <c r="CK217" t="s">
        <v>595</v>
      </c>
    </row>
    <row r="218" spans="1:89" x14ac:dyDescent="0.3">
      <c r="A218" t="s">
        <v>944</v>
      </c>
      <c r="B218" t="s">
        <v>8</v>
      </c>
      <c r="C218" t="s">
        <v>145</v>
      </c>
      <c r="D218">
        <v>200</v>
      </c>
      <c r="E218" t="s">
        <v>146</v>
      </c>
      <c r="F218" t="s">
        <v>147</v>
      </c>
      <c r="H218" t="s">
        <v>913</v>
      </c>
      <c r="I218">
        <v>26</v>
      </c>
      <c r="J218">
        <v>299</v>
      </c>
      <c r="L218">
        <v>0</v>
      </c>
      <c r="M218">
        <v>0</v>
      </c>
      <c r="N218" t="s">
        <v>914</v>
      </c>
      <c r="O218">
        <v>31</v>
      </c>
      <c r="P218">
        <v>422</v>
      </c>
      <c r="S218" t="s">
        <v>945</v>
      </c>
      <c r="T218">
        <v>6</v>
      </c>
      <c r="V218">
        <v>0</v>
      </c>
      <c r="AB218" t="s">
        <v>944</v>
      </c>
      <c r="AH218">
        <v>325599</v>
      </c>
      <c r="AI218">
        <v>68839</v>
      </c>
      <c r="AJ218">
        <v>68839</v>
      </c>
      <c r="AK218">
        <v>26.825388037</v>
      </c>
      <c r="AM218">
        <v>139</v>
      </c>
      <c r="AS218">
        <v>2</v>
      </c>
      <c r="AT218">
        <v>1</v>
      </c>
      <c r="AV218">
        <v>12</v>
      </c>
      <c r="AW218">
        <v>4</v>
      </c>
      <c r="AX218">
        <v>0</v>
      </c>
      <c r="AY218">
        <v>1.03</v>
      </c>
      <c r="AZ218">
        <v>117</v>
      </c>
      <c r="BA218">
        <v>60</v>
      </c>
      <c r="BB218">
        <v>0</v>
      </c>
      <c r="BP218" t="s">
        <v>151</v>
      </c>
      <c r="BQ218">
        <v>1.1000000000000001</v>
      </c>
      <c r="BR218" t="s">
        <v>916</v>
      </c>
      <c r="BS218" t="s">
        <v>914</v>
      </c>
      <c r="BT218" t="s">
        <v>153</v>
      </c>
      <c r="BU218" t="s">
        <v>150</v>
      </c>
      <c r="BV218" t="s">
        <v>154</v>
      </c>
      <c r="BW218" t="s">
        <v>155</v>
      </c>
      <c r="BX218">
        <v>200</v>
      </c>
      <c r="BY218">
        <v>200</v>
      </c>
      <c r="BZ218" t="s">
        <v>944</v>
      </c>
      <c r="CA218" t="s">
        <v>916</v>
      </c>
      <c r="CB218" t="s">
        <v>914</v>
      </c>
      <c r="CC218" t="s">
        <v>156</v>
      </c>
      <c r="CD218" t="s">
        <v>157</v>
      </c>
      <c r="CJ218" t="s">
        <v>944</v>
      </c>
      <c r="CK218" t="s">
        <v>169</v>
      </c>
    </row>
    <row r="219" spans="1:89" x14ac:dyDescent="0.3">
      <c r="A219" t="s">
        <v>946</v>
      </c>
      <c r="B219" t="s">
        <v>8</v>
      </c>
      <c r="C219" t="s">
        <v>145</v>
      </c>
      <c r="D219">
        <v>200</v>
      </c>
      <c r="E219" t="s">
        <v>146</v>
      </c>
      <c r="F219" t="s">
        <v>147</v>
      </c>
      <c r="H219" t="s">
        <v>913</v>
      </c>
      <c r="I219">
        <v>26</v>
      </c>
      <c r="J219">
        <v>299</v>
      </c>
      <c r="L219">
        <v>0</v>
      </c>
      <c r="M219">
        <v>0</v>
      </c>
      <c r="N219" t="s">
        <v>914</v>
      </c>
      <c r="O219">
        <v>31</v>
      </c>
      <c r="P219">
        <v>422</v>
      </c>
      <c r="S219" t="s">
        <v>947</v>
      </c>
      <c r="T219">
        <v>4</v>
      </c>
      <c r="V219">
        <v>0</v>
      </c>
      <c r="AB219" t="s">
        <v>946</v>
      </c>
      <c r="AH219">
        <v>330262</v>
      </c>
      <c r="AI219">
        <v>69161</v>
      </c>
      <c r="AJ219">
        <v>69161</v>
      </c>
      <c r="AK219">
        <v>26.950865962999998</v>
      </c>
      <c r="AM219">
        <v>164</v>
      </c>
      <c r="AS219">
        <v>2</v>
      </c>
      <c r="AT219">
        <v>1</v>
      </c>
      <c r="AV219">
        <v>12</v>
      </c>
      <c r="AW219">
        <v>4</v>
      </c>
      <c r="AX219">
        <v>0</v>
      </c>
      <c r="AY219">
        <v>1.03</v>
      </c>
      <c r="AZ219">
        <v>117</v>
      </c>
      <c r="BA219">
        <v>60</v>
      </c>
      <c r="BB219">
        <v>0</v>
      </c>
      <c r="BP219" t="s">
        <v>151</v>
      </c>
      <c r="BQ219">
        <v>1.1000000000000001</v>
      </c>
      <c r="BR219" t="s">
        <v>916</v>
      </c>
      <c r="BS219" t="s">
        <v>914</v>
      </c>
      <c r="BT219" t="s">
        <v>153</v>
      </c>
      <c r="BU219" t="s">
        <v>150</v>
      </c>
      <c r="BV219" t="s">
        <v>154</v>
      </c>
      <c r="BW219" t="s">
        <v>155</v>
      </c>
      <c r="BX219">
        <v>200</v>
      </c>
      <c r="BY219">
        <v>200</v>
      </c>
      <c r="BZ219" t="s">
        <v>946</v>
      </c>
      <c r="CA219" t="s">
        <v>916</v>
      </c>
      <c r="CB219" t="s">
        <v>914</v>
      </c>
      <c r="CC219" t="s">
        <v>156</v>
      </c>
      <c r="CD219" t="s">
        <v>157</v>
      </c>
      <c r="CJ219" t="s">
        <v>946</v>
      </c>
      <c r="CK219" t="s">
        <v>190</v>
      </c>
    </row>
    <row r="220" spans="1:89" x14ac:dyDescent="0.3">
      <c r="A220" t="s">
        <v>948</v>
      </c>
      <c r="B220" t="s">
        <v>8</v>
      </c>
      <c r="C220" t="s">
        <v>145</v>
      </c>
      <c r="D220">
        <v>200</v>
      </c>
      <c r="E220" t="s">
        <v>146</v>
      </c>
      <c r="F220" t="s">
        <v>147</v>
      </c>
      <c r="H220" t="s">
        <v>949</v>
      </c>
      <c r="I220">
        <v>24</v>
      </c>
      <c r="J220">
        <v>259</v>
      </c>
      <c r="L220">
        <v>0</v>
      </c>
      <c r="M220">
        <v>0</v>
      </c>
      <c r="N220" t="s">
        <v>950</v>
      </c>
      <c r="O220">
        <v>31</v>
      </c>
      <c r="P220">
        <v>362</v>
      </c>
      <c r="S220" t="s">
        <v>951</v>
      </c>
      <c r="T220">
        <v>4</v>
      </c>
      <c r="V220">
        <v>0</v>
      </c>
      <c r="AB220" t="s">
        <v>948</v>
      </c>
      <c r="AH220">
        <v>338058</v>
      </c>
      <c r="AI220">
        <v>70432</v>
      </c>
      <c r="AJ220">
        <v>70432</v>
      </c>
      <c r="AK220">
        <v>27.446153056</v>
      </c>
      <c r="AM220">
        <v>260</v>
      </c>
      <c r="AS220">
        <v>1</v>
      </c>
      <c r="AT220">
        <v>1</v>
      </c>
      <c r="AV220">
        <v>408</v>
      </c>
      <c r="AW220">
        <v>387</v>
      </c>
      <c r="AX220">
        <v>0</v>
      </c>
      <c r="AY220">
        <v>100</v>
      </c>
      <c r="AZ220">
        <v>120</v>
      </c>
      <c r="BA220">
        <v>54</v>
      </c>
      <c r="BB220">
        <v>0</v>
      </c>
      <c r="BP220" t="s">
        <v>151</v>
      </c>
      <c r="BQ220">
        <v>1.1000000000000001</v>
      </c>
      <c r="BR220" t="s">
        <v>952</v>
      </c>
      <c r="BS220" t="s">
        <v>950</v>
      </c>
      <c r="BT220" t="s">
        <v>153</v>
      </c>
      <c r="BU220" t="s">
        <v>150</v>
      </c>
      <c r="BV220" t="s">
        <v>154</v>
      </c>
      <c r="BW220" t="s">
        <v>155</v>
      </c>
      <c r="BX220">
        <v>200</v>
      </c>
      <c r="BY220">
        <v>200</v>
      </c>
      <c r="BZ220" t="s">
        <v>948</v>
      </c>
      <c r="CA220" t="s">
        <v>952</v>
      </c>
      <c r="CB220" t="s">
        <v>950</v>
      </c>
      <c r="CC220" t="s">
        <v>156</v>
      </c>
      <c r="CD220" t="s">
        <v>157</v>
      </c>
      <c r="CJ220" t="s">
        <v>948</v>
      </c>
      <c r="CK220" t="s">
        <v>198</v>
      </c>
    </row>
    <row r="221" spans="1:89" x14ac:dyDescent="0.3">
      <c r="A221" t="s">
        <v>953</v>
      </c>
      <c r="B221" t="s">
        <v>8</v>
      </c>
      <c r="C221" t="s">
        <v>145</v>
      </c>
      <c r="D221">
        <v>200</v>
      </c>
      <c r="E221" t="s">
        <v>146</v>
      </c>
      <c r="F221" t="s">
        <v>147</v>
      </c>
      <c r="H221" t="s">
        <v>954</v>
      </c>
      <c r="I221">
        <v>24</v>
      </c>
      <c r="J221">
        <v>259</v>
      </c>
      <c r="L221">
        <v>0</v>
      </c>
      <c r="M221">
        <v>0</v>
      </c>
      <c r="N221" t="s">
        <v>955</v>
      </c>
      <c r="O221">
        <v>30</v>
      </c>
      <c r="P221">
        <v>348</v>
      </c>
      <c r="S221" t="s">
        <v>956</v>
      </c>
      <c r="T221">
        <v>4</v>
      </c>
      <c r="V221">
        <v>0</v>
      </c>
      <c r="AB221" t="s">
        <v>953</v>
      </c>
      <c r="AH221">
        <v>340166</v>
      </c>
      <c r="AI221">
        <v>69661</v>
      </c>
      <c r="AJ221">
        <v>69661</v>
      </c>
      <c r="AK221">
        <v>27.145707463000001</v>
      </c>
      <c r="AM221">
        <v>276</v>
      </c>
      <c r="AS221">
        <v>1</v>
      </c>
      <c r="AT221">
        <v>1</v>
      </c>
      <c r="AV221">
        <v>392</v>
      </c>
      <c r="AW221">
        <v>387</v>
      </c>
      <c r="AX221">
        <v>0</v>
      </c>
      <c r="AY221">
        <v>100</v>
      </c>
      <c r="AZ221">
        <v>170</v>
      </c>
      <c r="BA221">
        <v>65</v>
      </c>
      <c r="BB221">
        <v>0</v>
      </c>
      <c r="BP221" t="s">
        <v>151</v>
      </c>
      <c r="BQ221">
        <v>1.1000000000000001</v>
      </c>
      <c r="BR221" t="s">
        <v>957</v>
      </c>
      <c r="BS221" t="s">
        <v>955</v>
      </c>
      <c r="BT221" t="s">
        <v>153</v>
      </c>
      <c r="BU221" t="s">
        <v>150</v>
      </c>
      <c r="BV221" t="s">
        <v>154</v>
      </c>
      <c r="BW221" t="s">
        <v>155</v>
      </c>
      <c r="BX221">
        <v>200</v>
      </c>
      <c r="BY221">
        <v>200</v>
      </c>
      <c r="BZ221" t="s">
        <v>953</v>
      </c>
      <c r="CA221" t="s">
        <v>957</v>
      </c>
      <c r="CB221" t="s">
        <v>955</v>
      </c>
      <c r="CC221" t="s">
        <v>156</v>
      </c>
      <c r="CD221" t="s">
        <v>157</v>
      </c>
      <c r="CJ221" t="s">
        <v>953</v>
      </c>
      <c r="CK221" t="s">
        <v>222</v>
      </c>
    </row>
    <row r="222" spans="1:89" x14ac:dyDescent="0.3">
      <c r="A222" s="39" t="s">
        <v>958</v>
      </c>
      <c r="B222" t="s">
        <v>8</v>
      </c>
      <c r="C222" t="s">
        <v>145</v>
      </c>
      <c r="D222">
        <v>200</v>
      </c>
      <c r="E222" t="s">
        <v>146</v>
      </c>
      <c r="F222" t="s">
        <v>147</v>
      </c>
      <c r="H222" t="s">
        <v>959</v>
      </c>
      <c r="I222">
        <v>24</v>
      </c>
      <c r="J222">
        <v>259</v>
      </c>
      <c r="L222">
        <v>0</v>
      </c>
      <c r="M222">
        <v>0</v>
      </c>
      <c r="N222" t="s">
        <v>960</v>
      </c>
      <c r="O222">
        <v>35</v>
      </c>
      <c r="P222">
        <v>400</v>
      </c>
      <c r="S222" t="s">
        <v>961</v>
      </c>
      <c r="T222">
        <v>4</v>
      </c>
      <c r="V222">
        <v>0</v>
      </c>
      <c r="AB222" t="s">
        <v>958</v>
      </c>
      <c r="AH222">
        <v>329191</v>
      </c>
      <c r="AI222">
        <v>69363</v>
      </c>
      <c r="AJ222">
        <v>69363</v>
      </c>
      <c r="AK222">
        <v>27.029581928999999</v>
      </c>
      <c r="AM222">
        <v>126</v>
      </c>
      <c r="AS222">
        <v>1</v>
      </c>
      <c r="AT222">
        <v>1</v>
      </c>
      <c r="AV222">
        <v>407</v>
      </c>
      <c r="AW222">
        <v>387</v>
      </c>
      <c r="AX222">
        <v>0</v>
      </c>
      <c r="AY222">
        <v>100</v>
      </c>
      <c r="AZ222">
        <v>119</v>
      </c>
      <c r="BA222">
        <v>54</v>
      </c>
      <c r="BB222">
        <v>0</v>
      </c>
      <c r="BP222" t="s">
        <v>151</v>
      </c>
      <c r="BQ222">
        <v>1.1000000000000001</v>
      </c>
      <c r="BR222" t="s">
        <v>962</v>
      </c>
      <c r="BS222" t="s">
        <v>960</v>
      </c>
      <c r="BT222" t="s">
        <v>153</v>
      </c>
      <c r="BU222" t="s">
        <v>150</v>
      </c>
      <c r="BV222" t="s">
        <v>154</v>
      </c>
      <c r="BW222" t="s">
        <v>155</v>
      </c>
      <c r="BX222">
        <v>200</v>
      </c>
      <c r="BY222">
        <v>200</v>
      </c>
      <c r="BZ222" t="s">
        <v>958</v>
      </c>
      <c r="CA222" t="s">
        <v>962</v>
      </c>
      <c r="CB222" t="s">
        <v>960</v>
      </c>
      <c r="CC222" t="s">
        <v>156</v>
      </c>
      <c r="CD222" t="s">
        <v>157</v>
      </c>
      <c r="CJ222" t="s">
        <v>958</v>
      </c>
      <c r="CK222" t="s">
        <v>222</v>
      </c>
    </row>
    <row r="223" spans="1:89" x14ac:dyDescent="0.3">
      <c r="A223" t="s">
        <v>963</v>
      </c>
      <c r="B223" t="s">
        <v>8</v>
      </c>
      <c r="C223" t="s">
        <v>145</v>
      </c>
      <c r="D223">
        <v>200</v>
      </c>
      <c r="E223" t="s">
        <v>146</v>
      </c>
      <c r="F223" t="s">
        <v>147</v>
      </c>
      <c r="H223" t="s">
        <v>964</v>
      </c>
      <c r="I223">
        <v>31</v>
      </c>
      <c r="J223">
        <v>282</v>
      </c>
      <c r="L223">
        <v>0</v>
      </c>
      <c r="M223">
        <v>0</v>
      </c>
      <c r="O223">
        <v>0</v>
      </c>
      <c r="P223">
        <v>0</v>
      </c>
      <c r="S223" t="s">
        <v>965</v>
      </c>
      <c r="T223">
        <v>11</v>
      </c>
      <c r="V223">
        <v>0</v>
      </c>
      <c r="AB223" t="s">
        <v>963</v>
      </c>
      <c r="AH223">
        <v>319645</v>
      </c>
      <c r="AI223">
        <v>68674</v>
      </c>
      <c r="AJ223">
        <v>68674</v>
      </c>
      <c r="AK223">
        <v>26.761090341999999</v>
      </c>
      <c r="AM223">
        <v>127</v>
      </c>
      <c r="AS223">
        <v>2</v>
      </c>
      <c r="AT223">
        <v>1</v>
      </c>
      <c r="AV223">
        <v>13</v>
      </c>
      <c r="AW223">
        <v>5</v>
      </c>
      <c r="AX223">
        <v>0</v>
      </c>
      <c r="AY223">
        <v>1.29</v>
      </c>
      <c r="AZ223">
        <v>103</v>
      </c>
      <c r="BA223">
        <v>55</v>
      </c>
      <c r="BB223">
        <v>0</v>
      </c>
      <c r="BP223" t="s">
        <v>151</v>
      </c>
      <c r="BQ223">
        <v>1.1000000000000001</v>
      </c>
      <c r="BR223" t="s">
        <v>966</v>
      </c>
      <c r="BS223" t="s">
        <v>149</v>
      </c>
      <c r="BT223" t="s">
        <v>153</v>
      </c>
      <c r="BU223" t="s">
        <v>150</v>
      </c>
      <c r="BV223" t="s">
        <v>154</v>
      </c>
      <c r="BW223" t="s">
        <v>155</v>
      </c>
      <c r="BX223">
        <v>200</v>
      </c>
      <c r="BY223">
        <v>200</v>
      </c>
      <c r="BZ223" t="s">
        <v>963</v>
      </c>
      <c r="CA223" t="s">
        <v>966</v>
      </c>
      <c r="CB223" t="s">
        <v>149</v>
      </c>
      <c r="CC223" t="s">
        <v>156</v>
      </c>
      <c r="CD223" t="s">
        <v>157</v>
      </c>
      <c r="CJ223" t="s">
        <v>963</v>
      </c>
      <c r="CK223" t="s">
        <v>190</v>
      </c>
    </row>
    <row r="224" spans="1:89" x14ac:dyDescent="0.3">
      <c r="A224" t="s">
        <v>967</v>
      </c>
      <c r="C224" t="s">
        <v>145</v>
      </c>
      <c r="D224">
        <v>200</v>
      </c>
      <c r="E224" t="s">
        <v>146</v>
      </c>
      <c r="F224" t="s">
        <v>161</v>
      </c>
      <c r="G224" t="s">
        <v>166</v>
      </c>
      <c r="H224" t="s">
        <v>968</v>
      </c>
      <c r="I224">
        <v>24</v>
      </c>
      <c r="J224">
        <v>259</v>
      </c>
      <c r="L224">
        <v>0</v>
      </c>
      <c r="M224">
        <v>0</v>
      </c>
      <c r="O224">
        <v>0</v>
      </c>
      <c r="P224">
        <v>0</v>
      </c>
      <c r="S224" t="s">
        <v>969</v>
      </c>
      <c r="T224">
        <v>4</v>
      </c>
      <c r="V224">
        <v>0</v>
      </c>
      <c r="AB224" t="s">
        <v>967</v>
      </c>
      <c r="AH224">
        <v>305293</v>
      </c>
      <c r="AI224">
        <v>63407</v>
      </c>
      <c r="AJ224">
        <v>63407</v>
      </c>
      <c r="AK224">
        <v>24.708629981000001</v>
      </c>
      <c r="AM224">
        <v>669</v>
      </c>
      <c r="AS224">
        <v>1</v>
      </c>
      <c r="AT224">
        <v>1</v>
      </c>
      <c r="AV224">
        <v>398</v>
      </c>
      <c r="AW224">
        <v>387</v>
      </c>
      <c r="AX224">
        <v>0</v>
      </c>
      <c r="AY224">
        <v>100</v>
      </c>
      <c r="AZ224">
        <v>103</v>
      </c>
      <c r="BA224">
        <v>54</v>
      </c>
      <c r="BB224">
        <v>0</v>
      </c>
      <c r="BP224" t="s">
        <v>151</v>
      </c>
      <c r="BQ224">
        <v>1.1000000000000001</v>
      </c>
      <c r="BR224" t="s">
        <v>970</v>
      </c>
      <c r="BS224" t="s">
        <v>149</v>
      </c>
      <c r="BT224" t="s">
        <v>153</v>
      </c>
      <c r="BU224" t="s">
        <v>150</v>
      </c>
      <c r="BV224" t="s">
        <v>154</v>
      </c>
      <c r="BW224" t="s">
        <v>155</v>
      </c>
      <c r="BX224">
        <v>200</v>
      </c>
      <c r="BY224">
        <v>200</v>
      </c>
      <c r="BZ224" t="s">
        <v>967</v>
      </c>
      <c r="CA224" t="s">
        <v>970</v>
      </c>
      <c r="CB224" t="s">
        <v>149</v>
      </c>
      <c r="CC224" t="s">
        <v>156</v>
      </c>
      <c r="CD224" t="s">
        <v>157</v>
      </c>
      <c r="CJ224" t="s">
        <v>967</v>
      </c>
      <c r="CK224" t="s">
        <v>212</v>
      </c>
    </row>
    <row r="225" spans="1:89" x14ac:dyDescent="0.3">
      <c r="A225" t="s">
        <v>971</v>
      </c>
      <c r="C225" t="s">
        <v>145</v>
      </c>
      <c r="D225">
        <v>200</v>
      </c>
      <c r="E225" t="s">
        <v>146</v>
      </c>
      <c r="F225" t="s">
        <v>161</v>
      </c>
      <c r="G225" t="s">
        <v>166</v>
      </c>
      <c r="H225" t="s">
        <v>972</v>
      </c>
      <c r="I225">
        <v>24</v>
      </c>
      <c r="J225">
        <v>259</v>
      </c>
      <c r="L225">
        <v>0</v>
      </c>
      <c r="M225">
        <v>0</v>
      </c>
      <c r="O225">
        <v>0</v>
      </c>
      <c r="P225">
        <v>0</v>
      </c>
      <c r="S225" t="s">
        <v>973</v>
      </c>
      <c r="T225">
        <v>4</v>
      </c>
      <c r="V225">
        <v>0</v>
      </c>
      <c r="AB225" t="s">
        <v>971</v>
      </c>
      <c r="AH225">
        <v>297168</v>
      </c>
      <c r="AI225">
        <v>66857</v>
      </c>
      <c r="AJ225">
        <v>66857</v>
      </c>
      <c r="AK225">
        <v>26.053036331000001</v>
      </c>
      <c r="AM225">
        <v>371</v>
      </c>
      <c r="AS225">
        <v>1</v>
      </c>
      <c r="AT225">
        <v>1</v>
      </c>
      <c r="AV225">
        <v>397</v>
      </c>
      <c r="AW225">
        <v>387</v>
      </c>
      <c r="AX225">
        <v>0</v>
      </c>
      <c r="AY225">
        <v>100</v>
      </c>
      <c r="AZ225">
        <v>103</v>
      </c>
      <c r="BA225">
        <v>54</v>
      </c>
      <c r="BB225">
        <v>0</v>
      </c>
      <c r="BP225" t="s">
        <v>151</v>
      </c>
      <c r="BQ225">
        <v>1.1000000000000001</v>
      </c>
      <c r="BR225" t="s">
        <v>974</v>
      </c>
      <c r="BS225" t="s">
        <v>149</v>
      </c>
      <c r="BT225" t="s">
        <v>153</v>
      </c>
      <c r="BU225" t="s">
        <v>150</v>
      </c>
      <c r="BV225" t="s">
        <v>154</v>
      </c>
      <c r="BW225" t="s">
        <v>155</v>
      </c>
      <c r="BX225">
        <v>200</v>
      </c>
      <c r="BY225">
        <v>200</v>
      </c>
      <c r="BZ225" t="s">
        <v>971</v>
      </c>
      <c r="CA225" t="s">
        <v>974</v>
      </c>
      <c r="CB225" t="s">
        <v>149</v>
      </c>
      <c r="CC225" t="s">
        <v>156</v>
      </c>
      <c r="CD225" t="s">
        <v>157</v>
      </c>
      <c r="CJ225" t="s">
        <v>971</v>
      </c>
      <c r="CK225" t="s">
        <v>835</v>
      </c>
    </row>
    <row r="226" spans="1:89" x14ac:dyDescent="0.3">
      <c r="A226" t="s">
        <v>975</v>
      </c>
      <c r="B226" t="s">
        <v>5</v>
      </c>
      <c r="C226" t="s">
        <v>145</v>
      </c>
      <c r="D226">
        <v>200</v>
      </c>
      <c r="E226" t="s">
        <v>146</v>
      </c>
      <c r="F226" t="s">
        <v>147</v>
      </c>
      <c r="H226" t="s">
        <v>976</v>
      </c>
      <c r="I226">
        <v>35</v>
      </c>
      <c r="J226">
        <v>442</v>
      </c>
      <c r="K226" t="s">
        <v>977</v>
      </c>
      <c r="L226">
        <v>9</v>
      </c>
      <c r="M226">
        <v>172</v>
      </c>
      <c r="N226" t="s">
        <v>978</v>
      </c>
      <c r="O226">
        <v>123</v>
      </c>
      <c r="P226">
        <v>1538</v>
      </c>
      <c r="S226" t="s">
        <v>979</v>
      </c>
      <c r="T226">
        <v>15</v>
      </c>
      <c r="V226">
        <v>0</v>
      </c>
      <c r="AB226" t="s">
        <v>975</v>
      </c>
      <c r="AH226">
        <v>652168</v>
      </c>
      <c r="AI226">
        <v>132984</v>
      </c>
      <c r="AJ226">
        <v>132984</v>
      </c>
      <c r="AK226">
        <v>51.821604072000007</v>
      </c>
      <c r="AM226">
        <v>469</v>
      </c>
      <c r="AS226">
        <v>1</v>
      </c>
      <c r="AT226">
        <v>1</v>
      </c>
      <c r="AV226">
        <v>41</v>
      </c>
      <c r="AW226">
        <v>11</v>
      </c>
      <c r="AX226">
        <v>0</v>
      </c>
      <c r="AY226">
        <v>2.84</v>
      </c>
      <c r="AZ226">
        <v>110</v>
      </c>
      <c r="BA226">
        <v>57</v>
      </c>
      <c r="BB226">
        <v>0</v>
      </c>
      <c r="BP226" t="s">
        <v>151</v>
      </c>
      <c r="BQ226">
        <v>1.1000000000000001</v>
      </c>
      <c r="BR226" t="s">
        <v>980</v>
      </c>
      <c r="BS226" t="s">
        <v>978</v>
      </c>
      <c r="BT226" t="s">
        <v>981</v>
      </c>
      <c r="BU226" t="s">
        <v>150</v>
      </c>
      <c r="BV226" t="s">
        <v>982</v>
      </c>
      <c r="BW226" t="s">
        <v>983</v>
      </c>
      <c r="BX226">
        <v>1000</v>
      </c>
      <c r="BY226">
        <v>1000</v>
      </c>
      <c r="BZ226" t="s">
        <v>975</v>
      </c>
      <c r="CA226" t="s">
        <v>980</v>
      </c>
      <c r="CB226" t="s">
        <v>978</v>
      </c>
      <c r="CC226" t="s">
        <v>156</v>
      </c>
      <c r="CD226" t="s">
        <v>157</v>
      </c>
      <c r="CJ226" t="s">
        <v>975</v>
      </c>
      <c r="CK226" t="s">
        <v>526</v>
      </c>
    </row>
    <row r="227" spans="1:89" x14ac:dyDescent="0.3">
      <c r="A227" t="s">
        <v>984</v>
      </c>
      <c r="B227" t="s">
        <v>5</v>
      </c>
      <c r="C227" t="s">
        <v>145</v>
      </c>
      <c r="D227">
        <v>200</v>
      </c>
      <c r="E227" t="s">
        <v>146</v>
      </c>
      <c r="F227" t="s">
        <v>147</v>
      </c>
      <c r="H227" t="s">
        <v>985</v>
      </c>
      <c r="I227">
        <v>34</v>
      </c>
      <c r="J227">
        <v>397</v>
      </c>
      <c r="L227">
        <v>0</v>
      </c>
      <c r="M227">
        <v>0</v>
      </c>
      <c r="N227" t="s">
        <v>986</v>
      </c>
      <c r="O227">
        <v>25</v>
      </c>
      <c r="P227">
        <v>350</v>
      </c>
      <c r="S227" t="s">
        <v>987</v>
      </c>
      <c r="T227">
        <v>14</v>
      </c>
      <c r="V227">
        <v>0</v>
      </c>
      <c r="AB227" t="s">
        <v>984</v>
      </c>
      <c r="AH227">
        <v>389744</v>
      </c>
      <c r="AI227">
        <v>85401</v>
      </c>
      <c r="AJ227">
        <v>85401</v>
      </c>
      <c r="AK227">
        <v>33.279317882999997</v>
      </c>
      <c r="AM227">
        <v>220</v>
      </c>
      <c r="AS227">
        <v>2</v>
      </c>
      <c r="AT227">
        <v>1</v>
      </c>
      <c r="AV227">
        <v>17</v>
      </c>
      <c r="AW227">
        <v>6</v>
      </c>
      <c r="AX227">
        <v>0</v>
      </c>
      <c r="AY227">
        <v>1.55</v>
      </c>
      <c r="AZ227">
        <v>108</v>
      </c>
      <c r="BA227">
        <v>55</v>
      </c>
      <c r="BB227">
        <v>0</v>
      </c>
      <c r="BP227" t="s">
        <v>151</v>
      </c>
      <c r="BQ227">
        <v>1.1000000000000001</v>
      </c>
      <c r="BR227" t="s">
        <v>988</v>
      </c>
      <c r="BS227" t="s">
        <v>986</v>
      </c>
      <c r="BT227" t="s">
        <v>981</v>
      </c>
      <c r="BU227" t="s">
        <v>150</v>
      </c>
      <c r="BV227" t="s">
        <v>989</v>
      </c>
      <c r="BW227" t="s">
        <v>990</v>
      </c>
      <c r="BX227">
        <v>450</v>
      </c>
      <c r="BY227">
        <v>450</v>
      </c>
      <c r="BZ227" t="s">
        <v>984</v>
      </c>
      <c r="CA227" t="s">
        <v>988</v>
      </c>
      <c r="CB227" t="s">
        <v>986</v>
      </c>
      <c r="CC227" t="s">
        <v>156</v>
      </c>
      <c r="CD227" t="s">
        <v>157</v>
      </c>
      <c r="CJ227" t="s">
        <v>984</v>
      </c>
      <c r="CK227" t="s">
        <v>991</v>
      </c>
    </row>
    <row r="228" spans="1:89" x14ac:dyDescent="0.3">
      <c r="A228" t="s">
        <v>992</v>
      </c>
      <c r="B228" t="s">
        <v>5</v>
      </c>
      <c r="C228" t="s">
        <v>145</v>
      </c>
      <c r="D228">
        <v>200</v>
      </c>
      <c r="E228" t="s">
        <v>146</v>
      </c>
      <c r="F228" t="s">
        <v>147</v>
      </c>
      <c r="H228" t="s">
        <v>993</v>
      </c>
      <c r="I228">
        <v>33</v>
      </c>
      <c r="J228">
        <v>386</v>
      </c>
      <c r="K228" t="s">
        <v>994</v>
      </c>
      <c r="L228">
        <v>8</v>
      </c>
      <c r="M228">
        <v>92</v>
      </c>
      <c r="N228" t="s">
        <v>995</v>
      </c>
      <c r="O228">
        <v>46</v>
      </c>
      <c r="P228">
        <v>644</v>
      </c>
      <c r="S228" t="s">
        <v>996</v>
      </c>
      <c r="T228">
        <v>13</v>
      </c>
      <c r="V228">
        <v>0</v>
      </c>
      <c r="AB228" t="s">
        <v>992</v>
      </c>
      <c r="AH228">
        <v>512002</v>
      </c>
      <c r="AI228">
        <v>103237</v>
      </c>
      <c r="AJ228">
        <v>103237</v>
      </c>
      <c r="AK228">
        <v>40.229703870999998</v>
      </c>
      <c r="AM228">
        <v>334</v>
      </c>
      <c r="AS228">
        <v>2</v>
      </c>
      <c r="AT228">
        <v>1</v>
      </c>
      <c r="AV228">
        <v>21</v>
      </c>
      <c r="AW228">
        <v>8</v>
      </c>
      <c r="AX228">
        <v>0</v>
      </c>
      <c r="AY228">
        <v>2.0699999999999998</v>
      </c>
      <c r="AZ228">
        <v>110</v>
      </c>
      <c r="BA228">
        <v>57</v>
      </c>
      <c r="BB228">
        <v>0</v>
      </c>
      <c r="BP228" t="s">
        <v>151</v>
      </c>
      <c r="BQ228">
        <v>1.1000000000000001</v>
      </c>
      <c r="BR228" t="s">
        <v>997</v>
      </c>
      <c r="BS228" t="s">
        <v>995</v>
      </c>
      <c r="BT228" t="s">
        <v>981</v>
      </c>
      <c r="BU228" t="s">
        <v>150</v>
      </c>
      <c r="BV228" t="s">
        <v>998</v>
      </c>
      <c r="BW228" t="s">
        <v>999</v>
      </c>
      <c r="BX228">
        <v>1000</v>
      </c>
      <c r="BY228">
        <v>1000</v>
      </c>
      <c r="BZ228" t="s">
        <v>992</v>
      </c>
      <c r="CA228" t="s">
        <v>997</v>
      </c>
      <c r="CB228" t="s">
        <v>995</v>
      </c>
      <c r="CC228" t="s">
        <v>156</v>
      </c>
      <c r="CD228" t="s">
        <v>157</v>
      </c>
      <c r="CJ228" t="s">
        <v>992</v>
      </c>
      <c r="CK228" t="s">
        <v>1000</v>
      </c>
    </row>
    <row r="229" spans="1:89" x14ac:dyDescent="0.3">
      <c r="A229" t="s">
        <v>1001</v>
      </c>
      <c r="B229" t="s">
        <v>5</v>
      </c>
      <c r="C229" t="s">
        <v>145</v>
      </c>
      <c r="D229">
        <v>200</v>
      </c>
      <c r="E229" t="s">
        <v>146</v>
      </c>
      <c r="F229" t="s">
        <v>147</v>
      </c>
      <c r="H229" t="s">
        <v>1002</v>
      </c>
      <c r="I229">
        <v>32</v>
      </c>
      <c r="J229">
        <v>369</v>
      </c>
      <c r="L229">
        <v>0</v>
      </c>
      <c r="M229">
        <v>0</v>
      </c>
      <c r="N229" t="s">
        <v>1003</v>
      </c>
      <c r="O229">
        <v>65</v>
      </c>
      <c r="P229">
        <v>901</v>
      </c>
      <c r="S229" t="s">
        <v>1004</v>
      </c>
      <c r="T229">
        <v>12</v>
      </c>
      <c r="V229">
        <v>0</v>
      </c>
      <c r="AB229" t="s">
        <v>1001</v>
      </c>
      <c r="AH229">
        <v>504949</v>
      </c>
      <c r="AI229">
        <v>101605</v>
      </c>
      <c r="AJ229">
        <v>101605</v>
      </c>
      <c r="AK229">
        <v>39.593741215000001</v>
      </c>
      <c r="AM229">
        <v>309</v>
      </c>
      <c r="AS229">
        <v>2</v>
      </c>
      <c r="AT229">
        <v>1</v>
      </c>
      <c r="AV229">
        <v>27</v>
      </c>
      <c r="AW229">
        <v>11</v>
      </c>
      <c r="AX229">
        <v>0</v>
      </c>
      <c r="AY229">
        <v>2.84</v>
      </c>
      <c r="AZ229">
        <v>110</v>
      </c>
      <c r="BA229">
        <v>57</v>
      </c>
      <c r="BB229">
        <v>0</v>
      </c>
      <c r="BP229" t="s">
        <v>151</v>
      </c>
      <c r="BQ229">
        <v>1.1000000000000001</v>
      </c>
      <c r="BR229" t="s">
        <v>1005</v>
      </c>
      <c r="BS229" t="s">
        <v>1003</v>
      </c>
      <c r="BT229" t="s">
        <v>981</v>
      </c>
      <c r="BU229" t="s">
        <v>150</v>
      </c>
      <c r="BV229" t="s">
        <v>1006</v>
      </c>
      <c r="BW229" t="s">
        <v>1007</v>
      </c>
      <c r="BX229">
        <v>1000</v>
      </c>
      <c r="BY229">
        <v>1000</v>
      </c>
      <c r="BZ229" t="s">
        <v>1001</v>
      </c>
      <c r="CA229" t="s">
        <v>1005</v>
      </c>
      <c r="CB229" t="s">
        <v>1003</v>
      </c>
      <c r="CC229" t="s">
        <v>156</v>
      </c>
      <c r="CD229" t="s">
        <v>157</v>
      </c>
      <c r="CJ229" t="s">
        <v>1001</v>
      </c>
      <c r="CK229" t="s">
        <v>1008</v>
      </c>
    </row>
    <row r="230" spans="1:89" x14ac:dyDescent="0.3">
      <c r="A230" t="s">
        <v>1009</v>
      </c>
      <c r="B230" t="s">
        <v>5</v>
      </c>
      <c r="C230" t="s">
        <v>145</v>
      </c>
      <c r="D230">
        <v>200</v>
      </c>
      <c r="E230" t="s">
        <v>146</v>
      </c>
      <c r="F230" t="s">
        <v>147</v>
      </c>
      <c r="H230" t="s">
        <v>1010</v>
      </c>
      <c r="I230">
        <v>33</v>
      </c>
      <c r="J230">
        <v>377</v>
      </c>
      <c r="K230" t="s">
        <v>1011</v>
      </c>
      <c r="L230">
        <v>8</v>
      </c>
      <c r="M230">
        <v>160</v>
      </c>
      <c r="N230" t="s">
        <v>1012</v>
      </c>
      <c r="O230">
        <v>51</v>
      </c>
      <c r="P230">
        <v>705</v>
      </c>
      <c r="S230" t="s">
        <v>1013</v>
      </c>
      <c r="T230">
        <v>13</v>
      </c>
      <c r="V230">
        <v>0</v>
      </c>
      <c r="AB230" t="s">
        <v>1009</v>
      </c>
      <c r="AH230">
        <v>517521</v>
      </c>
      <c r="AI230">
        <v>103891</v>
      </c>
      <c r="AJ230">
        <v>103891</v>
      </c>
      <c r="AK230">
        <v>40.484556552999997</v>
      </c>
      <c r="AM230">
        <v>275</v>
      </c>
      <c r="AS230">
        <v>2</v>
      </c>
      <c r="AT230">
        <v>1</v>
      </c>
      <c r="AV230">
        <v>20</v>
      </c>
      <c r="AW230">
        <v>8</v>
      </c>
      <c r="AX230">
        <v>0</v>
      </c>
      <c r="AY230">
        <v>2.0699999999999998</v>
      </c>
      <c r="AZ230">
        <v>108</v>
      </c>
      <c r="BA230">
        <v>55</v>
      </c>
      <c r="BB230">
        <v>0</v>
      </c>
      <c r="BP230" t="s">
        <v>151</v>
      </c>
      <c r="BQ230">
        <v>1.1000000000000001</v>
      </c>
      <c r="BR230" t="s">
        <v>1014</v>
      </c>
      <c r="BS230" t="s">
        <v>1012</v>
      </c>
      <c r="BT230" t="s">
        <v>981</v>
      </c>
      <c r="BU230" t="s">
        <v>150</v>
      </c>
      <c r="BV230" t="s">
        <v>1015</v>
      </c>
      <c r="BW230" t="s">
        <v>1016</v>
      </c>
      <c r="BX230">
        <v>450</v>
      </c>
      <c r="BY230">
        <v>450</v>
      </c>
      <c r="BZ230" t="s">
        <v>1009</v>
      </c>
      <c r="CA230" t="s">
        <v>1014</v>
      </c>
      <c r="CB230" t="s">
        <v>1012</v>
      </c>
      <c r="CC230" t="s">
        <v>156</v>
      </c>
      <c r="CD230" t="s">
        <v>157</v>
      </c>
      <c r="CJ230" t="s">
        <v>1009</v>
      </c>
      <c r="CK230" t="s">
        <v>1000</v>
      </c>
    </row>
    <row r="231" spans="1:89" x14ac:dyDescent="0.3">
      <c r="A231" t="s">
        <v>1017</v>
      </c>
      <c r="B231" t="s">
        <v>5</v>
      </c>
      <c r="C231" t="s">
        <v>145</v>
      </c>
      <c r="D231">
        <v>200</v>
      </c>
      <c r="E231" t="s">
        <v>146</v>
      </c>
      <c r="F231" t="s">
        <v>147</v>
      </c>
      <c r="H231" t="s">
        <v>1018</v>
      </c>
      <c r="I231">
        <v>33</v>
      </c>
      <c r="J231">
        <v>377</v>
      </c>
      <c r="L231">
        <v>0</v>
      </c>
      <c r="M231">
        <v>0</v>
      </c>
      <c r="N231" t="s">
        <v>1019</v>
      </c>
      <c r="O231">
        <v>49</v>
      </c>
      <c r="P231">
        <v>677</v>
      </c>
      <c r="S231" t="s">
        <v>1020</v>
      </c>
      <c r="T231">
        <v>13</v>
      </c>
      <c r="V231">
        <v>0</v>
      </c>
      <c r="AB231" t="s">
        <v>1017</v>
      </c>
      <c r="AH231">
        <v>388492</v>
      </c>
      <c r="AI231">
        <v>85268</v>
      </c>
      <c r="AJ231">
        <v>85268</v>
      </c>
      <c r="AK231">
        <v>33.227490044000007</v>
      </c>
      <c r="AM231">
        <v>210</v>
      </c>
      <c r="AS231">
        <v>2</v>
      </c>
      <c r="AT231">
        <v>1</v>
      </c>
      <c r="AV231">
        <v>22</v>
      </c>
      <c r="AW231">
        <v>10</v>
      </c>
      <c r="AX231">
        <v>0</v>
      </c>
      <c r="AY231">
        <v>2.58</v>
      </c>
      <c r="AZ231">
        <v>108</v>
      </c>
      <c r="BA231">
        <v>55</v>
      </c>
      <c r="BB231">
        <v>0</v>
      </c>
      <c r="BP231" t="s">
        <v>151</v>
      </c>
      <c r="BQ231">
        <v>1.1000000000000001</v>
      </c>
      <c r="BR231" t="s">
        <v>1021</v>
      </c>
      <c r="BS231" t="s">
        <v>1019</v>
      </c>
      <c r="BT231" t="s">
        <v>981</v>
      </c>
      <c r="BU231" t="s">
        <v>150</v>
      </c>
      <c r="BV231" t="s">
        <v>1022</v>
      </c>
      <c r="BW231" t="s">
        <v>1023</v>
      </c>
      <c r="BX231">
        <v>450</v>
      </c>
      <c r="BY231">
        <v>450</v>
      </c>
      <c r="BZ231" t="s">
        <v>1017</v>
      </c>
      <c r="CA231" t="s">
        <v>1021</v>
      </c>
      <c r="CB231" t="s">
        <v>1019</v>
      </c>
      <c r="CC231" t="s">
        <v>156</v>
      </c>
      <c r="CD231" t="s">
        <v>157</v>
      </c>
      <c r="CJ231" t="s">
        <v>1017</v>
      </c>
      <c r="CK231" t="s">
        <v>1000</v>
      </c>
    </row>
    <row r="232" spans="1:89" x14ac:dyDescent="0.3">
      <c r="A232" t="s">
        <v>1024</v>
      </c>
      <c r="B232" t="s">
        <v>5</v>
      </c>
      <c r="C232" t="s">
        <v>145</v>
      </c>
      <c r="D232">
        <v>200</v>
      </c>
      <c r="E232" t="s">
        <v>146</v>
      </c>
      <c r="F232" t="s">
        <v>147</v>
      </c>
      <c r="H232" t="s">
        <v>1025</v>
      </c>
      <c r="I232">
        <v>34</v>
      </c>
      <c r="J232">
        <v>406</v>
      </c>
      <c r="L232">
        <v>0</v>
      </c>
      <c r="M232">
        <v>0</v>
      </c>
      <c r="N232" t="s">
        <v>1026</v>
      </c>
      <c r="O232">
        <v>50</v>
      </c>
      <c r="P232">
        <v>675</v>
      </c>
      <c r="S232" t="s">
        <v>1027</v>
      </c>
      <c r="T232">
        <v>14</v>
      </c>
      <c r="V232">
        <v>0</v>
      </c>
      <c r="AB232" t="s">
        <v>1024</v>
      </c>
      <c r="AH232">
        <v>500047</v>
      </c>
      <c r="AI232">
        <v>101739</v>
      </c>
      <c r="AJ232">
        <v>101739</v>
      </c>
      <c r="AK232">
        <v>39.645958737000001</v>
      </c>
      <c r="AM232">
        <v>301</v>
      </c>
      <c r="AS232">
        <v>2</v>
      </c>
      <c r="AT232">
        <v>1</v>
      </c>
      <c r="AV232">
        <v>19</v>
      </c>
      <c r="AW232">
        <v>7</v>
      </c>
      <c r="AX232">
        <v>0</v>
      </c>
      <c r="AY232">
        <v>1.81</v>
      </c>
      <c r="AZ232">
        <v>108</v>
      </c>
      <c r="BA232">
        <v>55</v>
      </c>
      <c r="BB232">
        <v>0</v>
      </c>
      <c r="BP232" t="s">
        <v>151</v>
      </c>
      <c r="BQ232">
        <v>1.1000000000000001</v>
      </c>
      <c r="BR232" t="s">
        <v>1028</v>
      </c>
      <c r="BS232" t="s">
        <v>1026</v>
      </c>
      <c r="BT232" t="s">
        <v>981</v>
      </c>
      <c r="BU232" t="s">
        <v>150</v>
      </c>
      <c r="BV232" t="s">
        <v>1029</v>
      </c>
      <c r="BW232" t="s">
        <v>1030</v>
      </c>
      <c r="BX232">
        <v>450</v>
      </c>
      <c r="BY232">
        <v>451</v>
      </c>
      <c r="BZ232" t="s">
        <v>1024</v>
      </c>
      <c r="CA232" t="s">
        <v>1028</v>
      </c>
      <c r="CB232" t="s">
        <v>1026</v>
      </c>
      <c r="CC232" t="s">
        <v>156</v>
      </c>
      <c r="CD232" t="s">
        <v>157</v>
      </c>
      <c r="CJ232" t="s">
        <v>1024</v>
      </c>
      <c r="CK232" t="s">
        <v>1031</v>
      </c>
    </row>
    <row r="233" spans="1:89" x14ac:dyDescent="0.3">
      <c r="A233" t="s">
        <v>1032</v>
      </c>
      <c r="B233" t="s">
        <v>5</v>
      </c>
      <c r="C233" t="s">
        <v>145</v>
      </c>
      <c r="D233">
        <v>200</v>
      </c>
      <c r="E233" t="s">
        <v>146</v>
      </c>
      <c r="F233" t="s">
        <v>147</v>
      </c>
      <c r="H233" t="s">
        <v>1033</v>
      </c>
      <c r="I233">
        <v>34</v>
      </c>
      <c r="J233">
        <v>397</v>
      </c>
      <c r="K233" t="s">
        <v>1034</v>
      </c>
      <c r="L233">
        <v>8</v>
      </c>
      <c r="M233">
        <v>160</v>
      </c>
      <c r="N233" t="s">
        <v>1035</v>
      </c>
      <c r="O233">
        <v>78</v>
      </c>
      <c r="P233">
        <v>1058</v>
      </c>
      <c r="S233" t="s">
        <v>1036</v>
      </c>
      <c r="T233">
        <v>14</v>
      </c>
      <c r="V233">
        <v>0</v>
      </c>
      <c r="AB233" t="s">
        <v>1032</v>
      </c>
      <c r="AH233">
        <v>559918</v>
      </c>
      <c r="AI233">
        <v>109559</v>
      </c>
      <c r="AJ233">
        <v>109559</v>
      </c>
      <c r="AK233">
        <v>42.693279797000002</v>
      </c>
      <c r="AM233">
        <v>382</v>
      </c>
      <c r="AS233">
        <v>2</v>
      </c>
      <c r="AT233">
        <v>1</v>
      </c>
      <c r="AV233">
        <v>30</v>
      </c>
      <c r="AW233">
        <v>14</v>
      </c>
      <c r="AX233">
        <v>0</v>
      </c>
      <c r="AY233">
        <v>3.62</v>
      </c>
      <c r="AZ233">
        <v>110</v>
      </c>
      <c r="BA233">
        <v>56</v>
      </c>
      <c r="BB233">
        <v>0</v>
      </c>
      <c r="BP233" t="s">
        <v>151</v>
      </c>
      <c r="BQ233">
        <v>1.1000000000000001</v>
      </c>
      <c r="BR233" t="s">
        <v>1037</v>
      </c>
      <c r="BS233" t="s">
        <v>1035</v>
      </c>
      <c r="BT233" t="s">
        <v>981</v>
      </c>
      <c r="BU233" t="s">
        <v>150</v>
      </c>
      <c r="BV233" t="s">
        <v>1038</v>
      </c>
      <c r="BW233" t="s">
        <v>1039</v>
      </c>
      <c r="BX233">
        <v>450</v>
      </c>
      <c r="BY233">
        <v>450</v>
      </c>
      <c r="BZ233" t="s">
        <v>1032</v>
      </c>
      <c r="CA233" t="s">
        <v>1037</v>
      </c>
      <c r="CB233" t="s">
        <v>1035</v>
      </c>
      <c r="CC233" t="s">
        <v>156</v>
      </c>
      <c r="CD233" t="s">
        <v>157</v>
      </c>
      <c r="CJ233" t="s">
        <v>1032</v>
      </c>
      <c r="CK233" t="s">
        <v>676</v>
      </c>
    </row>
    <row r="234" spans="1:89" x14ac:dyDescent="0.3">
      <c r="A234" t="s">
        <v>1040</v>
      </c>
      <c r="B234" t="s">
        <v>5</v>
      </c>
      <c r="C234" t="s">
        <v>145</v>
      </c>
      <c r="D234">
        <v>200</v>
      </c>
      <c r="E234" t="s">
        <v>146</v>
      </c>
      <c r="F234" t="s">
        <v>147</v>
      </c>
      <c r="H234" t="s">
        <v>1041</v>
      </c>
      <c r="I234">
        <v>33</v>
      </c>
      <c r="J234">
        <v>386</v>
      </c>
      <c r="K234" t="s">
        <v>1034</v>
      </c>
      <c r="L234">
        <v>8</v>
      </c>
      <c r="M234">
        <v>160</v>
      </c>
      <c r="N234" t="s">
        <v>1042</v>
      </c>
      <c r="O234">
        <v>76</v>
      </c>
      <c r="P234">
        <v>1030</v>
      </c>
      <c r="S234" t="s">
        <v>1043</v>
      </c>
      <c r="T234">
        <v>13</v>
      </c>
      <c r="V234">
        <v>0</v>
      </c>
      <c r="AB234" t="s">
        <v>1040</v>
      </c>
      <c r="AH234">
        <v>559726</v>
      </c>
      <c r="AI234">
        <v>108921</v>
      </c>
      <c r="AJ234">
        <v>108921</v>
      </c>
      <c r="AK234">
        <v>42.444662043000001</v>
      </c>
      <c r="AM234">
        <v>381</v>
      </c>
      <c r="AS234">
        <v>2</v>
      </c>
      <c r="AT234">
        <v>1</v>
      </c>
      <c r="AV234">
        <v>25</v>
      </c>
      <c r="AW234">
        <v>10</v>
      </c>
      <c r="AX234">
        <v>0</v>
      </c>
      <c r="AY234">
        <v>2.58</v>
      </c>
      <c r="AZ234">
        <v>110</v>
      </c>
      <c r="BA234">
        <v>56</v>
      </c>
      <c r="BB234">
        <v>0</v>
      </c>
      <c r="BP234" t="s">
        <v>151</v>
      </c>
      <c r="BQ234">
        <v>1.1000000000000001</v>
      </c>
      <c r="BR234" t="s">
        <v>1044</v>
      </c>
      <c r="BS234" t="s">
        <v>1042</v>
      </c>
      <c r="BT234" t="s">
        <v>981</v>
      </c>
      <c r="BU234" t="s">
        <v>150</v>
      </c>
      <c r="BV234" t="s">
        <v>1045</v>
      </c>
      <c r="BW234" t="s">
        <v>1046</v>
      </c>
      <c r="BX234">
        <v>450</v>
      </c>
      <c r="BY234">
        <v>450</v>
      </c>
      <c r="BZ234" t="s">
        <v>1040</v>
      </c>
      <c r="CA234" t="s">
        <v>1044</v>
      </c>
      <c r="CB234" t="s">
        <v>1042</v>
      </c>
      <c r="CC234" t="s">
        <v>156</v>
      </c>
      <c r="CD234" t="s">
        <v>157</v>
      </c>
      <c r="CJ234" t="s">
        <v>1040</v>
      </c>
      <c r="CK234" t="s">
        <v>1047</v>
      </c>
    </row>
    <row r="235" spans="1:89" x14ac:dyDescent="0.3">
      <c r="A235" t="s">
        <v>1048</v>
      </c>
      <c r="B235" t="s">
        <v>5</v>
      </c>
      <c r="C235" t="s">
        <v>145</v>
      </c>
      <c r="D235">
        <v>200</v>
      </c>
      <c r="E235" t="s">
        <v>146</v>
      </c>
      <c r="F235" t="s">
        <v>147</v>
      </c>
      <c r="H235" t="s">
        <v>1049</v>
      </c>
      <c r="I235">
        <v>44</v>
      </c>
      <c r="J235">
        <v>639</v>
      </c>
      <c r="L235">
        <v>0</v>
      </c>
      <c r="M235">
        <v>0</v>
      </c>
      <c r="N235" t="s">
        <v>1050</v>
      </c>
      <c r="O235">
        <v>48</v>
      </c>
      <c r="P235">
        <v>671</v>
      </c>
      <c r="S235" t="s">
        <v>1051</v>
      </c>
      <c r="T235">
        <v>24</v>
      </c>
      <c r="V235">
        <v>0</v>
      </c>
      <c r="AB235" t="s">
        <v>1048</v>
      </c>
      <c r="AH235">
        <v>390917</v>
      </c>
      <c r="AI235">
        <v>86247</v>
      </c>
      <c r="AJ235">
        <v>86247</v>
      </c>
      <c r="AK235">
        <v>33.608989700999999</v>
      </c>
      <c r="AM235">
        <v>254</v>
      </c>
      <c r="AS235">
        <v>3</v>
      </c>
      <c r="AT235">
        <v>1</v>
      </c>
      <c r="AV235">
        <v>13</v>
      </c>
      <c r="AW235">
        <v>4</v>
      </c>
      <c r="AX235">
        <v>0</v>
      </c>
      <c r="AY235">
        <v>1.03</v>
      </c>
      <c r="AZ235">
        <v>108</v>
      </c>
      <c r="BA235">
        <v>55</v>
      </c>
      <c r="BB235">
        <v>0</v>
      </c>
      <c r="BP235" t="s">
        <v>151</v>
      </c>
      <c r="BQ235">
        <v>1.1000000000000001</v>
      </c>
      <c r="BR235" t="s">
        <v>1052</v>
      </c>
      <c r="BS235" t="s">
        <v>1050</v>
      </c>
      <c r="BT235" t="s">
        <v>981</v>
      </c>
      <c r="BU235" t="s">
        <v>150</v>
      </c>
      <c r="BV235" t="s">
        <v>1053</v>
      </c>
      <c r="BW235" t="s">
        <v>1054</v>
      </c>
      <c r="BX235">
        <v>1000</v>
      </c>
      <c r="BY235">
        <v>1000</v>
      </c>
      <c r="BZ235" t="s">
        <v>1048</v>
      </c>
      <c r="CA235" t="s">
        <v>1052</v>
      </c>
      <c r="CB235" t="s">
        <v>1050</v>
      </c>
      <c r="CC235" t="s">
        <v>156</v>
      </c>
      <c r="CD235" t="s">
        <v>157</v>
      </c>
      <c r="CJ235" t="s">
        <v>1048</v>
      </c>
      <c r="CK235" t="s">
        <v>1055</v>
      </c>
    </row>
    <row r="236" spans="1:89" x14ac:dyDescent="0.3">
      <c r="A236" t="s">
        <v>1056</v>
      </c>
      <c r="B236" t="s">
        <v>5</v>
      </c>
      <c r="C236" t="s">
        <v>145</v>
      </c>
      <c r="D236">
        <v>200</v>
      </c>
      <c r="E236" t="s">
        <v>146</v>
      </c>
      <c r="F236" t="s">
        <v>147</v>
      </c>
      <c r="H236" t="s">
        <v>1057</v>
      </c>
      <c r="I236">
        <v>40</v>
      </c>
      <c r="J236">
        <v>493</v>
      </c>
      <c r="L236">
        <v>0</v>
      </c>
      <c r="M236">
        <v>0</v>
      </c>
      <c r="N236" t="s">
        <v>1058</v>
      </c>
      <c r="O236">
        <v>67</v>
      </c>
      <c r="P236">
        <v>938</v>
      </c>
      <c r="S236" t="s">
        <v>1059</v>
      </c>
      <c r="T236">
        <v>20</v>
      </c>
      <c r="V236">
        <v>0</v>
      </c>
      <c r="AB236" t="s">
        <v>1056</v>
      </c>
      <c r="AH236">
        <v>391241</v>
      </c>
      <c r="AI236">
        <v>86326</v>
      </c>
      <c r="AJ236">
        <v>86326</v>
      </c>
      <c r="AK236">
        <v>33.639774658</v>
      </c>
      <c r="AM236">
        <v>215</v>
      </c>
      <c r="AS236">
        <v>2</v>
      </c>
      <c r="AT236">
        <v>1</v>
      </c>
      <c r="AV236">
        <v>21</v>
      </c>
      <c r="AW236">
        <v>8</v>
      </c>
      <c r="AX236">
        <v>0</v>
      </c>
      <c r="AY236">
        <v>2.0699999999999998</v>
      </c>
      <c r="AZ236">
        <v>108</v>
      </c>
      <c r="BA236">
        <v>55</v>
      </c>
      <c r="BB236">
        <v>0</v>
      </c>
      <c r="BP236" t="s">
        <v>151</v>
      </c>
      <c r="BQ236">
        <v>1.1000000000000001</v>
      </c>
      <c r="BR236" t="s">
        <v>1060</v>
      </c>
      <c r="BS236" t="s">
        <v>1058</v>
      </c>
      <c r="BT236" t="s">
        <v>981</v>
      </c>
      <c r="BU236" t="s">
        <v>150</v>
      </c>
      <c r="BV236" t="s">
        <v>1061</v>
      </c>
      <c r="BW236" t="s">
        <v>1062</v>
      </c>
      <c r="BX236">
        <v>1000</v>
      </c>
      <c r="BY236">
        <v>1000</v>
      </c>
      <c r="BZ236" t="s">
        <v>1056</v>
      </c>
      <c r="CA236" t="s">
        <v>1060</v>
      </c>
      <c r="CB236" t="s">
        <v>1058</v>
      </c>
      <c r="CC236" t="s">
        <v>156</v>
      </c>
      <c r="CD236" t="s">
        <v>157</v>
      </c>
      <c r="CJ236" t="s">
        <v>1056</v>
      </c>
      <c r="CK236" t="s">
        <v>1063</v>
      </c>
    </row>
    <row r="237" spans="1:89" x14ac:dyDescent="0.3">
      <c r="A237" t="s">
        <v>1064</v>
      </c>
      <c r="B237" t="s">
        <v>5</v>
      </c>
      <c r="C237" t="s">
        <v>145</v>
      </c>
      <c r="D237">
        <v>200</v>
      </c>
      <c r="E237" t="s">
        <v>146</v>
      </c>
      <c r="F237" t="s">
        <v>147</v>
      </c>
      <c r="H237" t="s">
        <v>1065</v>
      </c>
      <c r="I237">
        <v>40</v>
      </c>
      <c r="J237">
        <v>539</v>
      </c>
      <c r="L237">
        <v>0</v>
      </c>
      <c r="M237">
        <v>0</v>
      </c>
      <c r="N237" t="s">
        <v>1066</v>
      </c>
      <c r="O237">
        <v>115</v>
      </c>
      <c r="P237">
        <v>1435</v>
      </c>
      <c r="S237" t="s">
        <v>1067</v>
      </c>
      <c r="T237">
        <v>20</v>
      </c>
      <c r="V237">
        <v>0</v>
      </c>
      <c r="AB237" t="s">
        <v>1064</v>
      </c>
      <c r="AH237">
        <v>395414</v>
      </c>
      <c r="AI237">
        <v>87971</v>
      </c>
      <c r="AJ237">
        <v>87971</v>
      </c>
      <c r="AK237">
        <v>34.280803192999997</v>
      </c>
      <c r="AM237">
        <v>293</v>
      </c>
      <c r="AS237">
        <v>3</v>
      </c>
      <c r="AT237">
        <v>1</v>
      </c>
      <c r="AV237">
        <v>9</v>
      </c>
      <c r="AW237">
        <v>2</v>
      </c>
      <c r="AX237">
        <v>0</v>
      </c>
      <c r="AY237">
        <v>0.52</v>
      </c>
      <c r="AZ237">
        <v>108</v>
      </c>
      <c r="BA237">
        <v>55</v>
      </c>
      <c r="BB237">
        <v>0</v>
      </c>
      <c r="BP237" t="s">
        <v>151</v>
      </c>
      <c r="BQ237">
        <v>1.1000000000000001</v>
      </c>
      <c r="BR237" t="s">
        <v>1068</v>
      </c>
      <c r="BS237" t="s">
        <v>1066</v>
      </c>
      <c r="BT237" t="s">
        <v>981</v>
      </c>
      <c r="BU237" t="s">
        <v>150</v>
      </c>
      <c r="BV237" t="s">
        <v>1069</v>
      </c>
      <c r="BW237" t="s">
        <v>1070</v>
      </c>
      <c r="BX237">
        <v>1000</v>
      </c>
      <c r="BY237">
        <v>1000</v>
      </c>
      <c r="BZ237" t="s">
        <v>1064</v>
      </c>
      <c r="CA237" t="s">
        <v>1068</v>
      </c>
      <c r="CB237" t="s">
        <v>1066</v>
      </c>
      <c r="CC237" t="s">
        <v>156</v>
      </c>
      <c r="CD237" t="s">
        <v>157</v>
      </c>
      <c r="CJ237" t="s">
        <v>1064</v>
      </c>
      <c r="CK237" t="s">
        <v>787</v>
      </c>
    </row>
    <row r="238" spans="1:89" x14ac:dyDescent="0.3">
      <c r="A238" t="s">
        <v>1071</v>
      </c>
      <c r="B238" t="s">
        <v>5</v>
      </c>
      <c r="C238" t="s">
        <v>145</v>
      </c>
      <c r="D238">
        <v>200</v>
      </c>
      <c r="E238" t="s">
        <v>146</v>
      </c>
      <c r="F238" t="s">
        <v>147</v>
      </c>
      <c r="H238" t="s">
        <v>1072</v>
      </c>
      <c r="I238">
        <v>41</v>
      </c>
      <c r="J238">
        <v>551</v>
      </c>
      <c r="K238" t="s">
        <v>977</v>
      </c>
      <c r="L238">
        <v>9</v>
      </c>
      <c r="M238">
        <v>172</v>
      </c>
      <c r="N238" t="s">
        <v>1073</v>
      </c>
      <c r="O238">
        <v>167</v>
      </c>
      <c r="P238">
        <v>2011</v>
      </c>
      <c r="S238" t="s">
        <v>1074</v>
      </c>
      <c r="T238">
        <v>21</v>
      </c>
      <c r="V238">
        <v>0</v>
      </c>
      <c r="AB238" t="s">
        <v>1071</v>
      </c>
      <c r="AH238">
        <v>658581</v>
      </c>
      <c r="AI238">
        <v>135537</v>
      </c>
      <c r="AJ238">
        <v>135537</v>
      </c>
      <c r="AK238">
        <v>52.816464771</v>
      </c>
      <c r="AM238">
        <v>526</v>
      </c>
      <c r="AS238">
        <v>2</v>
      </c>
      <c r="AT238">
        <v>1</v>
      </c>
      <c r="AV238">
        <v>11</v>
      </c>
      <c r="AW238">
        <v>3</v>
      </c>
      <c r="AX238">
        <v>0</v>
      </c>
      <c r="AY238">
        <v>0.78</v>
      </c>
      <c r="AZ238">
        <v>110</v>
      </c>
      <c r="BA238">
        <v>57</v>
      </c>
      <c r="BB238">
        <v>0</v>
      </c>
      <c r="BP238" t="s">
        <v>151</v>
      </c>
      <c r="BQ238">
        <v>1.1000000000000001</v>
      </c>
      <c r="BR238" t="s">
        <v>1075</v>
      </c>
      <c r="BS238" t="s">
        <v>1073</v>
      </c>
      <c r="BT238" t="s">
        <v>981</v>
      </c>
      <c r="BU238" t="s">
        <v>150</v>
      </c>
      <c r="BV238" t="s">
        <v>1076</v>
      </c>
      <c r="BW238" t="s">
        <v>1077</v>
      </c>
      <c r="BX238">
        <v>1000</v>
      </c>
      <c r="BY238">
        <v>1000</v>
      </c>
      <c r="BZ238" t="s">
        <v>1071</v>
      </c>
      <c r="CA238" t="s">
        <v>1075</v>
      </c>
      <c r="CB238" t="s">
        <v>1073</v>
      </c>
      <c r="CC238" t="s">
        <v>156</v>
      </c>
      <c r="CD238" t="s">
        <v>157</v>
      </c>
      <c r="CJ238" t="s">
        <v>1071</v>
      </c>
      <c r="CK238" t="s">
        <v>502</v>
      </c>
    </row>
    <row r="239" spans="1:89" x14ac:dyDescent="0.3">
      <c r="A239" t="s">
        <v>1078</v>
      </c>
      <c r="B239" t="s">
        <v>5</v>
      </c>
      <c r="C239" t="s">
        <v>145</v>
      </c>
      <c r="D239">
        <v>200</v>
      </c>
      <c r="E239" t="s">
        <v>146</v>
      </c>
      <c r="F239" t="s">
        <v>147</v>
      </c>
      <c r="H239" t="s">
        <v>1079</v>
      </c>
      <c r="I239">
        <v>39</v>
      </c>
      <c r="J239">
        <v>504</v>
      </c>
      <c r="L239">
        <v>0</v>
      </c>
      <c r="M239">
        <v>0</v>
      </c>
      <c r="N239" t="s">
        <v>1080</v>
      </c>
      <c r="O239">
        <v>138</v>
      </c>
      <c r="P239">
        <v>1711</v>
      </c>
      <c r="S239" t="s">
        <v>1081</v>
      </c>
      <c r="T239">
        <v>19</v>
      </c>
      <c r="V239">
        <v>0</v>
      </c>
      <c r="AB239" t="s">
        <v>1078</v>
      </c>
      <c r="AH239">
        <v>396620</v>
      </c>
      <c r="AI239">
        <v>88664</v>
      </c>
      <c r="AJ239">
        <v>88664</v>
      </c>
      <c r="AK239">
        <v>34.550853512000003</v>
      </c>
      <c r="AM239">
        <v>299</v>
      </c>
      <c r="AS239">
        <v>2</v>
      </c>
      <c r="AT239">
        <v>1</v>
      </c>
      <c r="AV239">
        <v>11</v>
      </c>
      <c r="AW239">
        <v>3</v>
      </c>
      <c r="AX239">
        <v>0</v>
      </c>
      <c r="AY239">
        <v>0.78</v>
      </c>
      <c r="AZ239">
        <v>108</v>
      </c>
      <c r="BA239">
        <v>55</v>
      </c>
      <c r="BB239">
        <v>0</v>
      </c>
      <c r="BP239" t="s">
        <v>151</v>
      </c>
      <c r="BQ239">
        <v>1.1000000000000001</v>
      </c>
      <c r="BR239" t="s">
        <v>1082</v>
      </c>
      <c r="BS239" t="s">
        <v>1080</v>
      </c>
      <c r="BT239" t="s">
        <v>981</v>
      </c>
      <c r="BU239" t="s">
        <v>150</v>
      </c>
      <c r="BV239" t="s">
        <v>1083</v>
      </c>
      <c r="BW239" t="s">
        <v>1084</v>
      </c>
      <c r="BX239">
        <v>1000</v>
      </c>
      <c r="BY239">
        <v>1000</v>
      </c>
      <c r="BZ239" t="s">
        <v>1078</v>
      </c>
      <c r="CA239" t="s">
        <v>1082</v>
      </c>
      <c r="CB239" t="s">
        <v>1080</v>
      </c>
      <c r="CC239" t="s">
        <v>156</v>
      </c>
      <c r="CD239" t="s">
        <v>157</v>
      </c>
      <c r="CJ239" t="s">
        <v>1078</v>
      </c>
      <c r="CK239" t="s">
        <v>502</v>
      </c>
    </row>
    <row r="240" spans="1:89" x14ac:dyDescent="0.3">
      <c r="A240" t="s">
        <v>1085</v>
      </c>
      <c r="B240" t="s">
        <v>5</v>
      </c>
      <c r="C240" t="s">
        <v>145</v>
      </c>
      <c r="D240">
        <v>200</v>
      </c>
      <c r="E240" t="s">
        <v>146</v>
      </c>
      <c r="F240" t="s">
        <v>147</v>
      </c>
      <c r="H240" t="s">
        <v>1086</v>
      </c>
      <c r="I240">
        <v>39</v>
      </c>
      <c r="J240">
        <v>488</v>
      </c>
      <c r="L240">
        <v>0</v>
      </c>
      <c r="M240">
        <v>0</v>
      </c>
      <c r="N240" t="s">
        <v>1087</v>
      </c>
      <c r="O240">
        <v>113</v>
      </c>
      <c r="P240">
        <v>1421</v>
      </c>
      <c r="S240" t="s">
        <v>1088</v>
      </c>
      <c r="T240">
        <v>19</v>
      </c>
      <c r="V240">
        <v>0</v>
      </c>
      <c r="AB240" t="s">
        <v>1085</v>
      </c>
      <c r="AH240">
        <v>394193</v>
      </c>
      <c r="AI240">
        <v>88073</v>
      </c>
      <c r="AJ240">
        <v>88073</v>
      </c>
      <c r="AK240">
        <v>34.320550859000001</v>
      </c>
      <c r="AM240">
        <v>274</v>
      </c>
      <c r="AS240">
        <v>1</v>
      </c>
      <c r="AT240">
        <v>1</v>
      </c>
      <c r="AV240">
        <v>25</v>
      </c>
      <c r="AW240">
        <v>4</v>
      </c>
      <c r="AX240">
        <v>0</v>
      </c>
      <c r="AY240">
        <v>1.03</v>
      </c>
      <c r="AZ240">
        <v>108</v>
      </c>
      <c r="BA240">
        <v>55</v>
      </c>
      <c r="BB240">
        <v>0</v>
      </c>
      <c r="BP240" t="s">
        <v>151</v>
      </c>
      <c r="BQ240">
        <v>1.1000000000000001</v>
      </c>
      <c r="BR240" t="s">
        <v>1089</v>
      </c>
      <c r="BS240" t="s">
        <v>1087</v>
      </c>
      <c r="BT240" t="s">
        <v>981</v>
      </c>
      <c r="BU240" t="s">
        <v>150</v>
      </c>
      <c r="BV240" t="s">
        <v>1090</v>
      </c>
      <c r="BW240" t="s">
        <v>1091</v>
      </c>
      <c r="BX240">
        <v>1000</v>
      </c>
      <c r="BY240">
        <v>1000</v>
      </c>
      <c r="BZ240" t="s">
        <v>1085</v>
      </c>
      <c r="CA240" t="s">
        <v>1089</v>
      </c>
      <c r="CB240" t="s">
        <v>1087</v>
      </c>
      <c r="CC240" t="s">
        <v>156</v>
      </c>
      <c r="CD240" t="s">
        <v>157</v>
      </c>
      <c r="CJ240" t="s">
        <v>1085</v>
      </c>
      <c r="CK240" t="s">
        <v>467</v>
      </c>
    </row>
    <row r="241" spans="1:89" x14ac:dyDescent="0.3">
      <c r="A241" t="s">
        <v>1092</v>
      </c>
      <c r="B241" t="s">
        <v>5</v>
      </c>
      <c r="C241" t="s">
        <v>145</v>
      </c>
      <c r="D241">
        <v>200</v>
      </c>
      <c r="E241" t="s">
        <v>146</v>
      </c>
      <c r="F241" t="s">
        <v>147</v>
      </c>
      <c r="H241" t="s">
        <v>1093</v>
      </c>
      <c r="I241">
        <v>45</v>
      </c>
      <c r="J241">
        <v>419</v>
      </c>
      <c r="L241">
        <v>0</v>
      </c>
      <c r="M241">
        <v>0</v>
      </c>
      <c r="N241" t="s">
        <v>1094</v>
      </c>
      <c r="O241">
        <v>25</v>
      </c>
      <c r="P241">
        <v>168</v>
      </c>
      <c r="S241" t="s">
        <v>1094</v>
      </c>
      <c r="T241">
        <v>25</v>
      </c>
      <c r="V241">
        <v>0</v>
      </c>
      <c r="AB241" t="s">
        <v>1092</v>
      </c>
      <c r="AH241">
        <v>390377</v>
      </c>
      <c r="AI241">
        <v>84077</v>
      </c>
      <c r="AJ241">
        <v>84077</v>
      </c>
      <c r="AK241">
        <v>32.763377591000001</v>
      </c>
      <c r="AM241">
        <v>216</v>
      </c>
      <c r="AS241">
        <v>3</v>
      </c>
      <c r="AT241">
        <v>1</v>
      </c>
      <c r="AV241">
        <v>8</v>
      </c>
      <c r="AW241">
        <v>2</v>
      </c>
      <c r="AX241">
        <v>0</v>
      </c>
      <c r="AY241">
        <v>0.52</v>
      </c>
      <c r="AZ241">
        <v>106</v>
      </c>
      <c r="BA241">
        <v>55</v>
      </c>
      <c r="BB241">
        <v>0</v>
      </c>
      <c r="BP241" t="s">
        <v>151</v>
      </c>
      <c r="BQ241">
        <v>1.1000000000000001</v>
      </c>
      <c r="BR241" t="s">
        <v>1095</v>
      </c>
      <c r="BS241" t="s">
        <v>1094</v>
      </c>
      <c r="BT241" t="s">
        <v>981</v>
      </c>
      <c r="BU241" t="s">
        <v>150</v>
      </c>
      <c r="BV241" t="s">
        <v>154</v>
      </c>
      <c r="BW241" t="s">
        <v>155</v>
      </c>
      <c r="BX241">
        <v>200</v>
      </c>
      <c r="BY241">
        <v>200</v>
      </c>
      <c r="BZ241" t="s">
        <v>1092</v>
      </c>
      <c r="CA241" t="s">
        <v>1095</v>
      </c>
      <c r="CB241" t="s">
        <v>1094</v>
      </c>
      <c r="CC241" t="s">
        <v>156</v>
      </c>
      <c r="CD241" t="s">
        <v>157</v>
      </c>
      <c r="CJ241" t="s">
        <v>1092</v>
      </c>
      <c r="CK241" t="s">
        <v>509</v>
      </c>
    </row>
    <row r="242" spans="1:89" x14ac:dyDescent="0.3">
      <c r="A242" t="s">
        <v>1096</v>
      </c>
      <c r="B242" t="s">
        <v>5</v>
      </c>
      <c r="C242" t="s">
        <v>145</v>
      </c>
      <c r="D242">
        <v>200</v>
      </c>
      <c r="E242" t="s">
        <v>146</v>
      </c>
      <c r="F242" t="s">
        <v>147</v>
      </c>
      <c r="H242" t="s">
        <v>1097</v>
      </c>
      <c r="I242">
        <v>33</v>
      </c>
      <c r="J242">
        <v>385</v>
      </c>
      <c r="L242">
        <v>0</v>
      </c>
      <c r="M242">
        <v>0</v>
      </c>
      <c r="N242" t="s">
        <v>1098</v>
      </c>
      <c r="O242">
        <v>23</v>
      </c>
      <c r="P242">
        <v>322</v>
      </c>
      <c r="S242" t="s">
        <v>1099</v>
      </c>
      <c r="T242">
        <v>13</v>
      </c>
      <c r="V242">
        <v>0</v>
      </c>
      <c r="AB242" t="s">
        <v>1096</v>
      </c>
      <c r="AH242">
        <v>415919</v>
      </c>
      <c r="AI242">
        <v>88366</v>
      </c>
      <c r="AJ242">
        <v>88366</v>
      </c>
      <c r="AK242">
        <v>34.434727977999998</v>
      </c>
      <c r="AM242">
        <v>250</v>
      </c>
      <c r="AS242">
        <v>3</v>
      </c>
      <c r="AT242">
        <v>1</v>
      </c>
      <c r="AV242">
        <v>11</v>
      </c>
      <c r="AW242">
        <v>3</v>
      </c>
      <c r="AX242">
        <v>0</v>
      </c>
      <c r="AY242">
        <v>0.78</v>
      </c>
      <c r="AZ242">
        <v>108</v>
      </c>
      <c r="BA242">
        <v>55</v>
      </c>
      <c r="BB242">
        <v>0</v>
      </c>
      <c r="BP242" t="s">
        <v>151</v>
      </c>
      <c r="BQ242">
        <v>1.1000000000000001</v>
      </c>
      <c r="BR242" t="s">
        <v>1100</v>
      </c>
      <c r="BS242" t="s">
        <v>1098</v>
      </c>
      <c r="BT242" t="s">
        <v>981</v>
      </c>
      <c r="BU242" t="s">
        <v>150</v>
      </c>
      <c r="BV242" t="s">
        <v>1101</v>
      </c>
      <c r="BW242" t="s">
        <v>1102</v>
      </c>
      <c r="BX242">
        <v>450</v>
      </c>
      <c r="BY242">
        <v>450</v>
      </c>
      <c r="BZ242" t="s">
        <v>1096</v>
      </c>
      <c r="CA242" t="s">
        <v>1100</v>
      </c>
      <c r="CB242" t="s">
        <v>1098</v>
      </c>
      <c r="CC242" t="s">
        <v>156</v>
      </c>
      <c r="CD242" t="s">
        <v>157</v>
      </c>
      <c r="CJ242" t="s">
        <v>1096</v>
      </c>
      <c r="CK242" t="s">
        <v>1103</v>
      </c>
    </row>
    <row r="243" spans="1:89" x14ac:dyDescent="0.3">
      <c r="A243" t="s">
        <v>1104</v>
      </c>
      <c r="B243" t="s">
        <v>5</v>
      </c>
      <c r="C243" t="s">
        <v>145</v>
      </c>
      <c r="D243">
        <v>200</v>
      </c>
      <c r="E243" t="s">
        <v>146</v>
      </c>
      <c r="F243" t="s">
        <v>147</v>
      </c>
      <c r="H243" t="s">
        <v>1105</v>
      </c>
      <c r="I243">
        <v>36</v>
      </c>
      <c r="J243">
        <v>437</v>
      </c>
      <c r="L243">
        <v>0</v>
      </c>
      <c r="M243">
        <v>0</v>
      </c>
      <c r="N243" t="s">
        <v>1106</v>
      </c>
      <c r="O243">
        <v>55</v>
      </c>
      <c r="P243">
        <v>770</v>
      </c>
      <c r="S243" t="s">
        <v>1107</v>
      </c>
      <c r="T243">
        <v>16</v>
      </c>
      <c r="V243">
        <v>0</v>
      </c>
      <c r="AB243" t="s">
        <v>1104</v>
      </c>
      <c r="AH243">
        <v>389150</v>
      </c>
      <c r="AI243">
        <v>85091</v>
      </c>
      <c r="AJ243">
        <v>85091</v>
      </c>
      <c r="AK243">
        <v>33.158516153000001</v>
      </c>
      <c r="AM243">
        <v>213</v>
      </c>
      <c r="AS243">
        <v>2</v>
      </c>
      <c r="AT243">
        <v>1</v>
      </c>
      <c r="AV243">
        <v>21</v>
      </c>
      <c r="AW243">
        <v>8</v>
      </c>
      <c r="AX243">
        <v>0</v>
      </c>
      <c r="AY243">
        <v>2.0699999999999998</v>
      </c>
      <c r="AZ243">
        <v>108</v>
      </c>
      <c r="BA243">
        <v>55</v>
      </c>
      <c r="BB243">
        <v>0</v>
      </c>
      <c r="BP243" t="s">
        <v>151</v>
      </c>
      <c r="BQ243">
        <v>1.1000000000000001</v>
      </c>
      <c r="BR243" t="s">
        <v>1108</v>
      </c>
      <c r="BS243" t="s">
        <v>1106</v>
      </c>
      <c r="BT243" t="s">
        <v>981</v>
      </c>
      <c r="BU243" t="s">
        <v>150</v>
      </c>
      <c r="BV243" t="s">
        <v>1109</v>
      </c>
      <c r="BW243" t="s">
        <v>1110</v>
      </c>
      <c r="BX243">
        <v>450</v>
      </c>
      <c r="BY243">
        <v>450</v>
      </c>
      <c r="BZ243" t="s">
        <v>1104</v>
      </c>
      <c r="CA243" t="s">
        <v>1108</v>
      </c>
      <c r="CB243" t="s">
        <v>1106</v>
      </c>
      <c r="CC243" t="s">
        <v>156</v>
      </c>
      <c r="CD243" t="s">
        <v>157</v>
      </c>
      <c r="CJ243" t="s">
        <v>1104</v>
      </c>
      <c r="CK243" t="s">
        <v>1111</v>
      </c>
    </row>
    <row r="244" spans="1:89" x14ac:dyDescent="0.3">
      <c r="A244" t="s">
        <v>1112</v>
      </c>
      <c r="B244" t="s">
        <v>5</v>
      </c>
      <c r="C244" t="s">
        <v>145</v>
      </c>
      <c r="D244">
        <v>200</v>
      </c>
      <c r="E244" t="s">
        <v>146</v>
      </c>
      <c r="F244" t="s">
        <v>147</v>
      </c>
      <c r="H244" t="s">
        <v>1113</v>
      </c>
      <c r="I244">
        <v>36</v>
      </c>
      <c r="J244">
        <v>437</v>
      </c>
      <c r="L244">
        <v>0</v>
      </c>
      <c r="M244">
        <v>0</v>
      </c>
      <c r="N244" t="s">
        <v>1114</v>
      </c>
      <c r="O244">
        <v>58</v>
      </c>
      <c r="P244">
        <v>812</v>
      </c>
      <c r="S244" t="s">
        <v>1115</v>
      </c>
      <c r="T244">
        <v>16</v>
      </c>
      <c r="V244">
        <v>0</v>
      </c>
      <c r="AB244" t="s">
        <v>1112</v>
      </c>
      <c r="AH244">
        <v>467256</v>
      </c>
      <c r="AI244">
        <v>96682</v>
      </c>
      <c r="AJ244">
        <v>96682</v>
      </c>
      <c r="AK244">
        <v>37.675331806000003</v>
      </c>
      <c r="AM244">
        <v>281</v>
      </c>
      <c r="AS244">
        <v>2</v>
      </c>
      <c r="AT244">
        <v>1</v>
      </c>
      <c r="AV244">
        <v>29</v>
      </c>
      <c r="AW244">
        <v>12</v>
      </c>
      <c r="AX244">
        <v>0</v>
      </c>
      <c r="AY244">
        <v>3.1</v>
      </c>
      <c r="AZ244">
        <v>108</v>
      </c>
      <c r="BA244">
        <v>55</v>
      </c>
      <c r="BB244">
        <v>0</v>
      </c>
      <c r="BP244" t="s">
        <v>151</v>
      </c>
      <c r="BQ244">
        <v>1.1000000000000001</v>
      </c>
      <c r="BR244" t="s">
        <v>1116</v>
      </c>
      <c r="BS244" t="s">
        <v>1114</v>
      </c>
      <c r="BT244" t="s">
        <v>981</v>
      </c>
      <c r="BU244" t="s">
        <v>150</v>
      </c>
      <c r="BV244" t="s">
        <v>1117</v>
      </c>
      <c r="BW244" t="s">
        <v>1118</v>
      </c>
      <c r="BX244">
        <v>450</v>
      </c>
      <c r="BY244">
        <v>450</v>
      </c>
      <c r="BZ244" t="s">
        <v>1112</v>
      </c>
      <c r="CA244" t="s">
        <v>1116</v>
      </c>
      <c r="CB244" t="s">
        <v>1114</v>
      </c>
      <c r="CC244" t="s">
        <v>156</v>
      </c>
      <c r="CD244" t="s">
        <v>157</v>
      </c>
      <c r="CJ244" t="s">
        <v>1112</v>
      </c>
      <c r="CK244" t="s">
        <v>676</v>
      </c>
    </row>
    <row r="245" spans="1:89" x14ac:dyDescent="0.3">
      <c r="A245" t="s">
        <v>1119</v>
      </c>
      <c r="B245" t="s">
        <v>5</v>
      </c>
      <c r="C245" t="s">
        <v>145</v>
      </c>
      <c r="D245">
        <v>200</v>
      </c>
      <c r="E245" t="s">
        <v>146</v>
      </c>
      <c r="F245" t="s">
        <v>147</v>
      </c>
      <c r="H245" t="s">
        <v>1120</v>
      </c>
      <c r="I245">
        <v>32</v>
      </c>
      <c r="J245">
        <v>380</v>
      </c>
      <c r="L245">
        <v>0</v>
      </c>
      <c r="M245">
        <v>0</v>
      </c>
      <c r="N245" t="s">
        <v>1121</v>
      </c>
      <c r="O245">
        <v>38</v>
      </c>
      <c r="P245">
        <v>509</v>
      </c>
      <c r="S245" t="s">
        <v>1122</v>
      </c>
      <c r="T245">
        <v>12</v>
      </c>
      <c r="V245">
        <v>0</v>
      </c>
      <c r="AB245" t="s">
        <v>1119</v>
      </c>
      <c r="AH245">
        <v>390096</v>
      </c>
      <c r="AI245">
        <v>85540</v>
      </c>
      <c r="AJ245">
        <v>85540</v>
      </c>
      <c r="AK245">
        <v>33.333483819999998</v>
      </c>
      <c r="AM245">
        <v>225</v>
      </c>
      <c r="AS245">
        <v>2</v>
      </c>
      <c r="AT245">
        <v>1</v>
      </c>
      <c r="AV245">
        <v>27</v>
      </c>
      <c r="AW245">
        <v>11</v>
      </c>
      <c r="AX245">
        <v>0</v>
      </c>
      <c r="AY245">
        <v>2.84</v>
      </c>
      <c r="AZ245">
        <v>108</v>
      </c>
      <c r="BA245">
        <v>55</v>
      </c>
      <c r="BB245">
        <v>0</v>
      </c>
      <c r="BP245" t="s">
        <v>151</v>
      </c>
      <c r="BQ245">
        <v>1.1000000000000001</v>
      </c>
      <c r="BR245" t="s">
        <v>1123</v>
      </c>
      <c r="BS245" t="s">
        <v>1121</v>
      </c>
      <c r="BT245" t="s">
        <v>981</v>
      </c>
      <c r="BU245" t="s">
        <v>150</v>
      </c>
      <c r="BV245" t="s">
        <v>1124</v>
      </c>
      <c r="BW245" t="s">
        <v>1125</v>
      </c>
      <c r="BX245">
        <v>1000</v>
      </c>
      <c r="BY245">
        <v>1000</v>
      </c>
      <c r="BZ245" t="s">
        <v>1119</v>
      </c>
      <c r="CA245" t="s">
        <v>1123</v>
      </c>
      <c r="CB245" t="s">
        <v>1121</v>
      </c>
      <c r="CC245" t="s">
        <v>156</v>
      </c>
      <c r="CD245" t="s">
        <v>157</v>
      </c>
      <c r="CJ245" t="s">
        <v>1119</v>
      </c>
      <c r="CK245" t="s">
        <v>884</v>
      </c>
    </row>
    <row r="246" spans="1:89" x14ac:dyDescent="0.3">
      <c r="A246" t="s">
        <v>1126</v>
      </c>
      <c r="B246" t="s">
        <v>5</v>
      </c>
      <c r="C246" t="s">
        <v>145</v>
      </c>
      <c r="D246">
        <v>200</v>
      </c>
      <c r="E246" t="s">
        <v>146</v>
      </c>
      <c r="F246" t="s">
        <v>147</v>
      </c>
      <c r="H246" t="s">
        <v>1127</v>
      </c>
      <c r="I246">
        <v>33</v>
      </c>
      <c r="J246">
        <v>388</v>
      </c>
      <c r="L246">
        <v>0</v>
      </c>
      <c r="M246">
        <v>0</v>
      </c>
      <c r="N246" t="s">
        <v>1128</v>
      </c>
      <c r="O246">
        <v>57</v>
      </c>
      <c r="P246">
        <v>593</v>
      </c>
      <c r="S246" t="s">
        <v>1129</v>
      </c>
      <c r="T246">
        <v>13</v>
      </c>
      <c r="V246">
        <v>0</v>
      </c>
      <c r="AB246" t="s">
        <v>1126</v>
      </c>
      <c r="AH246">
        <v>395278</v>
      </c>
      <c r="AI246">
        <v>87411</v>
      </c>
      <c r="AJ246">
        <v>87411</v>
      </c>
      <c r="AK246">
        <v>34.062580713000003</v>
      </c>
      <c r="AM246">
        <v>281</v>
      </c>
      <c r="AS246">
        <v>2</v>
      </c>
      <c r="AT246">
        <v>1</v>
      </c>
      <c r="AV246">
        <v>26</v>
      </c>
      <c r="AW246">
        <v>12</v>
      </c>
      <c r="AX246">
        <v>0</v>
      </c>
      <c r="AY246">
        <v>3.1</v>
      </c>
      <c r="AZ246">
        <v>108</v>
      </c>
      <c r="BA246">
        <v>55</v>
      </c>
      <c r="BB246">
        <v>0</v>
      </c>
      <c r="BP246" t="s">
        <v>151</v>
      </c>
      <c r="BQ246">
        <v>1.1000000000000001</v>
      </c>
      <c r="BR246" t="s">
        <v>1130</v>
      </c>
      <c r="BS246" t="s">
        <v>1128</v>
      </c>
      <c r="BT246" t="s">
        <v>981</v>
      </c>
      <c r="BU246" t="s">
        <v>150</v>
      </c>
      <c r="BV246" t="s">
        <v>1131</v>
      </c>
      <c r="BW246" t="s">
        <v>1132</v>
      </c>
      <c r="BX246">
        <v>1000</v>
      </c>
      <c r="BY246">
        <v>1000</v>
      </c>
      <c r="BZ246" t="s">
        <v>1126</v>
      </c>
      <c r="CA246" t="s">
        <v>1130</v>
      </c>
      <c r="CB246" t="s">
        <v>1128</v>
      </c>
      <c r="CC246" t="s">
        <v>156</v>
      </c>
      <c r="CD246" t="s">
        <v>157</v>
      </c>
      <c r="CJ246" t="s">
        <v>1126</v>
      </c>
      <c r="CK246" t="s">
        <v>1133</v>
      </c>
    </row>
    <row r="247" spans="1:89" x14ac:dyDescent="0.3">
      <c r="A247" t="s">
        <v>1134</v>
      </c>
      <c r="B247" t="s">
        <v>5</v>
      </c>
      <c r="C247" t="s">
        <v>145</v>
      </c>
      <c r="D247">
        <v>200</v>
      </c>
      <c r="E247" t="s">
        <v>146</v>
      </c>
      <c r="F247" t="s">
        <v>147</v>
      </c>
      <c r="H247" t="s">
        <v>1135</v>
      </c>
      <c r="I247">
        <v>36</v>
      </c>
      <c r="J247">
        <v>470</v>
      </c>
      <c r="L247">
        <v>0</v>
      </c>
      <c r="M247">
        <v>0</v>
      </c>
      <c r="N247" t="s">
        <v>1136</v>
      </c>
      <c r="O247">
        <v>128</v>
      </c>
      <c r="P247">
        <v>1636</v>
      </c>
      <c r="S247" t="s">
        <v>1137</v>
      </c>
      <c r="T247">
        <v>16</v>
      </c>
      <c r="V247">
        <v>0</v>
      </c>
      <c r="AB247" t="s">
        <v>1134</v>
      </c>
      <c r="AH247">
        <v>821848</v>
      </c>
      <c r="AI247">
        <v>153551</v>
      </c>
      <c r="AJ247">
        <v>153551</v>
      </c>
      <c r="AK247">
        <v>59.836214333000001</v>
      </c>
      <c r="AM247">
        <v>624</v>
      </c>
      <c r="AS247">
        <v>1</v>
      </c>
      <c r="AT247">
        <v>1</v>
      </c>
      <c r="AV247">
        <v>42</v>
      </c>
      <c r="AW247">
        <v>11</v>
      </c>
      <c r="AX247">
        <v>0</v>
      </c>
      <c r="AY247">
        <v>2.84</v>
      </c>
      <c r="AZ247">
        <v>115</v>
      </c>
      <c r="BA247">
        <v>57</v>
      </c>
      <c r="BB247">
        <v>0</v>
      </c>
      <c r="BP247" t="s">
        <v>151</v>
      </c>
      <c r="BQ247">
        <v>1.1000000000000001</v>
      </c>
      <c r="BR247" t="s">
        <v>1138</v>
      </c>
      <c r="BS247" t="s">
        <v>1136</v>
      </c>
      <c r="BT247" t="s">
        <v>981</v>
      </c>
      <c r="BU247" t="s">
        <v>150</v>
      </c>
      <c r="BV247" t="s">
        <v>1139</v>
      </c>
      <c r="BW247" t="s">
        <v>1140</v>
      </c>
      <c r="BX247">
        <v>1000</v>
      </c>
      <c r="BY247">
        <v>1000</v>
      </c>
      <c r="BZ247" t="s">
        <v>1134</v>
      </c>
      <c r="CA247" t="s">
        <v>1138</v>
      </c>
      <c r="CB247" t="s">
        <v>1136</v>
      </c>
      <c r="CC247" t="s">
        <v>156</v>
      </c>
      <c r="CD247" t="s">
        <v>157</v>
      </c>
      <c r="CJ247" t="s">
        <v>1134</v>
      </c>
      <c r="CK247" t="s">
        <v>241</v>
      </c>
    </row>
    <row r="248" spans="1:89" x14ac:dyDescent="0.3">
      <c r="A248" t="s">
        <v>1141</v>
      </c>
      <c r="B248" t="s">
        <v>5</v>
      </c>
      <c r="C248" t="s">
        <v>145</v>
      </c>
      <c r="D248">
        <v>200</v>
      </c>
      <c r="E248" t="s">
        <v>146</v>
      </c>
      <c r="F248" t="s">
        <v>147</v>
      </c>
      <c r="H248" t="s">
        <v>1142</v>
      </c>
      <c r="I248">
        <v>36</v>
      </c>
      <c r="J248">
        <v>470</v>
      </c>
      <c r="L248">
        <v>0</v>
      </c>
      <c r="M248">
        <v>0</v>
      </c>
      <c r="N248" t="s">
        <v>1143</v>
      </c>
      <c r="O248">
        <v>79</v>
      </c>
      <c r="P248">
        <v>1082</v>
      </c>
      <c r="S248" t="s">
        <v>1144</v>
      </c>
      <c r="T248">
        <v>16</v>
      </c>
      <c r="V248">
        <v>0</v>
      </c>
      <c r="AB248" t="s">
        <v>1141</v>
      </c>
      <c r="AH248">
        <v>821616</v>
      </c>
      <c r="AI248">
        <v>153647</v>
      </c>
      <c r="AJ248">
        <v>153647</v>
      </c>
      <c r="AK248">
        <v>59.873623901000002</v>
      </c>
      <c r="AM248">
        <v>624</v>
      </c>
      <c r="AS248">
        <v>2</v>
      </c>
      <c r="AT248">
        <v>1</v>
      </c>
      <c r="AV248">
        <v>28</v>
      </c>
      <c r="AW248">
        <v>11</v>
      </c>
      <c r="AX248">
        <v>0</v>
      </c>
      <c r="AY248">
        <v>2.84</v>
      </c>
      <c r="AZ248">
        <v>115</v>
      </c>
      <c r="BA248">
        <v>57</v>
      </c>
      <c r="BB248">
        <v>0</v>
      </c>
      <c r="BP248" t="s">
        <v>151</v>
      </c>
      <c r="BQ248">
        <v>1.1000000000000001</v>
      </c>
      <c r="BR248" t="s">
        <v>1145</v>
      </c>
      <c r="BS248" t="s">
        <v>1143</v>
      </c>
      <c r="BT248" t="s">
        <v>981</v>
      </c>
      <c r="BU248" t="s">
        <v>150</v>
      </c>
      <c r="BV248" t="s">
        <v>1146</v>
      </c>
      <c r="BW248" t="s">
        <v>1147</v>
      </c>
      <c r="BX248">
        <v>1000</v>
      </c>
      <c r="BY248">
        <v>1000</v>
      </c>
      <c r="BZ248" t="s">
        <v>1141</v>
      </c>
      <c r="CA248" t="s">
        <v>1145</v>
      </c>
      <c r="CB248" t="s">
        <v>1143</v>
      </c>
      <c r="CC248" t="s">
        <v>156</v>
      </c>
      <c r="CD248" t="s">
        <v>157</v>
      </c>
      <c r="CJ248" t="s">
        <v>1141</v>
      </c>
      <c r="CK248" t="s">
        <v>250</v>
      </c>
    </row>
    <row r="249" spans="1:89" x14ac:dyDescent="0.3">
      <c r="A249" t="s">
        <v>1148</v>
      </c>
      <c r="B249" t="s">
        <v>5</v>
      </c>
      <c r="C249" t="s">
        <v>145</v>
      </c>
      <c r="D249">
        <v>200</v>
      </c>
      <c r="E249" t="s">
        <v>146</v>
      </c>
      <c r="F249" t="s">
        <v>147</v>
      </c>
      <c r="H249" t="s">
        <v>1149</v>
      </c>
      <c r="I249">
        <v>37</v>
      </c>
      <c r="J249">
        <v>474</v>
      </c>
      <c r="L249">
        <v>0</v>
      </c>
      <c r="M249">
        <v>0</v>
      </c>
      <c r="N249" t="s">
        <v>1150</v>
      </c>
      <c r="O249">
        <v>63</v>
      </c>
      <c r="P249">
        <v>858</v>
      </c>
      <c r="S249" t="s">
        <v>1151</v>
      </c>
      <c r="T249">
        <v>17</v>
      </c>
      <c r="V249">
        <v>0</v>
      </c>
      <c r="AB249" t="s">
        <v>1148</v>
      </c>
      <c r="AH249">
        <v>905069</v>
      </c>
      <c r="AI249">
        <v>172460</v>
      </c>
      <c r="AJ249">
        <v>172460</v>
      </c>
      <c r="AK249">
        <v>67.204730179999999</v>
      </c>
      <c r="AM249">
        <v>631</v>
      </c>
      <c r="AS249">
        <v>2</v>
      </c>
      <c r="AT249">
        <v>1</v>
      </c>
      <c r="AV249">
        <v>21</v>
      </c>
      <c r="AW249">
        <v>7</v>
      </c>
      <c r="AX249">
        <v>0</v>
      </c>
      <c r="AY249">
        <v>1.81</v>
      </c>
      <c r="AZ249">
        <v>112</v>
      </c>
      <c r="BA249">
        <v>55</v>
      </c>
      <c r="BB249">
        <v>0</v>
      </c>
      <c r="BP249" t="s">
        <v>151</v>
      </c>
      <c r="BQ249">
        <v>1.1000000000000001</v>
      </c>
      <c r="BR249" t="s">
        <v>1152</v>
      </c>
      <c r="BS249" t="s">
        <v>1150</v>
      </c>
      <c r="BT249" t="s">
        <v>981</v>
      </c>
      <c r="BU249" t="s">
        <v>150</v>
      </c>
      <c r="BV249" t="s">
        <v>1153</v>
      </c>
      <c r="BW249" t="s">
        <v>1154</v>
      </c>
      <c r="BX249">
        <v>450</v>
      </c>
      <c r="BY249">
        <v>450</v>
      </c>
      <c r="BZ249" t="s">
        <v>1148</v>
      </c>
      <c r="CA249" t="s">
        <v>1152</v>
      </c>
      <c r="CB249" t="s">
        <v>1150</v>
      </c>
      <c r="CC249" t="s">
        <v>156</v>
      </c>
      <c r="CD249" t="s">
        <v>157</v>
      </c>
      <c r="CJ249" t="s">
        <v>1148</v>
      </c>
      <c r="CK249" t="s">
        <v>555</v>
      </c>
    </row>
    <row r="250" spans="1:89" x14ac:dyDescent="0.3">
      <c r="A250" t="s">
        <v>1155</v>
      </c>
      <c r="B250" t="s">
        <v>5</v>
      </c>
      <c r="C250" t="s">
        <v>145</v>
      </c>
      <c r="D250">
        <v>200</v>
      </c>
      <c r="E250" t="s">
        <v>146</v>
      </c>
      <c r="F250" t="s">
        <v>147</v>
      </c>
      <c r="H250" t="s">
        <v>1156</v>
      </c>
      <c r="I250">
        <v>35</v>
      </c>
      <c r="J250">
        <v>450</v>
      </c>
      <c r="K250" t="s">
        <v>1011</v>
      </c>
      <c r="L250">
        <v>8</v>
      </c>
      <c r="M250">
        <v>160</v>
      </c>
      <c r="N250" t="s">
        <v>1157</v>
      </c>
      <c r="O250">
        <v>108</v>
      </c>
      <c r="P250">
        <v>1421</v>
      </c>
      <c r="S250" t="s">
        <v>1158</v>
      </c>
      <c r="T250">
        <v>15</v>
      </c>
      <c r="V250">
        <v>0</v>
      </c>
      <c r="AB250" t="s">
        <v>1155</v>
      </c>
      <c r="AH250">
        <v>846377</v>
      </c>
      <c r="AI250">
        <v>159545</v>
      </c>
      <c r="AJ250">
        <v>159545</v>
      </c>
      <c r="AK250">
        <v>62.171974235</v>
      </c>
      <c r="AM250">
        <v>625</v>
      </c>
      <c r="AS250">
        <v>1</v>
      </c>
      <c r="AT250">
        <v>1</v>
      </c>
      <c r="AV250">
        <v>49</v>
      </c>
      <c r="AW250">
        <v>14</v>
      </c>
      <c r="AX250">
        <v>0</v>
      </c>
      <c r="AY250">
        <v>3.62</v>
      </c>
      <c r="AZ250">
        <v>114</v>
      </c>
      <c r="BA250">
        <v>57</v>
      </c>
      <c r="BB250">
        <v>0</v>
      </c>
      <c r="BP250" t="s">
        <v>151</v>
      </c>
      <c r="BQ250">
        <v>1.1000000000000001</v>
      </c>
      <c r="BR250" t="s">
        <v>1159</v>
      </c>
      <c r="BS250" t="s">
        <v>1157</v>
      </c>
      <c r="BT250" t="s">
        <v>981</v>
      </c>
      <c r="BU250" t="s">
        <v>150</v>
      </c>
      <c r="BV250" t="s">
        <v>1160</v>
      </c>
      <c r="BW250" t="s">
        <v>1161</v>
      </c>
      <c r="BX250">
        <v>1000</v>
      </c>
      <c r="BY250">
        <v>1000</v>
      </c>
      <c r="BZ250" t="s">
        <v>1155</v>
      </c>
      <c r="CA250" t="s">
        <v>1159</v>
      </c>
      <c r="CB250" t="s">
        <v>1157</v>
      </c>
      <c r="CC250" t="s">
        <v>156</v>
      </c>
      <c r="CD250" t="s">
        <v>157</v>
      </c>
      <c r="CJ250" t="s">
        <v>1155</v>
      </c>
      <c r="CK250" t="s">
        <v>600</v>
      </c>
    </row>
    <row r="251" spans="1:89" x14ac:dyDescent="0.3">
      <c r="A251" t="s">
        <v>1162</v>
      </c>
      <c r="B251" t="s">
        <v>5</v>
      </c>
      <c r="C251" t="s">
        <v>145</v>
      </c>
      <c r="D251">
        <v>200</v>
      </c>
      <c r="E251" t="s">
        <v>146</v>
      </c>
      <c r="F251" t="s">
        <v>147</v>
      </c>
      <c r="H251" t="s">
        <v>1163</v>
      </c>
      <c r="I251">
        <v>35</v>
      </c>
      <c r="J251">
        <v>450</v>
      </c>
      <c r="K251" t="s">
        <v>1011</v>
      </c>
      <c r="L251">
        <v>8</v>
      </c>
      <c r="M251">
        <v>160</v>
      </c>
      <c r="N251" t="s">
        <v>1157</v>
      </c>
      <c r="O251">
        <v>108</v>
      </c>
      <c r="P251">
        <v>1421</v>
      </c>
      <c r="S251" t="s">
        <v>1164</v>
      </c>
      <c r="T251">
        <v>15</v>
      </c>
      <c r="V251">
        <v>0</v>
      </c>
      <c r="AB251" t="s">
        <v>1162</v>
      </c>
      <c r="AH251">
        <v>846064</v>
      </c>
      <c r="AI251">
        <v>160031</v>
      </c>
      <c r="AJ251">
        <v>160031</v>
      </c>
      <c r="AK251">
        <v>62.361360173000001</v>
      </c>
      <c r="AM251">
        <v>619</v>
      </c>
      <c r="AS251">
        <v>2</v>
      </c>
      <c r="AT251">
        <v>1</v>
      </c>
      <c r="AV251">
        <v>29</v>
      </c>
      <c r="AW251">
        <v>12</v>
      </c>
      <c r="AX251">
        <v>0</v>
      </c>
      <c r="AY251">
        <v>3.1</v>
      </c>
      <c r="AZ251">
        <v>114</v>
      </c>
      <c r="BA251">
        <v>57</v>
      </c>
      <c r="BB251">
        <v>0</v>
      </c>
      <c r="BP251" t="s">
        <v>151</v>
      </c>
      <c r="BQ251">
        <v>1.1000000000000001</v>
      </c>
      <c r="BR251" t="s">
        <v>1165</v>
      </c>
      <c r="BS251" t="s">
        <v>1157</v>
      </c>
      <c r="BT251" t="s">
        <v>981</v>
      </c>
      <c r="BU251" t="s">
        <v>150</v>
      </c>
      <c r="BV251" t="s">
        <v>1166</v>
      </c>
      <c r="BW251" t="s">
        <v>1167</v>
      </c>
      <c r="BX251">
        <v>1000</v>
      </c>
      <c r="BY251">
        <v>1000</v>
      </c>
      <c r="BZ251" t="s">
        <v>1162</v>
      </c>
      <c r="CA251" t="s">
        <v>1165</v>
      </c>
      <c r="CB251" t="s">
        <v>1157</v>
      </c>
      <c r="CC251" t="s">
        <v>156</v>
      </c>
      <c r="CD251" t="s">
        <v>157</v>
      </c>
      <c r="CJ251" t="s">
        <v>1162</v>
      </c>
      <c r="CK251" t="s">
        <v>1008</v>
      </c>
    </row>
    <row r="252" spans="1:89" x14ac:dyDescent="0.3">
      <c r="A252" t="s">
        <v>1168</v>
      </c>
      <c r="B252" t="s">
        <v>5</v>
      </c>
      <c r="C252" t="s">
        <v>145</v>
      </c>
      <c r="D252">
        <v>200</v>
      </c>
      <c r="E252" t="s">
        <v>146</v>
      </c>
      <c r="F252" t="s">
        <v>147</v>
      </c>
      <c r="H252" t="s">
        <v>1169</v>
      </c>
      <c r="I252">
        <v>35</v>
      </c>
      <c r="J252">
        <v>443</v>
      </c>
      <c r="L252">
        <v>0</v>
      </c>
      <c r="M252">
        <v>0</v>
      </c>
      <c r="N252" t="s">
        <v>1170</v>
      </c>
      <c r="O252">
        <v>105</v>
      </c>
      <c r="P252">
        <v>1371</v>
      </c>
      <c r="S252" t="s">
        <v>1171</v>
      </c>
      <c r="T252">
        <v>15</v>
      </c>
      <c r="V252">
        <v>0</v>
      </c>
      <c r="AB252" t="s">
        <v>1168</v>
      </c>
      <c r="AH252">
        <v>685770</v>
      </c>
      <c r="AI252">
        <v>138382</v>
      </c>
      <c r="AJ252">
        <v>138382</v>
      </c>
      <c r="AK252">
        <v>53.925112906000003</v>
      </c>
      <c r="AM252">
        <v>490</v>
      </c>
      <c r="AS252">
        <v>1</v>
      </c>
      <c r="AT252">
        <v>1</v>
      </c>
      <c r="AV252">
        <v>49</v>
      </c>
      <c r="AW252">
        <v>14</v>
      </c>
      <c r="AX252">
        <v>0</v>
      </c>
      <c r="AY252">
        <v>3.62</v>
      </c>
      <c r="AZ252">
        <v>112</v>
      </c>
      <c r="BA252">
        <v>55</v>
      </c>
      <c r="BB252">
        <v>0</v>
      </c>
      <c r="BP252" t="s">
        <v>151</v>
      </c>
      <c r="BQ252">
        <v>1.1000000000000001</v>
      </c>
      <c r="BR252" t="s">
        <v>1172</v>
      </c>
      <c r="BS252" t="s">
        <v>1170</v>
      </c>
      <c r="BT252" t="s">
        <v>981</v>
      </c>
      <c r="BU252" t="s">
        <v>150</v>
      </c>
      <c r="BV252" t="s">
        <v>1173</v>
      </c>
      <c r="BW252" t="s">
        <v>1174</v>
      </c>
      <c r="BX252">
        <v>1000</v>
      </c>
      <c r="BY252">
        <v>1000</v>
      </c>
      <c r="BZ252" t="s">
        <v>1168</v>
      </c>
      <c r="CA252" t="s">
        <v>1172</v>
      </c>
      <c r="CB252" t="s">
        <v>1170</v>
      </c>
      <c r="CC252" t="s">
        <v>156</v>
      </c>
      <c r="CD252" t="s">
        <v>157</v>
      </c>
      <c r="CJ252" t="s">
        <v>1168</v>
      </c>
      <c r="CK252" t="s">
        <v>531</v>
      </c>
    </row>
    <row r="253" spans="1:89" x14ac:dyDescent="0.3">
      <c r="A253" t="s">
        <v>1175</v>
      </c>
      <c r="B253" t="s">
        <v>5</v>
      </c>
      <c r="C253" t="s">
        <v>145</v>
      </c>
      <c r="D253">
        <v>200</v>
      </c>
      <c r="E253" t="s">
        <v>146</v>
      </c>
      <c r="F253" t="s">
        <v>147</v>
      </c>
      <c r="H253" t="s">
        <v>1176</v>
      </c>
      <c r="I253">
        <v>49</v>
      </c>
      <c r="J253">
        <v>576</v>
      </c>
      <c r="K253" t="s">
        <v>994</v>
      </c>
      <c r="L253">
        <v>8</v>
      </c>
      <c r="M253">
        <v>92</v>
      </c>
      <c r="N253" t="s">
        <v>1177</v>
      </c>
      <c r="O253">
        <v>18</v>
      </c>
      <c r="P253">
        <v>246</v>
      </c>
      <c r="S253" t="s">
        <v>1178</v>
      </c>
      <c r="T253">
        <v>29</v>
      </c>
      <c r="V253">
        <v>0</v>
      </c>
      <c r="AB253" t="s">
        <v>1175</v>
      </c>
      <c r="AH253">
        <v>590339</v>
      </c>
      <c r="AI253">
        <v>115494</v>
      </c>
      <c r="AJ253">
        <v>115494</v>
      </c>
      <c r="AK253">
        <v>45.006048401999998</v>
      </c>
      <c r="AM253">
        <v>334</v>
      </c>
      <c r="AS253">
        <v>2</v>
      </c>
      <c r="AT253">
        <v>1</v>
      </c>
      <c r="AV253">
        <v>15</v>
      </c>
      <c r="AW253">
        <v>5</v>
      </c>
      <c r="AX253">
        <v>0</v>
      </c>
      <c r="AY253">
        <v>1.29</v>
      </c>
      <c r="AZ253">
        <v>108</v>
      </c>
      <c r="BA253">
        <v>55</v>
      </c>
      <c r="BB253">
        <v>0</v>
      </c>
      <c r="BP253" t="s">
        <v>151</v>
      </c>
      <c r="BQ253">
        <v>1.1000000000000001</v>
      </c>
      <c r="BR253" t="s">
        <v>1179</v>
      </c>
      <c r="BS253" t="s">
        <v>1177</v>
      </c>
      <c r="BT253" t="s">
        <v>981</v>
      </c>
      <c r="BU253" t="s">
        <v>150</v>
      </c>
      <c r="BV253" t="s">
        <v>1180</v>
      </c>
      <c r="BW253" t="s">
        <v>1181</v>
      </c>
      <c r="BX253">
        <v>450</v>
      </c>
      <c r="BY253">
        <v>450</v>
      </c>
      <c r="BZ253" t="s">
        <v>1175</v>
      </c>
      <c r="CA253" t="s">
        <v>1179</v>
      </c>
      <c r="CB253" t="s">
        <v>1177</v>
      </c>
      <c r="CC253" t="s">
        <v>156</v>
      </c>
      <c r="CD253" t="s">
        <v>157</v>
      </c>
      <c r="CJ253" t="s">
        <v>1175</v>
      </c>
      <c r="CK253" t="s">
        <v>1182</v>
      </c>
    </row>
    <row r="254" spans="1:89" x14ac:dyDescent="0.3">
      <c r="A254" t="s">
        <v>1183</v>
      </c>
      <c r="B254" t="s">
        <v>5</v>
      </c>
      <c r="C254" t="s">
        <v>145</v>
      </c>
      <c r="D254">
        <v>200</v>
      </c>
      <c r="E254" t="s">
        <v>146</v>
      </c>
      <c r="F254" t="s">
        <v>147</v>
      </c>
      <c r="H254" t="s">
        <v>1184</v>
      </c>
      <c r="I254">
        <v>51</v>
      </c>
      <c r="J254">
        <v>576</v>
      </c>
      <c r="L254">
        <v>0</v>
      </c>
      <c r="M254">
        <v>0</v>
      </c>
      <c r="N254" t="s">
        <v>1185</v>
      </c>
      <c r="O254">
        <v>17</v>
      </c>
      <c r="P254">
        <v>238</v>
      </c>
      <c r="S254" t="s">
        <v>1186</v>
      </c>
      <c r="T254">
        <v>23</v>
      </c>
      <c r="V254">
        <v>0</v>
      </c>
      <c r="AB254" t="s">
        <v>1183</v>
      </c>
      <c r="AH254">
        <v>388506</v>
      </c>
      <c r="AI254">
        <v>85151</v>
      </c>
      <c r="AJ254">
        <v>85151</v>
      </c>
      <c r="AK254">
        <v>33.181897133</v>
      </c>
      <c r="AM254">
        <v>218</v>
      </c>
      <c r="AS254">
        <v>2</v>
      </c>
      <c r="AT254">
        <v>1</v>
      </c>
      <c r="AV254">
        <v>11</v>
      </c>
      <c r="AW254">
        <v>3</v>
      </c>
      <c r="AX254">
        <v>0</v>
      </c>
      <c r="AY254">
        <v>0.78</v>
      </c>
      <c r="AZ254">
        <v>108</v>
      </c>
      <c r="BA254">
        <v>55</v>
      </c>
      <c r="BB254">
        <v>0</v>
      </c>
      <c r="BP254" t="s">
        <v>151</v>
      </c>
      <c r="BQ254">
        <v>1.1000000000000001</v>
      </c>
      <c r="BR254" t="s">
        <v>1187</v>
      </c>
      <c r="BS254" t="s">
        <v>1185</v>
      </c>
      <c r="BT254" t="s">
        <v>981</v>
      </c>
      <c r="BU254" t="s">
        <v>150</v>
      </c>
      <c r="BV254" t="s">
        <v>1188</v>
      </c>
      <c r="BW254" t="s">
        <v>1189</v>
      </c>
      <c r="BX254">
        <v>450</v>
      </c>
      <c r="BY254">
        <v>450</v>
      </c>
      <c r="BZ254" t="s">
        <v>1183</v>
      </c>
      <c r="CA254" t="s">
        <v>1187</v>
      </c>
      <c r="CB254" t="s">
        <v>1185</v>
      </c>
      <c r="CC254" t="s">
        <v>156</v>
      </c>
      <c r="CD254" t="s">
        <v>157</v>
      </c>
      <c r="CJ254" t="s">
        <v>1183</v>
      </c>
      <c r="CK254" t="s">
        <v>1190</v>
      </c>
    </row>
    <row r="255" spans="1:89" x14ac:dyDescent="0.3">
      <c r="A255" t="s">
        <v>1191</v>
      </c>
      <c r="B255" t="s">
        <v>5</v>
      </c>
      <c r="C255" t="s">
        <v>145</v>
      </c>
      <c r="D255">
        <v>200</v>
      </c>
      <c r="E255" t="s">
        <v>146</v>
      </c>
      <c r="F255" t="s">
        <v>147</v>
      </c>
      <c r="H255" t="s">
        <v>1192</v>
      </c>
      <c r="I255">
        <v>31</v>
      </c>
      <c r="J255">
        <v>346</v>
      </c>
      <c r="L255">
        <v>0</v>
      </c>
      <c r="M255">
        <v>0</v>
      </c>
      <c r="N255" t="s">
        <v>1193</v>
      </c>
      <c r="O255">
        <v>35</v>
      </c>
      <c r="P255">
        <v>490</v>
      </c>
      <c r="S255" t="s">
        <v>1194</v>
      </c>
      <c r="T255">
        <v>11</v>
      </c>
      <c r="V255">
        <v>0</v>
      </c>
      <c r="AB255" t="s">
        <v>1191</v>
      </c>
      <c r="AH255">
        <v>409944</v>
      </c>
      <c r="AI255">
        <v>88299</v>
      </c>
      <c r="AJ255">
        <v>88299</v>
      </c>
      <c r="AK255">
        <v>34.408619217000002</v>
      </c>
      <c r="AM255">
        <v>232</v>
      </c>
      <c r="AS255">
        <v>4</v>
      </c>
      <c r="AT255">
        <v>1</v>
      </c>
      <c r="AV255">
        <v>16</v>
      </c>
      <c r="AW255">
        <v>6</v>
      </c>
      <c r="AX255">
        <v>0</v>
      </c>
      <c r="AY255">
        <v>1.55</v>
      </c>
      <c r="AZ255">
        <v>108</v>
      </c>
      <c r="BA255">
        <v>55</v>
      </c>
      <c r="BB255">
        <v>0</v>
      </c>
      <c r="BP255" t="s">
        <v>151</v>
      </c>
      <c r="BQ255">
        <v>1.1000000000000001</v>
      </c>
      <c r="BR255" t="s">
        <v>1195</v>
      </c>
      <c r="BS255" t="s">
        <v>1193</v>
      </c>
      <c r="BT255" t="s">
        <v>981</v>
      </c>
      <c r="BU255" t="s">
        <v>150</v>
      </c>
      <c r="BV255" t="s">
        <v>1196</v>
      </c>
      <c r="BW255" t="s">
        <v>1197</v>
      </c>
      <c r="BX255">
        <v>451</v>
      </c>
      <c r="BY255">
        <v>450</v>
      </c>
      <c r="BZ255" t="s">
        <v>1191</v>
      </c>
      <c r="CA255" t="s">
        <v>1195</v>
      </c>
      <c r="CB255" t="s">
        <v>1193</v>
      </c>
      <c r="CC255" t="s">
        <v>156</v>
      </c>
      <c r="CD255" t="s">
        <v>157</v>
      </c>
      <c r="CJ255" t="s">
        <v>1191</v>
      </c>
      <c r="CK255" t="s">
        <v>419</v>
      </c>
    </row>
    <row r="256" spans="1:89" x14ac:dyDescent="0.3">
      <c r="A256" t="s">
        <v>1198</v>
      </c>
      <c r="B256" t="s">
        <v>5</v>
      </c>
      <c r="C256" t="s">
        <v>145</v>
      </c>
      <c r="D256">
        <v>200</v>
      </c>
      <c r="E256" t="s">
        <v>146</v>
      </c>
      <c r="F256" t="s">
        <v>147</v>
      </c>
      <c r="H256" t="s">
        <v>1199</v>
      </c>
      <c r="I256">
        <v>32</v>
      </c>
      <c r="J256">
        <v>366</v>
      </c>
      <c r="L256">
        <v>0</v>
      </c>
      <c r="M256">
        <v>0</v>
      </c>
      <c r="N256" t="s">
        <v>1200</v>
      </c>
      <c r="O256">
        <v>61</v>
      </c>
      <c r="P256">
        <v>845</v>
      </c>
      <c r="S256" t="s">
        <v>1201</v>
      </c>
      <c r="T256">
        <v>12</v>
      </c>
      <c r="V256">
        <v>0</v>
      </c>
      <c r="AB256" t="s">
        <v>1198</v>
      </c>
      <c r="AH256">
        <v>388875</v>
      </c>
      <c r="AI256">
        <v>85218</v>
      </c>
      <c r="AJ256">
        <v>85218</v>
      </c>
      <c r="AK256">
        <v>33.208005894000003</v>
      </c>
      <c r="AM256">
        <v>220</v>
      </c>
      <c r="AS256">
        <v>3</v>
      </c>
      <c r="AT256">
        <v>1</v>
      </c>
      <c r="AV256">
        <v>19</v>
      </c>
      <c r="AW256">
        <v>7</v>
      </c>
      <c r="AX256">
        <v>0</v>
      </c>
      <c r="AY256">
        <v>1.81</v>
      </c>
      <c r="AZ256">
        <v>108</v>
      </c>
      <c r="BA256">
        <v>55</v>
      </c>
      <c r="BB256">
        <v>0</v>
      </c>
      <c r="BP256" t="s">
        <v>151</v>
      </c>
      <c r="BQ256">
        <v>1.1000000000000001</v>
      </c>
      <c r="BR256" t="s">
        <v>1202</v>
      </c>
      <c r="BS256" t="s">
        <v>1200</v>
      </c>
      <c r="BT256" t="s">
        <v>981</v>
      </c>
      <c r="BU256" t="s">
        <v>150</v>
      </c>
      <c r="BV256" t="s">
        <v>1203</v>
      </c>
      <c r="BW256" t="s">
        <v>1204</v>
      </c>
      <c r="BX256">
        <v>1000</v>
      </c>
      <c r="BY256">
        <v>1000</v>
      </c>
      <c r="BZ256" t="s">
        <v>1198</v>
      </c>
      <c r="CA256" t="s">
        <v>1202</v>
      </c>
      <c r="CB256" t="s">
        <v>1200</v>
      </c>
      <c r="CC256" t="s">
        <v>156</v>
      </c>
      <c r="CD256" t="s">
        <v>157</v>
      </c>
      <c r="CJ256" t="s">
        <v>1198</v>
      </c>
      <c r="CK256" t="s">
        <v>480</v>
      </c>
    </row>
    <row r="257" spans="1:89" x14ac:dyDescent="0.3">
      <c r="A257" t="s">
        <v>1205</v>
      </c>
      <c r="B257" t="s">
        <v>5</v>
      </c>
      <c r="C257" t="s">
        <v>145</v>
      </c>
      <c r="D257">
        <v>200</v>
      </c>
      <c r="E257" t="s">
        <v>146</v>
      </c>
      <c r="F257" t="s">
        <v>147</v>
      </c>
      <c r="H257" t="s">
        <v>1206</v>
      </c>
      <c r="I257">
        <v>46</v>
      </c>
      <c r="J257">
        <v>516</v>
      </c>
      <c r="L257">
        <v>0</v>
      </c>
      <c r="M257">
        <v>0</v>
      </c>
      <c r="N257" t="s">
        <v>1207</v>
      </c>
      <c r="O257">
        <v>27</v>
      </c>
      <c r="P257">
        <v>378</v>
      </c>
      <c r="S257" t="s">
        <v>1208</v>
      </c>
      <c r="T257">
        <v>26</v>
      </c>
      <c r="V257">
        <v>0</v>
      </c>
      <c r="AB257" t="s">
        <v>1205</v>
      </c>
      <c r="AH257">
        <v>505189</v>
      </c>
      <c r="AI257">
        <v>101222</v>
      </c>
      <c r="AJ257">
        <v>101222</v>
      </c>
      <c r="AK257">
        <v>39.444492625999999</v>
      </c>
      <c r="AM257">
        <v>324</v>
      </c>
      <c r="AS257">
        <v>2</v>
      </c>
      <c r="AT257">
        <v>1</v>
      </c>
      <c r="AV257">
        <v>28</v>
      </c>
      <c r="AW257">
        <v>12</v>
      </c>
      <c r="AX257">
        <v>0</v>
      </c>
      <c r="AY257">
        <v>3.1</v>
      </c>
      <c r="AZ257">
        <v>108</v>
      </c>
      <c r="BA257">
        <v>55</v>
      </c>
      <c r="BB257">
        <v>0</v>
      </c>
      <c r="BP257" t="s">
        <v>151</v>
      </c>
      <c r="BQ257">
        <v>1.1000000000000001</v>
      </c>
      <c r="BR257" t="s">
        <v>1209</v>
      </c>
      <c r="BS257" t="s">
        <v>1207</v>
      </c>
      <c r="BT257" t="s">
        <v>981</v>
      </c>
      <c r="BU257" t="s">
        <v>150</v>
      </c>
      <c r="BV257" t="s">
        <v>1210</v>
      </c>
      <c r="BW257" t="s">
        <v>1211</v>
      </c>
      <c r="BX257">
        <v>1001</v>
      </c>
      <c r="BY257">
        <v>1000</v>
      </c>
      <c r="BZ257" t="s">
        <v>1205</v>
      </c>
      <c r="CA257" t="s">
        <v>1209</v>
      </c>
      <c r="CB257" t="s">
        <v>1207</v>
      </c>
      <c r="CC257" t="s">
        <v>156</v>
      </c>
      <c r="CD257" t="s">
        <v>157</v>
      </c>
      <c r="CJ257" t="s">
        <v>1205</v>
      </c>
      <c r="CK257" t="s">
        <v>1212</v>
      </c>
    </row>
    <row r="258" spans="1:89" x14ac:dyDescent="0.3">
      <c r="A258" t="s">
        <v>1213</v>
      </c>
      <c r="B258" t="s">
        <v>5</v>
      </c>
      <c r="C258" t="s">
        <v>145</v>
      </c>
      <c r="D258">
        <v>200</v>
      </c>
      <c r="E258" t="s">
        <v>146</v>
      </c>
      <c r="F258" t="s">
        <v>147</v>
      </c>
      <c r="H258" t="s">
        <v>1214</v>
      </c>
      <c r="I258">
        <v>29</v>
      </c>
      <c r="J258">
        <v>359</v>
      </c>
      <c r="L258">
        <v>0</v>
      </c>
      <c r="M258">
        <v>0</v>
      </c>
      <c r="N258" t="s">
        <v>1215</v>
      </c>
      <c r="O258">
        <v>138</v>
      </c>
      <c r="P258">
        <v>1764</v>
      </c>
      <c r="S258" t="s">
        <v>1216</v>
      </c>
      <c r="T258">
        <v>9</v>
      </c>
      <c r="V258">
        <v>0</v>
      </c>
      <c r="AB258" t="s">
        <v>1213</v>
      </c>
      <c r="AH258">
        <v>683777</v>
      </c>
      <c r="AI258">
        <v>137010</v>
      </c>
      <c r="AJ258">
        <v>137010</v>
      </c>
      <c r="AK258">
        <v>53.390467830000013</v>
      </c>
      <c r="AM258">
        <v>453</v>
      </c>
      <c r="AS258">
        <v>2</v>
      </c>
      <c r="AT258">
        <v>1</v>
      </c>
      <c r="AV258">
        <v>27</v>
      </c>
      <c r="AW258">
        <v>10</v>
      </c>
      <c r="AX258">
        <v>0</v>
      </c>
      <c r="AY258">
        <v>2.58</v>
      </c>
      <c r="AZ258">
        <v>112</v>
      </c>
      <c r="BA258">
        <v>55</v>
      </c>
      <c r="BB258">
        <v>0</v>
      </c>
      <c r="BP258" t="s">
        <v>151</v>
      </c>
      <c r="BQ258">
        <v>1.1000000000000001</v>
      </c>
      <c r="BR258" t="s">
        <v>1217</v>
      </c>
      <c r="BS258" t="s">
        <v>1215</v>
      </c>
      <c r="BT258" t="s">
        <v>981</v>
      </c>
      <c r="BU258" t="s">
        <v>150</v>
      </c>
      <c r="BV258" t="s">
        <v>1218</v>
      </c>
      <c r="BW258" t="s">
        <v>1219</v>
      </c>
      <c r="BX258">
        <v>1000</v>
      </c>
      <c r="BY258">
        <v>1000</v>
      </c>
      <c r="BZ258" t="s">
        <v>1213</v>
      </c>
      <c r="CA258" t="s">
        <v>1217</v>
      </c>
      <c r="CB258" t="s">
        <v>1215</v>
      </c>
      <c r="CC258" t="s">
        <v>156</v>
      </c>
      <c r="CD258" t="s">
        <v>157</v>
      </c>
      <c r="CJ258" t="s">
        <v>1213</v>
      </c>
      <c r="CK258" t="s">
        <v>586</v>
      </c>
    </row>
    <row r="259" spans="1:89" x14ac:dyDescent="0.3">
      <c r="A259" t="s">
        <v>1220</v>
      </c>
      <c r="B259" t="s">
        <v>5</v>
      </c>
      <c r="C259" t="s">
        <v>145</v>
      </c>
      <c r="D259">
        <v>200</v>
      </c>
      <c r="E259" t="s">
        <v>146</v>
      </c>
      <c r="F259" t="s">
        <v>147</v>
      </c>
      <c r="H259" t="s">
        <v>1221</v>
      </c>
      <c r="I259">
        <v>49</v>
      </c>
      <c r="J259">
        <v>576</v>
      </c>
      <c r="L259">
        <v>0</v>
      </c>
      <c r="M259">
        <v>0</v>
      </c>
      <c r="N259" t="s">
        <v>1222</v>
      </c>
      <c r="O259">
        <v>45</v>
      </c>
      <c r="P259">
        <v>585</v>
      </c>
      <c r="S259" t="s">
        <v>1223</v>
      </c>
      <c r="T259">
        <v>29</v>
      </c>
      <c r="V259">
        <v>0</v>
      </c>
      <c r="AB259" t="s">
        <v>1220</v>
      </c>
      <c r="AH259">
        <v>412719</v>
      </c>
      <c r="AI259">
        <v>86582</v>
      </c>
      <c r="AJ259">
        <v>86582</v>
      </c>
      <c r="AK259">
        <v>33.739533506000001</v>
      </c>
      <c r="AM259">
        <v>242</v>
      </c>
      <c r="AS259">
        <v>2</v>
      </c>
      <c r="AT259">
        <v>1</v>
      </c>
      <c r="AV259">
        <v>15</v>
      </c>
      <c r="AW259">
        <v>5</v>
      </c>
      <c r="AX259">
        <v>0</v>
      </c>
      <c r="AY259">
        <v>1.29</v>
      </c>
      <c r="AZ259">
        <v>108</v>
      </c>
      <c r="BA259">
        <v>55</v>
      </c>
      <c r="BB259">
        <v>0</v>
      </c>
      <c r="BP259" t="s">
        <v>151</v>
      </c>
      <c r="BQ259">
        <v>1.1000000000000001</v>
      </c>
      <c r="BR259" t="s">
        <v>1224</v>
      </c>
      <c r="BS259" t="s">
        <v>1222</v>
      </c>
      <c r="BT259" t="s">
        <v>981</v>
      </c>
      <c r="BU259" t="s">
        <v>150</v>
      </c>
      <c r="BV259" t="s">
        <v>1225</v>
      </c>
      <c r="BW259" t="s">
        <v>1226</v>
      </c>
      <c r="BX259">
        <v>450</v>
      </c>
      <c r="BY259">
        <v>450</v>
      </c>
      <c r="BZ259" t="s">
        <v>1220</v>
      </c>
      <c r="CA259" t="s">
        <v>1224</v>
      </c>
      <c r="CB259" t="s">
        <v>1222</v>
      </c>
      <c r="CC259" t="s">
        <v>156</v>
      </c>
      <c r="CD259" t="s">
        <v>157</v>
      </c>
      <c r="CJ259" t="s">
        <v>1220</v>
      </c>
      <c r="CK259" t="s">
        <v>1182</v>
      </c>
    </row>
    <row r="260" spans="1:89" x14ac:dyDescent="0.3">
      <c r="A260" t="s">
        <v>1227</v>
      </c>
      <c r="B260" t="s">
        <v>5</v>
      </c>
      <c r="C260" t="s">
        <v>145</v>
      </c>
      <c r="D260">
        <v>200</v>
      </c>
      <c r="E260" t="s">
        <v>146</v>
      </c>
      <c r="F260" t="s">
        <v>147</v>
      </c>
      <c r="H260" t="s">
        <v>1228</v>
      </c>
      <c r="I260">
        <v>50</v>
      </c>
      <c r="J260">
        <v>490</v>
      </c>
      <c r="L260">
        <v>0</v>
      </c>
      <c r="M260">
        <v>0</v>
      </c>
      <c r="N260" t="s">
        <v>1229</v>
      </c>
      <c r="O260">
        <v>75</v>
      </c>
      <c r="P260">
        <v>1045</v>
      </c>
      <c r="S260" t="s">
        <v>1230</v>
      </c>
      <c r="T260">
        <v>22</v>
      </c>
      <c r="V260">
        <v>0</v>
      </c>
      <c r="AB260" t="s">
        <v>1227</v>
      </c>
      <c r="AH260">
        <v>398356</v>
      </c>
      <c r="AI260">
        <v>86718</v>
      </c>
      <c r="AJ260">
        <v>86718</v>
      </c>
      <c r="AK260">
        <v>33.792530394000003</v>
      </c>
      <c r="AM260">
        <v>239</v>
      </c>
      <c r="AS260">
        <v>2</v>
      </c>
      <c r="AT260">
        <v>1</v>
      </c>
      <c r="AV260">
        <v>24</v>
      </c>
      <c r="AW260">
        <v>10</v>
      </c>
      <c r="AX260">
        <v>0</v>
      </c>
      <c r="AY260">
        <v>2.58</v>
      </c>
      <c r="AZ260">
        <v>108</v>
      </c>
      <c r="BA260">
        <v>55</v>
      </c>
      <c r="BB260">
        <v>0</v>
      </c>
      <c r="BP260" t="s">
        <v>151</v>
      </c>
      <c r="BQ260">
        <v>1.1000000000000001</v>
      </c>
      <c r="BR260" t="s">
        <v>1231</v>
      </c>
      <c r="BS260" t="s">
        <v>1229</v>
      </c>
      <c r="BT260" t="s">
        <v>981</v>
      </c>
      <c r="BU260" t="s">
        <v>150</v>
      </c>
      <c r="BV260" t="s">
        <v>1232</v>
      </c>
      <c r="BW260" t="s">
        <v>1233</v>
      </c>
      <c r="BX260">
        <v>1000</v>
      </c>
      <c r="BY260">
        <v>1000</v>
      </c>
      <c r="BZ260" t="s">
        <v>1227</v>
      </c>
      <c r="CA260" t="s">
        <v>1231</v>
      </c>
      <c r="CB260" t="s">
        <v>1229</v>
      </c>
      <c r="CC260" t="s">
        <v>156</v>
      </c>
      <c r="CD260" t="s">
        <v>157</v>
      </c>
      <c r="CJ260" t="s">
        <v>1227</v>
      </c>
      <c r="CK260" t="s">
        <v>1234</v>
      </c>
    </row>
    <row r="261" spans="1:89" x14ac:dyDescent="0.3">
      <c r="A261" t="s">
        <v>1235</v>
      </c>
      <c r="B261" t="s">
        <v>5</v>
      </c>
      <c r="C261" t="s">
        <v>145</v>
      </c>
      <c r="D261">
        <v>200</v>
      </c>
      <c r="E261" t="s">
        <v>146</v>
      </c>
      <c r="F261" t="s">
        <v>147</v>
      </c>
      <c r="H261" t="s">
        <v>1236</v>
      </c>
      <c r="I261">
        <v>37</v>
      </c>
      <c r="J261">
        <v>433</v>
      </c>
      <c r="L261">
        <v>0</v>
      </c>
      <c r="M261">
        <v>0</v>
      </c>
      <c r="N261" t="s">
        <v>1237</v>
      </c>
      <c r="O261">
        <v>77</v>
      </c>
      <c r="P261">
        <v>1064</v>
      </c>
      <c r="S261" t="s">
        <v>1238</v>
      </c>
      <c r="T261">
        <v>17</v>
      </c>
      <c r="V261">
        <v>0</v>
      </c>
      <c r="AB261" t="s">
        <v>1235</v>
      </c>
      <c r="AH261">
        <v>601401</v>
      </c>
      <c r="AI261">
        <v>120381</v>
      </c>
      <c r="AJ261">
        <v>120381</v>
      </c>
      <c r="AK261">
        <v>46.910429223000001</v>
      </c>
      <c r="AM261">
        <v>370</v>
      </c>
      <c r="AS261">
        <v>2</v>
      </c>
      <c r="AT261">
        <v>1</v>
      </c>
      <c r="AV261">
        <v>19</v>
      </c>
      <c r="AW261">
        <v>7</v>
      </c>
      <c r="AX261">
        <v>0</v>
      </c>
      <c r="AY261">
        <v>1.81</v>
      </c>
      <c r="AZ261">
        <v>108</v>
      </c>
      <c r="BA261">
        <v>55</v>
      </c>
      <c r="BB261">
        <v>0</v>
      </c>
      <c r="BP261" t="s">
        <v>151</v>
      </c>
      <c r="BQ261">
        <v>1.1000000000000001</v>
      </c>
      <c r="BR261" t="s">
        <v>1239</v>
      </c>
      <c r="BS261" t="s">
        <v>1237</v>
      </c>
      <c r="BT261" t="s">
        <v>981</v>
      </c>
      <c r="BU261" t="s">
        <v>150</v>
      </c>
      <c r="BV261" t="s">
        <v>1240</v>
      </c>
      <c r="BW261" t="s">
        <v>1241</v>
      </c>
      <c r="BX261">
        <v>450</v>
      </c>
      <c r="BY261">
        <v>450</v>
      </c>
      <c r="BZ261" t="s">
        <v>1235</v>
      </c>
      <c r="CA261" t="s">
        <v>1239</v>
      </c>
      <c r="CB261" t="s">
        <v>1237</v>
      </c>
      <c r="CC261" t="s">
        <v>156</v>
      </c>
      <c r="CD261" t="s">
        <v>157</v>
      </c>
      <c r="CJ261" t="s">
        <v>1235</v>
      </c>
      <c r="CK261" t="s">
        <v>1242</v>
      </c>
    </row>
    <row r="262" spans="1:89" x14ac:dyDescent="0.3">
      <c r="A262" t="s">
        <v>1243</v>
      </c>
      <c r="B262" t="s">
        <v>5</v>
      </c>
      <c r="C262" t="s">
        <v>145</v>
      </c>
      <c r="D262">
        <v>200</v>
      </c>
      <c r="E262" t="s">
        <v>146</v>
      </c>
      <c r="F262" t="s">
        <v>147</v>
      </c>
      <c r="H262" t="s">
        <v>1244</v>
      </c>
      <c r="I262">
        <v>32</v>
      </c>
      <c r="J262">
        <v>365</v>
      </c>
      <c r="L262">
        <v>0</v>
      </c>
      <c r="M262">
        <v>0</v>
      </c>
      <c r="N262" t="s">
        <v>1245</v>
      </c>
      <c r="O262">
        <v>54</v>
      </c>
      <c r="P262">
        <v>756</v>
      </c>
      <c r="S262" t="s">
        <v>1246</v>
      </c>
      <c r="T262">
        <v>12</v>
      </c>
      <c r="V262">
        <v>0</v>
      </c>
      <c r="AB262" t="s">
        <v>1243</v>
      </c>
      <c r="AH262">
        <v>534757</v>
      </c>
      <c r="AI262">
        <v>105066</v>
      </c>
      <c r="AJ262">
        <v>105066</v>
      </c>
      <c r="AK262">
        <v>40.942434078000012</v>
      </c>
      <c r="AM262">
        <v>344</v>
      </c>
      <c r="AS262">
        <v>3</v>
      </c>
      <c r="AT262">
        <v>1</v>
      </c>
      <c r="AV262">
        <v>13</v>
      </c>
      <c r="AW262">
        <v>5</v>
      </c>
      <c r="AX262">
        <v>0</v>
      </c>
      <c r="AY262">
        <v>1.29</v>
      </c>
      <c r="AZ262">
        <v>108</v>
      </c>
      <c r="BA262">
        <v>55</v>
      </c>
      <c r="BB262">
        <v>0</v>
      </c>
      <c r="BP262" t="s">
        <v>151</v>
      </c>
      <c r="BQ262">
        <v>1.1000000000000001</v>
      </c>
      <c r="BR262" t="s">
        <v>1247</v>
      </c>
      <c r="BS262" t="s">
        <v>1245</v>
      </c>
      <c r="BT262" t="s">
        <v>981</v>
      </c>
      <c r="BU262" t="s">
        <v>150</v>
      </c>
      <c r="BV262" t="s">
        <v>1248</v>
      </c>
      <c r="BW262" t="s">
        <v>1249</v>
      </c>
      <c r="BX262">
        <v>451</v>
      </c>
      <c r="BY262">
        <v>451</v>
      </c>
      <c r="BZ262" t="s">
        <v>1243</v>
      </c>
      <c r="CA262" t="s">
        <v>1247</v>
      </c>
      <c r="CB262" t="s">
        <v>1245</v>
      </c>
      <c r="CC262" t="s">
        <v>156</v>
      </c>
      <c r="CD262" t="s">
        <v>157</v>
      </c>
      <c r="CJ262" t="s">
        <v>1243</v>
      </c>
      <c r="CK262" t="s">
        <v>1250</v>
      </c>
    </row>
    <row r="263" spans="1:89" x14ac:dyDescent="0.3">
      <c r="A263" t="s">
        <v>1251</v>
      </c>
      <c r="B263" t="s">
        <v>5</v>
      </c>
      <c r="C263" t="s">
        <v>145</v>
      </c>
      <c r="D263">
        <v>200</v>
      </c>
      <c r="E263" t="s">
        <v>146</v>
      </c>
      <c r="F263" t="s">
        <v>147</v>
      </c>
      <c r="H263" t="s">
        <v>1252</v>
      </c>
      <c r="I263">
        <v>34</v>
      </c>
      <c r="J263">
        <v>405</v>
      </c>
      <c r="L263">
        <v>0</v>
      </c>
      <c r="M263">
        <v>0</v>
      </c>
      <c r="N263" t="s">
        <v>1253</v>
      </c>
      <c r="O263">
        <v>55</v>
      </c>
      <c r="P263">
        <v>770</v>
      </c>
      <c r="S263" t="s">
        <v>1254</v>
      </c>
      <c r="T263">
        <v>14</v>
      </c>
      <c r="V263">
        <v>0</v>
      </c>
      <c r="AB263" t="s">
        <v>1251</v>
      </c>
      <c r="AH263">
        <v>513114</v>
      </c>
      <c r="AI263">
        <v>103163</v>
      </c>
      <c r="AJ263">
        <v>103163</v>
      </c>
      <c r="AK263">
        <v>40.200867328999998</v>
      </c>
      <c r="AM263">
        <v>319</v>
      </c>
      <c r="AS263">
        <v>2</v>
      </c>
      <c r="AT263">
        <v>1</v>
      </c>
      <c r="AV263">
        <v>13</v>
      </c>
      <c r="AW263">
        <v>4</v>
      </c>
      <c r="AX263">
        <v>0</v>
      </c>
      <c r="AY263">
        <v>1.03</v>
      </c>
      <c r="AZ263">
        <v>108</v>
      </c>
      <c r="BA263">
        <v>55</v>
      </c>
      <c r="BB263">
        <v>0</v>
      </c>
      <c r="BP263" t="s">
        <v>151</v>
      </c>
      <c r="BQ263">
        <v>1.1000000000000001</v>
      </c>
      <c r="BR263" t="s">
        <v>1255</v>
      </c>
      <c r="BS263" t="s">
        <v>1253</v>
      </c>
      <c r="BT263" t="s">
        <v>981</v>
      </c>
      <c r="BU263" t="s">
        <v>150</v>
      </c>
      <c r="BV263" t="s">
        <v>1256</v>
      </c>
      <c r="BW263" t="s">
        <v>1257</v>
      </c>
      <c r="BX263">
        <v>451</v>
      </c>
      <c r="BY263">
        <v>451</v>
      </c>
      <c r="BZ263" t="s">
        <v>1251</v>
      </c>
      <c r="CA263" t="s">
        <v>1255</v>
      </c>
      <c r="CB263" t="s">
        <v>1253</v>
      </c>
      <c r="CC263" t="s">
        <v>156</v>
      </c>
      <c r="CD263" t="s">
        <v>157</v>
      </c>
      <c r="CJ263" t="s">
        <v>1251</v>
      </c>
      <c r="CK263" t="s">
        <v>737</v>
      </c>
    </row>
    <row r="264" spans="1:89" x14ac:dyDescent="0.3">
      <c r="A264" t="s">
        <v>1258</v>
      </c>
      <c r="B264" t="s">
        <v>5</v>
      </c>
      <c r="C264" t="s">
        <v>145</v>
      </c>
      <c r="D264">
        <v>200</v>
      </c>
      <c r="E264" t="s">
        <v>146</v>
      </c>
      <c r="F264" t="s">
        <v>147</v>
      </c>
      <c r="H264" t="s">
        <v>1259</v>
      </c>
      <c r="I264">
        <v>33</v>
      </c>
      <c r="J264">
        <v>377</v>
      </c>
      <c r="L264">
        <v>0</v>
      </c>
      <c r="M264">
        <v>0</v>
      </c>
      <c r="N264" t="s">
        <v>1260</v>
      </c>
      <c r="O264">
        <v>52</v>
      </c>
      <c r="P264">
        <v>719</v>
      </c>
      <c r="S264" t="s">
        <v>1261</v>
      </c>
      <c r="T264">
        <v>13</v>
      </c>
      <c r="V264">
        <v>0</v>
      </c>
      <c r="AB264" t="s">
        <v>1258</v>
      </c>
      <c r="AH264">
        <v>465600</v>
      </c>
      <c r="AI264">
        <v>95926</v>
      </c>
      <c r="AJ264">
        <v>95926</v>
      </c>
      <c r="AK264">
        <v>37.380731458</v>
      </c>
      <c r="AM264">
        <v>246</v>
      </c>
      <c r="AS264">
        <v>2</v>
      </c>
      <c r="AT264">
        <v>1</v>
      </c>
      <c r="AV264">
        <v>19</v>
      </c>
      <c r="AW264">
        <v>7</v>
      </c>
      <c r="AX264">
        <v>0</v>
      </c>
      <c r="AY264">
        <v>1.81</v>
      </c>
      <c r="AZ264">
        <v>108</v>
      </c>
      <c r="BA264">
        <v>55</v>
      </c>
      <c r="BB264">
        <v>0</v>
      </c>
      <c r="BP264" t="s">
        <v>151</v>
      </c>
      <c r="BQ264">
        <v>1.1000000000000001</v>
      </c>
      <c r="BR264" t="s">
        <v>1262</v>
      </c>
      <c r="BS264" t="s">
        <v>1260</v>
      </c>
      <c r="BT264" t="s">
        <v>981</v>
      </c>
      <c r="BU264" t="s">
        <v>150</v>
      </c>
      <c r="BV264" t="s">
        <v>1263</v>
      </c>
      <c r="BW264" t="s">
        <v>1264</v>
      </c>
      <c r="BX264">
        <v>450</v>
      </c>
      <c r="BY264">
        <v>450</v>
      </c>
      <c r="BZ264" t="s">
        <v>1258</v>
      </c>
      <c r="CA264" t="s">
        <v>1262</v>
      </c>
      <c r="CB264" t="s">
        <v>1260</v>
      </c>
      <c r="CC264" t="s">
        <v>156</v>
      </c>
      <c r="CD264" t="s">
        <v>157</v>
      </c>
      <c r="CJ264" t="s">
        <v>1258</v>
      </c>
      <c r="CK264" t="s">
        <v>723</v>
      </c>
    </row>
    <row r="265" spans="1:89" x14ac:dyDescent="0.3">
      <c r="A265" t="s">
        <v>1265</v>
      </c>
      <c r="B265" t="s">
        <v>5</v>
      </c>
      <c r="C265" t="s">
        <v>145</v>
      </c>
      <c r="D265">
        <v>200</v>
      </c>
      <c r="E265" t="s">
        <v>146</v>
      </c>
      <c r="F265" t="s">
        <v>147</v>
      </c>
      <c r="H265" t="s">
        <v>1266</v>
      </c>
      <c r="I265">
        <v>34</v>
      </c>
      <c r="J265">
        <v>397</v>
      </c>
      <c r="L265">
        <v>0</v>
      </c>
      <c r="M265">
        <v>0</v>
      </c>
      <c r="N265" t="s">
        <v>1267</v>
      </c>
      <c r="O265">
        <v>52</v>
      </c>
      <c r="P265">
        <v>719</v>
      </c>
      <c r="S265" t="s">
        <v>1268</v>
      </c>
      <c r="T265">
        <v>14</v>
      </c>
      <c r="V265">
        <v>0</v>
      </c>
      <c r="AB265" t="s">
        <v>1265</v>
      </c>
      <c r="AH265">
        <v>471411</v>
      </c>
      <c r="AI265">
        <v>96815</v>
      </c>
      <c r="AJ265">
        <v>96815</v>
      </c>
      <c r="AK265">
        <v>37.727159645</v>
      </c>
      <c r="AM265">
        <v>250</v>
      </c>
      <c r="AS265">
        <v>2</v>
      </c>
      <c r="AT265">
        <v>1</v>
      </c>
      <c r="AV265">
        <v>17</v>
      </c>
      <c r="AW265">
        <v>6</v>
      </c>
      <c r="AX265">
        <v>0</v>
      </c>
      <c r="AY265">
        <v>1.55</v>
      </c>
      <c r="AZ265">
        <v>108</v>
      </c>
      <c r="BA265">
        <v>55</v>
      </c>
      <c r="BB265">
        <v>0</v>
      </c>
      <c r="BP265" t="s">
        <v>151</v>
      </c>
      <c r="BQ265">
        <v>1.1000000000000001</v>
      </c>
      <c r="BR265" t="s">
        <v>1269</v>
      </c>
      <c r="BS265" t="s">
        <v>1267</v>
      </c>
      <c r="BT265" t="s">
        <v>981</v>
      </c>
      <c r="BU265" t="s">
        <v>150</v>
      </c>
      <c r="BV265" t="s">
        <v>1270</v>
      </c>
      <c r="BW265" t="s">
        <v>1271</v>
      </c>
      <c r="BX265">
        <v>450</v>
      </c>
      <c r="BY265">
        <v>450</v>
      </c>
      <c r="BZ265" t="s">
        <v>1265</v>
      </c>
      <c r="CA265" t="s">
        <v>1269</v>
      </c>
      <c r="CB265" t="s">
        <v>1267</v>
      </c>
      <c r="CC265" t="s">
        <v>156</v>
      </c>
      <c r="CD265" t="s">
        <v>157</v>
      </c>
      <c r="CJ265" t="s">
        <v>1265</v>
      </c>
      <c r="CK265" t="s">
        <v>163</v>
      </c>
    </row>
    <row r="266" spans="1:89" x14ac:dyDescent="0.3">
      <c r="A266" t="s">
        <v>1272</v>
      </c>
      <c r="B266" t="s">
        <v>5</v>
      </c>
      <c r="C266" t="s">
        <v>145</v>
      </c>
      <c r="D266">
        <v>200</v>
      </c>
      <c r="E266" t="s">
        <v>146</v>
      </c>
      <c r="F266" t="s">
        <v>147</v>
      </c>
      <c r="H266" t="s">
        <v>1273</v>
      </c>
      <c r="I266">
        <v>34</v>
      </c>
      <c r="J266">
        <v>397</v>
      </c>
      <c r="L266">
        <v>0</v>
      </c>
      <c r="M266">
        <v>0</v>
      </c>
      <c r="N266" t="s">
        <v>1274</v>
      </c>
      <c r="O266">
        <v>53</v>
      </c>
      <c r="P266">
        <v>733</v>
      </c>
      <c r="S266" t="s">
        <v>1275</v>
      </c>
      <c r="T266">
        <v>14</v>
      </c>
      <c r="V266">
        <v>0</v>
      </c>
      <c r="AB266" t="s">
        <v>1272</v>
      </c>
      <c r="AH266">
        <v>464819</v>
      </c>
      <c r="AI266">
        <v>96387</v>
      </c>
      <c r="AJ266">
        <v>96387</v>
      </c>
      <c r="AK266">
        <v>37.560375321000002</v>
      </c>
      <c r="AM266">
        <v>245</v>
      </c>
      <c r="AS266">
        <v>2</v>
      </c>
      <c r="AT266">
        <v>1</v>
      </c>
      <c r="AV266">
        <v>19</v>
      </c>
      <c r="AW266">
        <v>8</v>
      </c>
      <c r="AX266">
        <v>0</v>
      </c>
      <c r="AY266">
        <v>2.0699999999999998</v>
      </c>
      <c r="AZ266">
        <v>108</v>
      </c>
      <c r="BA266">
        <v>55</v>
      </c>
      <c r="BB266">
        <v>0</v>
      </c>
      <c r="BP266" t="s">
        <v>151</v>
      </c>
      <c r="BQ266">
        <v>1.1000000000000001</v>
      </c>
      <c r="BR266" t="s">
        <v>1276</v>
      </c>
      <c r="BS266" t="s">
        <v>1274</v>
      </c>
      <c r="BT266" t="s">
        <v>981</v>
      </c>
      <c r="BU266" t="s">
        <v>150</v>
      </c>
      <c r="BV266" t="s">
        <v>1277</v>
      </c>
      <c r="BW266" t="s">
        <v>1278</v>
      </c>
      <c r="BX266">
        <v>450</v>
      </c>
      <c r="BY266">
        <v>450</v>
      </c>
      <c r="BZ266" t="s">
        <v>1272</v>
      </c>
      <c r="CA266" t="s">
        <v>1276</v>
      </c>
      <c r="CB266" t="s">
        <v>1274</v>
      </c>
      <c r="CC266" t="s">
        <v>156</v>
      </c>
      <c r="CD266" t="s">
        <v>157</v>
      </c>
      <c r="CJ266" t="s">
        <v>1272</v>
      </c>
      <c r="CK266" t="s">
        <v>1111</v>
      </c>
    </row>
    <row r="267" spans="1:89" x14ac:dyDescent="0.3">
      <c r="A267" t="s">
        <v>1279</v>
      </c>
      <c r="B267" t="s">
        <v>5</v>
      </c>
      <c r="C267" t="s">
        <v>145</v>
      </c>
      <c r="D267">
        <v>200</v>
      </c>
      <c r="E267" t="s">
        <v>146</v>
      </c>
      <c r="F267" t="s">
        <v>147</v>
      </c>
      <c r="H267" t="s">
        <v>1280</v>
      </c>
      <c r="I267">
        <v>42</v>
      </c>
      <c r="J267">
        <v>473</v>
      </c>
      <c r="L267">
        <v>0</v>
      </c>
      <c r="M267">
        <v>0</v>
      </c>
      <c r="N267" t="s">
        <v>1281</v>
      </c>
      <c r="O267">
        <v>67</v>
      </c>
      <c r="P267">
        <v>814</v>
      </c>
      <c r="S267" t="s">
        <v>1282</v>
      </c>
      <c r="T267">
        <v>10</v>
      </c>
      <c r="V267">
        <v>0</v>
      </c>
      <c r="AB267" t="s">
        <v>1279</v>
      </c>
      <c r="AH267">
        <v>522419</v>
      </c>
      <c r="AI267">
        <v>101435</v>
      </c>
      <c r="AJ267">
        <v>101435</v>
      </c>
      <c r="AK267">
        <v>39.527495105</v>
      </c>
      <c r="AM267">
        <v>290</v>
      </c>
      <c r="AS267">
        <v>2</v>
      </c>
      <c r="AT267">
        <v>1</v>
      </c>
      <c r="AV267">
        <v>13</v>
      </c>
      <c r="AW267">
        <v>4</v>
      </c>
      <c r="AX267">
        <v>0</v>
      </c>
      <c r="AY267">
        <v>1.03</v>
      </c>
      <c r="AZ267">
        <v>108</v>
      </c>
      <c r="BA267">
        <v>55</v>
      </c>
      <c r="BB267">
        <v>0</v>
      </c>
      <c r="BP267" t="s">
        <v>151</v>
      </c>
      <c r="BQ267">
        <v>1.1000000000000001</v>
      </c>
      <c r="BR267" t="s">
        <v>1283</v>
      </c>
      <c r="BS267" t="s">
        <v>1281</v>
      </c>
      <c r="BT267" t="s">
        <v>981</v>
      </c>
      <c r="BU267" t="s">
        <v>150</v>
      </c>
      <c r="BV267" t="s">
        <v>1284</v>
      </c>
      <c r="BW267" t="s">
        <v>1285</v>
      </c>
      <c r="BX267">
        <v>450</v>
      </c>
      <c r="BY267">
        <v>451</v>
      </c>
      <c r="BZ267" t="s">
        <v>1279</v>
      </c>
      <c r="CA267" t="s">
        <v>1283</v>
      </c>
      <c r="CB267" t="s">
        <v>1281</v>
      </c>
      <c r="CC267" t="s">
        <v>156</v>
      </c>
      <c r="CD267" t="s">
        <v>157</v>
      </c>
      <c r="CJ267" t="s">
        <v>1279</v>
      </c>
      <c r="CK267" t="s">
        <v>1286</v>
      </c>
    </row>
    <row r="268" spans="1:89" x14ac:dyDescent="0.3">
      <c r="A268" t="s">
        <v>1287</v>
      </c>
      <c r="B268" t="s">
        <v>5</v>
      </c>
      <c r="C268" t="s">
        <v>145</v>
      </c>
      <c r="D268">
        <v>200</v>
      </c>
      <c r="E268" t="s">
        <v>146</v>
      </c>
      <c r="F268" t="s">
        <v>147</v>
      </c>
      <c r="H268" t="s">
        <v>1288</v>
      </c>
      <c r="I268">
        <v>33</v>
      </c>
      <c r="J268">
        <v>386</v>
      </c>
      <c r="K268" t="s">
        <v>994</v>
      </c>
      <c r="L268">
        <v>8</v>
      </c>
      <c r="M268">
        <v>92</v>
      </c>
      <c r="N268" t="s">
        <v>995</v>
      </c>
      <c r="O268">
        <v>46</v>
      </c>
      <c r="P268">
        <v>644</v>
      </c>
      <c r="S268" t="s">
        <v>1289</v>
      </c>
      <c r="T268">
        <v>13</v>
      </c>
      <c r="V268">
        <v>0</v>
      </c>
      <c r="AB268" t="s">
        <v>1287</v>
      </c>
      <c r="AH268">
        <v>512303</v>
      </c>
      <c r="AI268">
        <v>103473</v>
      </c>
      <c r="AJ268">
        <v>103473</v>
      </c>
      <c r="AK268">
        <v>40.321669059000001</v>
      </c>
      <c r="AM268">
        <v>328</v>
      </c>
      <c r="AS268">
        <v>2</v>
      </c>
      <c r="AT268">
        <v>1</v>
      </c>
      <c r="AV268">
        <v>21</v>
      </c>
      <c r="AW268">
        <v>8</v>
      </c>
      <c r="AX268">
        <v>0</v>
      </c>
      <c r="AY268">
        <v>2.0699999999999998</v>
      </c>
      <c r="AZ268">
        <v>110</v>
      </c>
      <c r="BA268">
        <v>57</v>
      </c>
      <c r="BB268">
        <v>0</v>
      </c>
      <c r="BP268" t="s">
        <v>151</v>
      </c>
      <c r="BQ268">
        <v>1.1000000000000001</v>
      </c>
      <c r="BR268" t="s">
        <v>1290</v>
      </c>
      <c r="BS268" t="s">
        <v>995</v>
      </c>
      <c r="BT268" t="s">
        <v>981</v>
      </c>
      <c r="BU268" t="s">
        <v>150</v>
      </c>
      <c r="BV268" t="s">
        <v>1291</v>
      </c>
      <c r="BW268" t="s">
        <v>1292</v>
      </c>
      <c r="BX268">
        <v>1000</v>
      </c>
      <c r="BY268">
        <v>1000</v>
      </c>
      <c r="BZ268" t="s">
        <v>1287</v>
      </c>
      <c r="CA268" t="s">
        <v>1290</v>
      </c>
      <c r="CB268" t="s">
        <v>995</v>
      </c>
      <c r="CC268" t="s">
        <v>156</v>
      </c>
      <c r="CD268" t="s">
        <v>157</v>
      </c>
      <c r="CJ268" t="s">
        <v>1287</v>
      </c>
      <c r="CK268" t="s">
        <v>1000</v>
      </c>
    </row>
    <row r="269" spans="1:89" x14ac:dyDescent="0.3">
      <c r="A269" t="s">
        <v>1293</v>
      </c>
      <c r="B269" t="s">
        <v>5</v>
      </c>
      <c r="C269" t="s">
        <v>145</v>
      </c>
      <c r="D269">
        <v>200</v>
      </c>
      <c r="E269" t="s">
        <v>146</v>
      </c>
      <c r="F269" t="s">
        <v>147</v>
      </c>
      <c r="H269" t="s">
        <v>1294</v>
      </c>
      <c r="I269">
        <v>33</v>
      </c>
      <c r="J269">
        <v>386</v>
      </c>
      <c r="K269" t="s">
        <v>1011</v>
      </c>
      <c r="L269">
        <v>8</v>
      </c>
      <c r="M269">
        <v>160</v>
      </c>
      <c r="N269" t="s">
        <v>1295</v>
      </c>
      <c r="O269">
        <v>74</v>
      </c>
      <c r="P269">
        <v>1002</v>
      </c>
      <c r="S269" t="s">
        <v>1296</v>
      </c>
      <c r="T269">
        <v>13</v>
      </c>
      <c r="V269">
        <v>0</v>
      </c>
      <c r="AB269" t="s">
        <v>1293</v>
      </c>
      <c r="AH269">
        <v>552521</v>
      </c>
      <c r="AI269">
        <v>107559</v>
      </c>
      <c r="AJ269">
        <v>107559</v>
      </c>
      <c r="AK269">
        <v>41.913913796999999</v>
      </c>
      <c r="AM269">
        <v>357</v>
      </c>
      <c r="AS269">
        <v>2</v>
      </c>
      <c r="AT269">
        <v>1</v>
      </c>
      <c r="AV269">
        <v>38</v>
      </c>
      <c r="AW269">
        <v>21</v>
      </c>
      <c r="AX269">
        <v>0</v>
      </c>
      <c r="AY269">
        <v>5.43</v>
      </c>
      <c r="AZ269">
        <v>110</v>
      </c>
      <c r="BA269">
        <v>57</v>
      </c>
      <c r="BB269">
        <v>0</v>
      </c>
      <c r="BP269" t="s">
        <v>151</v>
      </c>
      <c r="BQ269">
        <v>1.1000000000000001</v>
      </c>
      <c r="BR269" t="s">
        <v>1297</v>
      </c>
      <c r="BS269" t="s">
        <v>1295</v>
      </c>
      <c r="BT269" t="s">
        <v>981</v>
      </c>
      <c r="BU269" t="s">
        <v>150</v>
      </c>
      <c r="BV269" t="s">
        <v>1298</v>
      </c>
      <c r="BW269" t="s">
        <v>1299</v>
      </c>
      <c r="BX269">
        <v>450</v>
      </c>
      <c r="BY269">
        <v>450</v>
      </c>
      <c r="BZ269" t="s">
        <v>1293</v>
      </c>
      <c r="CA269" t="s">
        <v>1297</v>
      </c>
      <c r="CB269" t="s">
        <v>1295</v>
      </c>
      <c r="CC269" t="s">
        <v>156</v>
      </c>
      <c r="CD269" t="s">
        <v>157</v>
      </c>
      <c r="CJ269" t="s">
        <v>1293</v>
      </c>
      <c r="CK269" t="s">
        <v>1300</v>
      </c>
    </row>
    <row r="270" spans="1:89" x14ac:dyDescent="0.3">
      <c r="A270" t="s">
        <v>1301</v>
      </c>
      <c r="B270" t="s">
        <v>5</v>
      </c>
      <c r="C270" t="s">
        <v>145</v>
      </c>
      <c r="D270">
        <v>200</v>
      </c>
      <c r="E270" t="s">
        <v>146</v>
      </c>
      <c r="F270" t="s">
        <v>147</v>
      </c>
      <c r="H270" t="s">
        <v>1302</v>
      </c>
      <c r="I270">
        <v>33</v>
      </c>
      <c r="J270">
        <v>386</v>
      </c>
      <c r="K270" t="s">
        <v>1011</v>
      </c>
      <c r="L270">
        <v>8</v>
      </c>
      <c r="M270">
        <v>160</v>
      </c>
      <c r="N270" t="s">
        <v>1295</v>
      </c>
      <c r="O270">
        <v>74</v>
      </c>
      <c r="P270">
        <v>1002</v>
      </c>
      <c r="S270" t="s">
        <v>1303</v>
      </c>
      <c r="T270">
        <v>13</v>
      </c>
      <c r="V270">
        <v>0</v>
      </c>
      <c r="AB270" t="s">
        <v>1301</v>
      </c>
      <c r="AH270">
        <v>552511</v>
      </c>
      <c r="AI270">
        <v>107434</v>
      </c>
      <c r="AJ270">
        <v>107434</v>
      </c>
      <c r="AK270">
        <v>41.865203422</v>
      </c>
      <c r="AM270">
        <v>357</v>
      </c>
      <c r="AS270">
        <v>2</v>
      </c>
      <c r="AT270">
        <v>1</v>
      </c>
      <c r="AV270">
        <v>27</v>
      </c>
      <c r="AW270">
        <v>11</v>
      </c>
      <c r="AX270">
        <v>0</v>
      </c>
      <c r="AY270">
        <v>2.84</v>
      </c>
      <c r="AZ270">
        <v>110</v>
      </c>
      <c r="BA270">
        <v>57</v>
      </c>
      <c r="BB270">
        <v>0</v>
      </c>
      <c r="BP270" t="s">
        <v>151</v>
      </c>
      <c r="BQ270">
        <v>1.1000000000000001</v>
      </c>
      <c r="BR270" t="s">
        <v>1304</v>
      </c>
      <c r="BS270" t="s">
        <v>1295</v>
      </c>
      <c r="BT270" t="s">
        <v>981</v>
      </c>
      <c r="BU270" t="s">
        <v>150</v>
      </c>
      <c r="BV270" t="s">
        <v>1305</v>
      </c>
      <c r="BW270" t="s">
        <v>1306</v>
      </c>
      <c r="BX270">
        <v>450</v>
      </c>
      <c r="BY270">
        <v>450</v>
      </c>
      <c r="BZ270" t="s">
        <v>1301</v>
      </c>
      <c r="CA270" t="s">
        <v>1304</v>
      </c>
      <c r="CB270" t="s">
        <v>1295</v>
      </c>
      <c r="CC270" t="s">
        <v>156</v>
      </c>
      <c r="CD270" t="s">
        <v>157</v>
      </c>
      <c r="CJ270" t="s">
        <v>1301</v>
      </c>
      <c r="CK270" t="s">
        <v>1307</v>
      </c>
    </row>
    <row r="271" spans="1:89" x14ac:dyDescent="0.3">
      <c r="A271" t="s">
        <v>1308</v>
      </c>
      <c r="B271" t="s">
        <v>5</v>
      </c>
      <c r="C271" t="s">
        <v>145</v>
      </c>
      <c r="D271">
        <v>200</v>
      </c>
      <c r="E271" t="s">
        <v>146</v>
      </c>
      <c r="F271" t="s">
        <v>147</v>
      </c>
      <c r="H271" t="s">
        <v>1309</v>
      </c>
      <c r="I271">
        <v>35</v>
      </c>
      <c r="J271">
        <v>426</v>
      </c>
      <c r="K271" t="s">
        <v>994</v>
      </c>
      <c r="L271">
        <v>8</v>
      </c>
      <c r="M271">
        <v>92</v>
      </c>
      <c r="N271" t="s">
        <v>1310</v>
      </c>
      <c r="O271">
        <v>48</v>
      </c>
      <c r="P271">
        <v>647</v>
      </c>
      <c r="S271" t="s">
        <v>1311</v>
      </c>
      <c r="T271">
        <v>15</v>
      </c>
      <c r="V271">
        <v>0</v>
      </c>
      <c r="AB271" t="s">
        <v>1308</v>
      </c>
      <c r="AH271">
        <v>502403</v>
      </c>
      <c r="AI271">
        <v>102334</v>
      </c>
      <c r="AJ271">
        <v>102334</v>
      </c>
      <c r="AK271">
        <v>39.877820122000003</v>
      </c>
      <c r="AM271">
        <v>297</v>
      </c>
      <c r="AS271">
        <v>2</v>
      </c>
      <c r="AT271">
        <v>1</v>
      </c>
      <c r="AV271">
        <v>20</v>
      </c>
      <c r="AW271">
        <v>8</v>
      </c>
      <c r="AX271">
        <v>0</v>
      </c>
      <c r="AY271">
        <v>2.0699999999999998</v>
      </c>
      <c r="AZ271">
        <v>109</v>
      </c>
      <c r="BA271">
        <v>56</v>
      </c>
      <c r="BB271">
        <v>0</v>
      </c>
      <c r="BP271" t="s">
        <v>151</v>
      </c>
      <c r="BQ271">
        <v>1.1000000000000001</v>
      </c>
      <c r="BR271" t="s">
        <v>1312</v>
      </c>
      <c r="BS271" t="s">
        <v>1310</v>
      </c>
      <c r="BT271" t="s">
        <v>981</v>
      </c>
      <c r="BU271" t="s">
        <v>150</v>
      </c>
      <c r="BV271" t="s">
        <v>1313</v>
      </c>
      <c r="BW271" t="s">
        <v>1314</v>
      </c>
      <c r="BX271">
        <v>450</v>
      </c>
      <c r="BY271">
        <v>450</v>
      </c>
      <c r="BZ271" t="s">
        <v>1308</v>
      </c>
      <c r="CA271" t="s">
        <v>1312</v>
      </c>
      <c r="CB271" t="s">
        <v>1310</v>
      </c>
      <c r="CC271" t="s">
        <v>156</v>
      </c>
      <c r="CD271" t="s">
        <v>157</v>
      </c>
      <c r="CJ271" t="s">
        <v>1308</v>
      </c>
      <c r="CK271" t="s">
        <v>1315</v>
      </c>
    </row>
    <row r="272" spans="1:89" x14ac:dyDescent="0.3">
      <c r="A272" t="s">
        <v>1316</v>
      </c>
      <c r="B272" t="s">
        <v>5</v>
      </c>
      <c r="C272" t="s">
        <v>145</v>
      </c>
      <c r="D272">
        <v>200</v>
      </c>
      <c r="E272" t="s">
        <v>146</v>
      </c>
      <c r="F272" t="s">
        <v>147</v>
      </c>
      <c r="H272" t="s">
        <v>1317</v>
      </c>
      <c r="I272">
        <v>32</v>
      </c>
      <c r="J272">
        <v>366</v>
      </c>
      <c r="K272" t="s">
        <v>994</v>
      </c>
      <c r="L272">
        <v>8</v>
      </c>
      <c r="M272">
        <v>92</v>
      </c>
      <c r="N272" t="s">
        <v>1318</v>
      </c>
      <c r="O272">
        <v>70</v>
      </c>
      <c r="P272">
        <v>971</v>
      </c>
      <c r="S272" t="s">
        <v>1319</v>
      </c>
      <c r="T272">
        <v>12</v>
      </c>
      <c r="V272">
        <v>0</v>
      </c>
      <c r="AB272" t="s">
        <v>1316</v>
      </c>
      <c r="AH272">
        <v>516038</v>
      </c>
      <c r="AI272">
        <v>103849</v>
      </c>
      <c r="AJ272">
        <v>103849</v>
      </c>
      <c r="AK272">
        <v>40.468189867</v>
      </c>
      <c r="AM272">
        <v>302</v>
      </c>
      <c r="AS272">
        <v>2</v>
      </c>
      <c r="AT272">
        <v>1</v>
      </c>
      <c r="AV272">
        <v>30</v>
      </c>
      <c r="AW272">
        <v>13</v>
      </c>
      <c r="AX272">
        <v>0</v>
      </c>
      <c r="AY272">
        <v>3.36</v>
      </c>
      <c r="AZ272">
        <v>109</v>
      </c>
      <c r="BA272">
        <v>56</v>
      </c>
      <c r="BB272">
        <v>0</v>
      </c>
      <c r="BP272" t="s">
        <v>151</v>
      </c>
      <c r="BQ272">
        <v>1.1000000000000001</v>
      </c>
      <c r="BR272" t="s">
        <v>1320</v>
      </c>
      <c r="BS272" t="s">
        <v>1318</v>
      </c>
      <c r="BT272" t="s">
        <v>981</v>
      </c>
      <c r="BU272" t="s">
        <v>150</v>
      </c>
      <c r="BV272" t="s">
        <v>1321</v>
      </c>
      <c r="BW272" t="s">
        <v>1322</v>
      </c>
      <c r="BX272">
        <v>1000</v>
      </c>
      <c r="BY272">
        <v>1000</v>
      </c>
      <c r="BZ272" t="s">
        <v>1316</v>
      </c>
      <c r="CA272" t="s">
        <v>1320</v>
      </c>
      <c r="CB272" t="s">
        <v>1318</v>
      </c>
      <c r="CC272" t="s">
        <v>156</v>
      </c>
      <c r="CD272" t="s">
        <v>157</v>
      </c>
      <c r="CJ272" t="s">
        <v>1316</v>
      </c>
      <c r="CK272" t="s">
        <v>1031</v>
      </c>
    </row>
    <row r="273" spans="1:89" x14ac:dyDescent="0.3">
      <c r="A273" t="s">
        <v>1323</v>
      </c>
      <c r="B273" t="s">
        <v>5</v>
      </c>
      <c r="C273" t="s">
        <v>145</v>
      </c>
      <c r="D273">
        <v>200</v>
      </c>
      <c r="E273" t="s">
        <v>146</v>
      </c>
      <c r="F273" t="s">
        <v>147</v>
      </c>
      <c r="H273" t="s">
        <v>1324</v>
      </c>
      <c r="I273">
        <v>33</v>
      </c>
      <c r="J273">
        <v>377</v>
      </c>
      <c r="L273">
        <v>0</v>
      </c>
      <c r="M273">
        <v>0</v>
      </c>
      <c r="N273" t="s">
        <v>1325</v>
      </c>
      <c r="O273">
        <v>74</v>
      </c>
      <c r="P273">
        <v>1002</v>
      </c>
      <c r="S273" t="s">
        <v>1326</v>
      </c>
      <c r="T273">
        <v>13</v>
      </c>
      <c r="V273">
        <v>0</v>
      </c>
      <c r="AB273" t="s">
        <v>1323</v>
      </c>
      <c r="AH273">
        <v>495472</v>
      </c>
      <c r="AI273">
        <v>101760</v>
      </c>
      <c r="AJ273">
        <v>101760</v>
      </c>
      <c r="AK273">
        <v>39.65414208</v>
      </c>
      <c r="AM273">
        <v>297</v>
      </c>
      <c r="AS273">
        <v>2</v>
      </c>
      <c r="AT273">
        <v>1</v>
      </c>
      <c r="AV273">
        <v>29</v>
      </c>
      <c r="AW273">
        <v>13</v>
      </c>
      <c r="AX273">
        <v>0</v>
      </c>
      <c r="AY273">
        <v>3.36</v>
      </c>
      <c r="AZ273">
        <v>109</v>
      </c>
      <c r="BA273">
        <v>56</v>
      </c>
      <c r="BB273">
        <v>0</v>
      </c>
      <c r="BP273" t="s">
        <v>151</v>
      </c>
      <c r="BQ273">
        <v>1.1000000000000001</v>
      </c>
      <c r="BR273" t="s">
        <v>1327</v>
      </c>
      <c r="BS273" t="s">
        <v>1325</v>
      </c>
      <c r="BT273" t="s">
        <v>981</v>
      </c>
      <c r="BU273" t="s">
        <v>150</v>
      </c>
      <c r="BV273" t="s">
        <v>1328</v>
      </c>
      <c r="BW273" t="s">
        <v>1329</v>
      </c>
      <c r="BX273">
        <v>450</v>
      </c>
      <c r="BY273">
        <v>451</v>
      </c>
      <c r="BZ273" t="s">
        <v>1323</v>
      </c>
      <c r="CA273" t="s">
        <v>1327</v>
      </c>
      <c r="CB273" t="s">
        <v>1325</v>
      </c>
      <c r="CC273" t="s">
        <v>156</v>
      </c>
      <c r="CD273" t="s">
        <v>157</v>
      </c>
      <c r="CJ273" t="s">
        <v>1323</v>
      </c>
      <c r="CK273" t="s">
        <v>1315</v>
      </c>
    </row>
    <row r="274" spans="1:89" x14ac:dyDescent="0.3">
      <c r="A274" t="s">
        <v>1330</v>
      </c>
      <c r="B274" t="s">
        <v>5</v>
      </c>
      <c r="C274" t="s">
        <v>145</v>
      </c>
      <c r="D274">
        <v>200</v>
      </c>
      <c r="E274" t="s">
        <v>146</v>
      </c>
      <c r="F274" t="s">
        <v>147</v>
      </c>
      <c r="H274" t="s">
        <v>1331</v>
      </c>
      <c r="I274">
        <v>33</v>
      </c>
      <c r="J274">
        <v>377</v>
      </c>
      <c r="L274">
        <v>0</v>
      </c>
      <c r="M274">
        <v>0</v>
      </c>
      <c r="N274" t="s">
        <v>1332</v>
      </c>
      <c r="O274">
        <v>77</v>
      </c>
      <c r="P274">
        <v>1044</v>
      </c>
      <c r="S274" t="s">
        <v>1333</v>
      </c>
      <c r="T274">
        <v>13</v>
      </c>
      <c r="V274">
        <v>0</v>
      </c>
      <c r="AB274" t="s">
        <v>1330</v>
      </c>
      <c r="AH274">
        <v>497383</v>
      </c>
      <c r="AI274">
        <v>101448</v>
      </c>
      <c r="AJ274">
        <v>101448</v>
      </c>
      <c r="AK274">
        <v>39.532560984</v>
      </c>
      <c r="AM274">
        <v>294</v>
      </c>
      <c r="AS274">
        <v>2</v>
      </c>
      <c r="AT274">
        <v>1</v>
      </c>
      <c r="AV274">
        <v>23</v>
      </c>
      <c r="AW274">
        <v>10</v>
      </c>
      <c r="AX274">
        <v>0</v>
      </c>
      <c r="AY274">
        <v>2.58</v>
      </c>
      <c r="AZ274">
        <v>109</v>
      </c>
      <c r="BA274">
        <v>56</v>
      </c>
      <c r="BB274">
        <v>0</v>
      </c>
      <c r="BP274" t="s">
        <v>151</v>
      </c>
      <c r="BQ274">
        <v>1.1000000000000001</v>
      </c>
      <c r="BR274" t="s">
        <v>1334</v>
      </c>
      <c r="BS274" t="s">
        <v>1332</v>
      </c>
      <c r="BT274" t="s">
        <v>981</v>
      </c>
      <c r="BU274" t="s">
        <v>150</v>
      </c>
      <c r="BV274" t="s">
        <v>1335</v>
      </c>
      <c r="BW274" t="s">
        <v>1336</v>
      </c>
      <c r="BX274">
        <v>450</v>
      </c>
      <c r="BY274">
        <v>451</v>
      </c>
      <c r="BZ274" t="s">
        <v>1330</v>
      </c>
      <c r="CA274" t="s">
        <v>1334</v>
      </c>
      <c r="CB274" t="s">
        <v>1332</v>
      </c>
      <c r="CC274" t="s">
        <v>156</v>
      </c>
      <c r="CD274" t="s">
        <v>157</v>
      </c>
      <c r="CJ274" t="s">
        <v>1330</v>
      </c>
      <c r="CK274" t="s">
        <v>737</v>
      </c>
    </row>
    <row r="275" spans="1:89" x14ac:dyDescent="0.3">
      <c r="A275" t="s">
        <v>1337</v>
      </c>
      <c r="B275" t="s">
        <v>5</v>
      </c>
      <c r="C275" t="s">
        <v>145</v>
      </c>
      <c r="D275">
        <v>200</v>
      </c>
      <c r="E275" t="s">
        <v>146</v>
      </c>
      <c r="F275" t="s">
        <v>147</v>
      </c>
      <c r="H275" t="s">
        <v>1338</v>
      </c>
      <c r="I275">
        <v>34</v>
      </c>
      <c r="J275">
        <v>405</v>
      </c>
      <c r="L275">
        <v>0</v>
      </c>
      <c r="M275">
        <v>0</v>
      </c>
      <c r="N275" t="s">
        <v>1339</v>
      </c>
      <c r="O275">
        <v>34</v>
      </c>
      <c r="P275">
        <v>476</v>
      </c>
      <c r="S275" t="s">
        <v>1340</v>
      </c>
      <c r="T275">
        <v>14</v>
      </c>
      <c r="V275">
        <v>0</v>
      </c>
      <c r="AB275" t="s">
        <v>1337</v>
      </c>
      <c r="AH275">
        <v>428329</v>
      </c>
      <c r="AI275">
        <v>91646</v>
      </c>
      <c r="AJ275">
        <v>91646</v>
      </c>
      <c r="AK275">
        <v>35.712888218000003</v>
      </c>
      <c r="AM275">
        <v>241</v>
      </c>
      <c r="AS275">
        <v>2</v>
      </c>
      <c r="AT275">
        <v>1</v>
      </c>
      <c r="AV275">
        <v>19</v>
      </c>
      <c r="AW275">
        <v>7</v>
      </c>
      <c r="AX275">
        <v>0</v>
      </c>
      <c r="AY275">
        <v>1.81</v>
      </c>
      <c r="AZ275">
        <v>108</v>
      </c>
      <c r="BA275">
        <v>55</v>
      </c>
      <c r="BB275">
        <v>0</v>
      </c>
      <c r="BP275" t="s">
        <v>151</v>
      </c>
      <c r="BQ275">
        <v>1.1000000000000001</v>
      </c>
      <c r="BR275" t="s">
        <v>1341</v>
      </c>
      <c r="BS275" t="s">
        <v>1339</v>
      </c>
      <c r="BT275" t="s">
        <v>981</v>
      </c>
      <c r="BU275" t="s">
        <v>150</v>
      </c>
      <c r="BV275" t="s">
        <v>1342</v>
      </c>
      <c r="BW275" t="s">
        <v>1343</v>
      </c>
      <c r="BX275">
        <v>451</v>
      </c>
      <c r="BY275">
        <v>451</v>
      </c>
      <c r="BZ275" t="s">
        <v>1337</v>
      </c>
      <c r="CA275" t="s">
        <v>1341</v>
      </c>
      <c r="CB275" t="s">
        <v>1339</v>
      </c>
      <c r="CC275" t="s">
        <v>156</v>
      </c>
      <c r="CD275" t="s">
        <v>157</v>
      </c>
      <c r="CJ275" t="s">
        <v>1337</v>
      </c>
      <c r="CK275" t="s">
        <v>1344</v>
      </c>
    </row>
    <row r="276" spans="1:89" x14ac:dyDescent="0.3">
      <c r="A276" t="s">
        <v>1345</v>
      </c>
      <c r="B276" t="s">
        <v>5</v>
      </c>
      <c r="C276" t="s">
        <v>145</v>
      </c>
      <c r="D276">
        <v>200</v>
      </c>
      <c r="E276" t="s">
        <v>146</v>
      </c>
      <c r="F276" t="s">
        <v>147</v>
      </c>
      <c r="H276" t="s">
        <v>1346</v>
      </c>
      <c r="I276">
        <v>35</v>
      </c>
      <c r="J276">
        <v>425</v>
      </c>
      <c r="L276">
        <v>0</v>
      </c>
      <c r="M276">
        <v>0</v>
      </c>
      <c r="N276" t="s">
        <v>1347</v>
      </c>
      <c r="O276">
        <v>50</v>
      </c>
      <c r="P276">
        <v>700</v>
      </c>
      <c r="S276" t="s">
        <v>1348</v>
      </c>
      <c r="T276">
        <v>15</v>
      </c>
      <c r="V276">
        <v>0</v>
      </c>
      <c r="AB276" t="s">
        <v>1345</v>
      </c>
      <c r="AH276">
        <v>437155</v>
      </c>
      <c r="AI276">
        <v>93254</v>
      </c>
      <c r="AJ276">
        <v>93254</v>
      </c>
      <c r="AK276">
        <v>36.339498482000003</v>
      </c>
      <c r="AM276">
        <v>243</v>
      </c>
      <c r="AS276">
        <v>2</v>
      </c>
      <c r="AT276">
        <v>1</v>
      </c>
      <c r="AV276">
        <v>19</v>
      </c>
      <c r="AW276">
        <v>7</v>
      </c>
      <c r="AX276">
        <v>0</v>
      </c>
      <c r="AY276">
        <v>1.81</v>
      </c>
      <c r="AZ276">
        <v>108</v>
      </c>
      <c r="BA276">
        <v>55</v>
      </c>
      <c r="BB276">
        <v>0</v>
      </c>
      <c r="BP276" t="s">
        <v>151</v>
      </c>
      <c r="BQ276">
        <v>1.1000000000000001</v>
      </c>
      <c r="BR276" t="s">
        <v>1349</v>
      </c>
      <c r="BS276" t="s">
        <v>1347</v>
      </c>
      <c r="BT276" t="s">
        <v>981</v>
      </c>
      <c r="BU276" t="s">
        <v>150</v>
      </c>
      <c r="BV276" t="s">
        <v>1350</v>
      </c>
      <c r="BW276" t="s">
        <v>1351</v>
      </c>
      <c r="BX276">
        <v>451</v>
      </c>
      <c r="BY276">
        <v>451</v>
      </c>
      <c r="BZ276" t="s">
        <v>1345</v>
      </c>
      <c r="CA276" t="s">
        <v>1349</v>
      </c>
      <c r="CB276" t="s">
        <v>1347</v>
      </c>
      <c r="CC276" t="s">
        <v>156</v>
      </c>
      <c r="CD276" t="s">
        <v>157</v>
      </c>
      <c r="CJ276" t="s">
        <v>1345</v>
      </c>
      <c r="CK276" t="s">
        <v>1344</v>
      </c>
    </row>
    <row r="277" spans="1:89" x14ac:dyDescent="0.3">
      <c r="A277" t="s">
        <v>1352</v>
      </c>
      <c r="B277" t="s">
        <v>5</v>
      </c>
      <c r="C277" t="s">
        <v>145</v>
      </c>
      <c r="D277">
        <v>200</v>
      </c>
      <c r="E277" t="s">
        <v>146</v>
      </c>
      <c r="F277" t="s">
        <v>147</v>
      </c>
      <c r="H277" t="s">
        <v>1353</v>
      </c>
      <c r="I277">
        <v>47</v>
      </c>
      <c r="J277">
        <v>573</v>
      </c>
      <c r="L277">
        <v>0</v>
      </c>
      <c r="M277">
        <v>0</v>
      </c>
      <c r="N277" t="s">
        <v>1354</v>
      </c>
      <c r="O277">
        <v>67</v>
      </c>
      <c r="P277">
        <v>908</v>
      </c>
      <c r="S277" t="s">
        <v>1355</v>
      </c>
      <c r="T277">
        <v>14</v>
      </c>
      <c r="V277">
        <v>0</v>
      </c>
      <c r="AB277" t="s">
        <v>1352</v>
      </c>
      <c r="AH277">
        <v>391095</v>
      </c>
      <c r="AI277">
        <v>85705</v>
      </c>
      <c r="AJ277">
        <v>85705</v>
      </c>
      <c r="AK277">
        <v>33.397781515000013</v>
      </c>
      <c r="AM277">
        <v>215</v>
      </c>
      <c r="AS277">
        <v>2</v>
      </c>
      <c r="AT277">
        <v>1</v>
      </c>
      <c r="AV277">
        <v>23</v>
      </c>
      <c r="AW277">
        <v>10</v>
      </c>
      <c r="AX277">
        <v>0</v>
      </c>
      <c r="AY277">
        <v>2.58</v>
      </c>
      <c r="AZ277">
        <v>108</v>
      </c>
      <c r="BA277">
        <v>55</v>
      </c>
      <c r="BB277">
        <v>0</v>
      </c>
      <c r="BP277" t="s">
        <v>151</v>
      </c>
      <c r="BQ277">
        <v>1.1000000000000001</v>
      </c>
      <c r="BR277" t="s">
        <v>1356</v>
      </c>
      <c r="BS277" t="s">
        <v>1354</v>
      </c>
      <c r="BT277" t="s">
        <v>981</v>
      </c>
      <c r="BU277" t="s">
        <v>150</v>
      </c>
      <c r="BV277" t="s">
        <v>1357</v>
      </c>
      <c r="BW277" t="s">
        <v>1358</v>
      </c>
      <c r="BX277">
        <v>1000</v>
      </c>
      <c r="BY277">
        <v>1000</v>
      </c>
      <c r="BZ277" t="s">
        <v>1352</v>
      </c>
      <c r="CA277" t="s">
        <v>1356</v>
      </c>
      <c r="CB277" t="s">
        <v>1354</v>
      </c>
      <c r="CC277" t="s">
        <v>156</v>
      </c>
      <c r="CD277" t="s">
        <v>157</v>
      </c>
      <c r="CJ277" t="s">
        <v>1352</v>
      </c>
      <c r="CK277" t="s">
        <v>866</v>
      </c>
    </row>
    <row r="278" spans="1:89" x14ac:dyDescent="0.3">
      <c r="A278" t="s">
        <v>1359</v>
      </c>
      <c r="B278" t="s">
        <v>5</v>
      </c>
      <c r="C278" t="s">
        <v>145</v>
      </c>
      <c r="D278">
        <v>200</v>
      </c>
      <c r="E278" t="s">
        <v>146</v>
      </c>
      <c r="F278" t="s">
        <v>147</v>
      </c>
      <c r="H278" t="s">
        <v>1360</v>
      </c>
      <c r="I278">
        <v>35</v>
      </c>
      <c r="J278">
        <v>444</v>
      </c>
      <c r="L278">
        <v>0</v>
      </c>
      <c r="M278">
        <v>0</v>
      </c>
      <c r="N278" t="s">
        <v>1361</v>
      </c>
      <c r="O278">
        <v>11</v>
      </c>
      <c r="P278">
        <v>154</v>
      </c>
      <c r="S278" t="s">
        <v>1362</v>
      </c>
      <c r="T278">
        <v>15</v>
      </c>
      <c r="V278">
        <v>0</v>
      </c>
      <c r="AB278" t="s">
        <v>1359</v>
      </c>
      <c r="AH278">
        <v>387100</v>
      </c>
      <c r="AI278">
        <v>84586</v>
      </c>
      <c r="AJ278">
        <v>84586</v>
      </c>
      <c r="AK278">
        <v>32.961726237999997</v>
      </c>
      <c r="AM278">
        <v>207</v>
      </c>
      <c r="AS278">
        <v>2</v>
      </c>
      <c r="AT278">
        <v>1</v>
      </c>
      <c r="AV278">
        <v>11</v>
      </c>
      <c r="AW278">
        <v>3</v>
      </c>
      <c r="AX278">
        <v>0</v>
      </c>
      <c r="AY278">
        <v>0.78</v>
      </c>
      <c r="AZ278">
        <v>108</v>
      </c>
      <c r="BA278">
        <v>55</v>
      </c>
      <c r="BB278">
        <v>0</v>
      </c>
      <c r="BP278" t="s">
        <v>151</v>
      </c>
      <c r="BQ278">
        <v>1.1000000000000001</v>
      </c>
      <c r="BR278" t="s">
        <v>1363</v>
      </c>
      <c r="BS278" t="s">
        <v>1361</v>
      </c>
      <c r="BT278" t="s">
        <v>981</v>
      </c>
      <c r="BU278" t="s">
        <v>150</v>
      </c>
      <c r="BV278" t="s">
        <v>1364</v>
      </c>
      <c r="BW278" t="s">
        <v>1365</v>
      </c>
      <c r="BX278">
        <v>450</v>
      </c>
      <c r="BY278">
        <v>450</v>
      </c>
      <c r="BZ278" t="s">
        <v>1359</v>
      </c>
      <c r="CA278" t="s">
        <v>1363</v>
      </c>
      <c r="CB278" t="s">
        <v>1361</v>
      </c>
      <c r="CC278" t="s">
        <v>156</v>
      </c>
      <c r="CD278" t="s">
        <v>157</v>
      </c>
      <c r="CJ278" t="s">
        <v>1359</v>
      </c>
      <c r="CK278" t="s">
        <v>1366</v>
      </c>
    </row>
    <row r="279" spans="1:89" x14ac:dyDescent="0.3">
      <c r="A279" t="s">
        <v>1367</v>
      </c>
      <c r="B279" t="s">
        <v>5</v>
      </c>
      <c r="C279" t="s">
        <v>145</v>
      </c>
      <c r="D279">
        <v>200</v>
      </c>
      <c r="E279" t="s">
        <v>146</v>
      </c>
      <c r="F279" t="s">
        <v>147</v>
      </c>
      <c r="H279" t="s">
        <v>1368</v>
      </c>
      <c r="I279">
        <v>35</v>
      </c>
      <c r="J279">
        <v>444</v>
      </c>
      <c r="L279">
        <v>0</v>
      </c>
      <c r="M279">
        <v>0</v>
      </c>
      <c r="N279" t="s">
        <v>1369</v>
      </c>
      <c r="O279">
        <v>26</v>
      </c>
      <c r="P279">
        <v>364</v>
      </c>
      <c r="S279" t="s">
        <v>1370</v>
      </c>
      <c r="T279">
        <v>15</v>
      </c>
      <c r="V279">
        <v>0</v>
      </c>
      <c r="AB279" t="s">
        <v>1367</v>
      </c>
      <c r="AH279">
        <v>387377</v>
      </c>
      <c r="AI279">
        <v>84391</v>
      </c>
      <c r="AJ279">
        <v>84391</v>
      </c>
      <c r="AK279">
        <v>32.885738052999997</v>
      </c>
      <c r="AM279">
        <v>208</v>
      </c>
      <c r="AS279">
        <v>2</v>
      </c>
      <c r="AT279">
        <v>1</v>
      </c>
      <c r="AV279">
        <v>11</v>
      </c>
      <c r="AW279">
        <v>3</v>
      </c>
      <c r="AX279">
        <v>0</v>
      </c>
      <c r="AY279">
        <v>0.78</v>
      </c>
      <c r="AZ279">
        <v>108</v>
      </c>
      <c r="BA279">
        <v>55</v>
      </c>
      <c r="BB279">
        <v>0</v>
      </c>
      <c r="BP279" t="s">
        <v>151</v>
      </c>
      <c r="BQ279">
        <v>1.1000000000000001</v>
      </c>
      <c r="BR279" t="s">
        <v>1371</v>
      </c>
      <c r="BS279" t="s">
        <v>1369</v>
      </c>
      <c r="BT279" t="s">
        <v>981</v>
      </c>
      <c r="BU279" t="s">
        <v>150</v>
      </c>
      <c r="BV279" t="s">
        <v>1372</v>
      </c>
      <c r="BW279" t="s">
        <v>1373</v>
      </c>
      <c r="BX279">
        <v>450</v>
      </c>
      <c r="BY279">
        <v>450</v>
      </c>
      <c r="BZ279" t="s">
        <v>1367</v>
      </c>
      <c r="CA279" t="s">
        <v>1371</v>
      </c>
      <c r="CB279" t="s">
        <v>1369</v>
      </c>
      <c r="CC279" t="s">
        <v>156</v>
      </c>
      <c r="CD279" t="s">
        <v>157</v>
      </c>
      <c r="CJ279" t="s">
        <v>1367</v>
      </c>
      <c r="CK279" t="s">
        <v>1374</v>
      </c>
    </row>
    <row r="280" spans="1:89" x14ac:dyDescent="0.3">
      <c r="A280" t="s">
        <v>1375</v>
      </c>
      <c r="B280" t="s">
        <v>5</v>
      </c>
      <c r="C280" t="s">
        <v>145</v>
      </c>
      <c r="D280">
        <v>200</v>
      </c>
      <c r="E280" t="s">
        <v>146</v>
      </c>
      <c r="F280" t="s">
        <v>147</v>
      </c>
      <c r="H280" t="s">
        <v>1376</v>
      </c>
      <c r="I280">
        <v>32</v>
      </c>
      <c r="J280">
        <v>365</v>
      </c>
      <c r="L280">
        <v>0</v>
      </c>
      <c r="M280">
        <v>0</v>
      </c>
      <c r="N280" t="s">
        <v>1377</v>
      </c>
      <c r="O280">
        <v>24</v>
      </c>
      <c r="P280">
        <v>336</v>
      </c>
      <c r="S280" t="s">
        <v>1378</v>
      </c>
      <c r="T280">
        <v>12</v>
      </c>
      <c r="V280">
        <v>0</v>
      </c>
      <c r="AB280" t="s">
        <v>1375</v>
      </c>
      <c r="AH280">
        <v>545367</v>
      </c>
      <c r="AI280">
        <v>105967</v>
      </c>
      <c r="AJ280">
        <v>105967</v>
      </c>
      <c r="AK280">
        <v>41.293538460999997</v>
      </c>
      <c r="AM280">
        <v>323</v>
      </c>
      <c r="AS280">
        <v>2</v>
      </c>
      <c r="AT280">
        <v>1</v>
      </c>
      <c r="AV280">
        <v>14</v>
      </c>
      <c r="AW280">
        <v>5</v>
      </c>
      <c r="AX280">
        <v>0</v>
      </c>
      <c r="AY280">
        <v>1.29</v>
      </c>
      <c r="AZ280">
        <v>110</v>
      </c>
      <c r="BA280">
        <v>57</v>
      </c>
      <c r="BB280">
        <v>0</v>
      </c>
      <c r="BP280" t="s">
        <v>151</v>
      </c>
      <c r="BQ280">
        <v>1.1000000000000001</v>
      </c>
      <c r="BR280" t="s">
        <v>1379</v>
      </c>
      <c r="BS280" t="s">
        <v>1377</v>
      </c>
      <c r="BT280" t="s">
        <v>981</v>
      </c>
      <c r="BU280" t="s">
        <v>150</v>
      </c>
      <c r="BV280" t="s">
        <v>1380</v>
      </c>
      <c r="BW280" t="s">
        <v>1381</v>
      </c>
      <c r="BX280">
        <v>451</v>
      </c>
      <c r="BY280">
        <v>451</v>
      </c>
      <c r="BZ280" t="s">
        <v>1375</v>
      </c>
      <c r="CA280" t="s">
        <v>1379</v>
      </c>
      <c r="CB280" t="s">
        <v>1377</v>
      </c>
      <c r="CC280" t="s">
        <v>156</v>
      </c>
      <c r="CD280" t="s">
        <v>157</v>
      </c>
      <c r="CJ280" t="s">
        <v>1375</v>
      </c>
      <c r="CK280" t="s">
        <v>1286</v>
      </c>
    </row>
    <row r="281" spans="1:89" x14ac:dyDescent="0.3">
      <c r="A281" t="s">
        <v>1382</v>
      </c>
      <c r="B281" t="s">
        <v>5</v>
      </c>
      <c r="C281" t="s">
        <v>145</v>
      </c>
      <c r="D281">
        <v>200</v>
      </c>
      <c r="E281" t="s">
        <v>146</v>
      </c>
      <c r="F281" t="s">
        <v>147</v>
      </c>
      <c r="H281" t="s">
        <v>1383</v>
      </c>
      <c r="I281">
        <v>33</v>
      </c>
      <c r="J281">
        <v>372</v>
      </c>
      <c r="L281">
        <v>0</v>
      </c>
      <c r="M281">
        <v>0</v>
      </c>
      <c r="N281" t="s">
        <v>1384</v>
      </c>
      <c r="O281">
        <v>23</v>
      </c>
      <c r="P281">
        <v>322</v>
      </c>
      <c r="S281" t="s">
        <v>1385</v>
      </c>
      <c r="T281">
        <v>13</v>
      </c>
      <c r="V281">
        <v>0</v>
      </c>
      <c r="AB281" t="s">
        <v>1382</v>
      </c>
      <c r="AH281">
        <v>491222</v>
      </c>
      <c r="AI281">
        <v>99969</v>
      </c>
      <c r="AJ281">
        <v>99969</v>
      </c>
      <c r="AK281">
        <v>38.956219827000012</v>
      </c>
      <c r="AM281">
        <v>278</v>
      </c>
      <c r="AS281">
        <v>3</v>
      </c>
      <c r="AT281">
        <v>1</v>
      </c>
      <c r="AV281">
        <v>12</v>
      </c>
      <c r="AW281">
        <v>4</v>
      </c>
      <c r="AX281">
        <v>0</v>
      </c>
      <c r="AY281">
        <v>1.03</v>
      </c>
      <c r="AZ281">
        <v>110</v>
      </c>
      <c r="BA281">
        <v>57</v>
      </c>
      <c r="BB281">
        <v>0</v>
      </c>
      <c r="BP281" t="s">
        <v>151</v>
      </c>
      <c r="BQ281">
        <v>1.1000000000000001</v>
      </c>
      <c r="BR281" t="s">
        <v>1386</v>
      </c>
      <c r="BS281" t="s">
        <v>1384</v>
      </c>
      <c r="BT281" t="s">
        <v>981</v>
      </c>
      <c r="BU281" t="s">
        <v>150</v>
      </c>
      <c r="BV281" t="s">
        <v>1387</v>
      </c>
      <c r="BW281" t="s">
        <v>1388</v>
      </c>
      <c r="BX281">
        <v>450</v>
      </c>
      <c r="BY281">
        <v>450</v>
      </c>
      <c r="BZ281" t="s">
        <v>1382</v>
      </c>
      <c r="CA281" t="s">
        <v>1386</v>
      </c>
      <c r="CB281" t="s">
        <v>1384</v>
      </c>
      <c r="CC281" t="s">
        <v>156</v>
      </c>
      <c r="CD281" t="s">
        <v>157</v>
      </c>
      <c r="CJ281" t="s">
        <v>1382</v>
      </c>
      <c r="CK281" t="s">
        <v>1250</v>
      </c>
    </row>
    <row r="282" spans="1:89" x14ac:dyDescent="0.3">
      <c r="A282" t="s">
        <v>1389</v>
      </c>
      <c r="B282" t="s">
        <v>5</v>
      </c>
      <c r="C282" t="s">
        <v>145</v>
      </c>
      <c r="D282">
        <v>200</v>
      </c>
      <c r="E282" t="s">
        <v>146</v>
      </c>
      <c r="F282" t="s">
        <v>147</v>
      </c>
      <c r="H282" t="s">
        <v>1390</v>
      </c>
      <c r="I282">
        <v>31</v>
      </c>
      <c r="J282">
        <v>345</v>
      </c>
      <c r="L282">
        <v>0</v>
      </c>
      <c r="M282">
        <v>0</v>
      </c>
      <c r="N282" t="s">
        <v>1391</v>
      </c>
      <c r="O282">
        <v>30</v>
      </c>
      <c r="P282">
        <v>420</v>
      </c>
      <c r="S282" t="s">
        <v>1392</v>
      </c>
      <c r="T282">
        <v>11</v>
      </c>
      <c r="V282">
        <v>0</v>
      </c>
      <c r="AB282" t="s">
        <v>1389</v>
      </c>
      <c r="AH282">
        <v>641807</v>
      </c>
      <c r="AI282">
        <v>119492</v>
      </c>
      <c r="AJ282">
        <v>119492</v>
      </c>
      <c r="AK282">
        <v>46.564001036000001</v>
      </c>
      <c r="AM282">
        <v>338</v>
      </c>
      <c r="AS282">
        <v>3</v>
      </c>
      <c r="AT282">
        <v>1</v>
      </c>
      <c r="AV282">
        <v>11</v>
      </c>
      <c r="AW282">
        <v>3</v>
      </c>
      <c r="AX282">
        <v>0</v>
      </c>
      <c r="AY282">
        <v>0.78</v>
      </c>
      <c r="AZ282">
        <v>108</v>
      </c>
      <c r="BA282">
        <v>55</v>
      </c>
      <c r="BB282">
        <v>0</v>
      </c>
      <c r="BP282" t="s">
        <v>151</v>
      </c>
      <c r="BQ282">
        <v>1.1000000000000001</v>
      </c>
      <c r="BR282" t="s">
        <v>1393</v>
      </c>
      <c r="BS282" t="s">
        <v>1391</v>
      </c>
      <c r="BT282" t="s">
        <v>981</v>
      </c>
      <c r="BU282" t="s">
        <v>150</v>
      </c>
      <c r="BV282" t="s">
        <v>1394</v>
      </c>
      <c r="BW282" t="s">
        <v>1395</v>
      </c>
      <c r="BX282">
        <v>451</v>
      </c>
      <c r="BY282">
        <v>451</v>
      </c>
      <c r="BZ282" t="s">
        <v>1389</v>
      </c>
      <c r="CA282" t="s">
        <v>1393</v>
      </c>
      <c r="CB282" t="s">
        <v>1391</v>
      </c>
      <c r="CC282" t="s">
        <v>156</v>
      </c>
      <c r="CD282" t="s">
        <v>157</v>
      </c>
      <c r="CJ282" t="s">
        <v>1389</v>
      </c>
      <c r="CK282" t="s">
        <v>837</v>
      </c>
    </row>
    <row r="283" spans="1:89" x14ac:dyDescent="0.3">
      <c r="A283" t="s">
        <v>1396</v>
      </c>
      <c r="B283" t="s">
        <v>5</v>
      </c>
      <c r="C283" t="s">
        <v>145</v>
      </c>
      <c r="D283">
        <v>200</v>
      </c>
      <c r="E283" t="s">
        <v>146</v>
      </c>
      <c r="F283" t="s">
        <v>147</v>
      </c>
      <c r="H283" t="s">
        <v>1397</v>
      </c>
      <c r="I283">
        <v>33</v>
      </c>
      <c r="J283">
        <v>404</v>
      </c>
      <c r="L283">
        <v>0</v>
      </c>
      <c r="M283">
        <v>0</v>
      </c>
      <c r="N283" t="s">
        <v>1398</v>
      </c>
      <c r="O283">
        <v>21</v>
      </c>
      <c r="P283">
        <v>294</v>
      </c>
      <c r="S283" t="s">
        <v>1399</v>
      </c>
      <c r="T283">
        <v>13</v>
      </c>
      <c r="V283">
        <v>0</v>
      </c>
      <c r="AB283" t="s">
        <v>1396</v>
      </c>
      <c r="AH283">
        <v>387055</v>
      </c>
      <c r="AI283">
        <v>84218</v>
      </c>
      <c r="AJ283">
        <v>84218</v>
      </c>
      <c r="AK283">
        <v>32.818322893999998</v>
      </c>
      <c r="AM283">
        <v>210</v>
      </c>
      <c r="AS283">
        <v>2</v>
      </c>
      <c r="AT283">
        <v>1</v>
      </c>
      <c r="AV283">
        <v>11</v>
      </c>
      <c r="AW283">
        <v>3</v>
      </c>
      <c r="AX283">
        <v>0</v>
      </c>
      <c r="AY283">
        <v>0.78</v>
      </c>
      <c r="AZ283">
        <v>108</v>
      </c>
      <c r="BA283">
        <v>55</v>
      </c>
      <c r="BB283">
        <v>0</v>
      </c>
      <c r="BP283" t="s">
        <v>151</v>
      </c>
      <c r="BQ283">
        <v>1.1000000000000001</v>
      </c>
      <c r="BR283" t="s">
        <v>1400</v>
      </c>
      <c r="BS283" t="s">
        <v>1398</v>
      </c>
      <c r="BT283" t="s">
        <v>981</v>
      </c>
      <c r="BU283" t="s">
        <v>150</v>
      </c>
      <c r="BV283" t="s">
        <v>1401</v>
      </c>
      <c r="BW283" t="s">
        <v>1402</v>
      </c>
      <c r="BX283">
        <v>450</v>
      </c>
      <c r="BY283">
        <v>450</v>
      </c>
      <c r="BZ283" t="s">
        <v>1396</v>
      </c>
      <c r="CA283" t="s">
        <v>1400</v>
      </c>
      <c r="CB283" t="s">
        <v>1398</v>
      </c>
      <c r="CC283" t="s">
        <v>156</v>
      </c>
      <c r="CD283" t="s">
        <v>157</v>
      </c>
      <c r="CJ283" t="s">
        <v>1396</v>
      </c>
      <c r="CK283" t="s">
        <v>1403</v>
      </c>
    </row>
    <row r="284" spans="1:89" x14ac:dyDescent="0.3">
      <c r="A284" t="s">
        <v>1404</v>
      </c>
      <c r="B284" t="s">
        <v>5</v>
      </c>
      <c r="C284" t="s">
        <v>145</v>
      </c>
      <c r="D284">
        <v>200</v>
      </c>
      <c r="E284" t="s">
        <v>146</v>
      </c>
      <c r="F284" t="s">
        <v>147</v>
      </c>
      <c r="H284" t="s">
        <v>1405</v>
      </c>
      <c r="I284">
        <v>35</v>
      </c>
      <c r="J284">
        <v>444</v>
      </c>
      <c r="L284">
        <v>0</v>
      </c>
      <c r="M284">
        <v>0</v>
      </c>
      <c r="N284" t="s">
        <v>1406</v>
      </c>
      <c r="O284">
        <v>9</v>
      </c>
      <c r="P284">
        <v>126</v>
      </c>
      <c r="S284" t="s">
        <v>1407</v>
      </c>
      <c r="T284">
        <v>15</v>
      </c>
      <c r="V284">
        <v>0</v>
      </c>
      <c r="AB284" t="s">
        <v>1404</v>
      </c>
      <c r="AH284">
        <v>387028</v>
      </c>
      <c r="AI284">
        <v>84076</v>
      </c>
      <c r="AJ284">
        <v>84076</v>
      </c>
      <c r="AK284">
        <v>32.762987907999999</v>
      </c>
      <c r="AM284">
        <v>208</v>
      </c>
      <c r="AS284">
        <v>2</v>
      </c>
      <c r="AT284">
        <v>1</v>
      </c>
      <c r="AV284">
        <v>11</v>
      </c>
      <c r="AW284">
        <v>3</v>
      </c>
      <c r="AX284">
        <v>0</v>
      </c>
      <c r="AY284">
        <v>0.78</v>
      </c>
      <c r="AZ284">
        <v>108</v>
      </c>
      <c r="BA284">
        <v>55</v>
      </c>
      <c r="BB284">
        <v>0</v>
      </c>
      <c r="BP284" t="s">
        <v>151</v>
      </c>
      <c r="BQ284">
        <v>1.1000000000000001</v>
      </c>
      <c r="BR284" t="s">
        <v>1408</v>
      </c>
      <c r="BS284" t="s">
        <v>1406</v>
      </c>
      <c r="BT284" t="s">
        <v>981</v>
      </c>
      <c r="BU284" t="s">
        <v>150</v>
      </c>
      <c r="BV284" t="s">
        <v>1409</v>
      </c>
      <c r="BW284" t="s">
        <v>1410</v>
      </c>
      <c r="BX284">
        <v>450</v>
      </c>
      <c r="BY284">
        <v>450</v>
      </c>
      <c r="BZ284" t="s">
        <v>1404</v>
      </c>
      <c r="CA284" t="s">
        <v>1408</v>
      </c>
      <c r="CB284" t="s">
        <v>1406</v>
      </c>
      <c r="CC284" t="s">
        <v>156</v>
      </c>
      <c r="CD284" t="s">
        <v>157</v>
      </c>
      <c r="CJ284" t="s">
        <v>1404</v>
      </c>
      <c r="CK284" t="s">
        <v>663</v>
      </c>
    </row>
    <row r="285" spans="1:89" x14ac:dyDescent="0.3">
      <c r="A285" t="s">
        <v>1411</v>
      </c>
      <c r="B285" t="s">
        <v>5</v>
      </c>
      <c r="C285" t="s">
        <v>145</v>
      </c>
      <c r="D285">
        <v>200</v>
      </c>
      <c r="E285" t="s">
        <v>146</v>
      </c>
      <c r="F285" t="s">
        <v>147</v>
      </c>
      <c r="H285" t="s">
        <v>1412</v>
      </c>
      <c r="I285">
        <v>34</v>
      </c>
      <c r="J285">
        <v>424</v>
      </c>
      <c r="L285">
        <v>0</v>
      </c>
      <c r="M285">
        <v>0</v>
      </c>
      <c r="N285" t="s">
        <v>1413</v>
      </c>
      <c r="O285">
        <v>13</v>
      </c>
      <c r="P285">
        <v>182</v>
      </c>
      <c r="S285" t="s">
        <v>1414</v>
      </c>
      <c r="T285">
        <v>14</v>
      </c>
      <c r="V285">
        <v>0</v>
      </c>
      <c r="AB285" t="s">
        <v>1411</v>
      </c>
      <c r="AH285">
        <v>387263</v>
      </c>
      <c r="AI285">
        <v>84017</v>
      </c>
      <c r="AJ285">
        <v>84017</v>
      </c>
      <c r="AK285">
        <v>32.739996611000002</v>
      </c>
      <c r="AM285">
        <v>208</v>
      </c>
      <c r="AS285">
        <v>2</v>
      </c>
      <c r="AT285">
        <v>1</v>
      </c>
      <c r="AV285">
        <v>11</v>
      </c>
      <c r="AW285">
        <v>3</v>
      </c>
      <c r="AX285">
        <v>0</v>
      </c>
      <c r="AY285">
        <v>0.78</v>
      </c>
      <c r="AZ285">
        <v>108</v>
      </c>
      <c r="BA285">
        <v>55</v>
      </c>
      <c r="BB285">
        <v>0</v>
      </c>
      <c r="BP285" t="s">
        <v>151</v>
      </c>
      <c r="BQ285">
        <v>1.1000000000000001</v>
      </c>
      <c r="BR285" t="s">
        <v>1415</v>
      </c>
      <c r="BS285" t="s">
        <v>1413</v>
      </c>
      <c r="BT285" t="s">
        <v>981</v>
      </c>
      <c r="BU285" t="s">
        <v>150</v>
      </c>
      <c r="BV285" t="s">
        <v>1416</v>
      </c>
      <c r="BW285" t="s">
        <v>1417</v>
      </c>
      <c r="BX285">
        <v>450</v>
      </c>
      <c r="BY285">
        <v>450</v>
      </c>
      <c r="BZ285" t="s">
        <v>1411</v>
      </c>
      <c r="CA285" t="s">
        <v>1415</v>
      </c>
      <c r="CB285" t="s">
        <v>1413</v>
      </c>
      <c r="CC285" t="s">
        <v>156</v>
      </c>
      <c r="CD285" t="s">
        <v>157</v>
      </c>
      <c r="CJ285" t="s">
        <v>1411</v>
      </c>
      <c r="CK285" t="s">
        <v>1403</v>
      </c>
    </row>
    <row r="286" spans="1:89" x14ac:dyDescent="0.3">
      <c r="A286" t="s">
        <v>1418</v>
      </c>
      <c r="B286" t="s">
        <v>5</v>
      </c>
      <c r="C286" t="s">
        <v>145</v>
      </c>
      <c r="D286">
        <v>200</v>
      </c>
      <c r="E286" t="s">
        <v>146</v>
      </c>
      <c r="F286" t="s">
        <v>147</v>
      </c>
      <c r="H286" t="s">
        <v>1419</v>
      </c>
      <c r="I286">
        <v>34</v>
      </c>
      <c r="J286">
        <v>397</v>
      </c>
      <c r="K286" t="s">
        <v>1420</v>
      </c>
      <c r="L286">
        <v>14</v>
      </c>
      <c r="M286">
        <v>218</v>
      </c>
      <c r="N286" t="s">
        <v>1421</v>
      </c>
      <c r="O286">
        <v>49</v>
      </c>
      <c r="P286">
        <v>686</v>
      </c>
      <c r="S286" t="s">
        <v>1420</v>
      </c>
      <c r="T286">
        <v>14</v>
      </c>
      <c r="V286">
        <v>0</v>
      </c>
      <c r="AB286" t="s">
        <v>1418</v>
      </c>
      <c r="AH286">
        <v>518213</v>
      </c>
      <c r="AI286">
        <v>103847</v>
      </c>
      <c r="AJ286">
        <v>103847</v>
      </c>
      <c r="AK286">
        <v>40.467410501000003</v>
      </c>
      <c r="AM286">
        <v>318</v>
      </c>
      <c r="AS286">
        <v>2</v>
      </c>
      <c r="AT286">
        <v>1</v>
      </c>
      <c r="AV286">
        <v>17</v>
      </c>
      <c r="AW286">
        <v>6</v>
      </c>
      <c r="AX286">
        <v>0</v>
      </c>
      <c r="AY286">
        <v>1.55</v>
      </c>
      <c r="AZ286">
        <v>108</v>
      </c>
      <c r="BA286">
        <v>55</v>
      </c>
      <c r="BB286">
        <v>0</v>
      </c>
      <c r="BP286" t="s">
        <v>151</v>
      </c>
      <c r="BQ286">
        <v>1.1000000000000001</v>
      </c>
      <c r="BR286" t="s">
        <v>1422</v>
      </c>
      <c r="BS286" t="s">
        <v>1421</v>
      </c>
      <c r="BT286" t="s">
        <v>981</v>
      </c>
      <c r="BU286" t="s">
        <v>150</v>
      </c>
      <c r="BV286" t="s">
        <v>1423</v>
      </c>
      <c r="BW286" t="s">
        <v>1424</v>
      </c>
      <c r="BX286">
        <v>450</v>
      </c>
      <c r="BY286">
        <v>451</v>
      </c>
      <c r="BZ286" t="s">
        <v>1418</v>
      </c>
      <c r="CA286" t="s">
        <v>1422</v>
      </c>
      <c r="CB286" t="s">
        <v>1421</v>
      </c>
      <c r="CC286" t="s">
        <v>156</v>
      </c>
      <c r="CD286" t="s">
        <v>157</v>
      </c>
      <c r="CJ286" t="s">
        <v>1418</v>
      </c>
      <c r="CK286" t="s">
        <v>1425</v>
      </c>
    </row>
    <row r="287" spans="1:89" x14ac:dyDescent="0.3">
      <c r="A287" t="s">
        <v>1426</v>
      </c>
      <c r="B287" t="s">
        <v>5</v>
      </c>
      <c r="C287" t="s">
        <v>145</v>
      </c>
      <c r="D287">
        <v>200</v>
      </c>
      <c r="E287" t="s">
        <v>146</v>
      </c>
      <c r="F287" t="s">
        <v>147</v>
      </c>
      <c r="H287" t="s">
        <v>1427</v>
      </c>
      <c r="I287">
        <v>35</v>
      </c>
      <c r="J287">
        <v>417</v>
      </c>
      <c r="L287">
        <v>0</v>
      </c>
      <c r="M287">
        <v>0</v>
      </c>
      <c r="N287" t="s">
        <v>1428</v>
      </c>
      <c r="O287">
        <v>25</v>
      </c>
      <c r="P287">
        <v>350</v>
      </c>
      <c r="S287" t="s">
        <v>1429</v>
      </c>
      <c r="T287">
        <v>15</v>
      </c>
      <c r="V287">
        <v>0</v>
      </c>
      <c r="AB287" t="s">
        <v>1426</v>
      </c>
      <c r="AH287">
        <v>388765</v>
      </c>
      <c r="AI287">
        <v>85153</v>
      </c>
      <c r="AJ287">
        <v>85153</v>
      </c>
      <c r="AK287">
        <v>33.182676499000003</v>
      </c>
      <c r="AM287">
        <v>213</v>
      </c>
      <c r="AS287">
        <v>5</v>
      </c>
      <c r="AT287">
        <v>1</v>
      </c>
      <c r="AV287">
        <v>11</v>
      </c>
      <c r="AW287">
        <v>3</v>
      </c>
      <c r="AX287">
        <v>0</v>
      </c>
      <c r="AY287">
        <v>0.78</v>
      </c>
      <c r="AZ287">
        <v>108</v>
      </c>
      <c r="BA287">
        <v>55</v>
      </c>
      <c r="BB287">
        <v>0</v>
      </c>
      <c r="BP287" t="s">
        <v>151</v>
      </c>
      <c r="BQ287">
        <v>1.1000000000000001</v>
      </c>
      <c r="BR287" t="s">
        <v>1430</v>
      </c>
      <c r="BS287" t="s">
        <v>1428</v>
      </c>
      <c r="BT287" t="s">
        <v>981</v>
      </c>
      <c r="BU287" t="s">
        <v>150</v>
      </c>
      <c r="BV287" t="s">
        <v>1431</v>
      </c>
      <c r="BW287" t="s">
        <v>1432</v>
      </c>
      <c r="BX287">
        <v>450</v>
      </c>
      <c r="BY287">
        <v>450</v>
      </c>
      <c r="BZ287" t="s">
        <v>1426</v>
      </c>
      <c r="CA287" t="s">
        <v>1430</v>
      </c>
      <c r="CB287" t="s">
        <v>1428</v>
      </c>
      <c r="CC287" t="s">
        <v>156</v>
      </c>
      <c r="CD287" t="s">
        <v>157</v>
      </c>
      <c r="CJ287" t="s">
        <v>1426</v>
      </c>
      <c r="CK287" t="s">
        <v>483</v>
      </c>
    </row>
    <row r="288" spans="1:89" x14ac:dyDescent="0.3">
      <c r="A288" t="s">
        <v>1433</v>
      </c>
      <c r="B288" t="s">
        <v>5</v>
      </c>
      <c r="C288" t="s">
        <v>145</v>
      </c>
      <c r="D288">
        <v>200</v>
      </c>
      <c r="E288" t="s">
        <v>146</v>
      </c>
      <c r="F288" t="s">
        <v>147</v>
      </c>
      <c r="H288" t="s">
        <v>1434</v>
      </c>
      <c r="I288">
        <v>35</v>
      </c>
      <c r="J288">
        <v>429</v>
      </c>
      <c r="L288">
        <v>0</v>
      </c>
      <c r="M288">
        <v>0</v>
      </c>
      <c r="N288" t="s">
        <v>1435</v>
      </c>
      <c r="O288">
        <v>55</v>
      </c>
      <c r="P288">
        <v>770</v>
      </c>
      <c r="S288" t="s">
        <v>1436</v>
      </c>
      <c r="T288">
        <v>15</v>
      </c>
      <c r="V288">
        <v>0</v>
      </c>
      <c r="AB288" t="s">
        <v>1433</v>
      </c>
      <c r="AH288">
        <v>478985</v>
      </c>
      <c r="AI288">
        <v>98732</v>
      </c>
      <c r="AJ288">
        <v>98732</v>
      </c>
      <c r="AK288">
        <v>38.474181956000002</v>
      </c>
      <c r="AM288">
        <v>297</v>
      </c>
      <c r="AS288">
        <v>2</v>
      </c>
      <c r="AT288">
        <v>1</v>
      </c>
      <c r="AV288">
        <v>30</v>
      </c>
      <c r="AW288">
        <v>13</v>
      </c>
      <c r="AX288">
        <v>0</v>
      </c>
      <c r="AY288">
        <v>3.36</v>
      </c>
      <c r="AZ288">
        <v>108</v>
      </c>
      <c r="BA288">
        <v>55</v>
      </c>
      <c r="BB288">
        <v>0</v>
      </c>
      <c r="BP288" t="s">
        <v>151</v>
      </c>
      <c r="BQ288">
        <v>1.1000000000000001</v>
      </c>
      <c r="BR288" t="s">
        <v>1437</v>
      </c>
      <c r="BS288" t="s">
        <v>1435</v>
      </c>
      <c r="BT288" t="s">
        <v>981</v>
      </c>
      <c r="BU288" t="s">
        <v>150</v>
      </c>
      <c r="BV288" t="s">
        <v>1438</v>
      </c>
      <c r="BW288" t="s">
        <v>1439</v>
      </c>
      <c r="BX288">
        <v>450</v>
      </c>
      <c r="BY288">
        <v>450</v>
      </c>
      <c r="BZ288" t="s">
        <v>1433</v>
      </c>
      <c r="CA288" t="s">
        <v>1437</v>
      </c>
      <c r="CB288" t="s">
        <v>1435</v>
      </c>
      <c r="CC288" t="s">
        <v>156</v>
      </c>
      <c r="CD288" t="s">
        <v>157</v>
      </c>
      <c r="CJ288" t="s">
        <v>1433</v>
      </c>
      <c r="CK288" t="s">
        <v>1440</v>
      </c>
    </row>
    <row r="289" spans="1:89" x14ac:dyDescent="0.3">
      <c r="A289" t="s">
        <v>1441</v>
      </c>
      <c r="B289" t="s">
        <v>5</v>
      </c>
      <c r="C289" t="s">
        <v>145</v>
      </c>
      <c r="D289">
        <v>200</v>
      </c>
      <c r="E289" t="s">
        <v>146</v>
      </c>
      <c r="F289" t="s">
        <v>147</v>
      </c>
      <c r="H289" t="s">
        <v>1442</v>
      </c>
      <c r="I289">
        <v>34</v>
      </c>
      <c r="J289">
        <v>406</v>
      </c>
      <c r="L289">
        <v>0</v>
      </c>
      <c r="M289">
        <v>0</v>
      </c>
      <c r="N289" t="s">
        <v>1443</v>
      </c>
      <c r="O289">
        <v>47</v>
      </c>
      <c r="P289">
        <v>657</v>
      </c>
      <c r="S289" t="s">
        <v>1444</v>
      </c>
      <c r="T289">
        <v>14</v>
      </c>
      <c r="V289">
        <v>0</v>
      </c>
      <c r="AB289" t="s">
        <v>1441</v>
      </c>
      <c r="AH289">
        <v>390936</v>
      </c>
      <c r="AI289">
        <v>85863</v>
      </c>
      <c r="AJ289">
        <v>85863</v>
      </c>
      <c r="AK289">
        <v>33.459351429000002</v>
      </c>
      <c r="AM289">
        <v>235</v>
      </c>
      <c r="AS289">
        <v>2</v>
      </c>
      <c r="AT289">
        <v>1</v>
      </c>
      <c r="AV289">
        <v>31</v>
      </c>
      <c r="AW289">
        <v>13</v>
      </c>
      <c r="AX289">
        <v>0</v>
      </c>
      <c r="AY289">
        <v>3.36</v>
      </c>
      <c r="AZ289">
        <v>108</v>
      </c>
      <c r="BA289">
        <v>55</v>
      </c>
      <c r="BB289">
        <v>0</v>
      </c>
      <c r="BP289" t="s">
        <v>151</v>
      </c>
      <c r="BQ289">
        <v>1.1000000000000001</v>
      </c>
      <c r="BR289" t="s">
        <v>1445</v>
      </c>
      <c r="BS289" t="s">
        <v>1443</v>
      </c>
      <c r="BT289" t="s">
        <v>981</v>
      </c>
      <c r="BU289" t="s">
        <v>150</v>
      </c>
      <c r="BV289" t="s">
        <v>1446</v>
      </c>
      <c r="BW289" t="s">
        <v>1447</v>
      </c>
      <c r="BX289">
        <v>1000</v>
      </c>
      <c r="BY289">
        <v>1000</v>
      </c>
      <c r="BZ289" t="s">
        <v>1441</v>
      </c>
      <c r="CA289" t="s">
        <v>1445</v>
      </c>
      <c r="CB289" t="s">
        <v>1443</v>
      </c>
      <c r="CC289" t="s">
        <v>156</v>
      </c>
      <c r="CD289" t="s">
        <v>157</v>
      </c>
      <c r="CJ289" t="s">
        <v>1441</v>
      </c>
      <c r="CK289" t="s">
        <v>1063</v>
      </c>
    </row>
    <row r="290" spans="1:89" x14ac:dyDescent="0.3">
      <c r="A290" t="s">
        <v>1448</v>
      </c>
      <c r="B290" t="s">
        <v>5</v>
      </c>
      <c r="C290" t="s">
        <v>145</v>
      </c>
      <c r="D290">
        <v>200</v>
      </c>
      <c r="E290" t="s">
        <v>146</v>
      </c>
      <c r="F290" t="s">
        <v>147</v>
      </c>
      <c r="H290" t="s">
        <v>1449</v>
      </c>
      <c r="I290">
        <v>37</v>
      </c>
      <c r="J290">
        <v>457</v>
      </c>
      <c r="L290">
        <v>0</v>
      </c>
      <c r="M290">
        <v>0</v>
      </c>
      <c r="N290" t="s">
        <v>1050</v>
      </c>
      <c r="O290">
        <v>48</v>
      </c>
      <c r="P290">
        <v>671</v>
      </c>
      <c r="S290" t="s">
        <v>1450</v>
      </c>
      <c r="T290">
        <v>17</v>
      </c>
      <c r="V290">
        <v>0</v>
      </c>
      <c r="AB290" t="s">
        <v>1448</v>
      </c>
      <c r="AH290">
        <v>391386</v>
      </c>
      <c r="AI290">
        <v>86003</v>
      </c>
      <c r="AJ290">
        <v>86003</v>
      </c>
      <c r="AK290">
        <v>33.513907048999997</v>
      </c>
      <c r="AM290">
        <v>245</v>
      </c>
      <c r="AS290">
        <v>2</v>
      </c>
      <c r="AT290">
        <v>1</v>
      </c>
      <c r="AV290">
        <v>32</v>
      </c>
      <c r="AW290">
        <v>14</v>
      </c>
      <c r="AX290">
        <v>0</v>
      </c>
      <c r="AY290">
        <v>3.62</v>
      </c>
      <c r="AZ290">
        <v>108</v>
      </c>
      <c r="BA290">
        <v>55</v>
      </c>
      <c r="BB290">
        <v>0</v>
      </c>
      <c r="BP290" t="s">
        <v>151</v>
      </c>
      <c r="BQ290">
        <v>1.1000000000000001</v>
      </c>
      <c r="BR290" t="s">
        <v>1451</v>
      </c>
      <c r="BS290" t="s">
        <v>1050</v>
      </c>
      <c r="BT290" t="s">
        <v>981</v>
      </c>
      <c r="BU290" t="s">
        <v>150</v>
      </c>
      <c r="BV290" t="s">
        <v>1452</v>
      </c>
      <c r="BW290" t="s">
        <v>1453</v>
      </c>
      <c r="BX290">
        <v>1000</v>
      </c>
      <c r="BY290">
        <v>1000</v>
      </c>
      <c r="BZ290" t="s">
        <v>1448</v>
      </c>
      <c r="CA290" t="s">
        <v>1451</v>
      </c>
      <c r="CB290" t="s">
        <v>1050</v>
      </c>
      <c r="CC290" t="s">
        <v>156</v>
      </c>
      <c r="CD290" t="s">
        <v>157</v>
      </c>
      <c r="CJ290" t="s">
        <v>1448</v>
      </c>
      <c r="CK290" t="s">
        <v>1374</v>
      </c>
    </row>
    <row r="291" spans="1:89" x14ac:dyDescent="0.3">
      <c r="A291" t="s">
        <v>1454</v>
      </c>
      <c r="B291" t="s">
        <v>5</v>
      </c>
      <c r="C291" t="s">
        <v>145</v>
      </c>
      <c r="D291">
        <v>200</v>
      </c>
      <c r="E291" t="s">
        <v>146</v>
      </c>
      <c r="F291" t="s">
        <v>147</v>
      </c>
      <c r="H291" t="s">
        <v>1455</v>
      </c>
      <c r="I291">
        <v>44</v>
      </c>
      <c r="J291">
        <v>577</v>
      </c>
      <c r="L291">
        <v>0</v>
      </c>
      <c r="M291">
        <v>0</v>
      </c>
      <c r="N291" t="s">
        <v>1050</v>
      </c>
      <c r="O291">
        <v>48</v>
      </c>
      <c r="P291">
        <v>671</v>
      </c>
      <c r="S291" t="s">
        <v>1456</v>
      </c>
      <c r="T291">
        <v>24</v>
      </c>
      <c r="V291">
        <v>0</v>
      </c>
      <c r="AB291" t="s">
        <v>1454</v>
      </c>
      <c r="AH291">
        <v>390774</v>
      </c>
      <c r="AI291">
        <v>86064</v>
      </c>
      <c r="AJ291">
        <v>86064</v>
      </c>
      <c r="AK291">
        <v>33.537677711999997</v>
      </c>
      <c r="AM291">
        <v>242</v>
      </c>
      <c r="AS291">
        <v>2</v>
      </c>
      <c r="AT291">
        <v>1</v>
      </c>
      <c r="AV291">
        <v>23</v>
      </c>
      <c r="AW291">
        <v>9</v>
      </c>
      <c r="AX291">
        <v>0</v>
      </c>
      <c r="AY291">
        <v>2.33</v>
      </c>
      <c r="AZ291">
        <v>108</v>
      </c>
      <c r="BA291">
        <v>55</v>
      </c>
      <c r="BB291">
        <v>0</v>
      </c>
      <c r="BP291" t="s">
        <v>151</v>
      </c>
      <c r="BQ291">
        <v>1.1000000000000001</v>
      </c>
      <c r="BR291" t="s">
        <v>1457</v>
      </c>
      <c r="BS291" t="s">
        <v>1050</v>
      </c>
      <c r="BT291" t="s">
        <v>981</v>
      </c>
      <c r="BU291" t="s">
        <v>150</v>
      </c>
      <c r="BV291" t="s">
        <v>1458</v>
      </c>
      <c r="BW291" t="s">
        <v>1459</v>
      </c>
      <c r="BX291">
        <v>1000</v>
      </c>
      <c r="BY291">
        <v>1000</v>
      </c>
      <c r="BZ291" t="s">
        <v>1454</v>
      </c>
      <c r="CA291" t="s">
        <v>1457</v>
      </c>
      <c r="CB291" t="s">
        <v>1050</v>
      </c>
      <c r="CC291" t="s">
        <v>156</v>
      </c>
      <c r="CD291" t="s">
        <v>157</v>
      </c>
      <c r="CJ291" t="s">
        <v>1454</v>
      </c>
      <c r="CK291" t="s">
        <v>502</v>
      </c>
    </row>
    <row r="292" spans="1:89" x14ac:dyDescent="0.3">
      <c r="A292" t="s">
        <v>1460</v>
      </c>
      <c r="B292" t="s">
        <v>5</v>
      </c>
      <c r="C292" t="s">
        <v>145</v>
      </c>
      <c r="D292">
        <v>200</v>
      </c>
      <c r="E292" t="s">
        <v>146</v>
      </c>
      <c r="F292" t="s">
        <v>147</v>
      </c>
      <c r="H292" t="s">
        <v>1461</v>
      </c>
      <c r="I292">
        <v>41</v>
      </c>
      <c r="J292">
        <v>530</v>
      </c>
      <c r="L292">
        <v>0</v>
      </c>
      <c r="M292">
        <v>0</v>
      </c>
      <c r="N292" t="s">
        <v>1050</v>
      </c>
      <c r="O292">
        <v>48</v>
      </c>
      <c r="P292">
        <v>671</v>
      </c>
      <c r="S292" t="s">
        <v>1462</v>
      </c>
      <c r="T292">
        <v>21</v>
      </c>
      <c r="V292">
        <v>0</v>
      </c>
      <c r="AB292" t="s">
        <v>1460</v>
      </c>
      <c r="AH292">
        <v>391841</v>
      </c>
      <c r="AI292">
        <v>86577</v>
      </c>
      <c r="AJ292">
        <v>86577</v>
      </c>
      <c r="AK292">
        <v>33.737585091</v>
      </c>
      <c r="AM292">
        <v>240</v>
      </c>
      <c r="AS292">
        <v>2</v>
      </c>
      <c r="AT292">
        <v>1</v>
      </c>
      <c r="AV292">
        <v>23</v>
      </c>
      <c r="AW292">
        <v>9</v>
      </c>
      <c r="AX292">
        <v>0</v>
      </c>
      <c r="AY292">
        <v>2.33</v>
      </c>
      <c r="AZ292">
        <v>108</v>
      </c>
      <c r="BA292">
        <v>55</v>
      </c>
      <c r="BB292">
        <v>0</v>
      </c>
      <c r="BP292" t="s">
        <v>151</v>
      </c>
      <c r="BQ292">
        <v>1.1000000000000001</v>
      </c>
      <c r="BR292" t="s">
        <v>1463</v>
      </c>
      <c r="BS292" t="s">
        <v>1050</v>
      </c>
      <c r="BT292" t="s">
        <v>981</v>
      </c>
      <c r="BU292" t="s">
        <v>150</v>
      </c>
      <c r="BV292" t="s">
        <v>1464</v>
      </c>
      <c r="BW292" t="s">
        <v>1465</v>
      </c>
      <c r="BX292">
        <v>1000</v>
      </c>
      <c r="BY292">
        <v>1000</v>
      </c>
      <c r="BZ292" t="s">
        <v>1460</v>
      </c>
      <c r="CA292" t="s">
        <v>1463</v>
      </c>
      <c r="CB292" t="s">
        <v>1050</v>
      </c>
      <c r="CC292" t="s">
        <v>156</v>
      </c>
      <c r="CD292" t="s">
        <v>157</v>
      </c>
      <c r="CJ292" t="s">
        <v>1460</v>
      </c>
      <c r="CK292" t="s">
        <v>797</v>
      </c>
    </row>
    <row r="293" spans="1:89" x14ac:dyDescent="0.3">
      <c r="A293" t="s">
        <v>1466</v>
      </c>
      <c r="B293" t="s">
        <v>5</v>
      </c>
      <c r="C293" t="s">
        <v>145</v>
      </c>
      <c r="D293">
        <v>200</v>
      </c>
      <c r="E293" t="s">
        <v>146</v>
      </c>
      <c r="F293" t="s">
        <v>147</v>
      </c>
      <c r="H293" t="s">
        <v>1467</v>
      </c>
      <c r="I293">
        <v>38</v>
      </c>
      <c r="J293">
        <v>486</v>
      </c>
      <c r="L293">
        <v>0</v>
      </c>
      <c r="M293">
        <v>0</v>
      </c>
      <c r="N293" t="s">
        <v>1468</v>
      </c>
      <c r="O293">
        <v>49</v>
      </c>
      <c r="P293">
        <v>686</v>
      </c>
      <c r="S293" t="s">
        <v>1469</v>
      </c>
      <c r="T293">
        <v>18</v>
      </c>
      <c r="V293">
        <v>0</v>
      </c>
      <c r="AB293" t="s">
        <v>1466</v>
      </c>
      <c r="AH293">
        <v>506838</v>
      </c>
      <c r="AI293">
        <v>102435</v>
      </c>
      <c r="AJ293">
        <v>102435</v>
      </c>
      <c r="AK293">
        <v>39.917178104999998</v>
      </c>
      <c r="AM293">
        <v>311</v>
      </c>
      <c r="AS293">
        <v>2</v>
      </c>
      <c r="AT293">
        <v>1</v>
      </c>
      <c r="AV293">
        <v>26</v>
      </c>
      <c r="AW293">
        <v>11</v>
      </c>
      <c r="AX293">
        <v>0</v>
      </c>
      <c r="AY293">
        <v>2.84</v>
      </c>
      <c r="AZ293">
        <v>110</v>
      </c>
      <c r="BA293">
        <v>57</v>
      </c>
      <c r="BB293">
        <v>0</v>
      </c>
      <c r="BP293" t="s">
        <v>151</v>
      </c>
      <c r="BQ293">
        <v>1.1000000000000001</v>
      </c>
      <c r="BR293" t="s">
        <v>1470</v>
      </c>
      <c r="BS293" t="s">
        <v>1468</v>
      </c>
      <c r="BT293" t="s">
        <v>981</v>
      </c>
      <c r="BU293" t="s">
        <v>150</v>
      </c>
      <c r="BV293" t="s">
        <v>1471</v>
      </c>
      <c r="BW293" t="s">
        <v>1472</v>
      </c>
      <c r="BX293">
        <v>1000</v>
      </c>
      <c r="BY293">
        <v>1000</v>
      </c>
      <c r="BZ293" t="s">
        <v>1466</v>
      </c>
      <c r="CA293" t="s">
        <v>1470</v>
      </c>
      <c r="CB293" t="s">
        <v>1468</v>
      </c>
      <c r="CC293" t="s">
        <v>156</v>
      </c>
      <c r="CD293" t="s">
        <v>157</v>
      </c>
      <c r="CJ293" t="s">
        <v>1466</v>
      </c>
      <c r="CK293" t="s">
        <v>1300</v>
      </c>
    </row>
    <row r="294" spans="1:89" x14ac:dyDescent="0.3">
      <c r="A294" t="s">
        <v>1473</v>
      </c>
      <c r="B294" t="s">
        <v>5</v>
      </c>
      <c r="C294" t="s">
        <v>145</v>
      </c>
      <c r="D294">
        <v>200</v>
      </c>
      <c r="E294" t="s">
        <v>146</v>
      </c>
      <c r="F294" t="s">
        <v>147</v>
      </c>
      <c r="H294" t="s">
        <v>1474</v>
      </c>
      <c r="I294">
        <v>36</v>
      </c>
      <c r="J294">
        <v>437</v>
      </c>
      <c r="K294" t="s">
        <v>994</v>
      </c>
      <c r="L294">
        <v>8</v>
      </c>
      <c r="M294">
        <v>92</v>
      </c>
      <c r="N294" t="s">
        <v>1475</v>
      </c>
      <c r="O294">
        <v>37</v>
      </c>
      <c r="P294">
        <v>518</v>
      </c>
      <c r="S294" t="s">
        <v>1476</v>
      </c>
      <c r="T294">
        <v>16</v>
      </c>
      <c r="V294">
        <v>0</v>
      </c>
      <c r="AB294" t="s">
        <v>1473</v>
      </c>
      <c r="AH294">
        <v>541615</v>
      </c>
      <c r="AI294">
        <v>105773</v>
      </c>
      <c r="AJ294">
        <v>105773</v>
      </c>
      <c r="AK294">
        <v>41.217939958999999</v>
      </c>
      <c r="AM294">
        <v>303</v>
      </c>
      <c r="AS294">
        <v>2</v>
      </c>
      <c r="AT294">
        <v>1</v>
      </c>
      <c r="AV294">
        <v>25</v>
      </c>
      <c r="AW294">
        <v>10</v>
      </c>
      <c r="AX294">
        <v>0</v>
      </c>
      <c r="AY294">
        <v>2.58</v>
      </c>
      <c r="AZ294">
        <v>110</v>
      </c>
      <c r="BA294">
        <v>56</v>
      </c>
      <c r="BB294">
        <v>0</v>
      </c>
      <c r="BP294" t="s">
        <v>151</v>
      </c>
      <c r="BQ294">
        <v>1.1000000000000001</v>
      </c>
      <c r="BR294" t="s">
        <v>1477</v>
      </c>
      <c r="BS294" t="s">
        <v>1475</v>
      </c>
      <c r="BT294" t="s">
        <v>981</v>
      </c>
      <c r="BU294" t="s">
        <v>150</v>
      </c>
      <c r="BV294" t="s">
        <v>1478</v>
      </c>
      <c r="BW294" t="s">
        <v>1479</v>
      </c>
      <c r="BX294">
        <v>450</v>
      </c>
      <c r="BY294">
        <v>450</v>
      </c>
      <c r="BZ294" t="s">
        <v>1473</v>
      </c>
      <c r="CA294" t="s">
        <v>1477</v>
      </c>
      <c r="CB294" t="s">
        <v>1475</v>
      </c>
      <c r="CC294" t="s">
        <v>156</v>
      </c>
      <c r="CD294" t="s">
        <v>157</v>
      </c>
      <c r="CJ294" t="s">
        <v>1473</v>
      </c>
      <c r="CK294" t="s">
        <v>1440</v>
      </c>
    </row>
    <row r="295" spans="1:89" x14ac:dyDescent="0.3">
      <c r="A295" t="s">
        <v>1480</v>
      </c>
      <c r="B295" t="s">
        <v>5</v>
      </c>
      <c r="C295" t="s">
        <v>145</v>
      </c>
      <c r="D295">
        <v>200</v>
      </c>
      <c r="E295" t="s">
        <v>146</v>
      </c>
      <c r="F295" t="s">
        <v>147</v>
      </c>
      <c r="H295" t="s">
        <v>1481</v>
      </c>
      <c r="I295">
        <v>35</v>
      </c>
      <c r="J295">
        <v>417</v>
      </c>
      <c r="L295">
        <v>0</v>
      </c>
      <c r="M295">
        <v>0</v>
      </c>
      <c r="N295" t="s">
        <v>1482</v>
      </c>
      <c r="O295">
        <v>34</v>
      </c>
      <c r="P295">
        <v>476</v>
      </c>
      <c r="S295" t="s">
        <v>1483</v>
      </c>
      <c r="T295">
        <v>15</v>
      </c>
      <c r="V295">
        <v>0</v>
      </c>
      <c r="AB295" t="s">
        <v>1480</v>
      </c>
      <c r="AH295">
        <v>473752</v>
      </c>
      <c r="AI295">
        <v>99125</v>
      </c>
      <c r="AJ295">
        <v>99125</v>
      </c>
      <c r="AK295">
        <v>38.627327375</v>
      </c>
      <c r="AM295">
        <v>301</v>
      </c>
      <c r="AS295">
        <v>2</v>
      </c>
      <c r="AT295">
        <v>1</v>
      </c>
      <c r="AV295">
        <v>19</v>
      </c>
      <c r="AW295">
        <v>7</v>
      </c>
      <c r="AX295">
        <v>0</v>
      </c>
      <c r="AY295">
        <v>1.81</v>
      </c>
      <c r="AZ295">
        <v>108</v>
      </c>
      <c r="BA295">
        <v>55</v>
      </c>
      <c r="BB295">
        <v>0</v>
      </c>
      <c r="BP295" t="s">
        <v>151</v>
      </c>
      <c r="BQ295">
        <v>1.1000000000000001</v>
      </c>
      <c r="BR295" t="s">
        <v>1484</v>
      </c>
      <c r="BS295" t="s">
        <v>1482</v>
      </c>
      <c r="BT295" t="s">
        <v>981</v>
      </c>
      <c r="BU295" t="s">
        <v>150</v>
      </c>
      <c r="BV295" t="s">
        <v>1485</v>
      </c>
      <c r="BW295" t="s">
        <v>1486</v>
      </c>
      <c r="BX295">
        <v>450</v>
      </c>
      <c r="BY295">
        <v>451</v>
      </c>
      <c r="BZ295" t="s">
        <v>1480</v>
      </c>
      <c r="CA295" t="s">
        <v>1484</v>
      </c>
      <c r="CB295" t="s">
        <v>1482</v>
      </c>
      <c r="CC295" t="s">
        <v>156</v>
      </c>
      <c r="CD295" t="s">
        <v>157</v>
      </c>
      <c r="CJ295" t="s">
        <v>1480</v>
      </c>
      <c r="CK295" t="s">
        <v>555</v>
      </c>
    </row>
    <row r="296" spans="1:89" x14ac:dyDescent="0.3">
      <c r="A296" t="s">
        <v>1487</v>
      </c>
      <c r="B296" t="s">
        <v>5</v>
      </c>
      <c r="C296" t="s">
        <v>145</v>
      </c>
      <c r="D296">
        <v>200</v>
      </c>
      <c r="E296" t="s">
        <v>146</v>
      </c>
      <c r="F296" t="s">
        <v>147</v>
      </c>
      <c r="H296" t="s">
        <v>1488</v>
      </c>
      <c r="I296">
        <v>50</v>
      </c>
      <c r="J296">
        <v>596</v>
      </c>
      <c r="L296">
        <v>0</v>
      </c>
      <c r="M296">
        <v>0</v>
      </c>
      <c r="N296" t="s">
        <v>1489</v>
      </c>
      <c r="O296">
        <v>50</v>
      </c>
      <c r="P296">
        <v>690</v>
      </c>
      <c r="S296" t="s">
        <v>1490</v>
      </c>
      <c r="T296">
        <v>30</v>
      </c>
      <c r="V296">
        <v>0</v>
      </c>
      <c r="AB296" t="s">
        <v>1487</v>
      </c>
      <c r="AH296">
        <v>413905</v>
      </c>
      <c r="AI296">
        <v>87283</v>
      </c>
      <c r="AJ296">
        <v>87283</v>
      </c>
      <c r="AK296">
        <v>34.012701289000013</v>
      </c>
      <c r="AM296">
        <v>238</v>
      </c>
      <c r="AS296">
        <v>2</v>
      </c>
      <c r="AT296">
        <v>1</v>
      </c>
      <c r="AV296">
        <v>26</v>
      </c>
      <c r="AW296">
        <v>11</v>
      </c>
      <c r="AX296">
        <v>0</v>
      </c>
      <c r="AY296">
        <v>2.84</v>
      </c>
      <c r="AZ296">
        <v>108</v>
      </c>
      <c r="BA296">
        <v>55</v>
      </c>
      <c r="BB296">
        <v>0</v>
      </c>
      <c r="BP296" t="s">
        <v>151</v>
      </c>
      <c r="BQ296">
        <v>1.1000000000000001</v>
      </c>
      <c r="BR296" t="s">
        <v>1491</v>
      </c>
      <c r="BS296" t="s">
        <v>1489</v>
      </c>
      <c r="BT296" t="s">
        <v>981</v>
      </c>
      <c r="BU296" t="s">
        <v>150</v>
      </c>
      <c r="BV296" t="s">
        <v>1492</v>
      </c>
      <c r="BW296" t="s">
        <v>1493</v>
      </c>
      <c r="BX296">
        <v>450</v>
      </c>
      <c r="BY296">
        <v>450</v>
      </c>
      <c r="BZ296" t="s">
        <v>1487</v>
      </c>
      <c r="CA296" t="s">
        <v>1491</v>
      </c>
      <c r="CB296" t="s">
        <v>1489</v>
      </c>
      <c r="CC296" t="s">
        <v>156</v>
      </c>
      <c r="CD296" t="s">
        <v>157</v>
      </c>
      <c r="CJ296" t="s">
        <v>1487</v>
      </c>
      <c r="CK296" t="s">
        <v>1494</v>
      </c>
    </row>
    <row r="297" spans="1:89" x14ac:dyDescent="0.3">
      <c r="A297" t="s">
        <v>1495</v>
      </c>
      <c r="B297" t="s">
        <v>5</v>
      </c>
      <c r="C297" t="s">
        <v>145</v>
      </c>
      <c r="D297">
        <v>200</v>
      </c>
      <c r="E297" t="s">
        <v>146</v>
      </c>
      <c r="F297" t="s">
        <v>147</v>
      </c>
      <c r="H297" t="s">
        <v>1496</v>
      </c>
      <c r="I297">
        <v>36</v>
      </c>
      <c r="J297">
        <v>437</v>
      </c>
      <c r="K297" t="s">
        <v>994</v>
      </c>
      <c r="L297">
        <v>8</v>
      </c>
      <c r="M297">
        <v>92</v>
      </c>
      <c r="N297" t="s">
        <v>1497</v>
      </c>
      <c r="O297">
        <v>49</v>
      </c>
      <c r="P297">
        <v>686</v>
      </c>
      <c r="S297" t="s">
        <v>1498</v>
      </c>
      <c r="T297">
        <v>16</v>
      </c>
      <c r="V297">
        <v>0</v>
      </c>
      <c r="AB297" t="s">
        <v>1495</v>
      </c>
      <c r="AH297">
        <v>517473</v>
      </c>
      <c r="AI297">
        <v>103387</v>
      </c>
      <c r="AJ297">
        <v>103387</v>
      </c>
      <c r="AK297">
        <v>40.288156321000002</v>
      </c>
      <c r="AM297">
        <v>310</v>
      </c>
      <c r="AS297">
        <v>2</v>
      </c>
      <c r="AT297">
        <v>1</v>
      </c>
      <c r="AV297">
        <v>31</v>
      </c>
      <c r="AW297">
        <v>15</v>
      </c>
      <c r="AX297">
        <v>0</v>
      </c>
      <c r="AY297">
        <v>3.88</v>
      </c>
      <c r="AZ297">
        <v>109</v>
      </c>
      <c r="BA297">
        <v>56</v>
      </c>
      <c r="BB297">
        <v>0</v>
      </c>
      <c r="BP297" t="s">
        <v>151</v>
      </c>
      <c r="BQ297">
        <v>1.1000000000000001</v>
      </c>
      <c r="BR297" t="s">
        <v>1499</v>
      </c>
      <c r="BS297" t="s">
        <v>1497</v>
      </c>
      <c r="BT297" t="s">
        <v>981</v>
      </c>
      <c r="BU297" t="s">
        <v>150</v>
      </c>
      <c r="BV297" t="s">
        <v>1500</v>
      </c>
      <c r="BW297" t="s">
        <v>1501</v>
      </c>
      <c r="BX297">
        <v>450</v>
      </c>
      <c r="BY297">
        <v>450</v>
      </c>
      <c r="BZ297" t="s">
        <v>1495</v>
      </c>
      <c r="CA297" t="s">
        <v>1499</v>
      </c>
      <c r="CB297" t="s">
        <v>1497</v>
      </c>
      <c r="CC297" t="s">
        <v>156</v>
      </c>
      <c r="CD297" t="s">
        <v>157</v>
      </c>
      <c r="CJ297" t="s">
        <v>1495</v>
      </c>
      <c r="CK297" t="s">
        <v>991</v>
      </c>
    </row>
    <row r="298" spans="1:89" x14ac:dyDescent="0.3">
      <c r="A298" t="s">
        <v>1502</v>
      </c>
      <c r="B298" t="s">
        <v>5</v>
      </c>
      <c r="C298" t="s">
        <v>145</v>
      </c>
      <c r="D298">
        <v>200</v>
      </c>
      <c r="E298" t="s">
        <v>146</v>
      </c>
      <c r="F298" t="s">
        <v>147</v>
      </c>
      <c r="H298" t="s">
        <v>1503</v>
      </c>
      <c r="I298">
        <v>52</v>
      </c>
      <c r="J298">
        <v>609</v>
      </c>
      <c r="L298">
        <v>0</v>
      </c>
      <c r="M298">
        <v>0</v>
      </c>
      <c r="N298" t="s">
        <v>1504</v>
      </c>
      <c r="O298">
        <v>24</v>
      </c>
      <c r="P298">
        <v>305</v>
      </c>
      <c r="S298" t="s">
        <v>1504</v>
      </c>
      <c r="T298">
        <v>24</v>
      </c>
      <c r="V298">
        <v>0</v>
      </c>
      <c r="AB298" t="s">
        <v>1502</v>
      </c>
      <c r="AH298">
        <v>392075</v>
      </c>
      <c r="AI298">
        <v>85472</v>
      </c>
      <c r="AJ298">
        <v>85472</v>
      </c>
      <c r="AK298">
        <v>33.306985376</v>
      </c>
      <c r="AM298">
        <v>217</v>
      </c>
      <c r="AS298">
        <v>2</v>
      </c>
      <c r="AT298">
        <v>1</v>
      </c>
      <c r="AV298">
        <v>25</v>
      </c>
      <c r="AW298">
        <v>10</v>
      </c>
      <c r="AX298">
        <v>0</v>
      </c>
      <c r="AY298">
        <v>2.58</v>
      </c>
      <c r="AZ298">
        <v>108</v>
      </c>
      <c r="BA298">
        <v>55</v>
      </c>
      <c r="BB298">
        <v>0</v>
      </c>
      <c r="BP298" t="s">
        <v>151</v>
      </c>
      <c r="BQ298">
        <v>1.1000000000000001</v>
      </c>
      <c r="BR298" t="s">
        <v>1505</v>
      </c>
      <c r="BS298" t="s">
        <v>1504</v>
      </c>
      <c r="BT298" t="s">
        <v>981</v>
      </c>
      <c r="BU298" t="s">
        <v>150</v>
      </c>
      <c r="BV298" t="s">
        <v>1506</v>
      </c>
      <c r="BW298" t="s">
        <v>1507</v>
      </c>
      <c r="BX298">
        <v>1000</v>
      </c>
      <c r="BY298">
        <v>1000</v>
      </c>
      <c r="BZ298" t="s">
        <v>1502</v>
      </c>
      <c r="CA298" t="s">
        <v>1505</v>
      </c>
      <c r="CB298" t="s">
        <v>1504</v>
      </c>
      <c r="CC298" t="s">
        <v>156</v>
      </c>
      <c r="CD298" t="s">
        <v>157</v>
      </c>
      <c r="CJ298" t="s">
        <v>1502</v>
      </c>
      <c r="CK298" t="s">
        <v>1508</v>
      </c>
    </row>
    <row r="299" spans="1:89" x14ac:dyDescent="0.3">
      <c r="A299" t="s">
        <v>1509</v>
      </c>
      <c r="B299" t="s">
        <v>5</v>
      </c>
      <c r="C299" t="s">
        <v>145</v>
      </c>
      <c r="D299">
        <v>200</v>
      </c>
      <c r="E299" t="s">
        <v>146</v>
      </c>
      <c r="F299" t="s">
        <v>147</v>
      </c>
      <c r="H299" t="s">
        <v>1510</v>
      </c>
      <c r="I299">
        <v>34</v>
      </c>
      <c r="J299">
        <v>406</v>
      </c>
      <c r="L299">
        <v>0</v>
      </c>
      <c r="M299">
        <v>0</v>
      </c>
      <c r="N299" t="s">
        <v>1511</v>
      </c>
      <c r="O299">
        <v>43</v>
      </c>
      <c r="P299">
        <v>602</v>
      </c>
      <c r="S299" t="s">
        <v>1512</v>
      </c>
      <c r="T299">
        <v>14</v>
      </c>
      <c r="V299">
        <v>0</v>
      </c>
      <c r="AB299" t="s">
        <v>1509</v>
      </c>
      <c r="AH299">
        <v>524974</v>
      </c>
      <c r="AI299">
        <v>105131</v>
      </c>
      <c r="AJ299">
        <v>105131</v>
      </c>
      <c r="AK299">
        <v>40.967763472999998</v>
      </c>
      <c r="AM299">
        <v>321</v>
      </c>
      <c r="AS299">
        <v>2</v>
      </c>
      <c r="AT299">
        <v>1</v>
      </c>
      <c r="AV299">
        <v>40</v>
      </c>
      <c r="AW299">
        <v>20</v>
      </c>
      <c r="AX299">
        <v>0</v>
      </c>
      <c r="AY299">
        <v>5.17</v>
      </c>
      <c r="AZ299">
        <v>111</v>
      </c>
      <c r="BA299">
        <v>57</v>
      </c>
      <c r="BB299">
        <v>0</v>
      </c>
      <c r="BP299" t="s">
        <v>151</v>
      </c>
      <c r="BQ299">
        <v>1.1000000000000001</v>
      </c>
      <c r="BR299" t="s">
        <v>1513</v>
      </c>
      <c r="BS299" t="s">
        <v>1511</v>
      </c>
      <c r="BT299" t="s">
        <v>981</v>
      </c>
      <c r="BU299" t="s">
        <v>150</v>
      </c>
      <c r="BV299" t="s">
        <v>1514</v>
      </c>
      <c r="BW299" t="s">
        <v>1515</v>
      </c>
      <c r="BX299">
        <v>1000</v>
      </c>
      <c r="BY299">
        <v>1000</v>
      </c>
      <c r="BZ299" t="s">
        <v>1509</v>
      </c>
      <c r="CA299" t="s">
        <v>1513</v>
      </c>
      <c r="CB299" t="s">
        <v>1511</v>
      </c>
      <c r="CC299" t="s">
        <v>156</v>
      </c>
      <c r="CD299" t="s">
        <v>157</v>
      </c>
      <c r="CJ299" t="s">
        <v>1509</v>
      </c>
      <c r="CK299" t="s">
        <v>884</v>
      </c>
    </row>
    <row r="300" spans="1:89" x14ac:dyDescent="0.3">
      <c r="A300" t="s">
        <v>1516</v>
      </c>
      <c r="B300" t="s">
        <v>5</v>
      </c>
      <c r="C300" t="s">
        <v>145</v>
      </c>
      <c r="D300">
        <v>200</v>
      </c>
      <c r="E300" t="s">
        <v>146</v>
      </c>
      <c r="F300" t="s">
        <v>147</v>
      </c>
      <c r="H300" t="s">
        <v>1517</v>
      </c>
      <c r="I300">
        <v>35</v>
      </c>
      <c r="J300">
        <v>426</v>
      </c>
      <c r="L300">
        <v>0</v>
      </c>
      <c r="M300">
        <v>0</v>
      </c>
      <c r="N300" t="s">
        <v>1518</v>
      </c>
      <c r="O300">
        <v>68</v>
      </c>
      <c r="P300">
        <v>928</v>
      </c>
      <c r="S300" t="s">
        <v>1519</v>
      </c>
      <c r="T300">
        <v>15</v>
      </c>
      <c r="V300">
        <v>0</v>
      </c>
      <c r="AB300" t="s">
        <v>1516</v>
      </c>
      <c r="AH300">
        <v>670541</v>
      </c>
      <c r="AI300">
        <v>134017</v>
      </c>
      <c r="AJ300">
        <v>134017</v>
      </c>
      <c r="AK300">
        <v>52.224146611000002</v>
      </c>
      <c r="AM300">
        <v>451</v>
      </c>
      <c r="AS300">
        <v>2</v>
      </c>
      <c r="AT300">
        <v>1</v>
      </c>
      <c r="AV300">
        <v>65</v>
      </c>
      <c r="AW300">
        <v>38</v>
      </c>
      <c r="AX300">
        <v>0</v>
      </c>
      <c r="AY300">
        <v>9.82</v>
      </c>
      <c r="AZ300">
        <v>112</v>
      </c>
      <c r="BA300">
        <v>57</v>
      </c>
      <c r="BB300">
        <v>0</v>
      </c>
      <c r="BP300" t="s">
        <v>151</v>
      </c>
      <c r="BQ300">
        <v>1.1000000000000001</v>
      </c>
      <c r="BR300" t="s">
        <v>1520</v>
      </c>
      <c r="BS300" t="s">
        <v>1518</v>
      </c>
      <c r="BT300" t="s">
        <v>981</v>
      </c>
      <c r="BU300" t="s">
        <v>150</v>
      </c>
      <c r="BV300" t="s">
        <v>1521</v>
      </c>
      <c r="BW300" t="s">
        <v>1522</v>
      </c>
      <c r="BX300">
        <v>450</v>
      </c>
      <c r="BY300">
        <v>450</v>
      </c>
      <c r="BZ300" t="s">
        <v>1516</v>
      </c>
      <c r="CA300" t="s">
        <v>1520</v>
      </c>
      <c r="CB300" t="s">
        <v>1518</v>
      </c>
      <c r="CC300" t="s">
        <v>156</v>
      </c>
      <c r="CD300" t="s">
        <v>157</v>
      </c>
      <c r="CJ300" t="s">
        <v>1516</v>
      </c>
      <c r="CK300" t="s">
        <v>1523</v>
      </c>
    </row>
    <row r="301" spans="1:89" x14ac:dyDescent="0.3">
      <c r="A301" t="s">
        <v>1524</v>
      </c>
      <c r="B301" t="s">
        <v>5</v>
      </c>
      <c r="C301" t="s">
        <v>145</v>
      </c>
      <c r="D301">
        <v>200</v>
      </c>
      <c r="E301" t="s">
        <v>146</v>
      </c>
      <c r="F301" t="s">
        <v>147</v>
      </c>
      <c r="H301" t="s">
        <v>1525</v>
      </c>
      <c r="I301">
        <v>41</v>
      </c>
      <c r="J301">
        <v>517</v>
      </c>
      <c r="L301">
        <v>0</v>
      </c>
      <c r="M301">
        <v>0</v>
      </c>
      <c r="N301" t="s">
        <v>1526</v>
      </c>
      <c r="O301">
        <v>57</v>
      </c>
      <c r="P301">
        <v>774</v>
      </c>
      <c r="S301" t="s">
        <v>1527</v>
      </c>
      <c r="T301">
        <v>21</v>
      </c>
      <c r="V301">
        <v>0</v>
      </c>
      <c r="AB301" t="s">
        <v>1524</v>
      </c>
      <c r="AH301">
        <v>683327</v>
      </c>
      <c r="AI301">
        <v>136931</v>
      </c>
      <c r="AJ301">
        <v>136931</v>
      </c>
      <c r="AK301">
        <v>53.359682872999997</v>
      </c>
      <c r="AM301">
        <v>450</v>
      </c>
      <c r="AS301">
        <v>2</v>
      </c>
      <c r="AT301">
        <v>1</v>
      </c>
      <c r="AV301">
        <v>27</v>
      </c>
      <c r="AW301">
        <v>10</v>
      </c>
      <c r="AX301">
        <v>0</v>
      </c>
      <c r="AY301">
        <v>2.58</v>
      </c>
      <c r="AZ301">
        <v>112</v>
      </c>
      <c r="BA301">
        <v>55</v>
      </c>
      <c r="BB301">
        <v>0</v>
      </c>
      <c r="BP301" t="s">
        <v>151</v>
      </c>
      <c r="BQ301">
        <v>1.1000000000000001</v>
      </c>
      <c r="BR301" t="s">
        <v>1528</v>
      </c>
      <c r="BS301" t="s">
        <v>1526</v>
      </c>
      <c r="BT301" t="s">
        <v>981</v>
      </c>
      <c r="BU301" t="s">
        <v>150</v>
      </c>
      <c r="BV301" t="s">
        <v>1529</v>
      </c>
      <c r="BW301" t="s">
        <v>1530</v>
      </c>
      <c r="BX301">
        <v>450</v>
      </c>
      <c r="BY301">
        <v>450</v>
      </c>
      <c r="BZ301" t="s">
        <v>1524</v>
      </c>
      <c r="CA301" t="s">
        <v>1528</v>
      </c>
      <c r="CB301" t="s">
        <v>1526</v>
      </c>
      <c r="CC301" t="s">
        <v>156</v>
      </c>
      <c r="CD301" t="s">
        <v>157</v>
      </c>
      <c r="CJ301" t="s">
        <v>1524</v>
      </c>
      <c r="CK301" t="s">
        <v>1307</v>
      </c>
    </row>
    <row r="302" spans="1:89" x14ac:dyDescent="0.3">
      <c r="A302" t="s">
        <v>1531</v>
      </c>
      <c r="B302" t="s">
        <v>5</v>
      </c>
      <c r="C302" t="s">
        <v>145</v>
      </c>
      <c r="D302">
        <v>200</v>
      </c>
      <c r="E302" t="s">
        <v>146</v>
      </c>
      <c r="F302" t="s">
        <v>147</v>
      </c>
      <c r="H302" t="s">
        <v>1532</v>
      </c>
      <c r="I302">
        <v>62</v>
      </c>
      <c r="J302">
        <v>688</v>
      </c>
      <c r="L302">
        <v>0</v>
      </c>
      <c r="M302">
        <v>0</v>
      </c>
      <c r="N302" t="s">
        <v>1533</v>
      </c>
      <c r="O302">
        <v>19</v>
      </c>
      <c r="P302">
        <v>260</v>
      </c>
      <c r="S302" t="s">
        <v>1534</v>
      </c>
      <c r="T302">
        <v>34</v>
      </c>
      <c r="V302">
        <v>0</v>
      </c>
      <c r="AB302" t="s">
        <v>1531</v>
      </c>
      <c r="AH302">
        <v>392077</v>
      </c>
      <c r="AI302">
        <v>85624</v>
      </c>
      <c r="AJ302">
        <v>85624</v>
      </c>
      <c r="AK302">
        <v>33.366217192000001</v>
      </c>
      <c r="AM302">
        <v>233</v>
      </c>
      <c r="AS302">
        <v>2</v>
      </c>
      <c r="AT302">
        <v>1</v>
      </c>
      <c r="AV302">
        <v>19</v>
      </c>
      <c r="AW302">
        <v>7</v>
      </c>
      <c r="AX302">
        <v>0</v>
      </c>
      <c r="AY302">
        <v>1.81</v>
      </c>
      <c r="AZ302">
        <v>108</v>
      </c>
      <c r="BA302">
        <v>55</v>
      </c>
      <c r="BB302">
        <v>0</v>
      </c>
      <c r="BP302" t="s">
        <v>151</v>
      </c>
      <c r="BQ302">
        <v>1.1000000000000001</v>
      </c>
      <c r="BR302" t="s">
        <v>1535</v>
      </c>
      <c r="BS302" t="s">
        <v>1533</v>
      </c>
      <c r="BT302" t="s">
        <v>981</v>
      </c>
      <c r="BU302" t="s">
        <v>150</v>
      </c>
      <c r="BV302" t="s">
        <v>1536</v>
      </c>
      <c r="BW302" t="s">
        <v>1537</v>
      </c>
      <c r="BX302">
        <v>1000</v>
      </c>
      <c r="BY302">
        <v>1000</v>
      </c>
      <c r="BZ302" t="s">
        <v>1531</v>
      </c>
      <c r="CA302" t="s">
        <v>1535</v>
      </c>
      <c r="CB302" t="s">
        <v>1533</v>
      </c>
      <c r="CC302" t="s">
        <v>156</v>
      </c>
      <c r="CD302" t="s">
        <v>157</v>
      </c>
      <c r="CJ302" t="s">
        <v>1531</v>
      </c>
      <c r="CK302" t="s">
        <v>1508</v>
      </c>
    </row>
    <row r="303" spans="1:89" x14ac:dyDescent="0.3">
      <c r="A303" t="s">
        <v>1538</v>
      </c>
      <c r="B303" t="s">
        <v>5</v>
      </c>
      <c r="C303" t="s">
        <v>145</v>
      </c>
      <c r="D303">
        <v>200</v>
      </c>
      <c r="E303" t="s">
        <v>146</v>
      </c>
      <c r="F303" t="s">
        <v>147</v>
      </c>
      <c r="H303" t="s">
        <v>1539</v>
      </c>
      <c r="I303">
        <v>47</v>
      </c>
      <c r="J303">
        <v>548</v>
      </c>
      <c r="L303">
        <v>0</v>
      </c>
      <c r="M303">
        <v>0</v>
      </c>
      <c r="N303" t="s">
        <v>1540</v>
      </c>
      <c r="O303">
        <v>28</v>
      </c>
      <c r="P303">
        <v>374</v>
      </c>
      <c r="S303" t="s">
        <v>1541</v>
      </c>
      <c r="T303">
        <v>27</v>
      </c>
      <c r="V303">
        <v>0</v>
      </c>
      <c r="AB303" t="s">
        <v>1538</v>
      </c>
      <c r="AH303">
        <v>412707</v>
      </c>
      <c r="AI303">
        <v>86934</v>
      </c>
      <c r="AJ303">
        <v>86934</v>
      </c>
      <c r="AK303">
        <v>33.876701922000002</v>
      </c>
      <c r="AM303">
        <v>241</v>
      </c>
      <c r="AS303">
        <v>2</v>
      </c>
      <c r="AT303">
        <v>1</v>
      </c>
      <c r="AV303">
        <v>15</v>
      </c>
      <c r="AW303">
        <v>5</v>
      </c>
      <c r="AX303">
        <v>0</v>
      </c>
      <c r="AY303">
        <v>1.29</v>
      </c>
      <c r="AZ303">
        <v>108</v>
      </c>
      <c r="BA303">
        <v>55</v>
      </c>
      <c r="BB303">
        <v>0</v>
      </c>
      <c r="BP303" t="s">
        <v>151</v>
      </c>
      <c r="BQ303">
        <v>1.1000000000000001</v>
      </c>
      <c r="BR303" t="s">
        <v>1542</v>
      </c>
      <c r="BS303" t="s">
        <v>1540</v>
      </c>
      <c r="BT303" t="s">
        <v>981</v>
      </c>
      <c r="BU303" t="s">
        <v>150</v>
      </c>
      <c r="BV303" t="s">
        <v>1543</v>
      </c>
      <c r="BW303" t="s">
        <v>1544</v>
      </c>
      <c r="BX303">
        <v>450</v>
      </c>
      <c r="BY303">
        <v>450</v>
      </c>
      <c r="BZ303" t="s">
        <v>1538</v>
      </c>
      <c r="CA303" t="s">
        <v>1542</v>
      </c>
      <c r="CB303" t="s">
        <v>1540</v>
      </c>
      <c r="CC303" t="s">
        <v>156</v>
      </c>
      <c r="CD303" t="s">
        <v>157</v>
      </c>
      <c r="CJ303" t="s">
        <v>1538</v>
      </c>
      <c r="CK303" t="s">
        <v>1494</v>
      </c>
    </row>
    <row r="304" spans="1:89" x14ac:dyDescent="0.3">
      <c r="A304" t="s">
        <v>1545</v>
      </c>
      <c r="B304" t="s">
        <v>5</v>
      </c>
      <c r="C304" t="s">
        <v>145</v>
      </c>
      <c r="D304">
        <v>200</v>
      </c>
      <c r="E304" t="s">
        <v>146</v>
      </c>
      <c r="F304" t="s">
        <v>147</v>
      </c>
      <c r="H304" t="s">
        <v>1546</v>
      </c>
      <c r="I304">
        <v>46</v>
      </c>
      <c r="J304">
        <v>568</v>
      </c>
      <c r="L304">
        <v>0</v>
      </c>
      <c r="M304">
        <v>0</v>
      </c>
      <c r="N304" t="s">
        <v>1547</v>
      </c>
      <c r="O304">
        <v>124</v>
      </c>
      <c r="P304">
        <v>1592</v>
      </c>
      <c r="S304" t="s">
        <v>1548</v>
      </c>
      <c r="T304">
        <v>32</v>
      </c>
      <c r="V304">
        <v>0</v>
      </c>
      <c r="AB304" t="s">
        <v>1545</v>
      </c>
      <c r="AH304">
        <v>392266</v>
      </c>
      <c r="AI304">
        <v>86428</v>
      </c>
      <c r="AJ304">
        <v>86428</v>
      </c>
      <c r="AK304">
        <v>33.679522323999997</v>
      </c>
      <c r="AM304">
        <v>240</v>
      </c>
      <c r="AS304">
        <v>3</v>
      </c>
      <c r="AT304">
        <v>1</v>
      </c>
      <c r="AV304">
        <v>13</v>
      </c>
      <c r="AW304">
        <v>4</v>
      </c>
      <c r="AX304">
        <v>0</v>
      </c>
      <c r="AY304">
        <v>1.03</v>
      </c>
      <c r="AZ304">
        <v>108</v>
      </c>
      <c r="BA304">
        <v>55</v>
      </c>
      <c r="BB304">
        <v>0</v>
      </c>
      <c r="BP304" t="s">
        <v>151</v>
      </c>
      <c r="BQ304">
        <v>1.1000000000000001</v>
      </c>
      <c r="BR304" t="s">
        <v>1549</v>
      </c>
      <c r="BS304" t="s">
        <v>1547</v>
      </c>
      <c r="BT304" t="s">
        <v>981</v>
      </c>
      <c r="BU304" t="s">
        <v>150</v>
      </c>
      <c r="BV304" t="s">
        <v>1550</v>
      </c>
      <c r="BW304" t="s">
        <v>1551</v>
      </c>
      <c r="BX304">
        <v>450</v>
      </c>
      <c r="BY304">
        <v>450</v>
      </c>
      <c r="BZ304" t="s">
        <v>1545</v>
      </c>
      <c r="CA304" t="s">
        <v>1549</v>
      </c>
      <c r="CB304" t="s">
        <v>1547</v>
      </c>
      <c r="CC304" t="s">
        <v>156</v>
      </c>
      <c r="CD304" t="s">
        <v>157</v>
      </c>
      <c r="CJ304" t="s">
        <v>1545</v>
      </c>
      <c r="CK304" t="s">
        <v>552</v>
      </c>
    </row>
    <row r="305" spans="1:89" x14ac:dyDescent="0.3">
      <c r="A305" t="s">
        <v>1552</v>
      </c>
      <c r="B305" t="s">
        <v>5</v>
      </c>
      <c r="C305" t="s">
        <v>145</v>
      </c>
      <c r="D305">
        <v>200</v>
      </c>
      <c r="E305" t="s">
        <v>146</v>
      </c>
      <c r="F305" t="s">
        <v>147</v>
      </c>
      <c r="H305" t="s">
        <v>1553</v>
      </c>
      <c r="I305">
        <v>40</v>
      </c>
      <c r="J305">
        <v>419</v>
      </c>
      <c r="L305">
        <v>0</v>
      </c>
      <c r="M305">
        <v>0</v>
      </c>
      <c r="N305" t="s">
        <v>1554</v>
      </c>
      <c r="O305">
        <v>46</v>
      </c>
      <c r="P305">
        <v>643</v>
      </c>
      <c r="S305" t="s">
        <v>1555</v>
      </c>
      <c r="T305">
        <v>20</v>
      </c>
      <c r="V305">
        <v>0</v>
      </c>
      <c r="AB305" t="s">
        <v>1552</v>
      </c>
      <c r="AH305">
        <v>413788</v>
      </c>
      <c r="AI305">
        <v>88123</v>
      </c>
      <c r="AJ305">
        <v>88123</v>
      </c>
      <c r="AK305">
        <v>34.340035008999998</v>
      </c>
      <c r="AM305">
        <v>250</v>
      </c>
      <c r="AS305">
        <v>2</v>
      </c>
      <c r="AT305">
        <v>1</v>
      </c>
      <c r="AV305">
        <v>16</v>
      </c>
      <c r="AW305">
        <v>6</v>
      </c>
      <c r="AX305">
        <v>0</v>
      </c>
      <c r="AY305">
        <v>1.55</v>
      </c>
      <c r="AZ305">
        <v>108</v>
      </c>
      <c r="BA305">
        <v>55</v>
      </c>
      <c r="BB305">
        <v>0</v>
      </c>
      <c r="BP305" t="s">
        <v>151</v>
      </c>
      <c r="BQ305">
        <v>1.1000000000000001</v>
      </c>
      <c r="BR305" t="s">
        <v>1556</v>
      </c>
      <c r="BS305" t="s">
        <v>1554</v>
      </c>
      <c r="BT305" t="s">
        <v>981</v>
      </c>
      <c r="BU305" t="s">
        <v>150</v>
      </c>
      <c r="BV305" t="s">
        <v>1557</v>
      </c>
      <c r="BW305" t="s">
        <v>1558</v>
      </c>
      <c r="BX305">
        <v>451</v>
      </c>
      <c r="BY305">
        <v>450</v>
      </c>
      <c r="BZ305" t="s">
        <v>1552</v>
      </c>
      <c r="CA305" t="s">
        <v>1556</v>
      </c>
      <c r="CB305" t="s">
        <v>1554</v>
      </c>
      <c r="CC305" t="s">
        <v>156</v>
      </c>
      <c r="CD305" t="s">
        <v>157</v>
      </c>
      <c r="CJ305" t="s">
        <v>1552</v>
      </c>
      <c r="CK305" t="s">
        <v>922</v>
      </c>
    </row>
    <row r="306" spans="1:89" x14ac:dyDescent="0.3">
      <c r="A306" t="s">
        <v>1559</v>
      </c>
      <c r="B306" t="s">
        <v>5</v>
      </c>
      <c r="C306" t="s">
        <v>145</v>
      </c>
      <c r="D306">
        <v>200</v>
      </c>
      <c r="E306" t="s">
        <v>146</v>
      </c>
      <c r="F306" t="s">
        <v>147</v>
      </c>
      <c r="H306" t="s">
        <v>1560</v>
      </c>
      <c r="I306">
        <v>47</v>
      </c>
      <c r="J306">
        <v>526</v>
      </c>
      <c r="L306">
        <v>0</v>
      </c>
      <c r="M306">
        <v>0</v>
      </c>
      <c r="N306" t="s">
        <v>1561</v>
      </c>
      <c r="O306">
        <v>124</v>
      </c>
      <c r="P306">
        <v>1592</v>
      </c>
      <c r="S306" t="s">
        <v>1562</v>
      </c>
      <c r="T306">
        <v>27</v>
      </c>
      <c r="V306">
        <v>0</v>
      </c>
      <c r="AB306" t="s">
        <v>1559</v>
      </c>
      <c r="AH306">
        <v>391639</v>
      </c>
      <c r="AI306">
        <v>86275</v>
      </c>
      <c r="AJ306">
        <v>86275</v>
      </c>
      <c r="AK306">
        <v>33.619900825000002</v>
      </c>
      <c r="AM306">
        <v>240</v>
      </c>
      <c r="AS306">
        <v>3</v>
      </c>
      <c r="AT306">
        <v>1</v>
      </c>
      <c r="AV306">
        <v>13</v>
      </c>
      <c r="AW306">
        <v>4</v>
      </c>
      <c r="AX306">
        <v>0</v>
      </c>
      <c r="AY306">
        <v>1.03</v>
      </c>
      <c r="AZ306">
        <v>108</v>
      </c>
      <c r="BA306">
        <v>55</v>
      </c>
      <c r="BB306">
        <v>0</v>
      </c>
      <c r="BP306" t="s">
        <v>151</v>
      </c>
      <c r="BQ306">
        <v>1.1000000000000001</v>
      </c>
      <c r="BR306" t="s">
        <v>1563</v>
      </c>
      <c r="BS306" t="s">
        <v>1561</v>
      </c>
      <c r="BT306" t="s">
        <v>981</v>
      </c>
      <c r="BU306" t="s">
        <v>150</v>
      </c>
      <c r="BV306" t="s">
        <v>1564</v>
      </c>
      <c r="BW306" t="s">
        <v>1565</v>
      </c>
      <c r="BX306">
        <v>450</v>
      </c>
      <c r="BY306">
        <v>450</v>
      </c>
      <c r="BZ306" t="s">
        <v>1559</v>
      </c>
      <c r="CA306" t="s">
        <v>1563</v>
      </c>
      <c r="CB306" t="s">
        <v>1561</v>
      </c>
      <c r="CC306" t="s">
        <v>156</v>
      </c>
      <c r="CD306" t="s">
        <v>157</v>
      </c>
      <c r="CJ306" t="s">
        <v>1559</v>
      </c>
      <c r="CK306" t="s">
        <v>673</v>
      </c>
    </row>
    <row r="307" spans="1:89" x14ac:dyDescent="0.3">
      <c r="A307" t="s">
        <v>1566</v>
      </c>
      <c r="B307" t="s">
        <v>5</v>
      </c>
      <c r="C307" t="s">
        <v>145</v>
      </c>
      <c r="D307">
        <v>200</v>
      </c>
      <c r="E307" t="s">
        <v>146</v>
      </c>
      <c r="F307" t="s">
        <v>147</v>
      </c>
      <c r="H307" t="s">
        <v>1567</v>
      </c>
      <c r="I307">
        <v>45</v>
      </c>
      <c r="J307">
        <v>519</v>
      </c>
      <c r="L307">
        <v>0</v>
      </c>
      <c r="M307">
        <v>0</v>
      </c>
      <c r="N307" t="s">
        <v>1568</v>
      </c>
      <c r="O307">
        <v>33</v>
      </c>
      <c r="P307">
        <v>461</v>
      </c>
      <c r="S307" t="s">
        <v>1569</v>
      </c>
      <c r="T307">
        <v>25</v>
      </c>
      <c r="V307">
        <v>0</v>
      </c>
      <c r="AB307" t="s">
        <v>1566</v>
      </c>
      <c r="AH307">
        <v>413428</v>
      </c>
      <c r="AI307">
        <v>87803</v>
      </c>
      <c r="AJ307">
        <v>87803</v>
      </c>
      <c r="AK307">
        <v>34.215336449000013</v>
      </c>
      <c r="AM307">
        <v>250</v>
      </c>
      <c r="AS307">
        <v>3</v>
      </c>
      <c r="AT307">
        <v>1</v>
      </c>
      <c r="AV307">
        <v>13</v>
      </c>
      <c r="AW307">
        <v>4</v>
      </c>
      <c r="AX307">
        <v>0</v>
      </c>
      <c r="AY307">
        <v>1.03</v>
      </c>
      <c r="AZ307">
        <v>108</v>
      </c>
      <c r="BA307">
        <v>55</v>
      </c>
      <c r="BB307">
        <v>0</v>
      </c>
      <c r="BP307" t="s">
        <v>151</v>
      </c>
      <c r="BQ307">
        <v>1.1000000000000001</v>
      </c>
      <c r="BR307" t="s">
        <v>1570</v>
      </c>
      <c r="BS307" t="s">
        <v>1568</v>
      </c>
      <c r="BT307" t="s">
        <v>981</v>
      </c>
      <c r="BU307" t="s">
        <v>150</v>
      </c>
      <c r="BV307" t="s">
        <v>1571</v>
      </c>
      <c r="BW307" t="s">
        <v>1572</v>
      </c>
      <c r="BX307">
        <v>451</v>
      </c>
      <c r="BY307">
        <v>450</v>
      </c>
      <c r="BZ307" t="s">
        <v>1566</v>
      </c>
      <c r="CA307" t="s">
        <v>1570</v>
      </c>
      <c r="CB307" t="s">
        <v>1568</v>
      </c>
      <c r="CC307" t="s">
        <v>156</v>
      </c>
      <c r="CD307" t="s">
        <v>157</v>
      </c>
      <c r="CJ307" t="s">
        <v>1566</v>
      </c>
      <c r="CK307" t="s">
        <v>673</v>
      </c>
    </row>
    <row r="308" spans="1:89" x14ac:dyDescent="0.3">
      <c r="A308" t="s">
        <v>1573</v>
      </c>
      <c r="B308" t="s">
        <v>5</v>
      </c>
      <c r="C308" t="s">
        <v>145</v>
      </c>
      <c r="D308">
        <v>200</v>
      </c>
      <c r="E308" t="s">
        <v>146</v>
      </c>
      <c r="F308" t="s">
        <v>147</v>
      </c>
      <c r="H308" t="s">
        <v>1574</v>
      </c>
      <c r="I308">
        <v>39</v>
      </c>
      <c r="J308">
        <v>408</v>
      </c>
      <c r="L308">
        <v>0</v>
      </c>
      <c r="M308">
        <v>0</v>
      </c>
      <c r="N308" t="s">
        <v>1575</v>
      </c>
      <c r="O308">
        <v>25</v>
      </c>
      <c r="P308">
        <v>349</v>
      </c>
      <c r="S308" t="s">
        <v>1576</v>
      </c>
      <c r="T308">
        <v>19</v>
      </c>
      <c r="V308">
        <v>0</v>
      </c>
      <c r="AB308" t="s">
        <v>1573</v>
      </c>
      <c r="AH308">
        <v>412800</v>
      </c>
      <c r="AI308">
        <v>87716</v>
      </c>
      <c r="AJ308">
        <v>87716</v>
      </c>
      <c r="AK308">
        <v>34.181434027999998</v>
      </c>
      <c r="AM308">
        <v>255</v>
      </c>
      <c r="AS308">
        <v>2</v>
      </c>
      <c r="AT308">
        <v>1</v>
      </c>
      <c r="AV308">
        <v>19</v>
      </c>
      <c r="AW308">
        <v>7</v>
      </c>
      <c r="AX308">
        <v>0</v>
      </c>
      <c r="AY308">
        <v>1.81</v>
      </c>
      <c r="AZ308">
        <v>108</v>
      </c>
      <c r="BA308">
        <v>55</v>
      </c>
      <c r="BB308">
        <v>0</v>
      </c>
      <c r="BP308" t="s">
        <v>151</v>
      </c>
      <c r="BQ308">
        <v>1.1000000000000001</v>
      </c>
      <c r="BR308" t="s">
        <v>1577</v>
      </c>
      <c r="BS308" t="s">
        <v>1575</v>
      </c>
      <c r="BT308" t="s">
        <v>981</v>
      </c>
      <c r="BU308" t="s">
        <v>150</v>
      </c>
      <c r="BV308" t="s">
        <v>1578</v>
      </c>
      <c r="BW308" t="s">
        <v>1579</v>
      </c>
      <c r="BX308">
        <v>451</v>
      </c>
      <c r="BY308">
        <v>450</v>
      </c>
      <c r="BZ308" t="s">
        <v>1573</v>
      </c>
      <c r="CA308" t="s">
        <v>1577</v>
      </c>
      <c r="CB308" t="s">
        <v>1575</v>
      </c>
      <c r="CC308" t="s">
        <v>156</v>
      </c>
      <c r="CD308" t="s">
        <v>157</v>
      </c>
      <c r="CJ308" t="s">
        <v>1573</v>
      </c>
      <c r="CK308" t="s">
        <v>563</v>
      </c>
    </row>
    <row r="309" spans="1:89" x14ac:dyDescent="0.3">
      <c r="A309" t="s">
        <v>1580</v>
      </c>
      <c r="B309" t="s">
        <v>5</v>
      </c>
      <c r="C309" t="s">
        <v>145</v>
      </c>
      <c r="D309">
        <v>200</v>
      </c>
      <c r="E309" t="s">
        <v>146</v>
      </c>
      <c r="F309" t="s">
        <v>147</v>
      </c>
      <c r="H309" t="s">
        <v>1581</v>
      </c>
      <c r="I309">
        <v>46</v>
      </c>
      <c r="J309">
        <v>515</v>
      </c>
      <c r="L309">
        <v>0</v>
      </c>
      <c r="M309">
        <v>0</v>
      </c>
      <c r="N309" t="s">
        <v>1582</v>
      </c>
      <c r="O309">
        <v>116</v>
      </c>
      <c r="P309">
        <v>1480</v>
      </c>
      <c r="S309" t="s">
        <v>1583</v>
      </c>
      <c r="T309">
        <v>26</v>
      </c>
      <c r="V309">
        <v>0</v>
      </c>
      <c r="AB309" t="s">
        <v>1580</v>
      </c>
      <c r="AH309">
        <v>391484</v>
      </c>
      <c r="AI309">
        <v>86389</v>
      </c>
      <c r="AJ309">
        <v>86389</v>
      </c>
      <c r="AK309">
        <v>33.664324686999997</v>
      </c>
      <c r="AM309">
        <v>240</v>
      </c>
      <c r="AS309">
        <v>2</v>
      </c>
      <c r="AT309">
        <v>1</v>
      </c>
      <c r="AV309">
        <v>15</v>
      </c>
      <c r="AW309">
        <v>5</v>
      </c>
      <c r="AX309">
        <v>0</v>
      </c>
      <c r="AY309">
        <v>1.29</v>
      </c>
      <c r="AZ309">
        <v>108</v>
      </c>
      <c r="BA309">
        <v>55</v>
      </c>
      <c r="BB309">
        <v>0</v>
      </c>
      <c r="BP309" t="s">
        <v>151</v>
      </c>
      <c r="BQ309">
        <v>1.1000000000000001</v>
      </c>
      <c r="BR309" t="s">
        <v>1584</v>
      </c>
      <c r="BS309" t="s">
        <v>1582</v>
      </c>
      <c r="BT309" t="s">
        <v>981</v>
      </c>
      <c r="BU309" t="s">
        <v>150</v>
      </c>
      <c r="BV309" t="s">
        <v>1585</v>
      </c>
      <c r="BW309" t="s">
        <v>1586</v>
      </c>
      <c r="BX309">
        <v>450</v>
      </c>
      <c r="BY309">
        <v>450</v>
      </c>
      <c r="BZ309" t="s">
        <v>1580</v>
      </c>
      <c r="CA309" t="s">
        <v>1584</v>
      </c>
      <c r="CB309" t="s">
        <v>1582</v>
      </c>
      <c r="CC309" t="s">
        <v>156</v>
      </c>
      <c r="CD309" t="s">
        <v>157</v>
      </c>
      <c r="CJ309" t="s">
        <v>1580</v>
      </c>
      <c r="CK309" t="s">
        <v>163</v>
      </c>
    </row>
    <row r="310" spans="1:89" x14ac:dyDescent="0.3">
      <c r="A310" t="s">
        <v>1587</v>
      </c>
      <c r="B310" t="s">
        <v>5</v>
      </c>
      <c r="C310" t="s">
        <v>145</v>
      </c>
      <c r="D310">
        <v>200</v>
      </c>
      <c r="E310" t="s">
        <v>146</v>
      </c>
      <c r="F310" t="s">
        <v>147</v>
      </c>
      <c r="H310" t="s">
        <v>1588</v>
      </c>
      <c r="I310">
        <v>32</v>
      </c>
      <c r="J310">
        <v>366</v>
      </c>
      <c r="K310" t="s">
        <v>994</v>
      </c>
      <c r="L310">
        <v>8</v>
      </c>
      <c r="M310">
        <v>92</v>
      </c>
      <c r="N310" t="s">
        <v>1589</v>
      </c>
      <c r="O310">
        <v>41</v>
      </c>
      <c r="P310">
        <v>552</v>
      </c>
      <c r="S310" t="s">
        <v>1590</v>
      </c>
      <c r="T310">
        <v>12</v>
      </c>
      <c r="V310">
        <v>0</v>
      </c>
      <c r="AB310" t="s">
        <v>1587</v>
      </c>
      <c r="AH310">
        <v>627312</v>
      </c>
      <c r="AI310">
        <v>123238</v>
      </c>
      <c r="AJ310">
        <v>123238</v>
      </c>
      <c r="AK310">
        <v>48.023753554000002</v>
      </c>
      <c r="AM310">
        <v>330</v>
      </c>
      <c r="AS310">
        <v>2</v>
      </c>
      <c r="AT310">
        <v>1</v>
      </c>
      <c r="AV310">
        <v>26</v>
      </c>
      <c r="AW310">
        <v>11</v>
      </c>
      <c r="AX310">
        <v>0</v>
      </c>
      <c r="AY310">
        <v>2.84</v>
      </c>
      <c r="AZ310">
        <v>108</v>
      </c>
      <c r="BA310">
        <v>55</v>
      </c>
      <c r="BB310">
        <v>0</v>
      </c>
      <c r="BP310" t="s">
        <v>151</v>
      </c>
      <c r="BQ310">
        <v>1.1000000000000001</v>
      </c>
      <c r="BR310" t="s">
        <v>1591</v>
      </c>
      <c r="BS310" t="s">
        <v>1589</v>
      </c>
      <c r="BT310" t="s">
        <v>981</v>
      </c>
      <c r="BU310" t="s">
        <v>150</v>
      </c>
      <c r="BV310" t="s">
        <v>1592</v>
      </c>
      <c r="BW310" t="s">
        <v>1593</v>
      </c>
      <c r="BX310">
        <v>1000</v>
      </c>
      <c r="BY310">
        <v>1000</v>
      </c>
      <c r="BZ310" t="s">
        <v>1587</v>
      </c>
      <c r="CA310" t="s">
        <v>1591</v>
      </c>
      <c r="CB310" t="s">
        <v>1589</v>
      </c>
      <c r="CC310" t="s">
        <v>156</v>
      </c>
      <c r="CD310" t="s">
        <v>157</v>
      </c>
      <c r="CJ310" t="s">
        <v>1587</v>
      </c>
      <c r="CK310" t="s">
        <v>1594</v>
      </c>
    </row>
    <row r="311" spans="1:89" x14ac:dyDescent="0.3">
      <c r="A311" t="s">
        <v>1595</v>
      </c>
      <c r="B311" t="s">
        <v>5</v>
      </c>
      <c r="C311" t="s">
        <v>145</v>
      </c>
      <c r="D311">
        <v>200</v>
      </c>
      <c r="E311" t="s">
        <v>146</v>
      </c>
      <c r="F311" t="s">
        <v>147</v>
      </c>
      <c r="H311" t="s">
        <v>1596</v>
      </c>
      <c r="I311">
        <v>33</v>
      </c>
      <c r="J311">
        <v>386</v>
      </c>
      <c r="L311">
        <v>0</v>
      </c>
      <c r="M311">
        <v>0</v>
      </c>
      <c r="N311" t="s">
        <v>1597</v>
      </c>
      <c r="O311">
        <v>41</v>
      </c>
      <c r="P311">
        <v>552</v>
      </c>
      <c r="S311" t="s">
        <v>1598</v>
      </c>
      <c r="T311">
        <v>13</v>
      </c>
      <c r="V311">
        <v>0</v>
      </c>
      <c r="AB311" t="s">
        <v>1595</v>
      </c>
      <c r="AH311">
        <v>388596</v>
      </c>
      <c r="AI311">
        <v>85113</v>
      </c>
      <c r="AJ311">
        <v>85113</v>
      </c>
      <c r="AK311">
        <v>33.167089179000001</v>
      </c>
      <c r="AM311">
        <v>209</v>
      </c>
      <c r="AS311">
        <v>2</v>
      </c>
      <c r="AT311">
        <v>1</v>
      </c>
      <c r="AV311">
        <v>17</v>
      </c>
      <c r="AW311">
        <v>6</v>
      </c>
      <c r="AX311">
        <v>0</v>
      </c>
      <c r="AY311">
        <v>1.55</v>
      </c>
      <c r="AZ311">
        <v>108</v>
      </c>
      <c r="BA311">
        <v>55</v>
      </c>
      <c r="BB311">
        <v>0</v>
      </c>
      <c r="BP311" t="s">
        <v>151</v>
      </c>
      <c r="BQ311">
        <v>1.1000000000000001</v>
      </c>
      <c r="BR311" t="s">
        <v>1599</v>
      </c>
      <c r="BS311" t="s">
        <v>1597</v>
      </c>
      <c r="BT311" t="s">
        <v>981</v>
      </c>
      <c r="BU311" t="s">
        <v>150</v>
      </c>
      <c r="BV311" t="s">
        <v>1600</v>
      </c>
      <c r="BW311" t="s">
        <v>1601</v>
      </c>
      <c r="BX311">
        <v>450</v>
      </c>
      <c r="BY311">
        <v>450</v>
      </c>
      <c r="BZ311" t="s">
        <v>1595</v>
      </c>
      <c r="CA311" t="s">
        <v>1599</v>
      </c>
      <c r="CB311" t="s">
        <v>1597</v>
      </c>
      <c r="CC311" t="s">
        <v>156</v>
      </c>
      <c r="CD311" t="s">
        <v>157</v>
      </c>
      <c r="CJ311" t="s">
        <v>1595</v>
      </c>
      <c r="CK311" t="s">
        <v>1602</v>
      </c>
    </row>
    <row r="312" spans="1:89" x14ac:dyDescent="0.3">
      <c r="A312" t="s">
        <v>1603</v>
      </c>
      <c r="B312" t="s">
        <v>5</v>
      </c>
      <c r="C312" t="s">
        <v>145</v>
      </c>
      <c r="D312">
        <v>200</v>
      </c>
      <c r="E312" t="s">
        <v>146</v>
      </c>
      <c r="F312" t="s">
        <v>147</v>
      </c>
      <c r="H312" t="s">
        <v>1604</v>
      </c>
      <c r="I312">
        <v>31</v>
      </c>
      <c r="J312">
        <v>346</v>
      </c>
      <c r="L312">
        <v>0</v>
      </c>
      <c r="M312">
        <v>0</v>
      </c>
      <c r="N312" t="s">
        <v>1605</v>
      </c>
      <c r="O312">
        <v>43</v>
      </c>
      <c r="P312">
        <v>580</v>
      </c>
      <c r="S312" t="s">
        <v>1606</v>
      </c>
      <c r="T312">
        <v>11</v>
      </c>
      <c r="V312">
        <v>0</v>
      </c>
      <c r="AB312" t="s">
        <v>1603</v>
      </c>
      <c r="AH312">
        <v>388790</v>
      </c>
      <c r="AI312">
        <v>85348</v>
      </c>
      <c r="AJ312">
        <v>85348</v>
      </c>
      <c r="AK312">
        <v>33.258664684000003</v>
      </c>
      <c r="AM312">
        <v>209</v>
      </c>
      <c r="AS312">
        <v>2</v>
      </c>
      <c r="AT312">
        <v>1</v>
      </c>
      <c r="AV312">
        <v>29</v>
      </c>
      <c r="AW312">
        <v>13</v>
      </c>
      <c r="AX312">
        <v>0</v>
      </c>
      <c r="AY312">
        <v>3.36</v>
      </c>
      <c r="AZ312">
        <v>108</v>
      </c>
      <c r="BA312">
        <v>55</v>
      </c>
      <c r="BB312">
        <v>0</v>
      </c>
      <c r="BP312" t="s">
        <v>151</v>
      </c>
      <c r="BQ312">
        <v>1.1000000000000001</v>
      </c>
      <c r="BR312" t="s">
        <v>1607</v>
      </c>
      <c r="BS312" t="s">
        <v>1605</v>
      </c>
      <c r="BT312" t="s">
        <v>981</v>
      </c>
      <c r="BU312" t="s">
        <v>150</v>
      </c>
      <c r="BV312" t="s">
        <v>1608</v>
      </c>
      <c r="BW312" t="s">
        <v>1609</v>
      </c>
      <c r="BX312">
        <v>1000</v>
      </c>
      <c r="BY312">
        <v>1000</v>
      </c>
      <c r="BZ312" t="s">
        <v>1603</v>
      </c>
      <c r="CA312" t="s">
        <v>1607</v>
      </c>
      <c r="CB312" t="s">
        <v>1605</v>
      </c>
      <c r="CC312" t="s">
        <v>156</v>
      </c>
      <c r="CD312" t="s">
        <v>157</v>
      </c>
      <c r="CJ312" t="s">
        <v>1603</v>
      </c>
      <c r="CK312" t="s">
        <v>1610</v>
      </c>
    </row>
    <row r="313" spans="1:89" x14ac:dyDescent="0.3">
      <c r="A313" t="s">
        <v>1611</v>
      </c>
      <c r="B313" t="s">
        <v>5</v>
      </c>
      <c r="C313" t="s">
        <v>145</v>
      </c>
      <c r="D313">
        <v>200</v>
      </c>
      <c r="E313" t="s">
        <v>146</v>
      </c>
      <c r="F313" t="s">
        <v>147</v>
      </c>
      <c r="H313" t="s">
        <v>1612</v>
      </c>
      <c r="I313">
        <v>33</v>
      </c>
      <c r="J313">
        <v>377</v>
      </c>
      <c r="L313">
        <v>0</v>
      </c>
      <c r="M313">
        <v>0</v>
      </c>
      <c r="N313" t="s">
        <v>1613</v>
      </c>
      <c r="O313">
        <v>42</v>
      </c>
      <c r="P313">
        <v>566</v>
      </c>
      <c r="S313" t="s">
        <v>1614</v>
      </c>
      <c r="T313">
        <v>13</v>
      </c>
      <c r="V313">
        <v>0</v>
      </c>
      <c r="AB313" t="s">
        <v>1611</v>
      </c>
      <c r="AH313">
        <v>388018</v>
      </c>
      <c r="AI313">
        <v>84949</v>
      </c>
      <c r="AJ313">
        <v>84949</v>
      </c>
      <c r="AK313">
        <v>33.103181167000002</v>
      </c>
      <c r="AM313">
        <v>206</v>
      </c>
      <c r="AS313">
        <v>2</v>
      </c>
      <c r="AT313">
        <v>1</v>
      </c>
      <c r="AV313">
        <v>19</v>
      </c>
      <c r="AW313">
        <v>7</v>
      </c>
      <c r="AX313">
        <v>0</v>
      </c>
      <c r="AY313">
        <v>1.81</v>
      </c>
      <c r="AZ313">
        <v>108</v>
      </c>
      <c r="BA313">
        <v>55</v>
      </c>
      <c r="BB313">
        <v>0</v>
      </c>
      <c r="BP313" t="s">
        <v>151</v>
      </c>
      <c r="BQ313">
        <v>1.1000000000000001</v>
      </c>
      <c r="BR313" t="s">
        <v>1615</v>
      </c>
      <c r="BS313" t="s">
        <v>1613</v>
      </c>
      <c r="BT313" t="s">
        <v>981</v>
      </c>
      <c r="BU313" t="s">
        <v>150</v>
      </c>
      <c r="BV313" t="s">
        <v>1616</v>
      </c>
      <c r="BW313" t="s">
        <v>1617</v>
      </c>
      <c r="BX313">
        <v>450</v>
      </c>
      <c r="BY313">
        <v>450</v>
      </c>
      <c r="BZ313" t="s">
        <v>1611</v>
      </c>
      <c r="CA313" t="s">
        <v>1615</v>
      </c>
      <c r="CB313" t="s">
        <v>1613</v>
      </c>
      <c r="CC313" t="s">
        <v>156</v>
      </c>
      <c r="CD313" t="s">
        <v>157</v>
      </c>
      <c r="CJ313" t="s">
        <v>1611</v>
      </c>
      <c r="CK313" t="s">
        <v>1594</v>
      </c>
    </row>
    <row r="314" spans="1:89" x14ac:dyDescent="0.3">
      <c r="A314" t="s">
        <v>1618</v>
      </c>
      <c r="B314" t="s">
        <v>5</v>
      </c>
      <c r="C314" t="s">
        <v>145</v>
      </c>
      <c r="D314">
        <v>200</v>
      </c>
      <c r="E314" t="s">
        <v>146</v>
      </c>
      <c r="F314" t="s">
        <v>147</v>
      </c>
      <c r="H314" t="s">
        <v>1619</v>
      </c>
      <c r="I314">
        <v>33</v>
      </c>
      <c r="J314">
        <v>377</v>
      </c>
      <c r="L314">
        <v>0</v>
      </c>
      <c r="M314">
        <v>0</v>
      </c>
      <c r="N314" t="s">
        <v>1620</v>
      </c>
      <c r="O314">
        <v>38</v>
      </c>
      <c r="P314">
        <v>532</v>
      </c>
      <c r="S314" t="s">
        <v>1621</v>
      </c>
      <c r="T314">
        <v>13</v>
      </c>
      <c r="V314">
        <v>0</v>
      </c>
      <c r="AB314" t="s">
        <v>1618</v>
      </c>
      <c r="AH314">
        <v>388252</v>
      </c>
      <c r="AI314">
        <v>85087</v>
      </c>
      <c r="AJ314">
        <v>85087</v>
      </c>
      <c r="AK314">
        <v>33.156957421000001</v>
      </c>
      <c r="AM314">
        <v>210</v>
      </c>
      <c r="AS314">
        <v>2</v>
      </c>
      <c r="AT314">
        <v>1</v>
      </c>
      <c r="AV314">
        <v>19</v>
      </c>
      <c r="AW314">
        <v>7</v>
      </c>
      <c r="AX314">
        <v>0</v>
      </c>
      <c r="AY314">
        <v>1.81</v>
      </c>
      <c r="AZ314">
        <v>108</v>
      </c>
      <c r="BA314">
        <v>55</v>
      </c>
      <c r="BB314">
        <v>0</v>
      </c>
      <c r="BP314" t="s">
        <v>151</v>
      </c>
      <c r="BQ314">
        <v>1.1000000000000001</v>
      </c>
      <c r="BR314" t="s">
        <v>1622</v>
      </c>
      <c r="BS314" t="s">
        <v>1620</v>
      </c>
      <c r="BT314" t="s">
        <v>981</v>
      </c>
      <c r="BU314" t="s">
        <v>150</v>
      </c>
      <c r="BV314" t="s">
        <v>1623</v>
      </c>
      <c r="BW314" t="s">
        <v>1624</v>
      </c>
      <c r="BX314">
        <v>450</v>
      </c>
      <c r="BY314">
        <v>450</v>
      </c>
      <c r="BZ314" t="s">
        <v>1618</v>
      </c>
      <c r="CA314" t="s">
        <v>1622</v>
      </c>
      <c r="CB314" t="s">
        <v>1620</v>
      </c>
      <c r="CC314" t="s">
        <v>156</v>
      </c>
      <c r="CD314" t="s">
        <v>157</v>
      </c>
      <c r="CJ314" t="s">
        <v>1618</v>
      </c>
      <c r="CK314" t="s">
        <v>1602</v>
      </c>
    </row>
    <row r="315" spans="1:89" x14ac:dyDescent="0.3">
      <c r="A315" t="s">
        <v>1625</v>
      </c>
      <c r="B315" t="s">
        <v>5</v>
      </c>
      <c r="C315" t="s">
        <v>145</v>
      </c>
      <c r="D315">
        <v>200</v>
      </c>
      <c r="E315" t="s">
        <v>146</v>
      </c>
      <c r="F315" t="s">
        <v>147</v>
      </c>
      <c r="H315" t="s">
        <v>1626</v>
      </c>
      <c r="I315">
        <v>31</v>
      </c>
      <c r="J315">
        <v>367</v>
      </c>
      <c r="L315">
        <v>0</v>
      </c>
      <c r="M315">
        <v>0</v>
      </c>
      <c r="N315" t="s">
        <v>1627</v>
      </c>
      <c r="O315">
        <v>33</v>
      </c>
      <c r="P315">
        <v>462</v>
      </c>
      <c r="S315" t="s">
        <v>1628</v>
      </c>
      <c r="T315">
        <v>11</v>
      </c>
      <c r="V315">
        <v>0</v>
      </c>
      <c r="AB315" t="s">
        <v>1625</v>
      </c>
      <c r="AH315">
        <v>396696</v>
      </c>
      <c r="AI315">
        <v>86221</v>
      </c>
      <c r="AJ315">
        <v>86221</v>
      </c>
      <c r="AK315">
        <v>33.598857942999999</v>
      </c>
      <c r="AM315">
        <v>234</v>
      </c>
      <c r="AS315">
        <v>3</v>
      </c>
      <c r="AT315">
        <v>1</v>
      </c>
      <c r="AV315">
        <v>15</v>
      </c>
      <c r="AW315">
        <v>5</v>
      </c>
      <c r="AX315">
        <v>0</v>
      </c>
      <c r="AY315">
        <v>1.29</v>
      </c>
      <c r="AZ315">
        <v>108</v>
      </c>
      <c r="BA315">
        <v>55</v>
      </c>
      <c r="BB315">
        <v>0</v>
      </c>
      <c r="BP315" t="s">
        <v>151</v>
      </c>
      <c r="BQ315">
        <v>1.1000000000000001</v>
      </c>
      <c r="BR315" t="s">
        <v>1629</v>
      </c>
      <c r="BS315" t="s">
        <v>1627</v>
      </c>
      <c r="BT315" t="s">
        <v>981</v>
      </c>
      <c r="BU315" t="s">
        <v>150</v>
      </c>
      <c r="BV315" t="s">
        <v>1630</v>
      </c>
      <c r="BW315" t="s">
        <v>1631</v>
      </c>
      <c r="BX315">
        <v>450</v>
      </c>
      <c r="BY315">
        <v>450</v>
      </c>
      <c r="BZ315" t="s">
        <v>1625</v>
      </c>
      <c r="CA315" t="s">
        <v>1629</v>
      </c>
      <c r="CB315" t="s">
        <v>1627</v>
      </c>
      <c r="CC315" t="s">
        <v>156</v>
      </c>
      <c r="CD315" t="s">
        <v>157</v>
      </c>
      <c r="CJ315" t="s">
        <v>1625</v>
      </c>
      <c r="CK315" t="s">
        <v>752</v>
      </c>
    </row>
    <row r="316" spans="1:89" x14ac:dyDescent="0.3">
      <c r="A316" t="s">
        <v>1632</v>
      </c>
      <c r="B316" t="s">
        <v>5</v>
      </c>
      <c r="C316" t="s">
        <v>145</v>
      </c>
      <c r="D316">
        <v>200</v>
      </c>
      <c r="E316" t="s">
        <v>146</v>
      </c>
      <c r="F316" t="s">
        <v>147</v>
      </c>
      <c r="H316" t="s">
        <v>1633</v>
      </c>
      <c r="I316">
        <v>44</v>
      </c>
      <c r="J316">
        <v>503</v>
      </c>
      <c r="L316">
        <v>0</v>
      </c>
      <c r="M316">
        <v>0</v>
      </c>
      <c r="N316" t="s">
        <v>1634</v>
      </c>
      <c r="O316">
        <v>26</v>
      </c>
      <c r="P316">
        <v>364</v>
      </c>
      <c r="S316" t="s">
        <v>1635</v>
      </c>
      <c r="T316">
        <v>24</v>
      </c>
      <c r="V316">
        <v>0</v>
      </c>
      <c r="AB316" t="s">
        <v>1632</v>
      </c>
      <c r="AH316">
        <v>603484</v>
      </c>
      <c r="AI316">
        <v>124564</v>
      </c>
      <c r="AJ316">
        <v>124564</v>
      </c>
      <c r="AK316">
        <v>48.540473212000002</v>
      </c>
      <c r="AM316">
        <v>372</v>
      </c>
      <c r="AS316">
        <v>2</v>
      </c>
      <c r="AT316">
        <v>1</v>
      </c>
      <c r="AV316">
        <v>18</v>
      </c>
      <c r="AW316">
        <v>7</v>
      </c>
      <c r="AX316">
        <v>0</v>
      </c>
      <c r="AY316">
        <v>1.81</v>
      </c>
      <c r="AZ316">
        <v>108</v>
      </c>
      <c r="BA316">
        <v>55</v>
      </c>
      <c r="BB316">
        <v>0</v>
      </c>
      <c r="BP316" t="s">
        <v>151</v>
      </c>
      <c r="BQ316">
        <v>1.1000000000000001</v>
      </c>
      <c r="BR316" t="s">
        <v>1636</v>
      </c>
      <c r="BS316" t="s">
        <v>1634</v>
      </c>
      <c r="BT316" t="s">
        <v>981</v>
      </c>
      <c r="BU316" t="s">
        <v>150</v>
      </c>
      <c r="BV316" t="s">
        <v>1637</v>
      </c>
      <c r="BW316" t="s">
        <v>1638</v>
      </c>
      <c r="BX316">
        <v>450</v>
      </c>
      <c r="BY316">
        <v>450</v>
      </c>
      <c r="BZ316" t="s">
        <v>1632</v>
      </c>
      <c r="CA316" t="s">
        <v>1636</v>
      </c>
      <c r="CB316" t="s">
        <v>1634</v>
      </c>
      <c r="CC316" t="s">
        <v>156</v>
      </c>
      <c r="CD316" t="s">
        <v>157</v>
      </c>
      <c r="CJ316" t="s">
        <v>1632</v>
      </c>
      <c r="CK316" t="s">
        <v>1344</v>
      </c>
    </row>
    <row r="317" spans="1:89" x14ac:dyDescent="0.3">
      <c r="A317" t="s">
        <v>1639</v>
      </c>
      <c r="B317" t="s">
        <v>5</v>
      </c>
      <c r="C317" t="s">
        <v>145</v>
      </c>
      <c r="D317">
        <v>200</v>
      </c>
      <c r="E317" t="s">
        <v>146</v>
      </c>
      <c r="F317" t="s">
        <v>147</v>
      </c>
      <c r="H317" t="s">
        <v>1640</v>
      </c>
      <c r="I317">
        <v>43</v>
      </c>
      <c r="J317">
        <v>496</v>
      </c>
      <c r="L317">
        <v>0</v>
      </c>
      <c r="M317">
        <v>0</v>
      </c>
      <c r="N317" t="s">
        <v>1641</v>
      </c>
      <c r="O317">
        <v>42</v>
      </c>
      <c r="P317">
        <v>588</v>
      </c>
      <c r="S317" t="s">
        <v>1642</v>
      </c>
      <c r="T317">
        <v>23</v>
      </c>
      <c r="V317">
        <v>0</v>
      </c>
      <c r="AB317" t="s">
        <v>1639</v>
      </c>
      <c r="AH317">
        <v>401732</v>
      </c>
      <c r="AI317">
        <v>86793</v>
      </c>
      <c r="AJ317">
        <v>86793</v>
      </c>
      <c r="AK317">
        <v>33.821756618999999</v>
      </c>
      <c r="AM317">
        <v>241</v>
      </c>
      <c r="AS317">
        <v>3</v>
      </c>
      <c r="AT317">
        <v>1</v>
      </c>
      <c r="AV317">
        <v>17</v>
      </c>
      <c r="AW317">
        <v>6</v>
      </c>
      <c r="AX317">
        <v>0</v>
      </c>
      <c r="AY317">
        <v>1.55</v>
      </c>
      <c r="AZ317">
        <v>108</v>
      </c>
      <c r="BA317">
        <v>55</v>
      </c>
      <c r="BB317">
        <v>0</v>
      </c>
      <c r="BP317" t="s">
        <v>151</v>
      </c>
      <c r="BQ317">
        <v>1.1000000000000001</v>
      </c>
      <c r="BR317" t="s">
        <v>1643</v>
      </c>
      <c r="BS317" t="s">
        <v>1641</v>
      </c>
      <c r="BT317" t="s">
        <v>981</v>
      </c>
      <c r="BU317" t="s">
        <v>150</v>
      </c>
      <c r="BV317" t="s">
        <v>1644</v>
      </c>
      <c r="BW317" t="s">
        <v>1645</v>
      </c>
      <c r="BX317">
        <v>450</v>
      </c>
      <c r="BY317">
        <v>451</v>
      </c>
      <c r="BZ317" t="s">
        <v>1639</v>
      </c>
      <c r="CA317" t="s">
        <v>1643</v>
      </c>
      <c r="CB317" t="s">
        <v>1641</v>
      </c>
      <c r="CC317" t="s">
        <v>156</v>
      </c>
      <c r="CD317" t="s">
        <v>157</v>
      </c>
      <c r="CJ317" t="s">
        <v>1639</v>
      </c>
      <c r="CK317" t="s">
        <v>1646</v>
      </c>
    </row>
    <row r="318" spans="1:89" x14ac:dyDescent="0.3">
      <c r="A318" t="s">
        <v>1647</v>
      </c>
      <c r="B318" t="s">
        <v>5</v>
      </c>
      <c r="C318" t="s">
        <v>145</v>
      </c>
      <c r="D318">
        <v>200</v>
      </c>
      <c r="E318" t="s">
        <v>146</v>
      </c>
      <c r="F318" t="s">
        <v>147</v>
      </c>
      <c r="H318" t="s">
        <v>1648</v>
      </c>
      <c r="I318">
        <v>36</v>
      </c>
      <c r="J318">
        <v>464</v>
      </c>
      <c r="L318">
        <v>0</v>
      </c>
      <c r="M318">
        <v>0</v>
      </c>
      <c r="N318" t="s">
        <v>1649</v>
      </c>
      <c r="O318">
        <v>15</v>
      </c>
      <c r="P318">
        <v>210</v>
      </c>
      <c r="S318" t="s">
        <v>1650</v>
      </c>
      <c r="T318">
        <v>16</v>
      </c>
      <c r="V318">
        <v>0</v>
      </c>
      <c r="AB318" t="s">
        <v>1647</v>
      </c>
      <c r="AH318">
        <v>387216</v>
      </c>
      <c r="AI318">
        <v>84055</v>
      </c>
      <c r="AJ318">
        <v>84055</v>
      </c>
      <c r="AK318">
        <v>32.754804565000001</v>
      </c>
      <c r="AM318">
        <v>210</v>
      </c>
      <c r="AS318">
        <v>2</v>
      </c>
      <c r="AT318">
        <v>1</v>
      </c>
      <c r="AV318">
        <v>11</v>
      </c>
      <c r="AW318">
        <v>3</v>
      </c>
      <c r="AX318">
        <v>0</v>
      </c>
      <c r="AY318">
        <v>0.78</v>
      </c>
      <c r="AZ318">
        <v>108</v>
      </c>
      <c r="BA318">
        <v>55</v>
      </c>
      <c r="BB318">
        <v>0</v>
      </c>
      <c r="BP318" t="s">
        <v>151</v>
      </c>
      <c r="BQ318">
        <v>1.1000000000000001</v>
      </c>
      <c r="BR318" t="s">
        <v>1651</v>
      </c>
      <c r="BS318" t="s">
        <v>1649</v>
      </c>
      <c r="BT318" t="s">
        <v>981</v>
      </c>
      <c r="BU318" t="s">
        <v>150</v>
      </c>
      <c r="BV318" t="s">
        <v>1652</v>
      </c>
      <c r="BW318" t="s">
        <v>1653</v>
      </c>
      <c r="BX318">
        <v>450</v>
      </c>
      <c r="BY318">
        <v>450</v>
      </c>
      <c r="BZ318" t="s">
        <v>1647</v>
      </c>
      <c r="CA318" t="s">
        <v>1651</v>
      </c>
      <c r="CB318" t="s">
        <v>1649</v>
      </c>
      <c r="CC318" t="s">
        <v>156</v>
      </c>
      <c r="CD318" t="s">
        <v>157</v>
      </c>
      <c r="CJ318" t="s">
        <v>1647</v>
      </c>
      <c r="CK318" t="s">
        <v>1654</v>
      </c>
    </row>
    <row r="319" spans="1:89" x14ac:dyDescent="0.3">
      <c r="A319" t="s">
        <v>1655</v>
      </c>
      <c r="B319" t="s">
        <v>5</v>
      </c>
      <c r="C319" t="s">
        <v>145</v>
      </c>
      <c r="D319">
        <v>200</v>
      </c>
      <c r="E319" t="s">
        <v>146</v>
      </c>
      <c r="F319" t="s">
        <v>147</v>
      </c>
      <c r="H319" t="s">
        <v>1656</v>
      </c>
      <c r="I319">
        <v>36</v>
      </c>
      <c r="J319">
        <v>464</v>
      </c>
      <c r="L319">
        <v>0</v>
      </c>
      <c r="M319">
        <v>0</v>
      </c>
      <c r="N319" t="s">
        <v>1657</v>
      </c>
      <c r="O319">
        <v>16</v>
      </c>
      <c r="P319">
        <v>224</v>
      </c>
      <c r="S319" t="s">
        <v>1658</v>
      </c>
      <c r="T319">
        <v>16</v>
      </c>
      <c r="V319">
        <v>0</v>
      </c>
      <c r="AB319" t="s">
        <v>1655</v>
      </c>
      <c r="AH319">
        <v>387280</v>
      </c>
      <c r="AI319">
        <v>84487</v>
      </c>
      <c r="AJ319">
        <v>84487</v>
      </c>
      <c r="AK319">
        <v>32.923147620999998</v>
      </c>
      <c r="AM319">
        <v>207</v>
      </c>
      <c r="AS319">
        <v>2</v>
      </c>
      <c r="AT319">
        <v>1</v>
      </c>
      <c r="AV319">
        <v>11</v>
      </c>
      <c r="AW319">
        <v>3</v>
      </c>
      <c r="AX319">
        <v>0</v>
      </c>
      <c r="AY319">
        <v>0.78</v>
      </c>
      <c r="AZ319">
        <v>108</v>
      </c>
      <c r="BA319">
        <v>55</v>
      </c>
      <c r="BB319">
        <v>0</v>
      </c>
      <c r="BP319" t="s">
        <v>151</v>
      </c>
      <c r="BQ319">
        <v>1.1000000000000001</v>
      </c>
      <c r="BR319" t="s">
        <v>1659</v>
      </c>
      <c r="BS319" t="s">
        <v>1657</v>
      </c>
      <c r="BT319" t="s">
        <v>981</v>
      </c>
      <c r="BU319" t="s">
        <v>150</v>
      </c>
      <c r="BV319" t="s">
        <v>1660</v>
      </c>
      <c r="BW319" t="s">
        <v>1661</v>
      </c>
      <c r="BX319">
        <v>450</v>
      </c>
      <c r="BY319">
        <v>450</v>
      </c>
      <c r="BZ319" t="s">
        <v>1655</v>
      </c>
      <c r="CA319" t="s">
        <v>1659</v>
      </c>
      <c r="CB319" t="s">
        <v>1657</v>
      </c>
      <c r="CC319" t="s">
        <v>156</v>
      </c>
      <c r="CD319" t="s">
        <v>157</v>
      </c>
      <c r="CJ319" t="s">
        <v>1655</v>
      </c>
      <c r="CK319" t="s">
        <v>1366</v>
      </c>
    </row>
    <row r="320" spans="1:89" x14ac:dyDescent="0.3">
      <c r="A320" t="s">
        <v>1662</v>
      </c>
      <c r="B320" t="s">
        <v>5</v>
      </c>
      <c r="C320" t="s">
        <v>145</v>
      </c>
      <c r="D320">
        <v>200</v>
      </c>
      <c r="E320" t="s">
        <v>146</v>
      </c>
      <c r="F320" t="s">
        <v>147</v>
      </c>
      <c r="H320" t="s">
        <v>1663</v>
      </c>
      <c r="I320">
        <v>46</v>
      </c>
      <c r="J320">
        <v>582</v>
      </c>
      <c r="L320">
        <v>0</v>
      </c>
      <c r="M320">
        <v>0</v>
      </c>
      <c r="N320" t="s">
        <v>1664</v>
      </c>
      <c r="O320">
        <v>38</v>
      </c>
      <c r="P320">
        <v>532</v>
      </c>
      <c r="S320" t="s">
        <v>1665</v>
      </c>
      <c r="T320">
        <v>26</v>
      </c>
      <c r="V320">
        <v>0</v>
      </c>
      <c r="AB320" t="s">
        <v>1662</v>
      </c>
      <c r="AH320">
        <v>390906</v>
      </c>
      <c r="AI320">
        <v>85249</v>
      </c>
      <c r="AJ320">
        <v>85249</v>
      </c>
      <c r="AK320">
        <v>33.220086066999997</v>
      </c>
      <c r="AM320">
        <v>219</v>
      </c>
      <c r="AS320">
        <v>2</v>
      </c>
      <c r="AT320">
        <v>1</v>
      </c>
      <c r="AV320">
        <v>15</v>
      </c>
      <c r="AW320">
        <v>5</v>
      </c>
      <c r="AX320">
        <v>0</v>
      </c>
      <c r="AY320">
        <v>1.29</v>
      </c>
      <c r="AZ320">
        <v>108</v>
      </c>
      <c r="BA320">
        <v>55</v>
      </c>
      <c r="BB320">
        <v>0</v>
      </c>
      <c r="BP320" t="s">
        <v>151</v>
      </c>
      <c r="BQ320">
        <v>1.1000000000000001</v>
      </c>
      <c r="BR320" t="s">
        <v>1666</v>
      </c>
      <c r="BS320" t="s">
        <v>1664</v>
      </c>
      <c r="BT320" t="s">
        <v>981</v>
      </c>
      <c r="BU320" t="s">
        <v>150</v>
      </c>
      <c r="BV320" t="s">
        <v>1667</v>
      </c>
      <c r="BW320" t="s">
        <v>1668</v>
      </c>
      <c r="BX320">
        <v>450</v>
      </c>
      <c r="BY320">
        <v>450</v>
      </c>
      <c r="BZ320" t="s">
        <v>1662</v>
      </c>
      <c r="CA320" t="s">
        <v>1666</v>
      </c>
      <c r="CB320" t="s">
        <v>1664</v>
      </c>
      <c r="CC320" t="s">
        <v>156</v>
      </c>
      <c r="CD320" t="s">
        <v>157</v>
      </c>
      <c r="CJ320" t="s">
        <v>1662</v>
      </c>
      <c r="CK320" t="s">
        <v>917</v>
      </c>
    </row>
    <row r="321" spans="1:89" x14ac:dyDescent="0.3">
      <c r="A321" t="s">
        <v>1669</v>
      </c>
      <c r="B321" t="s">
        <v>5</v>
      </c>
      <c r="C321" t="s">
        <v>145</v>
      </c>
      <c r="D321">
        <v>200</v>
      </c>
      <c r="E321" t="s">
        <v>146</v>
      </c>
      <c r="F321" t="s">
        <v>147</v>
      </c>
      <c r="H321" t="s">
        <v>1670</v>
      </c>
      <c r="I321">
        <v>46</v>
      </c>
      <c r="J321">
        <v>582</v>
      </c>
      <c r="L321">
        <v>0</v>
      </c>
      <c r="M321">
        <v>0</v>
      </c>
      <c r="O321">
        <v>0</v>
      </c>
      <c r="P321">
        <v>0</v>
      </c>
      <c r="S321" t="s">
        <v>1671</v>
      </c>
      <c r="T321">
        <v>26</v>
      </c>
      <c r="V321">
        <v>0</v>
      </c>
      <c r="AB321" t="s">
        <v>1669</v>
      </c>
      <c r="AH321">
        <v>390418</v>
      </c>
      <c r="AI321">
        <v>85128</v>
      </c>
      <c r="AJ321">
        <v>85128</v>
      </c>
      <c r="AK321">
        <v>33.172934423999997</v>
      </c>
      <c r="AM321">
        <v>215</v>
      </c>
      <c r="AS321">
        <v>2</v>
      </c>
      <c r="AT321">
        <v>1</v>
      </c>
      <c r="AV321">
        <v>19</v>
      </c>
      <c r="AW321">
        <v>7</v>
      </c>
      <c r="AX321">
        <v>0</v>
      </c>
      <c r="AY321">
        <v>1.81</v>
      </c>
      <c r="AZ321">
        <v>108</v>
      </c>
      <c r="BA321">
        <v>55</v>
      </c>
      <c r="BB321">
        <v>0</v>
      </c>
      <c r="BP321" t="s">
        <v>151</v>
      </c>
      <c r="BQ321">
        <v>1.1000000000000001</v>
      </c>
      <c r="BR321" t="s">
        <v>1672</v>
      </c>
      <c r="BS321" t="s">
        <v>149</v>
      </c>
      <c r="BT321" t="s">
        <v>981</v>
      </c>
      <c r="BU321" t="s">
        <v>150</v>
      </c>
      <c r="BV321" t="s">
        <v>1673</v>
      </c>
      <c r="BW321" t="s">
        <v>1674</v>
      </c>
      <c r="BX321">
        <v>450</v>
      </c>
      <c r="BY321">
        <v>450</v>
      </c>
      <c r="BZ321" t="s">
        <v>1669</v>
      </c>
      <c r="CA321" t="s">
        <v>1672</v>
      </c>
      <c r="CB321" t="s">
        <v>149</v>
      </c>
      <c r="CC321" t="s">
        <v>156</v>
      </c>
      <c r="CD321" t="s">
        <v>157</v>
      </c>
      <c r="CJ321" t="s">
        <v>1669</v>
      </c>
      <c r="CK321" t="s">
        <v>1675</v>
      </c>
    </row>
    <row r="322" spans="1:89" x14ac:dyDescent="0.3">
      <c r="A322" t="s">
        <v>1676</v>
      </c>
      <c r="B322" t="s">
        <v>5</v>
      </c>
      <c r="C322" t="s">
        <v>145</v>
      </c>
      <c r="D322">
        <v>200</v>
      </c>
      <c r="E322" t="s">
        <v>146</v>
      </c>
      <c r="F322" t="s">
        <v>147</v>
      </c>
      <c r="H322" t="s">
        <v>1677</v>
      </c>
      <c r="I322">
        <v>44</v>
      </c>
      <c r="J322">
        <v>568</v>
      </c>
      <c r="K322" t="s">
        <v>994</v>
      </c>
      <c r="L322">
        <v>8</v>
      </c>
      <c r="M322">
        <v>92</v>
      </c>
      <c r="N322" t="s">
        <v>1678</v>
      </c>
      <c r="O322">
        <v>66</v>
      </c>
      <c r="P322">
        <v>915</v>
      </c>
      <c r="S322" t="s">
        <v>1679</v>
      </c>
      <c r="T322">
        <v>24</v>
      </c>
      <c r="V322">
        <v>0</v>
      </c>
      <c r="AB322" t="s">
        <v>1676</v>
      </c>
      <c r="AH322">
        <v>466678</v>
      </c>
      <c r="AI322">
        <v>95932</v>
      </c>
      <c r="AJ322">
        <v>95932</v>
      </c>
      <c r="AK322">
        <v>37.383069556000002</v>
      </c>
      <c r="AM322">
        <v>246</v>
      </c>
      <c r="AS322">
        <v>2</v>
      </c>
      <c r="AT322">
        <v>1</v>
      </c>
      <c r="AV322">
        <v>16</v>
      </c>
      <c r="AW322">
        <v>6</v>
      </c>
      <c r="AX322">
        <v>0</v>
      </c>
      <c r="AY322">
        <v>1.55</v>
      </c>
      <c r="AZ322">
        <v>110</v>
      </c>
      <c r="BA322">
        <v>57</v>
      </c>
      <c r="BB322">
        <v>0</v>
      </c>
      <c r="BP322" t="s">
        <v>151</v>
      </c>
      <c r="BQ322">
        <v>1.1000000000000001</v>
      </c>
      <c r="BR322" t="s">
        <v>1680</v>
      </c>
      <c r="BS322" t="s">
        <v>1678</v>
      </c>
      <c r="BT322" t="s">
        <v>981</v>
      </c>
      <c r="BU322" t="s">
        <v>150</v>
      </c>
      <c r="BV322" t="s">
        <v>1681</v>
      </c>
      <c r="BW322" t="s">
        <v>1682</v>
      </c>
      <c r="BX322">
        <v>450</v>
      </c>
      <c r="BY322">
        <v>450</v>
      </c>
      <c r="BZ322" t="s">
        <v>1676</v>
      </c>
      <c r="CA322" t="s">
        <v>1680</v>
      </c>
      <c r="CB322" t="s">
        <v>1678</v>
      </c>
      <c r="CC322" t="s">
        <v>156</v>
      </c>
      <c r="CD322" t="s">
        <v>157</v>
      </c>
      <c r="CJ322" t="s">
        <v>1676</v>
      </c>
      <c r="CK322" t="s">
        <v>1683</v>
      </c>
    </row>
    <row r="323" spans="1:89" x14ac:dyDescent="0.3">
      <c r="A323" t="s">
        <v>1684</v>
      </c>
      <c r="B323" t="s">
        <v>5</v>
      </c>
      <c r="C323" t="s">
        <v>145</v>
      </c>
      <c r="D323">
        <v>200</v>
      </c>
      <c r="E323" t="s">
        <v>146</v>
      </c>
      <c r="F323" t="s">
        <v>147</v>
      </c>
      <c r="H323" t="s">
        <v>1685</v>
      </c>
      <c r="I323">
        <v>47</v>
      </c>
      <c r="J323">
        <v>602</v>
      </c>
      <c r="L323">
        <v>0</v>
      </c>
      <c r="M323">
        <v>0</v>
      </c>
      <c r="N323" t="s">
        <v>1686</v>
      </c>
      <c r="O323">
        <v>29</v>
      </c>
      <c r="P323">
        <v>406</v>
      </c>
      <c r="S323" t="s">
        <v>1687</v>
      </c>
      <c r="T323">
        <v>27</v>
      </c>
      <c r="V323">
        <v>0</v>
      </c>
      <c r="AB323" t="s">
        <v>1684</v>
      </c>
      <c r="AH323">
        <v>474139</v>
      </c>
      <c r="AI323">
        <v>97285</v>
      </c>
      <c r="AJ323">
        <v>97285</v>
      </c>
      <c r="AK323">
        <v>37.910310655000004</v>
      </c>
      <c r="AM323">
        <v>259</v>
      </c>
      <c r="AS323">
        <v>2</v>
      </c>
      <c r="AT323">
        <v>1</v>
      </c>
      <c r="AV323">
        <v>20</v>
      </c>
      <c r="AW323">
        <v>8</v>
      </c>
      <c r="AX323">
        <v>0</v>
      </c>
      <c r="AY323">
        <v>2.0699999999999998</v>
      </c>
      <c r="AZ323">
        <v>110</v>
      </c>
      <c r="BA323">
        <v>57</v>
      </c>
      <c r="BB323">
        <v>0</v>
      </c>
      <c r="BP323" t="s">
        <v>151</v>
      </c>
      <c r="BQ323">
        <v>1.1000000000000001</v>
      </c>
      <c r="BR323" t="s">
        <v>1688</v>
      </c>
      <c r="BS323" t="s">
        <v>1686</v>
      </c>
      <c r="BT323" t="s">
        <v>981</v>
      </c>
      <c r="BU323" t="s">
        <v>150</v>
      </c>
      <c r="BV323" t="s">
        <v>1689</v>
      </c>
      <c r="BW323" t="s">
        <v>1690</v>
      </c>
      <c r="BX323">
        <v>450</v>
      </c>
      <c r="BY323">
        <v>450</v>
      </c>
      <c r="BZ323" t="s">
        <v>1684</v>
      </c>
      <c r="CA323" t="s">
        <v>1688</v>
      </c>
      <c r="CB323" t="s">
        <v>1686</v>
      </c>
      <c r="CC323" t="s">
        <v>156</v>
      </c>
      <c r="CD323" t="s">
        <v>157</v>
      </c>
      <c r="CJ323" t="s">
        <v>1684</v>
      </c>
      <c r="CK323" t="s">
        <v>1683</v>
      </c>
    </row>
    <row r="324" spans="1:89" x14ac:dyDescent="0.3">
      <c r="A324" t="s">
        <v>1691</v>
      </c>
      <c r="B324" t="s">
        <v>5</v>
      </c>
      <c r="C324" t="s">
        <v>145</v>
      </c>
      <c r="D324">
        <v>200</v>
      </c>
      <c r="E324" t="s">
        <v>146</v>
      </c>
      <c r="F324" t="s">
        <v>147</v>
      </c>
      <c r="H324" t="s">
        <v>1692</v>
      </c>
      <c r="I324">
        <v>38</v>
      </c>
      <c r="J324">
        <v>510</v>
      </c>
      <c r="L324">
        <v>0</v>
      </c>
      <c r="M324">
        <v>0</v>
      </c>
      <c r="N324" t="s">
        <v>1693</v>
      </c>
      <c r="O324">
        <v>37</v>
      </c>
      <c r="P324">
        <v>518</v>
      </c>
      <c r="S324" t="s">
        <v>1694</v>
      </c>
      <c r="T324">
        <v>18</v>
      </c>
      <c r="V324">
        <v>0</v>
      </c>
      <c r="AB324" t="s">
        <v>1691</v>
      </c>
      <c r="AH324">
        <v>390489</v>
      </c>
      <c r="AI324">
        <v>85679</v>
      </c>
      <c r="AJ324">
        <v>85679</v>
      </c>
      <c r="AK324">
        <v>33.387649757000013</v>
      </c>
      <c r="AM324">
        <v>204</v>
      </c>
      <c r="AS324">
        <v>2</v>
      </c>
      <c r="AT324">
        <v>1</v>
      </c>
      <c r="AV324">
        <v>21</v>
      </c>
      <c r="AW324">
        <v>9</v>
      </c>
      <c r="AX324">
        <v>0</v>
      </c>
      <c r="AY324">
        <v>2.33</v>
      </c>
      <c r="AZ324">
        <v>108</v>
      </c>
      <c r="BA324">
        <v>55</v>
      </c>
      <c r="BB324">
        <v>0</v>
      </c>
      <c r="BP324" t="s">
        <v>151</v>
      </c>
      <c r="BQ324">
        <v>1.1000000000000001</v>
      </c>
      <c r="BR324" t="s">
        <v>1695</v>
      </c>
      <c r="BS324" t="s">
        <v>1693</v>
      </c>
      <c r="BT324" t="s">
        <v>981</v>
      </c>
      <c r="BU324" t="s">
        <v>150</v>
      </c>
      <c r="BV324" t="s">
        <v>1696</v>
      </c>
      <c r="BW324" t="s">
        <v>1697</v>
      </c>
      <c r="BX324">
        <v>450</v>
      </c>
      <c r="BY324">
        <v>450</v>
      </c>
      <c r="BZ324" t="s">
        <v>1691</v>
      </c>
      <c r="CA324" t="s">
        <v>1695</v>
      </c>
      <c r="CB324" t="s">
        <v>1693</v>
      </c>
      <c r="CC324" t="s">
        <v>156</v>
      </c>
      <c r="CD324" t="s">
        <v>157</v>
      </c>
      <c r="CJ324" t="s">
        <v>1691</v>
      </c>
      <c r="CK324" t="s">
        <v>1698</v>
      </c>
    </row>
    <row r="325" spans="1:89" x14ac:dyDescent="0.3">
      <c r="A325" t="s">
        <v>1699</v>
      </c>
      <c r="B325" t="s">
        <v>5</v>
      </c>
      <c r="C325" t="s">
        <v>145</v>
      </c>
      <c r="D325">
        <v>200</v>
      </c>
      <c r="E325" t="s">
        <v>146</v>
      </c>
      <c r="F325" t="s">
        <v>147</v>
      </c>
      <c r="H325" t="s">
        <v>1700</v>
      </c>
      <c r="I325">
        <v>33</v>
      </c>
      <c r="J325">
        <v>377</v>
      </c>
      <c r="L325">
        <v>0</v>
      </c>
      <c r="M325">
        <v>0</v>
      </c>
      <c r="N325" t="s">
        <v>1701</v>
      </c>
      <c r="O325">
        <v>73</v>
      </c>
      <c r="P325">
        <v>1022</v>
      </c>
      <c r="S325" t="s">
        <v>1702</v>
      </c>
      <c r="T325">
        <v>13</v>
      </c>
      <c r="V325">
        <v>0</v>
      </c>
      <c r="AB325" t="s">
        <v>1699</v>
      </c>
      <c r="AH325">
        <v>556309</v>
      </c>
      <c r="AI325">
        <v>106843</v>
      </c>
      <c r="AJ325">
        <v>106843</v>
      </c>
      <c r="AK325">
        <v>41.634900768999998</v>
      </c>
      <c r="AM325">
        <v>252</v>
      </c>
      <c r="AS325">
        <v>2</v>
      </c>
      <c r="AT325">
        <v>1</v>
      </c>
      <c r="AV325">
        <v>18</v>
      </c>
      <c r="AW325">
        <v>7</v>
      </c>
      <c r="AX325">
        <v>0</v>
      </c>
      <c r="AY325">
        <v>1.81</v>
      </c>
      <c r="AZ325">
        <v>109</v>
      </c>
      <c r="BA325">
        <v>56</v>
      </c>
      <c r="BB325">
        <v>0</v>
      </c>
      <c r="BP325" t="s">
        <v>151</v>
      </c>
      <c r="BQ325">
        <v>1.1000000000000001</v>
      </c>
      <c r="BR325" t="s">
        <v>1703</v>
      </c>
      <c r="BS325" t="s">
        <v>1701</v>
      </c>
      <c r="BT325" t="s">
        <v>981</v>
      </c>
      <c r="BU325" t="s">
        <v>150</v>
      </c>
      <c r="BV325" t="s">
        <v>1704</v>
      </c>
      <c r="BW325" t="s">
        <v>1705</v>
      </c>
      <c r="BX325">
        <v>450</v>
      </c>
      <c r="BY325">
        <v>451</v>
      </c>
      <c r="BZ325" t="s">
        <v>1699</v>
      </c>
      <c r="CA325" t="s">
        <v>1703</v>
      </c>
      <c r="CB325" t="s">
        <v>1701</v>
      </c>
      <c r="CC325" t="s">
        <v>156</v>
      </c>
      <c r="CD325" t="s">
        <v>157</v>
      </c>
      <c r="CJ325" t="s">
        <v>1699</v>
      </c>
      <c r="CK325" t="s">
        <v>1675</v>
      </c>
    </row>
    <row r="326" spans="1:89" x14ac:dyDescent="0.3">
      <c r="A326" t="s">
        <v>1706</v>
      </c>
      <c r="B326" t="s">
        <v>5</v>
      </c>
      <c r="C326" t="s">
        <v>145</v>
      </c>
      <c r="D326">
        <v>200</v>
      </c>
      <c r="E326" t="s">
        <v>146</v>
      </c>
      <c r="F326" t="s">
        <v>147</v>
      </c>
      <c r="H326" t="s">
        <v>1707</v>
      </c>
      <c r="I326">
        <v>34</v>
      </c>
      <c r="J326">
        <v>397</v>
      </c>
      <c r="L326">
        <v>0</v>
      </c>
      <c r="M326">
        <v>0</v>
      </c>
      <c r="N326" t="s">
        <v>1708</v>
      </c>
      <c r="O326">
        <v>16</v>
      </c>
      <c r="P326">
        <v>224</v>
      </c>
      <c r="S326" t="s">
        <v>1709</v>
      </c>
      <c r="T326">
        <v>14</v>
      </c>
      <c r="V326">
        <v>0</v>
      </c>
      <c r="AB326" t="s">
        <v>1706</v>
      </c>
      <c r="AH326">
        <v>474689</v>
      </c>
      <c r="AI326">
        <v>98068</v>
      </c>
      <c r="AJ326">
        <v>98068</v>
      </c>
      <c r="AK326">
        <v>38.215432444000001</v>
      </c>
      <c r="AM326">
        <v>269</v>
      </c>
      <c r="AS326">
        <v>2</v>
      </c>
      <c r="AT326">
        <v>1</v>
      </c>
      <c r="AV326">
        <v>19</v>
      </c>
      <c r="AW326">
        <v>7</v>
      </c>
      <c r="AX326">
        <v>0</v>
      </c>
      <c r="AY326">
        <v>1.81</v>
      </c>
      <c r="AZ326">
        <v>108</v>
      </c>
      <c r="BA326">
        <v>55</v>
      </c>
      <c r="BB326">
        <v>0</v>
      </c>
      <c r="BP326" t="s">
        <v>151</v>
      </c>
      <c r="BQ326">
        <v>1.1000000000000001</v>
      </c>
      <c r="BR326" t="s">
        <v>1710</v>
      </c>
      <c r="BS326" t="s">
        <v>1708</v>
      </c>
      <c r="BT326" t="s">
        <v>981</v>
      </c>
      <c r="BU326" t="s">
        <v>150</v>
      </c>
      <c r="BV326" t="s">
        <v>1711</v>
      </c>
      <c r="BW326" t="s">
        <v>1712</v>
      </c>
      <c r="BX326">
        <v>450</v>
      </c>
      <c r="BY326">
        <v>451</v>
      </c>
      <c r="BZ326" t="s">
        <v>1706</v>
      </c>
      <c r="CA326" t="s">
        <v>1710</v>
      </c>
      <c r="CB326" t="s">
        <v>1708</v>
      </c>
      <c r="CC326" t="s">
        <v>156</v>
      </c>
      <c r="CD326" t="s">
        <v>157</v>
      </c>
      <c r="CJ326" t="s">
        <v>1706</v>
      </c>
      <c r="CK326" t="s">
        <v>563</v>
      </c>
    </row>
    <row r="327" spans="1:89" x14ac:dyDescent="0.3">
      <c r="A327" t="s">
        <v>1713</v>
      </c>
      <c r="B327" t="s">
        <v>5</v>
      </c>
      <c r="C327" t="s">
        <v>145</v>
      </c>
      <c r="D327">
        <v>200</v>
      </c>
      <c r="E327" t="s">
        <v>146</v>
      </c>
      <c r="F327" t="s">
        <v>147</v>
      </c>
      <c r="H327" t="s">
        <v>1714</v>
      </c>
      <c r="I327">
        <v>33</v>
      </c>
      <c r="J327">
        <v>377</v>
      </c>
      <c r="L327">
        <v>0</v>
      </c>
      <c r="M327">
        <v>0</v>
      </c>
      <c r="N327" t="s">
        <v>1715</v>
      </c>
      <c r="O327">
        <v>37</v>
      </c>
      <c r="P327">
        <v>509</v>
      </c>
      <c r="S327" t="s">
        <v>1716</v>
      </c>
      <c r="T327">
        <v>13</v>
      </c>
      <c r="V327">
        <v>0</v>
      </c>
      <c r="AB327" t="s">
        <v>1713</v>
      </c>
      <c r="AH327">
        <v>560607</v>
      </c>
      <c r="AI327">
        <v>107253</v>
      </c>
      <c r="AJ327">
        <v>107253</v>
      </c>
      <c r="AK327">
        <v>41.794670799000002</v>
      </c>
      <c r="AM327">
        <v>250</v>
      </c>
      <c r="AS327">
        <v>2</v>
      </c>
      <c r="AT327">
        <v>1</v>
      </c>
      <c r="AV327">
        <v>18</v>
      </c>
      <c r="AW327">
        <v>7</v>
      </c>
      <c r="AX327">
        <v>0</v>
      </c>
      <c r="AY327">
        <v>1.81</v>
      </c>
      <c r="AZ327">
        <v>109</v>
      </c>
      <c r="BA327">
        <v>56</v>
      </c>
      <c r="BB327">
        <v>0</v>
      </c>
      <c r="BP327" t="s">
        <v>151</v>
      </c>
      <c r="BQ327">
        <v>1.1000000000000001</v>
      </c>
      <c r="BR327" t="s">
        <v>1717</v>
      </c>
      <c r="BS327" t="s">
        <v>1715</v>
      </c>
      <c r="BT327" t="s">
        <v>981</v>
      </c>
      <c r="BU327" t="s">
        <v>150</v>
      </c>
      <c r="BV327" t="s">
        <v>1718</v>
      </c>
      <c r="BW327" t="s">
        <v>1719</v>
      </c>
      <c r="BX327">
        <v>450</v>
      </c>
      <c r="BY327">
        <v>451</v>
      </c>
      <c r="BZ327" t="s">
        <v>1713</v>
      </c>
      <c r="CA327" t="s">
        <v>1717</v>
      </c>
      <c r="CB327" t="s">
        <v>1715</v>
      </c>
      <c r="CC327" t="s">
        <v>156</v>
      </c>
      <c r="CD327" t="s">
        <v>157</v>
      </c>
      <c r="CJ327" t="s">
        <v>1713</v>
      </c>
      <c r="CK327" t="s">
        <v>1698</v>
      </c>
    </row>
    <row r="328" spans="1:89" x14ac:dyDescent="0.3">
      <c r="A328" t="s">
        <v>1720</v>
      </c>
      <c r="B328" t="s">
        <v>5</v>
      </c>
      <c r="C328" t="s">
        <v>145</v>
      </c>
      <c r="D328">
        <v>200</v>
      </c>
      <c r="E328" t="s">
        <v>146</v>
      </c>
      <c r="F328" t="s">
        <v>147</v>
      </c>
      <c r="H328" t="s">
        <v>1721</v>
      </c>
      <c r="I328">
        <v>32</v>
      </c>
      <c r="J328">
        <v>366</v>
      </c>
      <c r="L328">
        <v>0</v>
      </c>
      <c r="M328">
        <v>0</v>
      </c>
      <c r="N328" t="s">
        <v>1722</v>
      </c>
      <c r="O328">
        <v>58</v>
      </c>
      <c r="P328">
        <v>812</v>
      </c>
      <c r="S328" t="s">
        <v>1723</v>
      </c>
      <c r="T328">
        <v>12</v>
      </c>
      <c r="V328">
        <v>0</v>
      </c>
      <c r="AB328" t="s">
        <v>1720</v>
      </c>
      <c r="AH328">
        <v>627485</v>
      </c>
      <c r="AI328">
        <v>120662</v>
      </c>
      <c r="AJ328">
        <v>120662</v>
      </c>
      <c r="AK328">
        <v>47.019930146</v>
      </c>
      <c r="AM328">
        <v>403</v>
      </c>
      <c r="AS328">
        <v>2</v>
      </c>
      <c r="AT328">
        <v>1</v>
      </c>
      <c r="AV328">
        <v>19</v>
      </c>
      <c r="AW328">
        <v>7</v>
      </c>
      <c r="AX328">
        <v>0</v>
      </c>
      <c r="AY328">
        <v>1.81</v>
      </c>
      <c r="AZ328">
        <v>108</v>
      </c>
      <c r="BA328">
        <v>55</v>
      </c>
      <c r="BB328">
        <v>0</v>
      </c>
      <c r="BP328" t="s">
        <v>151</v>
      </c>
      <c r="BQ328">
        <v>1.1000000000000001</v>
      </c>
      <c r="BR328" t="s">
        <v>1724</v>
      </c>
      <c r="BS328" t="s">
        <v>1722</v>
      </c>
      <c r="BT328" t="s">
        <v>981</v>
      </c>
      <c r="BU328" t="s">
        <v>150</v>
      </c>
      <c r="BV328" t="s">
        <v>1725</v>
      </c>
      <c r="BW328" t="s">
        <v>1726</v>
      </c>
      <c r="BX328">
        <v>450</v>
      </c>
      <c r="BY328">
        <v>451</v>
      </c>
      <c r="BZ328" t="s">
        <v>1720</v>
      </c>
      <c r="CA328" t="s">
        <v>1724</v>
      </c>
      <c r="CB328" t="s">
        <v>1722</v>
      </c>
      <c r="CC328" t="s">
        <v>156</v>
      </c>
      <c r="CD328" t="s">
        <v>157</v>
      </c>
      <c r="CJ328" t="s">
        <v>1720</v>
      </c>
      <c r="CK328" t="s">
        <v>1425</v>
      </c>
    </row>
    <row r="329" spans="1:89" x14ac:dyDescent="0.3">
      <c r="A329" t="s">
        <v>1727</v>
      </c>
      <c r="B329" t="s">
        <v>5</v>
      </c>
      <c r="C329" t="s">
        <v>145</v>
      </c>
      <c r="D329">
        <v>200</v>
      </c>
      <c r="E329" t="s">
        <v>146</v>
      </c>
      <c r="F329" t="s">
        <v>147</v>
      </c>
      <c r="H329" t="s">
        <v>1728</v>
      </c>
      <c r="I329">
        <v>33</v>
      </c>
      <c r="J329">
        <v>407</v>
      </c>
      <c r="L329">
        <v>0</v>
      </c>
      <c r="M329">
        <v>0</v>
      </c>
      <c r="N329" t="s">
        <v>1729</v>
      </c>
      <c r="O329">
        <v>68</v>
      </c>
      <c r="P329">
        <v>952</v>
      </c>
      <c r="S329" t="s">
        <v>1730</v>
      </c>
      <c r="T329">
        <v>13</v>
      </c>
      <c r="V329">
        <v>0</v>
      </c>
      <c r="AB329" t="s">
        <v>1727</v>
      </c>
      <c r="AH329">
        <v>506638</v>
      </c>
      <c r="AI329">
        <v>101152</v>
      </c>
      <c r="AJ329">
        <v>101152</v>
      </c>
      <c r="AK329">
        <v>39.417214815999998</v>
      </c>
      <c r="AM329">
        <v>287</v>
      </c>
      <c r="AS329">
        <v>2</v>
      </c>
      <c r="AT329">
        <v>1</v>
      </c>
      <c r="AV329">
        <v>22</v>
      </c>
      <c r="AW329">
        <v>9</v>
      </c>
      <c r="AX329">
        <v>0</v>
      </c>
      <c r="AY329">
        <v>2.33</v>
      </c>
      <c r="AZ329">
        <v>108</v>
      </c>
      <c r="BA329">
        <v>55</v>
      </c>
      <c r="BB329">
        <v>0</v>
      </c>
      <c r="BP329" t="s">
        <v>151</v>
      </c>
      <c r="BQ329">
        <v>1.1000000000000001</v>
      </c>
      <c r="BR329" t="s">
        <v>1731</v>
      </c>
      <c r="BS329" t="s">
        <v>1729</v>
      </c>
      <c r="BT329" t="s">
        <v>981</v>
      </c>
      <c r="BU329" t="s">
        <v>150</v>
      </c>
      <c r="BV329" t="s">
        <v>1732</v>
      </c>
      <c r="BW329" t="s">
        <v>1733</v>
      </c>
      <c r="BX329">
        <v>450</v>
      </c>
      <c r="BY329">
        <v>450</v>
      </c>
      <c r="BZ329" t="s">
        <v>1727</v>
      </c>
      <c r="CA329" t="s">
        <v>1731</v>
      </c>
      <c r="CB329" t="s">
        <v>1729</v>
      </c>
      <c r="CC329" t="s">
        <v>156</v>
      </c>
      <c r="CD329" t="s">
        <v>157</v>
      </c>
      <c r="CJ329" t="s">
        <v>1727</v>
      </c>
      <c r="CK329" t="s">
        <v>1734</v>
      </c>
    </row>
    <row r="330" spans="1:89" x14ac:dyDescent="0.3">
      <c r="A330" t="s">
        <v>1735</v>
      </c>
      <c r="B330" t="s">
        <v>5</v>
      </c>
      <c r="C330" t="s">
        <v>145</v>
      </c>
      <c r="D330">
        <v>200</v>
      </c>
      <c r="E330" t="s">
        <v>146</v>
      </c>
      <c r="F330" t="s">
        <v>147</v>
      </c>
      <c r="H330" t="s">
        <v>1736</v>
      </c>
      <c r="I330">
        <v>34</v>
      </c>
      <c r="J330">
        <v>406</v>
      </c>
      <c r="L330">
        <v>0</v>
      </c>
      <c r="M330">
        <v>0</v>
      </c>
      <c r="N330" t="s">
        <v>1737</v>
      </c>
      <c r="O330">
        <v>21</v>
      </c>
      <c r="P330">
        <v>294</v>
      </c>
      <c r="S330" t="s">
        <v>1738</v>
      </c>
      <c r="T330">
        <v>14</v>
      </c>
      <c r="V330">
        <v>0</v>
      </c>
      <c r="AB330" t="s">
        <v>1735</v>
      </c>
      <c r="AH330">
        <v>464910</v>
      </c>
      <c r="AI330">
        <v>95910</v>
      </c>
      <c r="AJ330">
        <v>95910</v>
      </c>
      <c r="AK330">
        <v>37.374496530000002</v>
      </c>
      <c r="AM330">
        <v>248</v>
      </c>
      <c r="AS330">
        <v>3</v>
      </c>
      <c r="AT330">
        <v>1</v>
      </c>
      <c r="AV330">
        <v>19</v>
      </c>
      <c r="AW330">
        <v>8</v>
      </c>
      <c r="AX330">
        <v>0</v>
      </c>
      <c r="AY330">
        <v>2.0699999999999998</v>
      </c>
      <c r="AZ330">
        <v>108</v>
      </c>
      <c r="BA330">
        <v>55</v>
      </c>
      <c r="BB330">
        <v>0</v>
      </c>
      <c r="BP330" t="s">
        <v>151</v>
      </c>
      <c r="BQ330">
        <v>1.1000000000000001</v>
      </c>
      <c r="BR330" t="s">
        <v>1739</v>
      </c>
      <c r="BS330" t="s">
        <v>1737</v>
      </c>
      <c r="BT330" t="s">
        <v>981</v>
      </c>
      <c r="BU330" t="s">
        <v>150</v>
      </c>
      <c r="BV330" t="s">
        <v>1740</v>
      </c>
      <c r="BW330" t="s">
        <v>1741</v>
      </c>
      <c r="BX330">
        <v>450</v>
      </c>
      <c r="BY330">
        <v>450</v>
      </c>
      <c r="BZ330" t="s">
        <v>1735</v>
      </c>
      <c r="CA330" t="s">
        <v>1739</v>
      </c>
      <c r="CB330" t="s">
        <v>1737</v>
      </c>
      <c r="CC330" t="s">
        <v>156</v>
      </c>
      <c r="CD330" t="s">
        <v>157</v>
      </c>
      <c r="CJ330" t="s">
        <v>1735</v>
      </c>
      <c r="CK330" t="s">
        <v>1103</v>
      </c>
    </row>
    <row r="331" spans="1:89" x14ac:dyDescent="0.3">
      <c r="A331" t="s">
        <v>1742</v>
      </c>
      <c r="B331" t="s">
        <v>5</v>
      </c>
      <c r="C331" t="s">
        <v>145</v>
      </c>
      <c r="D331">
        <v>200</v>
      </c>
      <c r="E331" t="s">
        <v>146</v>
      </c>
      <c r="F331" t="s">
        <v>147</v>
      </c>
      <c r="H331" t="s">
        <v>1743</v>
      </c>
      <c r="I331">
        <v>31</v>
      </c>
      <c r="J331">
        <v>367</v>
      </c>
      <c r="L331">
        <v>0</v>
      </c>
      <c r="M331">
        <v>0</v>
      </c>
      <c r="N331" t="s">
        <v>1744</v>
      </c>
      <c r="O331">
        <v>22</v>
      </c>
      <c r="P331">
        <v>308</v>
      </c>
      <c r="S331" t="s">
        <v>1745</v>
      </c>
      <c r="T331">
        <v>11</v>
      </c>
      <c r="V331">
        <v>0</v>
      </c>
      <c r="AB331" t="s">
        <v>1742</v>
      </c>
      <c r="AH331">
        <v>397428</v>
      </c>
      <c r="AI331">
        <v>86555</v>
      </c>
      <c r="AJ331">
        <v>86555</v>
      </c>
      <c r="AK331">
        <v>33.729012064999999</v>
      </c>
      <c r="AM331">
        <v>227</v>
      </c>
      <c r="AS331">
        <v>2</v>
      </c>
      <c r="AT331">
        <v>1</v>
      </c>
      <c r="AV331">
        <v>22</v>
      </c>
      <c r="AW331">
        <v>9</v>
      </c>
      <c r="AX331">
        <v>0</v>
      </c>
      <c r="AY331">
        <v>2.33</v>
      </c>
      <c r="AZ331">
        <v>108</v>
      </c>
      <c r="BA331">
        <v>55</v>
      </c>
      <c r="BB331">
        <v>0</v>
      </c>
      <c r="BP331" t="s">
        <v>151</v>
      </c>
      <c r="BQ331">
        <v>1.1000000000000001</v>
      </c>
      <c r="BR331" t="s">
        <v>1746</v>
      </c>
      <c r="BS331" t="s">
        <v>1744</v>
      </c>
      <c r="BT331" t="s">
        <v>981</v>
      </c>
      <c r="BU331" t="s">
        <v>150</v>
      </c>
      <c r="BV331" t="s">
        <v>1747</v>
      </c>
      <c r="BW331" t="s">
        <v>1748</v>
      </c>
      <c r="BX331">
        <v>450</v>
      </c>
      <c r="BY331">
        <v>450</v>
      </c>
      <c r="BZ331" t="s">
        <v>1742</v>
      </c>
      <c r="CA331" t="s">
        <v>1746</v>
      </c>
      <c r="CB331" t="s">
        <v>1744</v>
      </c>
      <c r="CC331" t="s">
        <v>156</v>
      </c>
      <c r="CD331" t="s">
        <v>157</v>
      </c>
      <c r="CJ331" t="s">
        <v>1742</v>
      </c>
      <c r="CK331" t="s">
        <v>1749</v>
      </c>
    </row>
    <row r="332" spans="1:89" x14ac:dyDescent="0.3">
      <c r="A332" t="s">
        <v>1750</v>
      </c>
      <c r="B332" t="s">
        <v>5</v>
      </c>
      <c r="C332" t="s">
        <v>145</v>
      </c>
      <c r="D332">
        <v>200</v>
      </c>
      <c r="E332" t="s">
        <v>146</v>
      </c>
      <c r="F332" t="s">
        <v>147</v>
      </c>
      <c r="H332" t="s">
        <v>1751</v>
      </c>
      <c r="I332">
        <v>33</v>
      </c>
      <c r="J332">
        <v>407</v>
      </c>
      <c r="L332">
        <v>0</v>
      </c>
      <c r="M332">
        <v>0</v>
      </c>
      <c r="N332" t="s">
        <v>1752</v>
      </c>
      <c r="O332">
        <v>42</v>
      </c>
      <c r="P332">
        <v>588</v>
      </c>
      <c r="S332" t="s">
        <v>1753</v>
      </c>
      <c r="T332">
        <v>13</v>
      </c>
      <c r="V332">
        <v>0</v>
      </c>
      <c r="AB332" t="s">
        <v>1750</v>
      </c>
      <c r="AH332">
        <v>505480</v>
      </c>
      <c r="AI332">
        <v>100868</v>
      </c>
      <c r="AJ332">
        <v>100868</v>
      </c>
      <c r="AK332">
        <v>39.306544844000001</v>
      </c>
      <c r="AM332">
        <v>282</v>
      </c>
      <c r="AS332">
        <v>2</v>
      </c>
      <c r="AT332">
        <v>1</v>
      </c>
      <c r="AV332">
        <v>21</v>
      </c>
      <c r="AW332">
        <v>9</v>
      </c>
      <c r="AX332">
        <v>0</v>
      </c>
      <c r="AY332">
        <v>2.33</v>
      </c>
      <c r="AZ332">
        <v>108</v>
      </c>
      <c r="BA332">
        <v>55</v>
      </c>
      <c r="BB332">
        <v>0</v>
      </c>
      <c r="BP332" t="s">
        <v>151</v>
      </c>
      <c r="BQ332">
        <v>1.1000000000000001</v>
      </c>
      <c r="BR332" t="s">
        <v>1754</v>
      </c>
      <c r="BS332" t="s">
        <v>1752</v>
      </c>
      <c r="BT332" t="s">
        <v>981</v>
      </c>
      <c r="BU332" t="s">
        <v>150</v>
      </c>
      <c r="BV332" t="s">
        <v>1755</v>
      </c>
      <c r="BW332" t="s">
        <v>1756</v>
      </c>
      <c r="BX332">
        <v>450</v>
      </c>
      <c r="BY332">
        <v>450</v>
      </c>
      <c r="BZ332" t="s">
        <v>1750</v>
      </c>
      <c r="CA332" t="s">
        <v>1754</v>
      </c>
      <c r="CB332" t="s">
        <v>1752</v>
      </c>
      <c r="CC332" t="s">
        <v>156</v>
      </c>
      <c r="CD332" t="s">
        <v>157</v>
      </c>
      <c r="CJ332" t="s">
        <v>1750</v>
      </c>
      <c r="CK332" t="s">
        <v>1734</v>
      </c>
    </row>
    <row r="333" spans="1:89" x14ac:dyDescent="0.3">
      <c r="A333" t="s">
        <v>1757</v>
      </c>
      <c r="B333" t="s">
        <v>5</v>
      </c>
      <c r="C333" t="s">
        <v>145</v>
      </c>
      <c r="D333">
        <v>200</v>
      </c>
      <c r="E333" t="s">
        <v>146</v>
      </c>
      <c r="F333" t="s">
        <v>147</v>
      </c>
      <c r="H333" t="s">
        <v>1758</v>
      </c>
      <c r="I333">
        <v>43</v>
      </c>
      <c r="J333">
        <v>604</v>
      </c>
      <c r="L333">
        <v>0</v>
      </c>
      <c r="M333">
        <v>0</v>
      </c>
      <c r="N333" t="s">
        <v>1759</v>
      </c>
      <c r="O333">
        <v>24</v>
      </c>
      <c r="P333">
        <v>336</v>
      </c>
      <c r="S333" t="s">
        <v>1760</v>
      </c>
      <c r="T333">
        <v>23</v>
      </c>
      <c r="V333">
        <v>0</v>
      </c>
      <c r="AB333" t="s">
        <v>1757</v>
      </c>
      <c r="AH333">
        <v>388552</v>
      </c>
      <c r="AI333">
        <v>84647</v>
      </c>
      <c r="AJ333">
        <v>84647</v>
      </c>
      <c r="AK333">
        <v>32.985496900999998</v>
      </c>
      <c r="AM333">
        <v>209</v>
      </c>
      <c r="AS333">
        <v>2</v>
      </c>
      <c r="AT333">
        <v>1</v>
      </c>
      <c r="AV333">
        <v>11</v>
      </c>
      <c r="AW333">
        <v>3</v>
      </c>
      <c r="AX333">
        <v>0</v>
      </c>
      <c r="AY333">
        <v>0.78</v>
      </c>
      <c r="AZ333">
        <v>108</v>
      </c>
      <c r="BA333">
        <v>55</v>
      </c>
      <c r="BB333">
        <v>0</v>
      </c>
      <c r="BP333" t="s">
        <v>151</v>
      </c>
      <c r="BQ333">
        <v>1.1000000000000001</v>
      </c>
      <c r="BR333" t="s">
        <v>1761</v>
      </c>
      <c r="BS333" t="s">
        <v>1759</v>
      </c>
      <c r="BT333" t="s">
        <v>981</v>
      </c>
      <c r="BU333" t="s">
        <v>150</v>
      </c>
      <c r="BV333" t="s">
        <v>1762</v>
      </c>
      <c r="BW333" t="s">
        <v>1763</v>
      </c>
      <c r="BX333">
        <v>450</v>
      </c>
      <c r="BY333">
        <v>450</v>
      </c>
      <c r="BZ333" t="s">
        <v>1757</v>
      </c>
      <c r="CA333" t="s">
        <v>1761</v>
      </c>
      <c r="CB333" t="s">
        <v>1759</v>
      </c>
      <c r="CC333" t="s">
        <v>156</v>
      </c>
      <c r="CD333" t="s">
        <v>157</v>
      </c>
      <c r="CJ333" t="s">
        <v>1757</v>
      </c>
      <c r="CK333" t="s">
        <v>1190</v>
      </c>
    </row>
    <row r="334" spans="1:89" x14ac:dyDescent="0.3">
      <c r="A334" t="s">
        <v>1764</v>
      </c>
      <c r="B334" t="s">
        <v>5</v>
      </c>
      <c r="C334" t="s">
        <v>145</v>
      </c>
      <c r="D334">
        <v>200</v>
      </c>
      <c r="E334" t="s">
        <v>146</v>
      </c>
      <c r="F334" t="s">
        <v>147</v>
      </c>
      <c r="H334" t="s">
        <v>1765</v>
      </c>
      <c r="I334">
        <v>34</v>
      </c>
      <c r="J334">
        <v>401</v>
      </c>
      <c r="L334">
        <v>0</v>
      </c>
      <c r="M334">
        <v>0</v>
      </c>
      <c r="N334" t="s">
        <v>1766</v>
      </c>
      <c r="O334">
        <v>38</v>
      </c>
      <c r="P334">
        <v>527</v>
      </c>
      <c r="S334" t="s">
        <v>1767</v>
      </c>
      <c r="T334">
        <v>14</v>
      </c>
      <c r="V334">
        <v>0</v>
      </c>
      <c r="AB334" t="s">
        <v>1764</v>
      </c>
      <c r="AH334">
        <v>389653</v>
      </c>
      <c r="AI334">
        <v>85208</v>
      </c>
      <c r="AJ334">
        <v>85208</v>
      </c>
      <c r="AK334">
        <v>33.204109064000001</v>
      </c>
      <c r="AM334">
        <v>216</v>
      </c>
      <c r="AS334">
        <v>2</v>
      </c>
      <c r="AT334">
        <v>1</v>
      </c>
      <c r="AV334">
        <v>19</v>
      </c>
      <c r="AW334">
        <v>7</v>
      </c>
      <c r="AX334">
        <v>0</v>
      </c>
      <c r="AY334">
        <v>1.81</v>
      </c>
      <c r="AZ334">
        <v>108</v>
      </c>
      <c r="BA334">
        <v>55</v>
      </c>
      <c r="BB334">
        <v>0</v>
      </c>
      <c r="BP334" t="s">
        <v>151</v>
      </c>
      <c r="BQ334">
        <v>1.1000000000000001</v>
      </c>
      <c r="BR334" t="s">
        <v>1768</v>
      </c>
      <c r="BS334" t="s">
        <v>1766</v>
      </c>
      <c r="BT334" t="s">
        <v>981</v>
      </c>
      <c r="BU334" t="s">
        <v>150</v>
      </c>
      <c r="BV334" t="s">
        <v>1769</v>
      </c>
      <c r="BW334" t="s">
        <v>1770</v>
      </c>
      <c r="BX334">
        <v>450</v>
      </c>
      <c r="BY334">
        <v>450</v>
      </c>
      <c r="BZ334" t="s">
        <v>1764</v>
      </c>
      <c r="CA334" t="s">
        <v>1768</v>
      </c>
      <c r="CB334" t="s">
        <v>1766</v>
      </c>
      <c r="CC334" t="s">
        <v>156</v>
      </c>
      <c r="CD334" t="s">
        <v>157</v>
      </c>
      <c r="CJ334" t="s">
        <v>1764</v>
      </c>
      <c r="CK334" t="s">
        <v>723</v>
      </c>
    </row>
    <row r="335" spans="1:89" x14ac:dyDescent="0.3">
      <c r="A335" t="s">
        <v>1771</v>
      </c>
      <c r="B335" t="s">
        <v>5</v>
      </c>
      <c r="C335" t="s">
        <v>145</v>
      </c>
      <c r="D335">
        <v>200</v>
      </c>
      <c r="E335" t="s">
        <v>146</v>
      </c>
      <c r="F335" t="s">
        <v>147</v>
      </c>
      <c r="H335" t="s">
        <v>1772</v>
      </c>
      <c r="I335">
        <v>29</v>
      </c>
      <c r="J335">
        <v>351</v>
      </c>
      <c r="L335">
        <v>0</v>
      </c>
      <c r="M335">
        <v>0</v>
      </c>
      <c r="N335" t="s">
        <v>1773</v>
      </c>
      <c r="O335">
        <v>35</v>
      </c>
      <c r="P335">
        <v>490</v>
      </c>
      <c r="S335" t="s">
        <v>1774</v>
      </c>
      <c r="T335">
        <v>9</v>
      </c>
      <c r="V335">
        <v>0</v>
      </c>
      <c r="AB335" t="s">
        <v>1771</v>
      </c>
      <c r="AH335">
        <v>388325</v>
      </c>
      <c r="AI335">
        <v>84898</v>
      </c>
      <c r="AJ335">
        <v>84898</v>
      </c>
      <c r="AK335">
        <v>33.083307333999997</v>
      </c>
      <c r="AM335">
        <v>204</v>
      </c>
      <c r="AS335">
        <v>2</v>
      </c>
      <c r="AT335">
        <v>1</v>
      </c>
      <c r="AV335">
        <v>17</v>
      </c>
      <c r="AW335">
        <v>6</v>
      </c>
      <c r="AX335">
        <v>0</v>
      </c>
      <c r="AY335">
        <v>1.55</v>
      </c>
      <c r="AZ335">
        <v>108</v>
      </c>
      <c r="BA335">
        <v>55</v>
      </c>
      <c r="BB335">
        <v>0</v>
      </c>
      <c r="BP335" t="s">
        <v>151</v>
      </c>
      <c r="BQ335">
        <v>1.1000000000000001</v>
      </c>
      <c r="BR335" t="s">
        <v>1775</v>
      </c>
      <c r="BS335" t="s">
        <v>1773</v>
      </c>
      <c r="BT335" t="s">
        <v>981</v>
      </c>
      <c r="BU335" t="s">
        <v>150</v>
      </c>
      <c r="BV335" t="s">
        <v>1776</v>
      </c>
      <c r="BW335" t="s">
        <v>1777</v>
      </c>
      <c r="BX335">
        <v>450</v>
      </c>
      <c r="BY335">
        <v>450</v>
      </c>
      <c r="BZ335" t="s">
        <v>1771</v>
      </c>
      <c r="CA335" t="s">
        <v>1775</v>
      </c>
      <c r="CB335" t="s">
        <v>1773</v>
      </c>
      <c r="CC335" t="s">
        <v>156</v>
      </c>
      <c r="CD335" t="s">
        <v>157</v>
      </c>
      <c r="CJ335" t="s">
        <v>1771</v>
      </c>
      <c r="CK335" t="s">
        <v>1111</v>
      </c>
    </row>
    <row r="336" spans="1:89" x14ac:dyDescent="0.3">
      <c r="A336" t="s">
        <v>1778</v>
      </c>
      <c r="B336" t="s">
        <v>5</v>
      </c>
      <c r="C336" t="s">
        <v>145</v>
      </c>
      <c r="D336">
        <v>200</v>
      </c>
      <c r="E336" t="s">
        <v>146</v>
      </c>
      <c r="F336" t="s">
        <v>147</v>
      </c>
      <c r="H336" t="s">
        <v>1779</v>
      </c>
      <c r="I336">
        <v>34</v>
      </c>
      <c r="J336">
        <v>396</v>
      </c>
      <c r="L336">
        <v>0</v>
      </c>
      <c r="M336">
        <v>0</v>
      </c>
      <c r="N336" t="s">
        <v>1780</v>
      </c>
      <c r="O336">
        <v>26</v>
      </c>
      <c r="P336">
        <v>364</v>
      </c>
      <c r="S336" t="s">
        <v>1781</v>
      </c>
      <c r="T336">
        <v>14</v>
      </c>
      <c r="V336">
        <v>0</v>
      </c>
      <c r="AB336" t="s">
        <v>1778</v>
      </c>
      <c r="AH336">
        <v>387725</v>
      </c>
      <c r="AI336">
        <v>84788</v>
      </c>
      <c r="AJ336">
        <v>84788</v>
      </c>
      <c r="AK336">
        <v>33.040442204000001</v>
      </c>
      <c r="AM336">
        <v>209</v>
      </c>
      <c r="AS336">
        <v>2</v>
      </c>
      <c r="AT336">
        <v>1</v>
      </c>
      <c r="AV336">
        <v>21</v>
      </c>
      <c r="AW336">
        <v>8</v>
      </c>
      <c r="AX336">
        <v>0</v>
      </c>
      <c r="AY336">
        <v>2.0699999999999998</v>
      </c>
      <c r="AZ336">
        <v>108</v>
      </c>
      <c r="BA336">
        <v>55</v>
      </c>
      <c r="BB336">
        <v>0</v>
      </c>
      <c r="BP336" t="s">
        <v>151</v>
      </c>
      <c r="BQ336">
        <v>1.1000000000000001</v>
      </c>
      <c r="BR336" t="s">
        <v>1782</v>
      </c>
      <c r="BS336" t="s">
        <v>1780</v>
      </c>
      <c r="BT336" t="s">
        <v>981</v>
      </c>
      <c r="BU336" t="s">
        <v>150</v>
      </c>
      <c r="BV336" t="s">
        <v>1783</v>
      </c>
      <c r="BW336" t="s">
        <v>1784</v>
      </c>
      <c r="BX336">
        <v>450</v>
      </c>
      <c r="BY336">
        <v>450</v>
      </c>
      <c r="BZ336" t="s">
        <v>1778</v>
      </c>
      <c r="CA336" t="s">
        <v>1782</v>
      </c>
      <c r="CB336" t="s">
        <v>1780</v>
      </c>
      <c r="CC336" t="s">
        <v>156</v>
      </c>
      <c r="CD336" t="s">
        <v>157</v>
      </c>
      <c r="CJ336" t="s">
        <v>1778</v>
      </c>
      <c r="CK336" t="s">
        <v>1734</v>
      </c>
    </row>
    <row r="337" spans="1:89" x14ac:dyDescent="0.3">
      <c r="A337" t="s">
        <v>1785</v>
      </c>
      <c r="B337" t="s">
        <v>5</v>
      </c>
      <c r="C337" t="s">
        <v>145</v>
      </c>
      <c r="D337">
        <v>200</v>
      </c>
      <c r="E337" t="s">
        <v>146</v>
      </c>
      <c r="F337" t="s">
        <v>147</v>
      </c>
      <c r="H337" t="s">
        <v>1786</v>
      </c>
      <c r="I337">
        <v>32</v>
      </c>
      <c r="J337">
        <v>378</v>
      </c>
      <c r="L337">
        <v>0</v>
      </c>
      <c r="M337">
        <v>0</v>
      </c>
      <c r="N337" t="s">
        <v>1787</v>
      </c>
      <c r="O337">
        <v>26</v>
      </c>
      <c r="P337">
        <v>364</v>
      </c>
      <c r="S337" t="s">
        <v>1788</v>
      </c>
      <c r="T337">
        <v>12</v>
      </c>
      <c r="V337">
        <v>0</v>
      </c>
      <c r="AB337" t="s">
        <v>1785</v>
      </c>
      <c r="AH337">
        <v>387341</v>
      </c>
      <c r="AI337">
        <v>84437</v>
      </c>
      <c r="AJ337">
        <v>84437</v>
      </c>
      <c r="AK337">
        <v>32.903663471000002</v>
      </c>
      <c r="AM337">
        <v>209</v>
      </c>
      <c r="AS337">
        <v>2</v>
      </c>
      <c r="AT337">
        <v>1</v>
      </c>
      <c r="AV337">
        <v>21</v>
      </c>
      <c r="AW337">
        <v>8</v>
      </c>
      <c r="AX337">
        <v>0</v>
      </c>
      <c r="AY337">
        <v>2.0699999999999998</v>
      </c>
      <c r="AZ337">
        <v>108</v>
      </c>
      <c r="BA337">
        <v>55</v>
      </c>
      <c r="BB337">
        <v>0</v>
      </c>
      <c r="BP337" t="s">
        <v>151</v>
      </c>
      <c r="BQ337">
        <v>1.1000000000000001</v>
      </c>
      <c r="BR337" t="s">
        <v>1789</v>
      </c>
      <c r="BS337" t="s">
        <v>1787</v>
      </c>
      <c r="BT337" t="s">
        <v>981</v>
      </c>
      <c r="BU337" t="s">
        <v>150</v>
      </c>
      <c r="BV337" t="s">
        <v>1790</v>
      </c>
      <c r="BW337" t="s">
        <v>1791</v>
      </c>
      <c r="BX337">
        <v>450</v>
      </c>
      <c r="BY337">
        <v>450</v>
      </c>
      <c r="BZ337" t="s">
        <v>1785</v>
      </c>
      <c r="CA337" t="s">
        <v>1789</v>
      </c>
      <c r="CB337" t="s">
        <v>1787</v>
      </c>
      <c r="CC337" t="s">
        <v>156</v>
      </c>
      <c r="CD337" t="s">
        <v>157</v>
      </c>
      <c r="CJ337" t="s">
        <v>1785</v>
      </c>
      <c r="CK337" t="s">
        <v>1425</v>
      </c>
    </row>
    <row r="338" spans="1:89" x14ac:dyDescent="0.3">
      <c r="A338" t="s">
        <v>1792</v>
      </c>
      <c r="B338" t="s">
        <v>5</v>
      </c>
      <c r="C338" t="s">
        <v>145</v>
      </c>
      <c r="D338">
        <v>200</v>
      </c>
      <c r="E338" t="s">
        <v>146</v>
      </c>
      <c r="F338" t="s">
        <v>147</v>
      </c>
      <c r="H338" t="s">
        <v>1793</v>
      </c>
      <c r="I338">
        <v>34</v>
      </c>
      <c r="J338">
        <v>424</v>
      </c>
      <c r="L338">
        <v>0</v>
      </c>
      <c r="M338">
        <v>0</v>
      </c>
      <c r="N338" t="s">
        <v>1794</v>
      </c>
      <c r="O338">
        <v>15</v>
      </c>
      <c r="P338">
        <v>210</v>
      </c>
      <c r="S338" t="s">
        <v>1795</v>
      </c>
      <c r="T338">
        <v>14</v>
      </c>
      <c r="V338">
        <v>0</v>
      </c>
      <c r="AB338" t="s">
        <v>1792</v>
      </c>
      <c r="AH338">
        <v>386815</v>
      </c>
      <c r="AI338">
        <v>83989</v>
      </c>
      <c r="AJ338">
        <v>83989</v>
      </c>
      <c r="AK338">
        <v>32.729085486999999</v>
      </c>
      <c r="AM338">
        <v>209</v>
      </c>
      <c r="AS338">
        <v>2</v>
      </c>
      <c r="AT338">
        <v>1</v>
      </c>
      <c r="AV338">
        <v>11</v>
      </c>
      <c r="AW338">
        <v>3</v>
      </c>
      <c r="AX338">
        <v>0</v>
      </c>
      <c r="AY338">
        <v>0.78</v>
      </c>
      <c r="AZ338">
        <v>108</v>
      </c>
      <c r="BA338">
        <v>55</v>
      </c>
      <c r="BB338">
        <v>0</v>
      </c>
      <c r="BP338" t="s">
        <v>151</v>
      </c>
      <c r="BQ338">
        <v>1.1000000000000001</v>
      </c>
      <c r="BR338" t="s">
        <v>1796</v>
      </c>
      <c r="BS338" t="s">
        <v>1794</v>
      </c>
      <c r="BT338" t="s">
        <v>981</v>
      </c>
      <c r="BU338" t="s">
        <v>150</v>
      </c>
      <c r="BV338" t="s">
        <v>1797</v>
      </c>
      <c r="BW338" t="s">
        <v>1798</v>
      </c>
      <c r="BX338">
        <v>450</v>
      </c>
      <c r="BY338">
        <v>450</v>
      </c>
      <c r="BZ338" t="s">
        <v>1792</v>
      </c>
      <c r="CA338" t="s">
        <v>1796</v>
      </c>
      <c r="CB338" t="s">
        <v>1794</v>
      </c>
      <c r="CC338" t="s">
        <v>156</v>
      </c>
      <c r="CD338" t="s">
        <v>157</v>
      </c>
      <c r="CJ338" t="s">
        <v>1792</v>
      </c>
      <c r="CK338" t="s">
        <v>1654</v>
      </c>
    </row>
    <row r="339" spans="1:89" x14ac:dyDescent="0.3">
      <c r="A339" t="s">
        <v>1799</v>
      </c>
      <c r="B339" t="s">
        <v>5</v>
      </c>
      <c r="C339" t="s">
        <v>145</v>
      </c>
      <c r="D339">
        <v>200</v>
      </c>
      <c r="E339" t="s">
        <v>146</v>
      </c>
      <c r="F339" t="s">
        <v>147</v>
      </c>
      <c r="H339" t="s">
        <v>1800</v>
      </c>
      <c r="I339">
        <v>34</v>
      </c>
      <c r="J339">
        <v>405</v>
      </c>
      <c r="K339" t="s">
        <v>994</v>
      </c>
      <c r="L339">
        <v>8</v>
      </c>
      <c r="M339">
        <v>92</v>
      </c>
      <c r="N339" t="s">
        <v>1801</v>
      </c>
      <c r="O339">
        <v>10</v>
      </c>
      <c r="P339">
        <v>140</v>
      </c>
      <c r="S339" t="s">
        <v>1802</v>
      </c>
      <c r="T339">
        <v>14</v>
      </c>
      <c r="V339">
        <v>0</v>
      </c>
      <c r="AB339" t="s">
        <v>1799</v>
      </c>
      <c r="AH339">
        <v>527073</v>
      </c>
      <c r="AI339">
        <v>103530</v>
      </c>
      <c r="AJ339">
        <v>103530</v>
      </c>
      <c r="AK339">
        <v>40.343880990000002</v>
      </c>
      <c r="AM339">
        <v>292</v>
      </c>
      <c r="AS339">
        <v>3</v>
      </c>
      <c r="AT339">
        <v>1</v>
      </c>
      <c r="AV339">
        <v>13</v>
      </c>
      <c r="AW339">
        <v>4</v>
      </c>
      <c r="AX339">
        <v>0</v>
      </c>
      <c r="AY339">
        <v>1.03</v>
      </c>
      <c r="AZ339">
        <v>110</v>
      </c>
      <c r="BA339">
        <v>56</v>
      </c>
      <c r="BB339">
        <v>0</v>
      </c>
      <c r="BP339" t="s">
        <v>151</v>
      </c>
      <c r="BQ339">
        <v>1.1000000000000001</v>
      </c>
      <c r="BR339" t="s">
        <v>1803</v>
      </c>
      <c r="BS339" t="s">
        <v>1801</v>
      </c>
      <c r="BT339" t="s">
        <v>981</v>
      </c>
      <c r="BU339" t="s">
        <v>150</v>
      </c>
      <c r="BV339" t="s">
        <v>1804</v>
      </c>
      <c r="BW339" t="s">
        <v>1805</v>
      </c>
      <c r="BX339">
        <v>451</v>
      </c>
      <c r="BY339">
        <v>451</v>
      </c>
      <c r="BZ339" t="s">
        <v>1799</v>
      </c>
      <c r="CA339" t="s">
        <v>1803</v>
      </c>
      <c r="CB339" t="s">
        <v>1801</v>
      </c>
      <c r="CC339" t="s">
        <v>156</v>
      </c>
      <c r="CD339" t="s">
        <v>157</v>
      </c>
      <c r="CJ339" t="s">
        <v>1799</v>
      </c>
      <c r="CK339" t="s">
        <v>1646</v>
      </c>
    </row>
    <row r="340" spans="1:89" x14ac:dyDescent="0.3">
      <c r="A340" t="s">
        <v>1806</v>
      </c>
      <c r="B340" t="s">
        <v>5</v>
      </c>
      <c r="C340" t="s">
        <v>145</v>
      </c>
      <c r="D340">
        <v>200</v>
      </c>
      <c r="E340" t="s">
        <v>146</v>
      </c>
      <c r="F340" t="s">
        <v>147</v>
      </c>
      <c r="H340" t="s">
        <v>1807</v>
      </c>
      <c r="I340">
        <v>34</v>
      </c>
      <c r="J340">
        <v>405</v>
      </c>
      <c r="L340">
        <v>0</v>
      </c>
      <c r="M340">
        <v>0</v>
      </c>
      <c r="N340" t="s">
        <v>1808</v>
      </c>
      <c r="O340">
        <v>10</v>
      </c>
      <c r="P340">
        <v>140</v>
      </c>
      <c r="S340" t="s">
        <v>1809</v>
      </c>
      <c r="T340">
        <v>14</v>
      </c>
      <c r="V340">
        <v>0</v>
      </c>
      <c r="AB340" t="s">
        <v>1806</v>
      </c>
      <c r="AH340">
        <v>524567</v>
      </c>
      <c r="AI340">
        <v>102934</v>
      </c>
      <c r="AJ340">
        <v>102934</v>
      </c>
      <c r="AK340">
        <v>40.111629921999999</v>
      </c>
      <c r="AM340">
        <v>288</v>
      </c>
      <c r="AS340">
        <v>3</v>
      </c>
      <c r="AT340">
        <v>1</v>
      </c>
      <c r="AV340">
        <v>13</v>
      </c>
      <c r="AW340">
        <v>4</v>
      </c>
      <c r="AX340">
        <v>0</v>
      </c>
      <c r="AY340">
        <v>1.03</v>
      </c>
      <c r="AZ340">
        <v>110</v>
      </c>
      <c r="BA340">
        <v>56</v>
      </c>
      <c r="BB340">
        <v>0</v>
      </c>
      <c r="BP340" t="s">
        <v>151</v>
      </c>
      <c r="BQ340">
        <v>1.1000000000000001</v>
      </c>
      <c r="BR340" t="s">
        <v>1810</v>
      </c>
      <c r="BS340" t="s">
        <v>1808</v>
      </c>
      <c r="BT340" t="s">
        <v>981</v>
      </c>
      <c r="BU340" t="s">
        <v>150</v>
      </c>
      <c r="BV340" t="s">
        <v>1811</v>
      </c>
      <c r="BW340" t="s">
        <v>1812</v>
      </c>
      <c r="BX340">
        <v>451</v>
      </c>
      <c r="BY340">
        <v>451</v>
      </c>
      <c r="BZ340" t="s">
        <v>1806</v>
      </c>
      <c r="CA340" t="s">
        <v>1810</v>
      </c>
      <c r="CB340" t="s">
        <v>1808</v>
      </c>
      <c r="CC340" t="s">
        <v>156</v>
      </c>
      <c r="CD340" t="s">
        <v>157</v>
      </c>
      <c r="CJ340" t="s">
        <v>1806</v>
      </c>
      <c r="CK340" t="s">
        <v>1813</v>
      </c>
    </row>
    <row r="341" spans="1:89" x14ac:dyDescent="0.3">
      <c r="A341" t="s">
        <v>1814</v>
      </c>
      <c r="B341" t="s">
        <v>5</v>
      </c>
      <c r="C341" t="s">
        <v>145</v>
      </c>
      <c r="D341">
        <v>200</v>
      </c>
      <c r="E341" t="s">
        <v>146</v>
      </c>
      <c r="F341" t="s">
        <v>147</v>
      </c>
      <c r="H341" t="s">
        <v>1815</v>
      </c>
      <c r="I341">
        <v>47</v>
      </c>
      <c r="J341">
        <v>522</v>
      </c>
      <c r="L341">
        <v>0</v>
      </c>
      <c r="M341">
        <v>0</v>
      </c>
      <c r="N341" t="s">
        <v>1816</v>
      </c>
      <c r="O341">
        <v>20</v>
      </c>
      <c r="P341">
        <v>259</v>
      </c>
      <c r="S341" t="s">
        <v>1817</v>
      </c>
      <c r="T341">
        <v>21</v>
      </c>
      <c r="V341">
        <v>0</v>
      </c>
      <c r="AB341" t="s">
        <v>1814</v>
      </c>
      <c r="AH341">
        <v>388271</v>
      </c>
      <c r="AI341">
        <v>84519</v>
      </c>
      <c r="AJ341">
        <v>84519</v>
      </c>
      <c r="AK341">
        <v>32.935617477000001</v>
      </c>
      <c r="AM341">
        <v>214</v>
      </c>
      <c r="AS341">
        <v>2</v>
      </c>
      <c r="AT341">
        <v>1</v>
      </c>
      <c r="AV341">
        <v>11</v>
      </c>
      <c r="AW341">
        <v>3</v>
      </c>
      <c r="AX341">
        <v>0</v>
      </c>
      <c r="AY341">
        <v>0.78</v>
      </c>
      <c r="AZ341">
        <v>108</v>
      </c>
      <c r="BA341">
        <v>55</v>
      </c>
      <c r="BB341">
        <v>0</v>
      </c>
      <c r="BP341" t="s">
        <v>151</v>
      </c>
      <c r="BQ341">
        <v>1.1000000000000001</v>
      </c>
      <c r="BR341" t="s">
        <v>1818</v>
      </c>
      <c r="BS341" t="s">
        <v>1816</v>
      </c>
      <c r="BT341" t="s">
        <v>981</v>
      </c>
      <c r="BU341" t="s">
        <v>150</v>
      </c>
      <c r="BV341" t="s">
        <v>1819</v>
      </c>
      <c r="BW341" t="s">
        <v>1820</v>
      </c>
      <c r="BX341">
        <v>450</v>
      </c>
      <c r="BY341">
        <v>450</v>
      </c>
      <c r="BZ341" t="s">
        <v>1814</v>
      </c>
      <c r="CA341" t="s">
        <v>1818</v>
      </c>
      <c r="CB341" t="s">
        <v>1816</v>
      </c>
      <c r="CC341" t="s">
        <v>156</v>
      </c>
      <c r="CD341" t="s">
        <v>157</v>
      </c>
      <c r="CJ341" t="s">
        <v>1814</v>
      </c>
      <c r="CK341" t="s">
        <v>1654</v>
      </c>
    </row>
    <row r="342" spans="1:89" x14ac:dyDescent="0.3">
      <c r="A342" t="s">
        <v>1821</v>
      </c>
      <c r="B342" t="s">
        <v>5</v>
      </c>
      <c r="C342" t="s">
        <v>145</v>
      </c>
      <c r="D342">
        <v>200</v>
      </c>
      <c r="E342" t="s">
        <v>146</v>
      </c>
      <c r="F342" t="s">
        <v>147</v>
      </c>
      <c r="H342" t="s">
        <v>1822</v>
      </c>
      <c r="I342">
        <v>35</v>
      </c>
      <c r="J342">
        <v>444</v>
      </c>
      <c r="L342">
        <v>0</v>
      </c>
      <c r="M342">
        <v>0</v>
      </c>
      <c r="N342" t="s">
        <v>1823</v>
      </c>
      <c r="O342">
        <v>16</v>
      </c>
      <c r="P342">
        <v>224</v>
      </c>
      <c r="S342" t="s">
        <v>1824</v>
      </c>
      <c r="T342">
        <v>15</v>
      </c>
      <c r="V342">
        <v>0</v>
      </c>
      <c r="AB342" t="s">
        <v>1821</v>
      </c>
      <c r="AH342">
        <v>376668</v>
      </c>
      <c r="AI342">
        <v>83475</v>
      </c>
      <c r="AJ342">
        <v>83475</v>
      </c>
      <c r="AK342">
        <v>32.528788425000002</v>
      </c>
      <c r="AM342">
        <v>209</v>
      </c>
      <c r="AS342">
        <v>2</v>
      </c>
      <c r="AT342">
        <v>1</v>
      </c>
      <c r="AV342">
        <v>11</v>
      </c>
      <c r="AW342">
        <v>3</v>
      </c>
      <c r="AX342">
        <v>0</v>
      </c>
      <c r="AY342">
        <v>0.78</v>
      </c>
      <c r="AZ342">
        <v>108</v>
      </c>
      <c r="BA342">
        <v>55</v>
      </c>
      <c r="BB342">
        <v>0</v>
      </c>
      <c r="BP342" t="s">
        <v>151</v>
      </c>
      <c r="BQ342">
        <v>1.1000000000000001</v>
      </c>
      <c r="BR342" t="s">
        <v>1825</v>
      </c>
      <c r="BS342" t="s">
        <v>1823</v>
      </c>
      <c r="BT342" t="s">
        <v>981</v>
      </c>
      <c r="BU342" t="s">
        <v>150</v>
      </c>
      <c r="BV342" t="s">
        <v>1826</v>
      </c>
      <c r="BW342" t="s">
        <v>1827</v>
      </c>
      <c r="BX342">
        <v>450</v>
      </c>
      <c r="BY342">
        <v>450</v>
      </c>
      <c r="BZ342" t="s">
        <v>1821</v>
      </c>
      <c r="CA342" t="s">
        <v>1825</v>
      </c>
      <c r="CB342" t="s">
        <v>1823</v>
      </c>
      <c r="CC342" t="s">
        <v>156</v>
      </c>
      <c r="CD342" t="s">
        <v>157</v>
      </c>
      <c r="CJ342" t="s">
        <v>1821</v>
      </c>
      <c r="CK342" t="s">
        <v>1403</v>
      </c>
    </row>
    <row r="343" spans="1:89" x14ac:dyDescent="0.3">
      <c r="A343" t="s">
        <v>1828</v>
      </c>
      <c r="B343" t="s">
        <v>5</v>
      </c>
      <c r="C343" t="s">
        <v>145</v>
      </c>
      <c r="D343">
        <v>200</v>
      </c>
      <c r="E343" t="s">
        <v>146</v>
      </c>
      <c r="F343" t="s">
        <v>147</v>
      </c>
      <c r="H343" t="s">
        <v>1829</v>
      </c>
      <c r="I343">
        <v>30</v>
      </c>
      <c r="J343">
        <v>371</v>
      </c>
      <c r="L343">
        <v>0</v>
      </c>
      <c r="M343">
        <v>0</v>
      </c>
      <c r="N343" t="s">
        <v>1830</v>
      </c>
      <c r="O343">
        <v>48</v>
      </c>
      <c r="P343">
        <v>667</v>
      </c>
      <c r="S343" t="s">
        <v>1831</v>
      </c>
      <c r="T343">
        <v>10</v>
      </c>
      <c r="V343">
        <v>0</v>
      </c>
      <c r="AB343" t="s">
        <v>1828</v>
      </c>
      <c r="AH343">
        <v>501321</v>
      </c>
      <c r="AI343">
        <v>101405</v>
      </c>
      <c r="AJ343">
        <v>101405</v>
      </c>
      <c r="AK343">
        <v>39.515804615</v>
      </c>
      <c r="AM343">
        <v>308</v>
      </c>
      <c r="AS343">
        <v>2</v>
      </c>
      <c r="AT343">
        <v>1</v>
      </c>
      <c r="AV343">
        <v>18</v>
      </c>
      <c r="AW343">
        <v>7</v>
      </c>
      <c r="AX343">
        <v>0</v>
      </c>
      <c r="AY343">
        <v>1.81</v>
      </c>
      <c r="AZ343">
        <v>108</v>
      </c>
      <c r="BA343">
        <v>55</v>
      </c>
      <c r="BB343">
        <v>0</v>
      </c>
      <c r="BP343" t="s">
        <v>151</v>
      </c>
      <c r="BQ343">
        <v>1.1000000000000001</v>
      </c>
      <c r="BR343" t="s">
        <v>1832</v>
      </c>
      <c r="BS343" t="s">
        <v>1830</v>
      </c>
      <c r="BT343" t="s">
        <v>981</v>
      </c>
      <c r="BU343" t="s">
        <v>150</v>
      </c>
      <c r="BV343" t="s">
        <v>1833</v>
      </c>
      <c r="BW343" t="s">
        <v>1834</v>
      </c>
      <c r="BX343">
        <v>450</v>
      </c>
      <c r="BY343">
        <v>450</v>
      </c>
      <c r="BZ343" t="s">
        <v>1828</v>
      </c>
      <c r="CA343" t="s">
        <v>1832</v>
      </c>
      <c r="CB343" t="s">
        <v>1830</v>
      </c>
      <c r="CC343" t="s">
        <v>156</v>
      </c>
      <c r="CD343" t="s">
        <v>157</v>
      </c>
      <c r="CJ343" t="s">
        <v>1828</v>
      </c>
      <c r="CK343" t="s">
        <v>586</v>
      </c>
    </row>
    <row r="344" spans="1:89" x14ac:dyDescent="0.3">
      <c r="A344" t="s">
        <v>1835</v>
      </c>
      <c r="B344" t="s">
        <v>5</v>
      </c>
      <c r="C344" t="s">
        <v>145</v>
      </c>
      <c r="D344">
        <v>200</v>
      </c>
      <c r="E344" t="s">
        <v>146</v>
      </c>
      <c r="F344" t="s">
        <v>147</v>
      </c>
      <c r="H344" t="s">
        <v>1836</v>
      </c>
      <c r="I344">
        <v>33</v>
      </c>
      <c r="J344">
        <v>378</v>
      </c>
      <c r="K344" t="s">
        <v>994</v>
      </c>
      <c r="L344">
        <v>8</v>
      </c>
      <c r="M344">
        <v>92</v>
      </c>
      <c r="N344" t="s">
        <v>1837</v>
      </c>
      <c r="O344">
        <v>68</v>
      </c>
      <c r="P344">
        <v>947</v>
      </c>
      <c r="S344" t="s">
        <v>1838</v>
      </c>
      <c r="T344">
        <v>13</v>
      </c>
      <c r="V344">
        <v>0</v>
      </c>
      <c r="AB344" t="s">
        <v>1835</v>
      </c>
      <c r="AH344">
        <v>627248</v>
      </c>
      <c r="AI344">
        <v>128829</v>
      </c>
      <c r="AJ344">
        <v>128829</v>
      </c>
      <c r="AK344">
        <v>50.202471207000002</v>
      </c>
      <c r="AM344">
        <v>389</v>
      </c>
      <c r="AS344">
        <v>2</v>
      </c>
      <c r="AT344">
        <v>1</v>
      </c>
      <c r="AV344">
        <v>23</v>
      </c>
      <c r="AW344">
        <v>9</v>
      </c>
      <c r="AX344">
        <v>0</v>
      </c>
      <c r="AY344">
        <v>2.33</v>
      </c>
      <c r="AZ344">
        <v>110</v>
      </c>
      <c r="BA344">
        <v>57</v>
      </c>
      <c r="BB344">
        <v>0</v>
      </c>
      <c r="BP344" t="s">
        <v>151</v>
      </c>
      <c r="BQ344">
        <v>1.1000000000000001</v>
      </c>
      <c r="BR344" t="s">
        <v>1839</v>
      </c>
      <c r="BS344" t="s">
        <v>1837</v>
      </c>
      <c r="BT344" t="s">
        <v>981</v>
      </c>
      <c r="BU344" t="s">
        <v>150</v>
      </c>
      <c r="BV344" t="s">
        <v>1840</v>
      </c>
      <c r="BW344" t="s">
        <v>1841</v>
      </c>
      <c r="BX344">
        <v>1000</v>
      </c>
      <c r="BY344">
        <v>1000</v>
      </c>
      <c r="BZ344" t="s">
        <v>1835</v>
      </c>
      <c r="CA344" t="s">
        <v>1839</v>
      </c>
      <c r="CB344" t="s">
        <v>1837</v>
      </c>
      <c r="CC344" t="s">
        <v>156</v>
      </c>
      <c r="CD344" t="s">
        <v>157</v>
      </c>
      <c r="CJ344" t="s">
        <v>1835</v>
      </c>
      <c r="CK344" t="s">
        <v>471</v>
      </c>
    </row>
    <row r="345" spans="1:89" x14ac:dyDescent="0.3">
      <c r="A345" t="s">
        <v>1842</v>
      </c>
      <c r="B345" t="s">
        <v>5</v>
      </c>
      <c r="C345" t="s">
        <v>145</v>
      </c>
      <c r="D345">
        <v>200</v>
      </c>
      <c r="E345" t="s">
        <v>146</v>
      </c>
      <c r="F345" t="s">
        <v>147</v>
      </c>
      <c r="H345" t="s">
        <v>1843</v>
      </c>
      <c r="I345">
        <v>46</v>
      </c>
      <c r="J345">
        <v>545</v>
      </c>
      <c r="K345" t="s">
        <v>977</v>
      </c>
      <c r="L345">
        <v>9</v>
      </c>
      <c r="M345">
        <v>172</v>
      </c>
      <c r="N345" t="s">
        <v>1844</v>
      </c>
      <c r="O345">
        <v>73</v>
      </c>
      <c r="P345">
        <v>931</v>
      </c>
      <c r="S345" t="s">
        <v>1845</v>
      </c>
      <c r="T345">
        <v>14</v>
      </c>
      <c r="V345">
        <v>0</v>
      </c>
      <c r="AB345" t="s">
        <v>1842</v>
      </c>
      <c r="AH345">
        <v>635335</v>
      </c>
      <c r="AI345">
        <v>128668</v>
      </c>
      <c r="AJ345">
        <v>128668</v>
      </c>
      <c r="AK345">
        <v>50.139732244000001</v>
      </c>
      <c r="AM345">
        <v>418</v>
      </c>
      <c r="AS345">
        <v>3</v>
      </c>
      <c r="AT345">
        <v>1</v>
      </c>
      <c r="AV345">
        <v>24</v>
      </c>
      <c r="AW345">
        <v>10</v>
      </c>
      <c r="AX345">
        <v>0</v>
      </c>
      <c r="AY345">
        <v>2.58</v>
      </c>
      <c r="AZ345">
        <v>110</v>
      </c>
      <c r="BA345">
        <v>57</v>
      </c>
      <c r="BB345">
        <v>0</v>
      </c>
      <c r="BP345" t="s">
        <v>151</v>
      </c>
      <c r="BQ345">
        <v>1.1000000000000001</v>
      </c>
      <c r="BR345" t="s">
        <v>1846</v>
      </c>
      <c r="BS345" t="s">
        <v>1844</v>
      </c>
      <c r="BT345" t="s">
        <v>981</v>
      </c>
      <c r="BU345" t="s">
        <v>150</v>
      </c>
      <c r="BV345" t="s">
        <v>1847</v>
      </c>
      <c r="BW345" t="s">
        <v>1848</v>
      </c>
      <c r="BX345">
        <v>1000</v>
      </c>
      <c r="BY345">
        <v>1000</v>
      </c>
      <c r="BZ345" t="s">
        <v>1842</v>
      </c>
      <c r="CA345" t="s">
        <v>1846</v>
      </c>
      <c r="CB345" t="s">
        <v>1844</v>
      </c>
      <c r="CC345" t="s">
        <v>156</v>
      </c>
      <c r="CD345" t="s">
        <v>157</v>
      </c>
      <c r="CJ345" t="s">
        <v>1842</v>
      </c>
      <c r="CK345" t="s">
        <v>509</v>
      </c>
    </row>
    <row r="346" spans="1:89" x14ac:dyDescent="0.3">
      <c r="A346" t="s">
        <v>1849</v>
      </c>
      <c r="B346" t="s">
        <v>5</v>
      </c>
      <c r="C346" t="s">
        <v>145</v>
      </c>
      <c r="D346">
        <v>200</v>
      </c>
      <c r="E346" t="s">
        <v>146</v>
      </c>
      <c r="F346" t="s">
        <v>147</v>
      </c>
      <c r="H346" t="s">
        <v>1850</v>
      </c>
      <c r="I346">
        <v>34</v>
      </c>
      <c r="J346">
        <v>405</v>
      </c>
      <c r="L346">
        <v>0</v>
      </c>
      <c r="M346">
        <v>0</v>
      </c>
      <c r="N346" t="s">
        <v>1851</v>
      </c>
      <c r="O346">
        <v>15</v>
      </c>
      <c r="P346">
        <v>210</v>
      </c>
      <c r="S346" t="s">
        <v>1852</v>
      </c>
      <c r="T346">
        <v>14</v>
      </c>
      <c r="V346">
        <v>0</v>
      </c>
      <c r="AB346" t="s">
        <v>1849</v>
      </c>
      <c r="AH346">
        <v>510931</v>
      </c>
      <c r="AI346">
        <v>102765</v>
      </c>
      <c r="AJ346">
        <v>102765</v>
      </c>
      <c r="AK346">
        <v>40.045773494999999</v>
      </c>
      <c r="AM346">
        <v>276</v>
      </c>
      <c r="AS346">
        <v>3</v>
      </c>
      <c r="AT346">
        <v>1</v>
      </c>
      <c r="AV346">
        <v>11</v>
      </c>
      <c r="AW346">
        <v>3</v>
      </c>
      <c r="AX346">
        <v>0</v>
      </c>
      <c r="AY346">
        <v>0.78</v>
      </c>
      <c r="AZ346">
        <v>110</v>
      </c>
      <c r="BA346">
        <v>57</v>
      </c>
      <c r="BB346">
        <v>0</v>
      </c>
      <c r="BP346" t="s">
        <v>151</v>
      </c>
      <c r="BQ346">
        <v>1.1000000000000001</v>
      </c>
      <c r="BR346" t="s">
        <v>1853</v>
      </c>
      <c r="BS346" t="s">
        <v>1851</v>
      </c>
      <c r="BT346" t="s">
        <v>981</v>
      </c>
      <c r="BU346" t="s">
        <v>150</v>
      </c>
      <c r="BV346" t="s">
        <v>1854</v>
      </c>
      <c r="BW346" t="s">
        <v>1855</v>
      </c>
      <c r="BX346">
        <v>451</v>
      </c>
      <c r="BY346">
        <v>451</v>
      </c>
      <c r="BZ346" t="s">
        <v>1849</v>
      </c>
      <c r="CA346" t="s">
        <v>1853</v>
      </c>
      <c r="CB346" t="s">
        <v>1851</v>
      </c>
      <c r="CC346" t="s">
        <v>156</v>
      </c>
      <c r="CD346" t="s">
        <v>157</v>
      </c>
      <c r="CJ346" t="s">
        <v>1849</v>
      </c>
      <c r="CK346" t="s">
        <v>752</v>
      </c>
    </row>
    <row r="347" spans="1:89" x14ac:dyDescent="0.3">
      <c r="A347" t="s">
        <v>1856</v>
      </c>
      <c r="B347" t="s">
        <v>5</v>
      </c>
      <c r="C347" t="s">
        <v>145</v>
      </c>
      <c r="D347">
        <v>200</v>
      </c>
      <c r="E347" t="s">
        <v>146</v>
      </c>
      <c r="F347" t="s">
        <v>147</v>
      </c>
      <c r="H347" t="s">
        <v>1857</v>
      </c>
      <c r="I347">
        <v>37</v>
      </c>
      <c r="J347">
        <v>465</v>
      </c>
      <c r="L347">
        <v>0</v>
      </c>
      <c r="M347">
        <v>0</v>
      </c>
      <c r="N347" t="s">
        <v>1858</v>
      </c>
      <c r="O347">
        <v>23</v>
      </c>
      <c r="P347">
        <v>322</v>
      </c>
      <c r="S347" t="s">
        <v>1859</v>
      </c>
      <c r="T347">
        <v>17</v>
      </c>
      <c r="V347">
        <v>0</v>
      </c>
      <c r="AB347" t="s">
        <v>1856</v>
      </c>
      <c r="AH347">
        <v>504127</v>
      </c>
      <c r="AI347">
        <v>100600</v>
      </c>
      <c r="AJ347">
        <v>100600</v>
      </c>
      <c r="AK347">
        <v>39.202109800000002</v>
      </c>
      <c r="AM347">
        <v>283</v>
      </c>
      <c r="AS347">
        <v>3</v>
      </c>
      <c r="AT347">
        <v>1</v>
      </c>
      <c r="AV347">
        <v>11</v>
      </c>
      <c r="AW347">
        <v>3</v>
      </c>
      <c r="AX347">
        <v>0</v>
      </c>
      <c r="AY347">
        <v>0.78</v>
      </c>
      <c r="AZ347">
        <v>110</v>
      </c>
      <c r="BA347">
        <v>57</v>
      </c>
      <c r="BB347">
        <v>0</v>
      </c>
      <c r="BP347" t="s">
        <v>151</v>
      </c>
      <c r="BQ347">
        <v>1.1000000000000001</v>
      </c>
      <c r="BR347" t="s">
        <v>1860</v>
      </c>
      <c r="BS347" t="s">
        <v>1858</v>
      </c>
      <c r="BT347" t="s">
        <v>981</v>
      </c>
      <c r="BU347" t="s">
        <v>150</v>
      </c>
      <c r="BV347" t="s">
        <v>1861</v>
      </c>
      <c r="BW347" t="s">
        <v>1862</v>
      </c>
      <c r="BX347">
        <v>451</v>
      </c>
      <c r="BY347">
        <v>451</v>
      </c>
      <c r="BZ347" t="s">
        <v>1856</v>
      </c>
      <c r="CA347" t="s">
        <v>1860</v>
      </c>
      <c r="CB347" t="s">
        <v>1858</v>
      </c>
      <c r="CC347" t="s">
        <v>156</v>
      </c>
      <c r="CD347" t="s">
        <v>157</v>
      </c>
      <c r="CJ347" t="s">
        <v>1856</v>
      </c>
      <c r="CK347" t="s">
        <v>1646</v>
      </c>
    </row>
    <row r="348" spans="1:89" x14ac:dyDescent="0.3">
      <c r="A348" t="s">
        <v>1863</v>
      </c>
      <c r="B348" t="s">
        <v>5</v>
      </c>
      <c r="C348" t="s">
        <v>145</v>
      </c>
      <c r="D348">
        <v>200</v>
      </c>
      <c r="E348" t="s">
        <v>146</v>
      </c>
      <c r="F348" t="s">
        <v>147</v>
      </c>
      <c r="H348" t="s">
        <v>1864</v>
      </c>
      <c r="I348">
        <v>34</v>
      </c>
      <c r="J348">
        <v>406</v>
      </c>
      <c r="L348">
        <v>0</v>
      </c>
      <c r="M348">
        <v>0</v>
      </c>
      <c r="N348" t="s">
        <v>1865</v>
      </c>
      <c r="O348">
        <v>31</v>
      </c>
      <c r="P348">
        <v>434</v>
      </c>
      <c r="S348" t="s">
        <v>1866</v>
      </c>
      <c r="T348">
        <v>14</v>
      </c>
      <c r="V348">
        <v>0</v>
      </c>
      <c r="AB348" t="s">
        <v>1863</v>
      </c>
      <c r="AH348">
        <v>457425</v>
      </c>
      <c r="AI348">
        <v>96216</v>
      </c>
      <c r="AJ348">
        <v>96216</v>
      </c>
      <c r="AK348">
        <v>37.493739528000013</v>
      </c>
      <c r="AM348">
        <v>273</v>
      </c>
      <c r="AS348">
        <v>2</v>
      </c>
      <c r="AT348">
        <v>1</v>
      </c>
      <c r="AV348">
        <v>19</v>
      </c>
      <c r="AW348">
        <v>7</v>
      </c>
      <c r="AX348">
        <v>0</v>
      </c>
      <c r="AY348">
        <v>1.81</v>
      </c>
      <c r="AZ348">
        <v>108</v>
      </c>
      <c r="BA348">
        <v>55</v>
      </c>
      <c r="BB348">
        <v>0</v>
      </c>
      <c r="BP348" t="s">
        <v>151</v>
      </c>
      <c r="BQ348">
        <v>1.1000000000000001</v>
      </c>
      <c r="BR348" t="s">
        <v>1867</v>
      </c>
      <c r="BS348" t="s">
        <v>1865</v>
      </c>
      <c r="BT348" t="s">
        <v>981</v>
      </c>
      <c r="BU348" t="s">
        <v>150</v>
      </c>
      <c r="BV348" t="s">
        <v>1868</v>
      </c>
      <c r="BW348" t="s">
        <v>1869</v>
      </c>
      <c r="BX348">
        <v>450</v>
      </c>
      <c r="BY348">
        <v>451</v>
      </c>
      <c r="BZ348" t="s">
        <v>1863</v>
      </c>
      <c r="CA348" t="s">
        <v>1867</v>
      </c>
      <c r="CB348" t="s">
        <v>1865</v>
      </c>
      <c r="CC348" t="s">
        <v>156</v>
      </c>
      <c r="CD348" t="s">
        <v>157</v>
      </c>
      <c r="CJ348" t="s">
        <v>1863</v>
      </c>
      <c r="CK348" t="s">
        <v>1698</v>
      </c>
    </row>
    <row r="349" spans="1:89" x14ac:dyDescent="0.3">
      <c r="A349" t="s">
        <v>1870</v>
      </c>
      <c r="B349" t="s">
        <v>5</v>
      </c>
      <c r="C349" t="s">
        <v>145</v>
      </c>
      <c r="D349">
        <v>200</v>
      </c>
      <c r="E349" t="s">
        <v>146</v>
      </c>
      <c r="F349" t="s">
        <v>147</v>
      </c>
      <c r="H349" t="s">
        <v>1871</v>
      </c>
      <c r="I349">
        <v>34</v>
      </c>
      <c r="J349">
        <v>406</v>
      </c>
      <c r="L349">
        <v>0</v>
      </c>
      <c r="M349">
        <v>0</v>
      </c>
      <c r="N349" t="s">
        <v>1872</v>
      </c>
      <c r="O349">
        <v>31</v>
      </c>
      <c r="P349">
        <v>434</v>
      </c>
      <c r="S349" t="s">
        <v>1873</v>
      </c>
      <c r="T349">
        <v>14</v>
      </c>
      <c r="V349">
        <v>0</v>
      </c>
      <c r="AB349" t="s">
        <v>1870</v>
      </c>
      <c r="AH349">
        <v>454950</v>
      </c>
      <c r="AI349">
        <v>95761</v>
      </c>
      <c r="AJ349">
        <v>95761</v>
      </c>
      <c r="AK349">
        <v>37.316433762999999</v>
      </c>
      <c r="AM349">
        <v>273</v>
      </c>
      <c r="AS349">
        <v>2</v>
      </c>
      <c r="AT349">
        <v>1</v>
      </c>
      <c r="AV349">
        <v>19</v>
      </c>
      <c r="AW349">
        <v>7</v>
      </c>
      <c r="AX349">
        <v>0</v>
      </c>
      <c r="AY349">
        <v>1.81</v>
      </c>
      <c r="AZ349">
        <v>108</v>
      </c>
      <c r="BA349">
        <v>55</v>
      </c>
      <c r="BB349">
        <v>0</v>
      </c>
      <c r="BP349" t="s">
        <v>151</v>
      </c>
      <c r="BQ349">
        <v>1.1000000000000001</v>
      </c>
      <c r="BR349" t="s">
        <v>1874</v>
      </c>
      <c r="BS349" t="s">
        <v>1872</v>
      </c>
      <c r="BT349" t="s">
        <v>981</v>
      </c>
      <c r="BU349" t="s">
        <v>150</v>
      </c>
      <c r="BV349" t="s">
        <v>1875</v>
      </c>
      <c r="BW349" t="s">
        <v>1876</v>
      </c>
      <c r="BX349">
        <v>450</v>
      </c>
      <c r="BY349">
        <v>451</v>
      </c>
      <c r="BZ349" t="s">
        <v>1870</v>
      </c>
      <c r="CA349" t="s">
        <v>1874</v>
      </c>
      <c r="CB349" t="s">
        <v>1872</v>
      </c>
      <c r="CC349" t="s">
        <v>156</v>
      </c>
      <c r="CD349" t="s">
        <v>157</v>
      </c>
      <c r="CJ349" t="s">
        <v>1870</v>
      </c>
      <c r="CK349" t="s">
        <v>1698</v>
      </c>
    </row>
    <row r="350" spans="1:89" x14ac:dyDescent="0.3">
      <c r="A350" t="s">
        <v>1877</v>
      </c>
      <c r="B350" t="s">
        <v>5</v>
      </c>
      <c r="C350" t="s">
        <v>145</v>
      </c>
      <c r="D350">
        <v>200</v>
      </c>
      <c r="E350" t="s">
        <v>146</v>
      </c>
      <c r="F350" t="s">
        <v>147</v>
      </c>
      <c r="H350" t="s">
        <v>1878</v>
      </c>
      <c r="I350">
        <v>37</v>
      </c>
      <c r="J350">
        <v>457</v>
      </c>
      <c r="L350">
        <v>0</v>
      </c>
      <c r="M350">
        <v>0</v>
      </c>
      <c r="N350" t="s">
        <v>1879</v>
      </c>
      <c r="O350">
        <v>63</v>
      </c>
      <c r="P350">
        <v>882</v>
      </c>
      <c r="S350" t="s">
        <v>1880</v>
      </c>
      <c r="T350">
        <v>17</v>
      </c>
      <c r="V350">
        <v>0</v>
      </c>
      <c r="AB350" t="s">
        <v>1877</v>
      </c>
      <c r="AH350">
        <v>527850</v>
      </c>
      <c r="AI350">
        <v>105754</v>
      </c>
      <c r="AJ350">
        <v>105754</v>
      </c>
      <c r="AK350">
        <v>41.210535982000003</v>
      </c>
      <c r="AM350">
        <v>350</v>
      </c>
      <c r="AS350">
        <v>2</v>
      </c>
      <c r="AT350">
        <v>1</v>
      </c>
      <c r="AV350">
        <v>21</v>
      </c>
      <c r="AW350">
        <v>10</v>
      </c>
      <c r="AX350">
        <v>0</v>
      </c>
      <c r="AY350">
        <v>2.58</v>
      </c>
      <c r="AZ350">
        <v>109</v>
      </c>
      <c r="BA350">
        <v>56</v>
      </c>
      <c r="BB350">
        <v>0</v>
      </c>
      <c r="BP350" t="s">
        <v>151</v>
      </c>
      <c r="BQ350">
        <v>1.1000000000000001</v>
      </c>
      <c r="BR350" t="s">
        <v>1881</v>
      </c>
      <c r="BS350" t="s">
        <v>1879</v>
      </c>
      <c r="BT350" t="s">
        <v>981</v>
      </c>
      <c r="BU350" t="s">
        <v>150</v>
      </c>
      <c r="BV350" t="s">
        <v>1882</v>
      </c>
      <c r="BW350" t="s">
        <v>1883</v>
      </c>
      <c r="BX350">
        <v>450</v>
      </c>
      <c r="BY350">
        <v>450</v>
      </c>
      <c r="BZ350" t="s">
        <v>1877</v>
      </c>
      <c r="CA350" t="s">
        <v>1881</v>
      </c>
      <c r="CB350" t="s">
        <v>1879</v>
      </c>
      <c r="CC350" t="s">
        <v>156</v>
      </c>
      <c r="CD350" t="s">
        <v>157</v>
      </c>
      <c r="CJ350" t="s">
        <v>1877</v>
      </c>
      <c r="CK350" t="s">
        <v>1523</v>
      </c>
    </row>
    <row r="351" spans="1:89" x14ac:dyDescent="0.3">
      <c r="A351" t="s">
        <v>1884</v>
      </c>
      <c r="B351" t="s">
        <v>5</v>
      </c>
      <c r="C351" t="s">
        <v>145</v>
      </c>
      <c r="D351">
        <v>200</v>
      </c>
      <c r="E351" t="s">
        <v>146</v>
      </c>
      <c r="F351" t="s">
        <v>147</v>
      </c>
      <c r="H351" t="s">
        <v>1885</v>
      </c>
      <c r="I351">
        <v>62</v>
      </c>
      <c r="J351">
        <v>688</v>
      </c>
      <c r="L351">
        <v>0</v>
      </c>
      <c r="M351">
        <v>0</v>
      </c>
      <c r="N351" t="s">
        <v>1886</v>
      </c>
      <c r="O351">
        <v>37</v>
      </c>
      <c r="P351">
        <v>512</v>
      </c>
      <c r="S351" t="s">
        <v>1887</v>
      </c>
      <c r="T351">
        <v>34</v>
      </c>
      <c r="V351">
        <v>0</v>
      </c>
      <c r="AB351" t="s">
        <v>1884</v>
      </c>
      <c r="AH351">
        <v>392692</v>
      </c>
      <c r="AI351">
        <v>86176</v>
      </c>
      <c r="AJ351">
        <v>86176</v>
      </c>
      <c r="AK351">
        <v>33.581322208000003</v>
      </c>
      <c r="AM351">
        <v>224</v>
      </c>
      <c r="AS351">
        <v>2</v>
      </c>
      <c r="AT351">
        <v>1</v>
      </c>
      <c r="AV351">
        <v>19</v>
      </c>
      <c r="AW351">
        <v>7</v>
      </c>
      <c r="AX351">
        <v>0</v>
      </c>
      <c r="AY351">
        <v>1.81</v>
      </c>
      <c r="AZ351">
        <v>108</v>
      </c>
      <c r="BA351">
        <v>55</v>
      </c>
      <c r="BB351">
        <v>0</v>
      </c>
      <c r="BP351" t="s">
        <v>151</v>
      </c>
      <c r="BQ351">
        <v>1.1000000000000001</v>
      </c>
      <c r="BR351" t="s">
        <v>1888</v>
      </c>
      <c r="BS351" t="s">
        <v>1886</v>
      </c>
      <c r="BT351" t="s">
        <v>981</v>
      </c>
      <c r="BU351" t="s">
        <v>150</v>
      </c>
      <c r="BV351" t="s">
        <v>1889</v>
      </c>
      <c r="BW351" t="s">
        <v>1890</v>
      </c>
      <c r="BX351">
        <v>1000</v>
      </c>
      <c r="BY351">
        <v>1000</v>
      </c>
      <c r="BZ351" t="s">
        <v>1884</v>
      </c>
      <c r="CA351" t="s">
        <v>1888</v>
      </c>
      <c r="CB351" t="s">
        <v>1886</v>
      </c>
      <c r="CC351" t="s">
        <v>156</v>
      </c>
      <c r="CD351" t="s">
        <v>157</v>
      </c>
      <c r="CJ351" t="s">
        <v>1884</v>
      </c>
      <c r="CK351" t="s">
        <v>1212</v>
      </c>
    </row>
    <row r="352" spans="1:89" x14ac:dyDescent="0.3">
      <c r="A352" t="s">
        <v>1891</v>
      </c>
      <c r="B352" t="s">
        <v>5</v>
      </c>
      <c r="C352" t="s">
        <v>145</v>
      </c>
      <c r="D352">
        <v>200</v>
      </c>
      <c r="E352" t="s">
        <v>146</v>
      </c>
      <c r="F352" t="s">
        <v>147</v>
      </c>
      <c r="H352" t="s">
        <v>1892</v>
      </c>
      <c r="I352">
        <v>49</v>
      </c>
      <c r="J352">
        <v>576</v>
      </c>
      <c r="L352">
        <v>0</v>
      </c>
      <c r="M352">
        <v>0</v>
      </c>
      <c r="N352" t="s">
        <v>1893</v>
      </c>
      <c r="O352">
        <v>28</v>
      </c>
      <c r="P352">
        <v>386</v>
      </c>
      <c r="S352" t="s">
        <v>1894</v>
      </c>
      <c r="T352">
        <v>29</v>
      </c>
      <c r="V352">
        <v>0</v>
      </c>
      <c r="AB352" t="s">
        <v>1891</v>
      </c>
      <c r="AH352">
        <v>405209</v>
      </c>
      <c r="AI352">
        <v>85935</v>
      </c>
      <c r="AJ352">
        <v>85935</v>
      </c>
      <c r="AK352">
        <v>33.487408604999999</v>
      </c>
      <c r="AM352">
        <v>230</v>
      </c>
      <c r="AS352">
        <v>2</v>
      </c>
      <c r="AT352">
        <v>1</v>
      </c>
      <c r="AV352">
        <v>16</v>
      </c>
      <c r="AW352">
        <v>6</v>
      </c>
      <c r="AX352">
        <v>0</v>
      </c>
      <c r="AY352">
        <v>1.55</v>
      </c>
      <c r="AZ352">
        <v>108</v>
      </c>
      <c r="BA352">
        <v>55</v>
      </c>
      <c r="BB352">
        <v>0</v>
      </c>
      <c r="BP352" t="s">
        <v>151</v>
      </c>
      <c r="BQ352">
        <v>1.1000000000000001</v>
      </c>
      <c r="BR352" t="s">
        <v>1895</v>
      </c>
      <c r="BS352" t="s">
        <v>1893</v>
      </c>
      <c r="BT352" t="s">
        <v>981</v>
      </c>
      <c r="BU352" t="s">
        <v>150</v>
      </c>
      <c r="BV352" t="s">
        <v>1896</v>
      </c>
      <c r="BW352" t="s">
        <v>1897</v>
      </c>
      <c r="BX352">
        <v>450</v>
      </c>
      <c r="BY352">
        <v>450</v>
      </c>
      <c r="BZ352" t="s">
        <v>1891</v>
      </c>
      <c r="CA352" t="s">
        <v>1895</v>
      </c>
      <c r="CB352" t="s">
        <v>1893</v>
      </c>
      <c r="CC352" t="s">
        <v>156</v>
      </c>
      <c r="CD352" t="s">
        <v>157</v>
      </c>
      <c r="CJ352" t="s">
        <v>1891</v>
      </c>
      <c r="CK352" t="s">
        <v>1212</v>
      </c>
    </row>
    <row r="353" spans="1:89" x14ac:dyDescent="0.3">
      <c r="A353" t="s">
        <v>1898</v>
      </c>
      <c r="B353" t="s">
        <v>5</v>
      </c>
      <c r="C353" t="s">
        <v>145</v>
      </c>
      <c r="D353">
        <v>200</v>
      </c>
      <c r="E353" t="s">
        <v>146</v>
      </c>
      <c r="F353" t="s">
        <v>147</v>
      </c>
      <c r="H353" t="s">
        <v>1899</v>
      </c>
      <c r="I353">
        <v>50</v>
      </c>
      <c r="J353">
        <v>582</v>
      </c>
      <c r="L353">
        <v>0</v>
      </c>
      <c r="M353">
        <v>0</v>
      </c>
      <c r="N353" t="s">
        <v>1900</v>
      </c>
      <c r="O353">
        <v>25</v>
      </c>
      <c r="P353">
        <v>350</v>
      </c>
      <c r="S353" t="s">
        <v>1901</v>
      </c>
      <c r="T353">
        <v>30</v>
      </c>
      <c r="V353">
        <v>0</v>
      </c>
      <c r="AB353" t="s">
        <v>1898</v>
      </c>
      <c r="AH353">
        <v>413048</v>
      </c>
      <c r="AI353">
        <v>87021</v>
      </c>
      <c r="AJ353">
        <v>87021</v>
      </c>
      <c r="AK353">
        <v>33.910604343000003</v>
      </c>
      <c r="AM353">
        <v>240</v>
      </c>
      <c r="AS353">
        <v>2</v>
      </c>
      <c r="AT353">
        <v>1</v>
      </c>
      <c r="AV353">
        <v>15</v>
      </c>
      <c r="AW353">
        <v>5</v>
      </c>
      <c r="AX353">
        <v>0</v>
      </c>
      <c r="AY353">
        <v>1.29</v>
      </c>
      <c r="AZ353">
        <v>108</v>
      </c>
      <c r="BA353">
        <v>55</v>
      </c>
      <c r="BB353">
        <v>0</v>
      </c>
      <c r="BP353" t="s">
        <v>151</v>
      </c>
      <c r="BQ353">
        <v>1.1000000000000001</v>
      </c>
      <c r="BR353" t="s">
        <v>1902</v>
      </c>
      <c r="BS353" t="s">
        <v>1900</v>
      </c>
      <c r="BT353" t="s">
        <v>981</v>
      </c>
      <c r="BU353" t="s">
        <v>150</v>
      </c>
      <c r="BV353" t="s">
        <v>1903</v>
      </c>
      <c r="BW353" t="s">
        <v>1904</v>
      </c>
      <c r="BX353">
        <v>450</v>
      </c>
      <c r="BY353">
        <v>450</v>
      </c>
      <c r="BZ353" t="s">
        <v>1898</v>
      </c>
      <c r="CA353" t="s">
        <v>1902</v>
      </c>
      <c r="CB353" t="s">
        <v>1900</v>
      </c>
      <c r="CC353" t="s">
        <v>156</v>
      </c>
      <c r="CD353" t="s">
        <v>157</v>
      </c>
      <c r="CJ353" t="s">
        <v>1898</v>
      </c>
      <c r="CK353" t="s">
        <v>1508</v>
      </c>
    </row>
    <row r="354" spans="1:89" x14ac:dyDescent="0.3">
      <c r="A354" t="s">
        <v>1905</v>
      </c>
      <c r="B354" t="s">
        <v>5</v>
      </c>
      <c r="C354" t="s">
        <v>145</v>
      </c>
      <c r="D354">
        <v>200</v>
      </c>
      <c r="E354" t="s">
        <v>146</v>
      </c>
      <c r="F354" t="s">
        <v>147</v>
      </c>
      <c r="H354" t="s">
        <v>1906</v>
      </c>
      <c r="I354">
        <v>29</v>
      </c>
      <c r="J354">
        <v>352</v>
      </c>
      <c r="L354">
        <v>0</v>
      </c>
      <c r="M354">
        <v>0</v>
      </c>
      <c r="N354" t="s">
        <v>1907</v>
      </c>
      <c r="O354">
        <v>126</v>
      </c>
      <c r="P354">
        <v>1756</v>
      </c>
      <c r="S354" t="s">
        <v>1908</v>
      </c>
      <c r="T354">
        <v>9</v>
      </c>
      <c r="V354">
        <v>0</v>
      </c>
      <c r="AB354" t="s">
        <v>1905</v>
      </c>
      <c r="AH354">
        <v>391925</v>
      </c>
      <c r="AI354">
        <v>86151</v>
      </c>
      <c r="AJ354">
        <v>86151</v>
      </c>
      <c r="AK354">
        <v>33.571580132999998</v>
      </c>
      <c r="AM354">
        <v>223</v>
      </c>
      <c r="AS354">
        <v>2</v>
      </c>
      <c r="AT354">
        <v>1</v>
      </c>
      <c r="AV354">
        <v>28</v>
      </c>
      <c r="AW354">
        <v>12</v>
      </c>
      <c r="AX354">
        <v>0</v>
      </c>
      <c r="AY354">
        <v>3.1</v>
      </c>
      <c r="AZ354">
        <v>108</v>
      </c>
      <c r="BA354">
        <v>55</v>
      </c>
      <c r="BB354">
        <v>0</v>
      </c>
      <c r="BP354" t="s">
        <v>151</v>
      </c>
      <c r="BQ354">
        <v>1.1000000000000001</v>
      </c>
      <c r="BR354" t="s">
        <v>1909</v>
      </c>
      <c r="BS354" t="s">
        <v>1907</v>
      </c>
      <c r="BT354" t="s">
        <v>981</v>
      </c>
      <c r="BU354" t="s">
        <v>150</v>
      </c>
      <c r="BV354" t="s">
        <v>1910</v>
      </c>
      <c r="BW354" t="s">
        <v>1911</v>
      </c>
      <c r="BX354">
        <v>1000</v>
      </c>
      <c r="BY354">
        <v>1000</v>
      </c>
      <c r="BZ354" t="s">
        <v>1905</v>
      </c>
      <c r="CA354" t="s">
        <v>1909</v>
      </c>
      <c r="CB354" t="s">
        <v>1907</v>
      </c>
      <c r="CC354" t="s">
        <v>156</v>
      </c>
      <c r="CD354" t="s">
        <v>157</v>
      </c>
      <c r="CJ354" t="s">
        <v>1905</v>
      </c>
      <c r="CK354" t="s">
        <v>1212</v>
      </c>
    </row>
    <row r="355" spans="1:89" x14ac:dyDescent="0.3">
      <c r="A355" t="s">
        <v>1912</v>
      </c>
      <c r="B355" t="s">
        <v>5</v>
      </c>
      <c r="C355" t="s">
        <v>145</v>
      </c>
      <c r="D355">
        <v>200</v>
      </c>
      <c r="E355" t="s">
        <v>146</v>
      </c>
      <c r="F355" t="s">
        <v>147</v>
      </c>
      <c r="H355" t="s">
        <v>1913</v>
      </c>
      <c r="I355">
        <v>45</v>
      </c>
      <c r="J355">
        <v>542</v>
      </c>
      <c r="L355">
        <v>0</v>
      </c>
      <c r="M355">
        <v>0</v>
      </c>
      <c r="N355" t="s">
        <v>1914</v>
      </c>
      <c r="O355">
        <v>45</v>
      </c>
      <c r="P355">
        <v>621</v>
      </c>
      <c r="S355" t="s">
        <v>1915</v>
      </c>
      <c r="T355">
        <v>25</v>
      </c>
      <c r="V355">
        <v>0</v>
      </c>
      <c r="AB355" t="s">
        <v>1912</v>
      </c>
      <c r="AH355">
        <v>391581</v>
      </c>
      <c r="AI355">
        <v>85608</v>
      </c>
      <c r="AJ355">
        <v>85608</v>
      </c>
      <c r="AK355">
        <v>33.359982264000003</v>
      </c>
      <c r="AM355">
        <v>221</v>
      </c>
      <c r="AS355">
        <v>2</v>
      </c>
      <c r="AT355">
        <v>1</v>
      </c>
      <c r="AV355">
        <v>21</v>
      </c>
      <c r="AW355">
        <v>8</v>
      </c>
      <c r="AX355">
        <v>0</v>
      </c>
      <c r="AY355">
        <v>2.0699999999999998</v>
      </c>
      <c r="AZ355">
        <v>108</v>
      </c>
      <c r="BA355">
        <v>55</v>
      </c>
      <c r="BB355">
        <v>0</v>
      </c>
      <c r="BP355" t="s">
        <v>151</v>
      </c>
      <c r="BQ355">
        <v>1.1000000000000001</v>
      </c>
      <c r="BR355" t="s">
        <v>1916</v>
      </c>
      <c r="BS355" t="s">
        <v>1914</v>
      </c>
      <c r="BT355" t="s">
        <v>981</v>
      </c>
      <c r="BU355" t="s">
        <v>150</v>
      </c>
      <c r="BV355" t="s">
        <v>1917</v>
      </c>
      <c r="BW355" t="s">
        <v>1918</v>
      </c>
      <c r="BX355">
        <v>1000</v>
      </c>
      <c r="BY355">
        <v>1000</v>
      </c>
      <c r="BZ355" t="s">
        <v>1912</v>
      </c>
      <c r="CA355" t="s">
        <v>1916</v>
      </c>
      <c r="CB355" t="s">
        <v>1914</v>
      </c>
      <c r="CC355" t="s">
        <v>156</v>
      </c>
      <c r="CD355" t="s">
        <v>157</v>
      </c>
      <c r="CJ355" t="s">
        <v>1912</v>
      </c>
      <c r="CK355" t="s">
        <v>1494</v>
      </c>
    </row>
    <row r="356" spans="1:89" x14ac:dyDescent="0.3">
      <c r="A356" t="s">
        <v>1919</v>
      </c>
      <c r="B356" t="s">
        <v>5</v>
      </c>
      <c r="C356" t="s">
        <v>145</v>
      </c>
      <c r="D356">
        <v>200</v>
      </c>
      <c r="E356" t="s">
        <v>146</v>
      </c>
      <c r="F356" t="s">
        <v>147</v>
      </c>
      <c r="H356" t="s">
        <v>1920</v>
      </c>
      <c r="I356">
        <v>48</v>
      </c>
      <c r="J356">
        <v>477</v>
      </c>
      <c r="L356">
        <v>0</v>
      </c>
      <c r="M356">
        <v>0</v>
      </c>
      <c r="N356" t="s">
        <v>1921</v>
      </c>
      <c r="O356">
        <v>65</v>
      </c>
      <c r="P356">
        <v>888</v>
      </c>
      <c r="S356" t="s">
        <v>1922</v>
      </c>
      <c r="T356">
        <v>20</v>
      </c>
      <c r="V356">
        <v>0</v>
      </c>
      <c r="AB356" t="s">
        <v>1919</v>
      </c>
      <c r="AH356">
        <v>537235</v>
      </c>
      <c r="AI356">
        <v>106279</v>
      </c>
      <c r="AJ356">
        <v>106279</v>
      </c>
      <c r="AK356">
        <v>41.415119556999997</v>
      </c>
      <c r="AM356">
        <v>327</v>
      </c>
      <c r="AS356">
        <v>2</v>
      </c>
      <c r="AT356">
        <v>1</v>
      </c>
      <c r="AV356">
        <v>29</v>
      </c>
      <c r="AW356">
        <v>13</v>
      </c>
      <c r="AX356">
        <v>0</v>
      </c>
      <c r="AY356">
        <v>3.36</v>
      </c>
      <c r="AZ356">
        <v>109</v>
      </c>
      <c r="BA356">
        <v>56</v>
      </c>
      <c r="BB356">
        <v>0</v>
      </c>
      <c r="BP356" t="s">
        <v>151</v>
      </c>
      <c r="BQ356">
        <v>1.1000000000000001</v>
      </c>
      <c r="BR356" t="s">
        <v>1923</v>
      </c>
      <c r="BS356" t="s">
        <v>1921</v>
      </c>
      <c r="BT356" t="s">
        <v>981</v>
      </c>
      <c r="BU356" t="s">
        <v>150</v>
      </c>
      <c r="BV356" t="s">
        <v>1924</v>
      </c>
      <c r="BW356" t="s">
        <v>1925</v>
      </c>
      <c r="BX356">
        <v>450</v>
      </c>
      <c r="BY356">
        <v>450</v>
      </c>
      <c r="BZ356" t="s">
        <v>1919</v>
      </c>
      <c r="CA356" t="s">
        <v>1923</v>
      </c>
      <c r="CB356" t="s">
        <v>1921</v>
      </c>
      <c r="CC356" t="s">
        <v>156</v>
      </c>
      <c r="CD356" t="s">
        <v>157</v>
      </c>
      <c r="CJ356" t="s">
        <v>1919</v>
      </c>
      <c r="CK356" t="s">
        <v>1926</v>
      </c>
    </row>
    <row r="357" spans="1:89" x14ac:dyDescent="0.3">
      <c r="A357" t="s">
        <v>1927</v>
      </c>
      <c r="B357" t="s">
        <v>5</v>
      </c>
      <c r="C357" t="s">
        <v>145</v>
      </c>
      <c r="D357">
        <v>200</v>
      </c>
      <c r="E357" t="s">
        <v>146</v>
      </c>
      <c r="F357" t="s">
        <v>147</v>
      </c>
      <c r="H357" t="s">
        <v>1928</v>
      </c>
      <c r="I357">
        <v>48</v>
      </c>
      <c r="J357">
        <v>477</v>
      </c>
      <c r="L357">
        <v>0</v>
      </c>
      <c r="M357">
        <v>0</v>
      </c>
      <c r="N357" t="s">
        <v>1921</v>
      </c>
      <c r="O357">
        <v>65</v>
      </c>
      <c r="P357">
        <v>888</v>
      </c>
      <c r="S357" t="s">
        <v>1929</v>
      </c>
      <c r="T357">
        <v>20</v>
      </c>
      <c r="V357">
        <v>0</v>
      </c>
      <c r="AB357" t="s">
        <v>1927</v>
      </c>
      <c r="AH357">
        <v>537238</v>
      </c>
      <c r="AI357">
        <v>106915</v>
      </c>
      <c r="AJ357">
        <v>106915</v>
      </c>
      <c r="AK357">
        <v>41.662957945000002</v>
      </c>
      <c r="AM357">
        <v>327</v>
      </c>
      <c r="AS357">
        <v>2</v>
      </c>
      <c r="AT357">
        <v>1</v>
      </c>
      <c r="AV357">
        <v>27</v>
      </c>
      <c r="AW357">
        <v>11</v>
      </c>
      <c r="AX357">
        <v>0</v>
      </c>
      <c r="AY357">
        <v>2.84</v>
      </c>
      <c r="AZ357">
        <v>109</v>
      </c>
      <c r="BA357">
        <v>56</v>
      </c>
      <c r="BB357">
        <v>0</v>
      </c>
      <c r="BP357" t="s">
        <v>151</v>
      </c>
      <c r="BQ357">
        <v>1.1000000000000001</v>
      </c>
      <c r="BR357" t="s">
        <v>1930</v>
      </c>
      <c r="BS357" t="s">
        <v>1921</v>
      </c>
      <c r="BT357" t="s">
        <v>981</v>
      </c>
      <c r="BU357" t="s">
        <v>150</v>
      </c>
      <c r="BV357" t="s">
        <v>1931</v>
      </c>
      <c r="BW357" t="s">
        <v>1932</v>
      </c>
      <c r="BX357">
        <v>450</v>
      </c>
      <c r="BY357">
        <v>450</v>
      </c>
      <c r="BZ357" t="s">
        <v>1927</v>
      </c>
      <c r="CA357" t="s">
        <v>1930</v>
      </c>
      <c r="CB357" t="s">
        <v>1921</v>
      </c>
      <c r="CC357" t="s">
        <v>156</v>
      </c>
      <c r="CD357" t="s">
        <v>157</v>
      </c>
      <c r="CJ357" t="s">
        <v>1927</v>
      </c>
      <c r="CK357" t="s">
        <v>1926</v>
      </c>
    </row>
    <row r="358" spans="1:89" x14ac:dyDescent="0.3">
      <c r="A358" t="s">
        <v>1933</v>
      </c>
      <c r="B358" t="s">
        <v>5</v>
      </c>
      <c r="C358" t="s">
        <v>145</v>
      </c>
      <c r="D358">
        <v>200</v>
      </c>
      <c r="E358" t="s">
        <v>146</v>
      </c>
      <c r="F358" t="s">
        <v>147</v>
      </c>
      <c r="H358" t="s">
        <v>1934</v>
      </c>
      <c r="I358">
        <v>49</v>
      </c>
      <c r="J358">
        <v>485</v>
      </c>
      <c r="L358">
        <v>0</v>
      </c>
      <c r="M358">
        <v>0</v>
      </c>
      <c r="N358" t="s">
        <v>1935</v>
      </c>
      <c r="O358">
        <v>79</v>
      </c>
      <c r="P358">
        <v>1056</v>
      </c>
      <c r="S358" t="s">
        <v>1936</v>
      </c>
      <c r="T358">
        <v>21</v>
      </c>
      <c r="V358">
        <v>0</v>
      </c>
      <c r="AB358" t="s">
        <v>1933</v>
      </c>
      <c r="AH358">
        <v>389164</v>
      </c>
      <c r="AI358">
        <v>85216</v>
      </c>
      <c r="AJ358">
        <v>85216</v>
      </c>
      <c r="AK358">
        <v>33.207226528000007</v>
      </c>
      <c r="AM358">
        <v>218</v>
      </c>
      <c r="AS358">
        <v>2</v>
      </c>
      <c r="AT358">
        <v>1</v>
      </c>
      <c r="AV358">
        <v>21</v>
      </c>
      <c r="AW358">
        <v>8</v>
      </c>
      <c r="AX358">
        <v>0</v>
      </c>
      <c r="AY358">
        <v>2.0699999999999998</v>
      </c>
      <c r="AZ358">
        <v>108</v>
      </c>
      <c r="BA358">
        <v>55</v>
      </c>
      <c r="BB358">
        <v>0</v>
      </c>
      <c r="BP358" t="s">
        <v>151</v>
      </c>
      <c r="BQ358">
        <v>1.1000000000000001</v>
      </c>
      <c r="BR358" t="s">
        <v>1937</v>
      </c>
      <c r="BS358" t="s">
        <v>1935</v>
      </c>
      <c r="BT358" t="s">
        <v>981</v>
      </c>
      <c r="BU358" t="s">
        <v>150</v>
      </c>
      <c r="BV358" t="s">
        <v>1938</v>
      </c>
      <c r="BW358" t="s">
        <v>1939</v>
      </c>
      <c r="BX358">
        <v>450</v>
      </c>
      <c r="BY358">
        <v>450</v>
      </c>
      <c r="BZ358" t="s">
        <v>1933</v>
      </c>
      <c r="CA358" t="s">
        <v>1937</v>
      </c>
      <c r="CB358" t="s">
        <v>1935</v>
      </c>
      <c r="CC358" t="s">
        <v>156</v>
      </c>
      <c r="CD358" t="s">
        <v>157</v>
      </c>
      <c r="CJ358" t="s">
        <v>1933</v>
      </c>
      <c r="CK358" t="s">
        <v>1111</v>
      </c>
    </row>
    <row r="359" spans="1:89" x14ac:dyDescent="0.3">
      <c r="A359" t="s">
        <v>1940</v>
      </c>
      <c r="B359" t="s">
        <v>5</v>
      </c>
      <c r="C359" t="s">
        <v>145</v>
      </c>
      <c r="D359">
        <v>200</v>
      </c>
      <c r="E359" t="s">
        <v>146</v>
      </c>
      <c r="F359" t="s">
        <v>147</v>
      </c>
      <c r="H359" t="s">
        <v>1941</v>
      </c>
      <c r="I359">
        <v>36</v>
      </c>
      <c r="J359">
        <v>449</v>
      </c>
      <c r="L359">
        <v>0</v>
      </c>
      <c r="M359">
        <v>0</v>
      </c>
      <c r="N359" t="s">
        <v>1942</v>
      </c>
      <c r="O359">
        <v>40</v>
      </c>
      <c r="P359">
        <v>560</v>
      </c>
      <c r="S359" t="s">
        <v>1943</v>
      </c>
      <c r="T359">
        <v>16</v>
      </c>
      <c r="V359">
        <v>0</v>
      </c>
      <c r="AB359" t="s">
        <v>1940</v>
      </c>
      <c r="AH359">
        <v>390994</v>
      </c>
      <c r="AI359">
        <v>85877</v>
      </c>
      <c r="AJ359">
        <v>85877</v>
      </c>
      <c r="AK359">
        <v>33.464806991000003</v>
      </c>
      <c r="AM359">
        <v>224</v>
      </c>
      <c r="AS359">
        <v>2</v>
      </c>
      <c r="AT359">
        <v>1</v>
      </c>
      <c r="AV359">
        <v>15</v>
      </c>
      <c r="AW359">
        <v>5</v>
      </c>
      <c r="AX359">
        <v>0</v>
      </c>
      <c r="AY359">
        <v>1.29</v>
      </c>
      <c r="AZ359">
        <v>108</v>
      </c>
      <c r="BA359">
        <v>55</v>
      </c>
      <c r="BB359">
        <v>0</v>
      </c>
      <c r="BP359" t="s">
        <v>151</v>
      </c>
      <c r="BQ359">
        <v>1.1000000000000001</v>
      </c>
      <c r="BR359" t="s">
        <v>1944</v>
      </c>
      <c r="BS359" t="s">
        <v>1942</v>
      </c>
      <c r="BT359" t="s">
        <v>981</v>
      </c>
      <c r="BU359" t="s">
        <v>150</v>
      </c>
      <c r="BV359" t="s">
        <v>1945</v>
      </c>
      <c r="BW359" t="s">
        <v>1946</v>
      </c>
      <c r="BX359">
        <v>450</v>
      </c>
      <c r="BY359">
        <v>450</v>
      </c>
      <c r="BZ359" t="s">
        <v>1940</v>
      </c>
      <c r="CA359" t="s">
        <v>1944</v>
      </c>
      <c r="CB359" t="s">
        <v>1942</v>
      </c>
      <c r="CC359" t="s">
        <v>156</v>
      </c>
      <c r="CD359" t="s">
        <v>157</v>
      </c>
      <c r="CJ359" t="s">
        <v>1940</v>
      </c>
      <c r="CK359" t="s">
        <v>1242</v>
      </c>
    </row>
    <row r="360" spans="1:89" x14ac:dyDescent="0.3">
      <c r="A360" t="s">
        <v>1947</v>
      </c>
      <c r="B360" t="s">
        <v>5</v>
      </c>
      <c r="C360" t="s">
        <v>145</v>
      </c>
      <c r="D360">
        <v>200</v>
      </c>
      <c r="E360" t="s">
        <v>146</v>
      </c>
      <c r="F360" t="s">
        <v>147</v>
      </c>
      <c r="H360" t="s">
        <v>1948</v>
      </c>
      <c r="I360">
        <v>43</v>
      </c>
      <c r="J360">
        <v>451</v>
      </c>
      <c r="L360">
        <v>0</v>
      </c>
      <c r="M360">
        <v>0</v>
      </c>
      <c r="N360" t="s">
        <v>1949</v>
      </c>
      <c r="O360">
        <v>35</v>
      </c>
      <c r="P360">
        <v>490</v>
      </c>
      <c r="S360" t="s">
        <v>1950</v>
      </c>
      <c r="T360">
        <v>20</v>
      </c>
      <c r="V360">
        <v>0</v>
      </c>
      <c r="AB360" t="s">
        <v>1947</v>
      </c>
      <c r="AH360">
        <v>379860</v>
      </c>
      <c r="AI360">
        <v>84709</v>
      </c>
      <c r="AJ360">
        <v>84709</v>
      </c>
      <c r="AK360">
        <v>33.009657247</v>
      </c>
      <c r="AM360">
        <v>211</v>
      </c>
      <c r="AS360">
        <v>2</v>
      </c>
      <c r="AT360">
        <v>1</v>
      </c>
      <c r="AV360">
        <v>27</v>
      </c>
      <c r="AW360">
        <v>11</v>
      </c>
      <c r="AX360">
        <v>0</v>
      </c>
      <c r="AY360">
        <v>2.84</v>
      </c>
      <c r="AZ360">
        <v>108</v>
      </c>
      <c r="BA360">
        <v>55</v>
      </c>
      <c r="BB360">
        <v>0</v>
      </c>
      <c r="BP360" t="s">
        <v>151</v>
      </c>
      <c r="BQ360">
        <v>1.1000000000000001</v>
      </c>
      <c r="BR360" t="s">
        <v>1951</v>
      </c>
      <c r="BS360" t="s">
        <v>1949</v>
      </c>
      <c r="BT360" t="s">
        <v>981</v>
      </c>
      <c r="BU360" t="s">
        <v>150</v>
      </c>
      <c r="BV360" t="s">
        <v>1952</v>
      </c>
      <c r="BW360" t="s">
        <v>1953</v>
      </c>
      <c r="BX360">
        <v>1000</v>
      </c>
      <c r="BY360">
        <v>1000</v>
      </c>
      <c r="BZ360" t="s">
        <v>1947</v>
      </c>
      <c r="CA360" t="s">
        <v>1951</v>
      </c>
      <c r="CB360" t="s">
        <v>1949</v>
      </c>
      <c r="CC360" t="s">
        <v>156</v>
      </c>
      <c r="CD360" t="s">
        <v>157</v>
      </c>
      <c r="CJ360" t="s">
        <v>1947</v>
      </c>
      <c r="CK360" t="s">
        <v>1063</v>
      </c>
    </row>
    <row r="361" spans="1:89" x14ac:dyDescent="0.3">
      <c r="A361" t="s">
        <v>1954</v>
      </c>
      <c r="B361" t="s">
        <v>5</v>
      </c>
      <c r="C361" t="s">
        <v>145</v>
      </c>
      <c r="D361">
        <v>200</v>
      </c>
      <c r="E361" t="s">
        <v>146</v>
      </c>
      <c r="F361" t="s">
        <v>147</v>
      </c>
      <c r="H361" t="s">
        <v>1955</v>
      </c>
      <c r="I361">
        <v>44</v>
      </c>
      <c r="J361">
        <v>471</v>
      </c>
      <c r="L361">
        <v>0</v>
      </c>
      <c r="M361">
        <v>0</v>
      </c>
      <c r="N361" t="s">
        <v>1956</v>
      </c>
      <c r="O361">
        <v>56</v>
      </c>
      <c r="P361">
        <v>760</v>
      </c>
      <c r="S361" t="s">
        <v>1957</v>
      </c>
      <c r="T361">
        <v>21</v>
      </c>
      <c r="V361">
        <v>0</v>
      </c>
      <c r="AB361" t="s">
        <v>1954</v>
      </c>
      <c r="AH361">
        <v>392129</v>
      </c>
      <c r="AI361">
        <v>86519</v>
      </c>
      <c r="AJ361">
        <v>86519</v>
      </c>
      <c r="AK361">
        <v>33.714983476999997</v>
      </c>
      <c r="AM361">
        <v>225</v>
      </c>
      <c r="AS361">
        <v>2</v>
      </c>
      <c r="AT361">
        <v>1</v>
      </c>
      <c r="AV361">
        <v>37</v>
      </c>
      <c r="AW361">
        <v>16</v>
      </c>
      <c r="AX361">
        <v>0</v>
      </c>
      <c r="AY361">
        <v>4.13</v>
      </c>
      <c r="AZ361">
        <v>108</v>
      </c>
      <c r="BA361">
        <v>55</v>
      </c>
      <c r="BB361">
        <v>0</v>
      </c>
      <c r="BP361" t="s">
        <v>151</v>
      </c>
      <c r="BQ361">
        <v>1.1000000000000001</v>
      </c>
      <c r="BR361" t="s">
        <v>1958</v>
      </c>
      <c r="BS361" t="s">
        <v>1956</v>
      </c>
      <c r="BT361" t="s">
        <v>981</v>
      </c>
      <c r="BU361" t="s">
        <v>150</v>
      </c>
      <c r="BV361" t="s">
        <v>1959</v>
      </c>
      <c r="BW361" t="s">
        <v>1960</v>
      </c>
      <c r="BX361">
        <v>1000</v>
      </c>
      <c r="BY361">
        <v>1000</v>
      </c>
      <c r="BZ361" t="s">
        <v>1954</v>
      </c>
      <c r="CA361" t="s">
        <v>1958</v>
      </c>
      <c r="CB361" t="s">
        <v>1956</v>
      </c>
      <c r="CC361" t="s">
        <v>156</v>
      </c>
      <c r="CD361" t="s">
        <v>157</v>
      </c>
      <c r="CJ361" t="s">
        <v>1954</v>
      </c>
      <c r="CK361" t="s">
        <v>870</v>
      </c>
    </row>
    <row r="362" spans="1:89" x14ac:dyDescent="0.3">
      <c r="A362" t="s">
        <v>1961</v>
      </c>
      <c r="B362" t="s">
        <v>5</v>
      </c>
      <c r="C362" t="s">
        <v>145</v>
      </c>
      <c r="D362">
        <v>200</v>
      </c>
      <c r="E362" t="s">
        <v>146</v>
      </c>
      <c r="F362" t="s">
        <v>147</v>
      </c>
      <c r="H362" t="s">
        <v>1962</v>
      </c>
      <c r="I362">
        <v>41</v>
      </c>
      <c r="J362">
        <v>411</v>
      </c>
      <c r="L362">
        <v>0</v>
      </c>
      <c r="M362">
        <v>0</v>
      </c>
      <c r="N362" t="s">
        <v>1963</v>
      </c>
      <c r="O362">
        <v>21</v>
      </c>
      <c r="P362">
        <v>294</v>
      </c>
      <c r="S362" t="s">
        <v>1964</v>
      </c>
      <c r="T362">
        <v>18</v>
      </c>
      <c r="V362">
        <v>0</v>
      </c>
      <c r="AB362" t="s">
        <v>1961</v>
      </c>
      <c r="AH362">
        <v>389529</v>
      </c>
      <c r="AI362">
        <v>85434</v>
      </c>
      <c r="AJ362">
        <v>85434</v>
      </c>
      <c r="AK362">
        <v>33.292177422000002</v>
      </c>
      <c r="AM362">
        <v>231</v>
      </c>
      <c r="AS362">
        <v>2</v>
      </c>
      <c r="AT362">
        <v>1</v>
      </c>
      <c r="AV362">
        <v>25</v>
      </c>
      <c r="AW362">
        <v>10</v>
      </c>
      <c r="AX362">
        <v>0</v>
      </c>
      <c r="AY362">
        <v>2.58</v>
      </c>
      <c r="AZ362">
        <v>108</v>
      </c>
      <c r="BA362">
        <v>55</v>
      </c>
      <c r="BB362">
        <v>0</v>
      </c>
      <c r="BP362" t="s">
        <v>151</v>
      </c>
      <c r="BQ362">
        <v>1.1000000000000001</v>
      </c>
      <c r="BR362" t="s">
        <v>1965</v>
      </c>
      <c r="BS362" t="s">
        <v>1963</v>
      </c>
      <c r="BT362" t="s">
        <v>981</v>
      </c>
      <c r="BU362" t="s">
        <v>150</v>
      </c>
      <c r="BV362" t="s">
        <v>1966</v>
      </c>
      <c r="BW362" t="s">
        <v>1967</v>
      </c>
      <c r="BX362">
        <v>1000</v>
      </c>
      <c r="BY362">
        <v>1000</v>
      </c>
      <c r="BZ362" t="s">
        <v>1961</v>
      </c>
      <c r="CA362" t="s">
        <v>1965</v>
      </c>
      <c r="CB362" t="s">
        <v>1963</v>
      </c>
      <c r="CC362" t="s">
        <v>156</v>
      </c>
      <c r="CD362" t="s">
        <v>157</v>
      </c>
      <c r="CJ362" t="s">
        <v>1961</v>
      </c>
      <c r="CK362" t="s">
        <v>536</v>
      </c>
    </row>
    <row r="363" spans="1:89" x14ac:dyDescent="0.3">
      <c r="A363" t="s">
        <v>1968</v>
      </c>
      <c r="B363" t="s">
        <v>5</v>
      </c>
      <c r="C363" t="s">
        <v>145</v>
      </c>
      <c r="D363">
        <v>200</v>
      </c>
      <c r="E363" t="s">
        <v>146</v>
      </c>
      <c r="F363" t="s">
        <v>147</v>
      </c>
      <c r="H363" t="s">
        <v>1969</v>
      </c>
      <c r="I363">
        <v>46</v>
      </c>
      <c r="J363">
        <v>460</v>
      </c>
      <c r="L363">
        <v>0</v>
      </c>
      <c r="M363">
        <v>0</v>
      </c>
      <c r="N363" t="s">
        <v>1970</v>
      </c>
      <c r="O363">
        <v>73</v>
      </c>
      <c r="P363">
        <v>999</v>
      </c>
      <c r="S363" t="s">
        <v>1971</v>
      </c>
      <c r="T363">
        <v>23</v>
      </c>
      <c r="V363">
        <v>0</v>
      </c>
      <c r="AB363" t="s">
        <v>1968</v>
      </c>
      <c r="AH363">
        <v>392471</v>
      </c>
      <c r="AI363">
        <v>86526</v>
      </c>
      <c r="AJ363">
        <v>86526</v>
      </c>
      <c r="AK363">
        <v>33.717711258000001</v>
      </c>
      <c r="AM363">
        <v>239</v>
      </c>
      <c r="AS363">
        <v>2</v>
      </c>
      <c r="AT363">
        <v>1</v>
      </c>
      <c r="AV363">
        <v>37</v>
      </c>
      <c r="AW363">
        <v>16</v>
      </c>
      <c r="AX363">
        <v>0</v>
      </c>
      <c r="AY363">
        <v>4.13</v>
      </c>
      <c r="AZ363">
        <v>108</v>
      </c>
      <c r="BA363">
        <v>55</v>
      </c>
      <c r="BB363">
        <v>0</v>
      </c>
      <c r="BP363" t="s">
        <v>151</v>
      </c>
      <c r="BQ363">
        <v>1.1000000000000001</v>
      </c>
      <c r="BR363" t="s">
        <v>1972</v>
      </c>
      <c r="BS363" t="s">
        <v>1970</v>
      </c>
      <c r="BT363" t="s">
        <v>981</v>
      </c>
      <c r="BU363" t="s">
        <v>150</v>
      </c>
      <c r="BV363" t="s">
        <v>1973</v>
      </c>
      <c r="BW363" t="s">
        <v>1974</v>
      </c>
      <c r="BX363">
        <v>1000</v>
      </c>
      <c r="BY363">
        <v>1000</v>
      </c>
      <c r="BZ363" t="s">
        <v>1968</v>
      </c>
      <c r="CA363" t="s">
        <v>1972</v>
      </c>
      <c r="CB363" t="s">
        <v>1970</v>
      </c>
      <c r="CC363" t="s">
        <v>156</v>
      </c>
      <c r="CD363" t="s">
        <v>157</v>
      </c>
      <c r="CJ363" t="s">
        <v>1968</v>
      </c>
      <c r="CK363" t="s">
        <v>870</v>
      </c>
    </row>
    <row r="364" spans="1:89" x14ac:dyDescent="0.3">
      <c r="A364" t="s">
        <v>1975</v>
      </c>
      <c r="B364" t="s">
        <v>5</v>
      </c>
      <c r="C364" t="s">
        <v>145</v>
      </c>
      <c r="D364">
        <v>200</v>
      </c>
      <c r="E364" t="s">
        <v>146</v>
      </c>
      <c r="F364" t="s">
        <v>147</v>
      </c>
      <c r="H364" t="s">
        <v>1976</v>
      </c>
      <c r="I364">
        <v>42</v>
      </c>
      <c r="J364">
        <v>424</v>
      </c>
      <c r="L364">
        <v>0</v>
      </c>
      <c r="M364">
        <v>0</v>
      </c>
      <c r="N364" t="s">
        <v>1977</v>
      </c>
      <c r="O364">
        <v>43</v>
      </c>
      <c r="P364">
        <v>598</v>
      </c>
      <c r="S364" t="s">
        <v>1978</v>
      </c>
      <c r="T364">
        <v>19</v>
      </c>
      <c r="V364">
        <v>0</v>
      </c>
      <c r="AB364" t="s">
        <v>1975</v>
      </c>
      <c r="AH364">
        <v>390563</v>
      </c>
      <c r="AI364">
        <v>86011</v>
      </c>
      <c r="AJ364">
        <v>86011</v>
      </c>
      <c r="AK364">
        <v>33.517024513000003</v>
      </c>
      <c r="AM364">
        <v>215</v>
      </c>
      <c r="AS364">
        <v>2</v>
      </c>
      <c r="AT364">
        <v>1</v>
      </c>
      <c r="AV364">
        <v>37</v>
      </c>
      <c r="AW364">
        <v>16</v>
      </c>
      <c r="AX364">
        <v>0</v>
      </c>
      <c r="AY364">
        <v>4.13</v>
      </c>
      <c r="AZ364">
        <v>108</v>
      </c>
      <c r="BA364">
        <v>55</v>
      </c>
      <c r="BB364">
        <v>0</v>
      </c>
      <c r="BP364" t="s">
        <v>151</v>
      </c>
      <c r="BQ364">
        <v>1.1000000000000001</v>
      </c>
      <c r="BR364" t="s">
        <v>1979</v>
      </c>
      <c r="BS364" t="s">
        <v>1977</v>
      </c>
      <c r="BT364" t="s">
        <v>981</v>
      </c>
      <c r="BU364" t="s">
        <v>150</v>
      </c>
      <c r="BV364" t="s">
        <v>1980</v>
      </c>
      <c r="BW364" t="s">
        <v>1981</v>
      </c>
      <c r="BX364">
        <v>1000</v>
      </c>
      <c r="BY364">
        <v>1000</v>
      </c>
      <c r="BZ364" t="s">
        <v>1975</v>
      </c>
      <c r="CA364" t="s">
        <v>1979</v>
      </c>
      <c r="CB364" t="s">
        <v>1977</v>
      </c>
      <c r="CC364" t="s">
        <v>156</v>
      </c>
      <c r="CD364" t="s">
        <v>157</v>
      </c>
      <c r="CJ364" t="s">
        <v>1975</v>
      </c>
      <c r="CK364" t="s">
        <v>1982</v>
      </c>
    </row>
    <row r="365" spans="1:89" x14ac:dyDescent="0.3">
      <c r="A365" t="s">
        <v>1983</v>
      </c>
      <c r="B365" t="s">
        <v>5</v>
      </c>
      <c r="C365" t="s">
        <v>145</v>
      </c>
      <c r="D365">
        <v>200</v>
      </c>
      <c r="E365" t="s">
        <v>146</v>
      </c>
      <c r="F365" t="s">
        <v>147</v>
      </c>
      <c r="H365" t="s">
        <v>1984</v>
      </c>
      <c r="I365">
        <v>36</v>
      </c>
      <c r="J365">
        <v>439</v>
      </c>
      <c r="L365">
        <v>0</v>
      </c>
      <c r="M365">
        <v>0</v>
      </c>
      <c r="N365" t="s">
        <v>1066</v>
      </c>
      <c r="O365">
        <v>115</v>
      </c>
      <c r="P365">
        <v>1435</v>
      </c>
      <c r="S365" t="s">
        <v>1985</v>
      </c>
      <c r="T365">
        <v>16</v>
      </c>
      <c r="V365">
        <v>0</v>
      </c>
      <c r="AB365" t="s">
        <v>1983</v>
      </c>
      <c r="AH365">
        <v>394067</v>
      </c>
      <c r="AI365">
        <v>87866</v>
      </c>
      <c r="AJ365">
        <v>87866</v>
      </c>
      <c r="AK365">
        <v>34.239886478000003</v>
      </c>
      <c r="AM365">
        <v>291</v>
      </c>
      <c r="AS365">
        <v>1</v>
      </c>
      <c r="AT365">
        <v>1</v>
      </c>
      <c r="AV365">
        <v>45</v>
      </c>
      <c r="AW365">
        <v>14</v>
      </c>
      <c r="AX365">
        <v>0</v>
      </c>
      <c r="AY365">
        <v>3.62</v>
      </c>
      <c r="AZ365">
        <v>108</v>
      </c>
      <c r="BA365">
        <v>55</v>
      </c>
      <c r="BB365">
        <v>0</v>
      </c>
      <c r="BP365" t="s">
        <v>151</v>
      </c>
      <c r="BQ365">
        <v>1.1000000000000001</v>
      </c>
      <c r="BR365" t="s">
        <v>1986</v>
      </c>
      <c r="BS365" t="s">
        <v>1066</v>
      </c>
      <c r="BT365" t="s">
        <v>981</v>
      </c>
      <c r="BU365" t="s">
        <v>150</v>
      </c>
      <c r="BV365" t="s">
        <v>1987</v>
      </c>
      <c r="BW365" t="s">
        <v>1988</v>
      </c>
      <c r="BX365">
        <v>1000</v>
      </c>
      <c r="BY365">
        <v>1000</v>
      </c>
      <c r="BZ365" t="s">
        <v>1983</v>
      </c>
      <c r="CA365" t="s">
        <v>1986</v>
      </c>
      <c r="CB365" t="s">
        <v>1066</v>
      </c>
      <c r="CC365" t="s">
        <v>156</v>
      </c>
      <c r="CD365" t="s">
        <v>157</v>
      </c>
      <c r="CJ365" t="s">
        <v>1983</v>
      </c>
      <c r="CK365" t="s">
        <v>212</v>
      </c>
    </row>
    <row r="366" spans="1:89" x14ac:dyDescent="0.3">
      <c r="A366" t="s">
        <v>1989</v>
      </c>
      <c r="B366" t="s">
        <v>5</v>
      </c>
      <c r="C366" t="s">
        <v>145</v>
      </c>
      <c r="D366">
        <v>200</v>
      </c>
      <c r="E366" t="s">
        <v>146</v>
      </c>
      <c r="F366" t="s">
        <v>147</v>
      </c>
      <c r="H366" t="s">
        <v>1990</v>
      </c>
      <c r="I366">
        <v>33</v>
      </c>
      <c r="J366">
        <v>386</v>
      </c>
      <c r="L366">
        <v>0</v>
      </c>
      <c r="M366">
        <v>0</v>
      </c>
      <c r="N366" t="s">
        <v>1991</v>
      </c>
      <c r="O366">
        <v>33</v>
      </c>
      <c r="P366">
        <v>462</v>
      </c>
      <c r="S366" t="s">
        <v>1992</v>
      </c>
      <c r="T366">
        <v>13</v>
      </c>
      <c r="V366">
        <v>0</v>
      </c>
      <c r="AB366" t="s">
        <v>1989</v>
      </c>
      <c r="AH366">
        <v>645018</v>
      </c>
      <c r="AI366">
        <v>126394</v>
      </c>
      <c r="AJ366">
        <v>126394</v>
      </c>
      <c r="AK366">
        <v>49.253593102000004</v>
      </c>
      <c r="AM366">
        <v>420</v>
      </c>
      <c r="AS366">
        <v>4</v>
      </c>
      <c r="AT366">
        <v>1</v>
      </c>
      <c r="AV366">
        <v>16</v>
      </c>
      <c r="AW366">
        <v>6</v>
      </c>
      <c r="AX366">
        <v>0</v>
      </c>
      <c r="AY366">
        <v>1.55</v>
      </c>
      <c r="AZ366">
        <v>108</v>
      </c>
      <c r="BA366">
        <v>55</v>
      </c>
      <c r="BB366">
        <v>0</v>
      </c>
      <c r="BP366" t="s">
        <v>151</v>
      </c>
      <c r="BQ366">
        <v>1.1000000000000001</v>
      </c>
      <c r="BR366" t="s">
        <v>1993</v>
      </c>
      <c r="BS366" t="s">
        <v>1991</v>
      </c>
      <c r="BT366" t="s">
        <v>981</v>
      </c>
      <c r="BU366" t="s">
        <v>150</v>
      </c>
      <c r="BV366" t="s">
        <v>1994</v>
      </c>
      <c r="BW366" t="s">
        <v>1995</v>
      </c>
      <c r="BX366">
        <v>450</v>
      </c>
      <c r="BY366">
        <v>450</v>
      </c>
      <c r="BZ366" t="s">
        <v>1989</v>
      </c>
      <c r="CA366" t="s">
        <v>1993</v>
      </c>
      <c r="CB366" t="s">
        <v>1991</v>
      </c>
      <c r="CC366" t="s">
        <v>156</v>
      </c>
      <c r="CD366" t="s">
        <v>157</v>
      </c>
      <c r="CJ366" t="s">
        <v>1989</v>
      </c>
      <c r="CK366" t="s">
        <v>818</v>
      </c>
    </row>
    <row r="367" spans="1:89" x14ac:dyDescent="0.3">
      <c r="A367" t="s">
        <v>1996</v>
      </c>
      <c r="B367" t="s">
        <v>5</v>
      </c>
      <c r="C367" t="s">
        <v>145</v>
      </c>
      <c r="D367">
        <v>200</v>
      </c>
      <c r="E367" t="s">
        <v>146</v>
      </c>
      <c r="F367" t="s">
        <v>147</v>
      </c>
      <c r="H367" t="s">
        <v>1997</v>
      </c>
      <c r="I367">
        <v>36</v>
      </c>
      <c r="J367">
        <v>445</v>
      </c>
      <c r="L367">
        <v>0</v>
      </c>
      <c r="M367">
        <v>0</v>
      </c>
      <c r="N367" t="s">
        <v>1752</v>
      </c>
      <c r="O367">
        <v>42</v>
      </c>
      <c r="P367">
        <v>588</v>
      </c>
      <c r="S367" t="s">
        <v>1998</v>
      </c>
      <c r="T367">
        <v>16</v>
      </c>
      <c r="V367">
        <v>0</v>
      </c>
      <c r="AB367" t="s">
        <v>1996</v>
      </c>
      <c r="AH367">
        <v>491834</v>
      </c>
      <c r="AI367">
        <v>100596</v>
      </c>
      <c r="AJ367">
        <v>100596</v>
      </c>
      <c r="AK367">
        <v>39.200551068000003</v>
      </c>
      <c r="AM367">
        <v>275</v>
      </c>
      <c r="AS367">
        <v>2</v>
      </c>
      <c r="AT367">
        <v>1</v>
      </c>
      <c r="AV367">
        <v>13</v>
      </c>
      <c r="AW367">
        <v>4</v>
      </c>
      <c r="AX367">
        <v>0</v>
      </c>
      <c r="AY367">
        <v>1.03</v>
      </c>
      <c r="AZ367">
        <v>108</v>
      </c>
      <c r="BA367">
        <v>55</v>
      </c>
      <c r="BB367">
        <v>0</v>
      </c>
      <c r="BP367" t="s">
        <v>151</v>
      </c>
      <c r="BQ367">
        <v>1.1000000000000001</v>
      </c>
      <c r="BR367" t="s">
        <v>1999</v>
      </c>
      <c r="BS367" t="s">
        <v>1752</v>
      </c>
      <c r="BT367" t="s">
        <v>981</v>
      </c>
      <c r="BU367" t="s">
        <v>150</v>
      </c>
      <c r="BV367" t="s">
        <v>2000</v>
      </c>
      <c r="BW367" t="s">
        <v>2001</v>
      </c>
      <c r="BX367">
        <v>450</v>
      </c>
      <c r="BY367">
        <v>450</v>
      </c>
      <c r="BZ367" t="s">
        <v>1996</v>
      </c>
      <c r="CA367" t="s">
        <v>1999</v>
      </c>
      <c r="CB367" t="s">
        <v>1752</v>
      </c>
      <c r="CC367" t="s">
        <v>156</v>
      </c>
      <c r="CD367" t="s">
        <v>157</v>
      </c>
      <c r="CJ367" t="s">
        <v>1996</v>
      </c>
      <c r="CK367" t="s">
        <v>1734</v>
      </c>
    </row>
    <row r="368" spans="1:89" x14ac:dyDescent="0.3">
      <c r="A368" t="s">
        <v>2002</v>
      </c>
      <c r="B368" t="s">
        <v>5</v>
      </c>
      <c r="C368" t="s">
        <v>145</v>
      </c>
      <c r="D368">
        <v>200</v>
      </c>
      <c r="E368" t="s">
        <v>146</v>
      </c>
      <c r="F368" t="s">
        <v>147</v>
      </c>
      <c r="H368" t="s">
        <v>2003</v>
      </c>
      <c r="I368">
        <v>48</v>
      </c>
      <c r="J368">
        <v>538</v>
      </c>
      <c r="L368">
        <v>0</v>
      </c>
      <c r="M368">
        <v>0</v>
      </c>
      <c r="N368" t="s">
        <v>1752</v>
      </c>
      <c r="O368">
        <v>42</v>
      </c>
      <c r="P368">
        <v>588</v>
      </c>
      <c r="S368" t="s">
        <v>2004</v>
      </c>
      <c r="T368">
        <v>20</v>
      </c>
      <c r="V368">
        <v>0</v>
      </c>
      <c r="AB368" t="s">
        <v>2002</v>
      </c>
      <c r="AH368">
        <v>516459</v>
      </c>
      <c r="AI368">
        <v>102616</v>
      </c>
      <c r="AJ368">
        <v>102616</v>
      </c>
      <c r="AK368">
        <v>39.987710728000003</v>
      </c>
      <c r="AM368">
        <v>294</v>
      </c>
      <c r="AS368">
        <v>2</v>
      </c>
      <c r="AT368">
        <v>1</v>
      </c>
      <c r="AV368">
        <v>27</v>
      </c>
      <c r="AW368">
        <v>11</v>
      </c>
      <c r="AX368">
        <v>0</v>
      </c>
      <c r="AY368">
        <v>2.84</v>
      </c>
      <c r="AZ368">
        <v>108</v>
      </c>
      <c r="BA368">
        <v>55</v>
      </c>
      <c r="BB368">
        <v>0</v>
      </c>
      <c r="BP368" t="s">
        <v>151</v>
      </c>
      <c r="BQ368">
        <v>1.1000000000000001</v>
      </c>
      <c r="BR368" t="s">
        <v>2005</v>
      </c>
      <c r="BS368" t="s">
        <v>1752</v>
      </c>
      <c r="BT368" t="s">
        <v>981</v>
      </c>
      <c r="BU368" t="s">
        <v>150</v>
      </c>
      <c r="BV368" t="s">
        <v>2006</v>
      </c>
      <c r="BW368" t="s">
        <v>2007</v>
      </c>
      <c r="BX368">
        <v>1000</v>
      </c>
      <c r="BY368">
        <v>1000</v>
      </c>
      <c r="BZ368" t="s">
        <v>2002</v>
      </c>
      <c r="CA368" t="s">
        <v>2005</v>
      </c>
      <c r="CB368" t="s">
        <v>1752</v>
      </c>
      <c r="CC368" t="s">
        <v>156</v>
      </c>
      <c r="CD368" t="s">
        <v>157</v>
      </c>
      <c r="CJ368" t="s">
        <v>2002</v>
      </c>
      <c r="CK368" t="s">
        <v>1749</v>
      </c>
    </row>
    <row r="369" spans="1:89" x14ac:dyDescent="0.3">
      <c r="A369" t="s">
        <v>2008</v>
      </c>
      <c r="B369" t="s">
        <v>5</v>
      </c>
      <c r="C369" t="s">
        <v>145</v>
      </c>
      <c r="D369">
        <v>200</v>
      </c>
      <c r="E369" t="s">
        <v>146</v>
      </c>
      <c r="F369" t="s">
        <v>147</v>
      </c>
      <c r="H369" t="s">
        <v>2009</v>
      </c>
      <c r="I369">
        <v>51</v>
      </c>
      <c r="J369">
        <v>539</v>
      </c>
      <c r="L369">
        <v>0</v>
      </c>
      <c r="M369">
        <v>0</v>
      </c>
      <c r="N369" t="s">
        <v>2010</v>
      </c>
      <c r="O369">
        <v>26</v>
      </c>
      <c r="P369">
        <v>352</v>
      </c>
      <c r="S369" t="s">
        <v>2011</v>
      </c>
      <c r="T369">
        <v>23</v>
      </c>
      <c r="V369">
        <v>0</v>
      </c>
      <c r="AB369" t="s">
        <v>2008</v>
      </c>
      <c r="AH369">
        <v>544554</v>
      </c>
      <c r="AI369">
        <v>106528</v>
      </c>
      <c r="AJ369">
        <v>106528</v>
      </c>
      <c r="AK369">
        <v>41.512150624</v>
      </c>
      <c r="AM369">
        <v>306</v>
      </c>
      <c r="AS369">
        <v>2</v>
      </c>
      <c r="AT369">
        <v>1</v>
      </c>
      <c r="AV369">
        <v>17</v>
      </c>
      <c r="AW369">
        <v>6</v>
      </c>
      <c r="AX369">
        <v>0</v>
      </c>
      <c r="AY369">
        <v>1.55</v>
      </c>
      <c r="AZ369">
        <v>108</v>
      </c>
      <c r="BA369">
        <v>55</v>
      </c>
      <c r="BB369">
        <v>0</v>
      </c>
      <c r="BP369" t="s">
        <v>151</v>
      </c>
      <c r="BQ369">
        <v>1.1000000000000001</v>
      </c>
      <c r="BR369" t="s">
        <v>2012</v>
      </c>
      <c r="BS369" t="s">
        <v>2010</v>
      </c>
      <c r="BT369" t="s">
        <v>981</v>
      </c>
      <c r="BU369" t="s">
        <v>150</v>
      </c>
      <c r="BV369" t="s">
        <v>2013</v>
      </c>
      <c r="BW369" t="s">
        <v>2014</v>
      </c>
      <c r="BX369">
        <v>450</v>
      </c>
      <c r="BY369">
        <v>450</v>
      </c>
      <c r="BZ369" t="s">
        <v>2008</v>
      </c>
      <c r="CA369" t="s">
        <v>2012</v>
      </c>
      <c r="CB369" t="s">
        <v>2010</v>
      </c>
      <c r="CC369" t="s">
        <v>156</v>
      </c>
      <c r="CD369" t="s">
        <v>157</v>
      </c>
      <c r="CJ369" t="s">
        <v>2008</v>
      </c>
      <c r="CK369" t="s">
        <v>1286</v>
      </c>
    </row>
    <row r="370" spans="1:89" x14ac:dyDescent="0.3">
      <c r="A370" t="s">
        <v>2015</v>
      </c>
      <c r="B370" t="s">
        <v>5</v>
      </c>
      <c r="C370" t="s">
        <v>145</v>
      </c>
      <c r="D370">
        <v>200</v>
      </c>
      <c r="E370" t="s">
        <v>146</v>
      </c>
      <c r="F370" t="s">
        <v>147</v>
      </c>
      <c r="H370" t="s">
        <v>2016</v>
      </c>
      <c r="I370">
        <v>43</v>
      </c>
      <c r="J370">
        <v>442</v>
      </c>
      <c r="L370">
        <v>0</v>
      </c>
      <c r="M370">
        <v>0</v>
      </c>
      <c r="N370" t="s">
        <v>2017</v>
      </c>
      <c r="O370">
        <v>24</v>
      </c>
      <c r="P370">
        <v>324</v>
      </c>
      <c r="S370" t="s">
        <v>2018</v>
      </c>
      <c r="T370">
        <v>19</v>
      </c>
      <c r="V370">
        <v>0</v>
      </c>
      <c r="AB370" t="s">
        <v>2015</v>
      </c>
      <c r="AH370">
        <v>544214</v>
      </c>
      <c r="AI370">
        <v>106426</v>
      </c>
      <c r="AJ370">
        <v>106426</v>
      </c>
      <c r="AK370">
        <v>41.472402958000004</v>
      </c>
      <c r="AM370">
        <v>300</v>
      </c>
      <c r="AS370">
        <v>2</v>
      </c>
      <c r="AT370">
        <v>1</v>
      </c>
      <c r="AV370">
        <v>17</v>
      </c>
      <c r="AW370">
        <v>6</v>
      </c>
      <c r="AX370">
        <v>0</v>
      </c>
      <c r="AY370">
        <v>1.55</v>
      </c>
      <c r="AZ370">
        <v>108</v>
      </c>
      <c r="BA370">
        <v>55</v>
      </c>
      <c r="BB370">
        <v>0</v>
      </c>
      <c r="BP370" t="s">
        <v>151</v>
      </c>
      <c r="BQ370">
        <v>1.1000000000000001</v>
      </c>
      <c r="BR370" t="s">
        <v>2019</v>
      </c>
      <c r="BS370" t="s">
        <v>2017</v>
      </c>
      <c r="BT370" t="s">
        <v>981</v>
      </c>
      <c r="BU370" t="s">
        <v>150</v>
      </c>
      <c r="BV370" t="s">
        <v>2020</v>
      </c>
      <c r="BW370" t="s">
        <v>2021</v>
      </c>
      <c r="BX370">
        <v>450</v>
      </c>
      <c r="BY370">
        <v>450</v>
      </c>
      <c r="BZ370" t="s">
        <v>2015</v>
      </c>
      <c r="CA370" t="s">
        <v>2019</v>
      </c>
      <c r="CB370" t="s">
        <v>2017</v>
      </c>
      <c r="CC370" t="s">
        <v>156</v>
      </c>
      <c r="CD370" t="s">
        <v>157</v>
      </c>
      <c r="CJ370" t="s">
        <v>2015</v>
      </c>
      <c r="CK370" t="s">
        <v>1344</v>
      </c>
    </row>
    <row r="371" spans="1:89" x14ac:dyDescent="0.3">
      <c r="A371" t="s">
        <v>2022</v>
      </c>
      <c r="B371" t="s">
        <v>5</v>
      </c>
      <c r="C371" t="s">
        <v>145</v>
      </c>
      <c r="D371">
        <v>200</v>
      </c>
      <c r="E371" t="s">
        <v>146</v>
      </c>
      <c r="F371" t="s">
        <v>147</v>
      </c>
      <c r="H371" t="s">
        <v>2023</v>
      </c>
      <c r="I371">
        <v>40</v>
      </c>
      <c r="J371">
        <v>463</v>
      </c>
      <c r="L371">
        <v>0</v>
      </c>
      <c r="M371">
        <v>0</v>
      </c>
      <c r="N371" t="s">
        <v>2024</v>
      </c>
      <c r="O371">
        <v>50</v>
      </c>
      <c r="P371">
        <v>557</v>
      </c>
      <c r="S371" t="s">
        <v>2025</v>
      </c>
      <c r="T371">
        <v>20</v>
      </c>
      <c r="V371">
        <v>0</v>
      </c>
      <c r="AB371" t="s">
        <v>2022</v>
      </c>
      <c r="AH371">
        <v>389692</v>
      </c>
      <c r="AI371">
        <v>86614</v>
      </c>
      <c r="AJ371">
        <v>86614</v>
      </c>
      <c r="AK371">
        <v>33.752003362000004</v>
      </c>
      <c r="AM371">
        <v>254</v>
      </c>
      <c r="AS371">
        <v>1</v>
      </c>
      <c r="AT371">
        <v>1</v>
      </c>
      <c r="AV371">
        <v>41</v>
      </c>
      <c r="AW371">
        <v>12</v>
      </c>
      <c r="AX371">
        <v>0</v>
      </c>
      <c r="AY371">
        <v>3.1</v>
      </c>
      <c r="AZ371">
        <v>108</v>
      </c>
      <c r="BA371">
        <v>55</v>
      </c>
      <c r="BB371">
        <v>0</v>
      </c>
      <c r="BP371" t="s">
        <v>151</v>
      </c>
      <c r="BQ371">
        <v>1.1000000000000001</v>
      </c>
      <c r="BR371" t="s">
        <v>2026</v>
      </c>
      <c r="BS371" t="s">
        <v>2024</v>
      </c>
      <c r="BT371" t="s">
        <v>981</v>
      </c>
      <c r="BU371" t="s">
        <v>150</v>
      </c>
      <c r="BV371" t="s">
        <v>2027</v>
      </c>
      <c r="BW371" t="s">
        <v>2028</v>
      </c>
      <c r="BX371">
        <v>1000</v>
      </c>
      <c r="BY371">
        <v>1000</v>
      </c>
      <c r="BZ371" t="s">
        <v>2022</v>
      </c>
      <c r="CA371" t="s">
        <v>2026</v>
      </c>
      <c r="CB371" t="s">
        <v>2024</v>
      </c>
      <c r="CC371" t="s">
        <v>156</v>
      </c>
      <c r="CD371" t="s">
        <v>157</v>
      </c>
      <c r="CJ371" t="s">
        <v>2022</v>
      </c>
      <c r="CK371" t="s">
        <v>178</v>
      </c>
    </row>
    <row r="372" spans="1:89" x14ac:dyDescent="0.3">
      <c r="A372" t="s">
        <v>2029</v>
      </c>
      <c r="B372" t="s">
        <v>5</v>
      </c>
      <c r="C372" t="s">
        <v>145</v>
      </c>
      <c r="D372">
        <v>200</v>
      </c>
      <c r="E372" t="s">
        <v>146</v>
      </c>
      <c r="F372" t="s">
        <v>147</v>
      </c>
      <c r="H372" t="s">
        <v>2030</v>
      </c>
      <c r="I372">
        <v>33</v>
      </c>
      <c r="J372">
        <v>419</v>
      </c>
      <c r="L372">
        <v>0</v>
      </c>
      <c r="M372">
        <v>0</v>
      </c>
      <c r="N372" t="s">
        <v>2031</v>
      </c>
      <c r="O372">
        <v>70</v>
      </c>
      <c r="P372">
        <v>896</v>
      </c>
      <c r="S372" t="s">
        <v>2032</v>
      </c>
      <c r="T372">
        <v>13</v>
      </c>
      <c r="V372">
        <v>0</v>
      </c>
      <c r="AB372" t="s">
        <v>2029</v>
      </c>
      <c r="AH372">
        <v>391044</v>
      </c>
      <c r="AI372">
        <v>86085</v>
      </c>
      <c r="AJ372">
        <v>86085</v>
      </c>
      <c r="AK372">
        <v>33.545861055000003</v>
      </c>
      <c r="AM372">
        <v>237</v>
      </c>
      <c r="AS372">
        <v>3</v>
      </c>
      <c r="AT372">
        <v>1</v>
      </c>
      <c r="AV372">
        <v>17</v>
      </c>
      <c r="AW372">
        <v>6</v>
      </c>
      <c r="AX372">
        <v>0</v>
      </c>
      <c r="AY372">
        <v>1.55</v>
      </c>
      <c r="AZ372">
        <v>108</v>
      </c>
      <c r="BA372">
        <v>55</v>
      </c>
      <c r="BB372">
        <v>0</v>
      </c>
      <c r="BP372" t="s">
        <v>151</v>
      </c>
      <c r="BQ372">
        <v>1.1000000000000001</v>
      </c>
      <c r="BR372" t="s">
        <v>2033</v>
      </c>
      <c r="BS372" t="s">
        <v>2031</v>
      </c>
      <c r="BT372" t="s">
        <v>981</v>
      </c>
      <c r="BU372" t="s">
        <v>150</v>
      </c>
      <c r="BV372" t="s">
        <v>2034</v>
      </c>
      <c r="BW372" t="s">
        <v>2035</v>
      </c>
      <c r="BX372">
        <v>1000</v>
      </c>
      <c r="BY372">
        <v>1000</v>
      </c>
      <c r="BZ372" t="s">
        <v>2029</v>
      </c>
      <c r="CA372" t="s">
        <v>2033</v>
      </c>
      <c r="CB372" t="s">
        <v>2031</v>
      </c>
      <c r="CC372" t="s">
        <v>156</v>
      </c>
      <c r="CD372" t="s">
        <v>157</v>
      </c>
      <c r="CJ372" t="s">
        <v>2029</v>
      </c>
      <c r="CK372" t="s">
        <v>493</v>
      </c>
    </row>
    <row r="373" spans="1:89" x14ac:dyDescent="0.3">
      <c r="A373" t="s">
        <v>2036</v>
      </c>
      <c r="B373" t="s">
        <v>5</v>
      </c>
      <c r="C373" t="s">
        <v>145</v>
      </c>
      <c r="D373">
        <v>200</v>
      </c>
      <c r="E373" t="s">
        <v>146</v>
      </c>
      <c r="F373" t="s">
        <v>147</v>
      </c>
      <c r="H373" t="s">
        <v>2037</v>
      </c>
      <c r="I373">
        <v>39</v>
      </c>
      <c r="J373">
        <v>499</v>
      </c>
      <c r="L373">
        <v>0</v>
      </c>
      <c r="M373">
        <v>0</v>
      </c>
      <c r="N373" t="s">
        <v>2038</v>
      </c>
      <c r="O373">
        <v>79</v>
      </c>
      <c r="P373">
        <v>1083</v>
      </c>
      <c r="S373" t="s">
        <v>2039</v>
      </c>
      <c r="T373">
        <v>19</v>
      </c>
      <c r="V373">
        <v>0</v>
      </c>
      <c r="AB373" t="s">
        <v>2036</v>
      </c>
      <c r="AH373">
        <v>395792</v>
      </c>
      <c r="AI373">
        <v>88296</v>
      </c>
      <c r="AJ373">
        <v>88296</v>
      </c>
      <c r="AK373">
        <v>34.407450167999997</v>
      </c>
      <c r="AM373">
        <v>314</v>
      </c>
      <c r="AS373">
        <v>1</v>
      </c>
      <c r="AT373">
        <v>1</v>
      </c>
      <c r="AV373">
        <v>43</v>
      </c>
      <c r="AW373">
        <v>13</v>
      </c>
      <c r="AX373">
        <v>0</v>
      </c>
      <c r="AY373">
        <v>3.36</v>
      </c>
      <c r="AZ373">
        <v>108</v>
      </c>
      <c r="BA373">
        <v>55</v>
      </c>
      <c r="BB373">
        <v>0</v>
      </c>
      <c r="BP373" t="s">
        <v>151</v>
      </c>
      <c r="BQ373">
        <v>1.1000000000000001</v>
      </c>
      <c r="BR373" t="s">
        <v>2040</v>
      </c>
      <c r="BS373" t="s">
        <v>2038</v>
      </c>
      <c r="BT373" t="s">
        <v>981</v>
      </c>
      <c r="BU373" t="s">
        <v>150</v>
      </c>
      <c r="BV373" t="s">
        <v>2041</v>
      </c>
      <c r="BW373" t="s">
        <v>2042</v>
      </c>
      <c r="BX373">
        <v>1000</v>
      </c>
      <c r="BY373">
        <v>1000</v>
      </c>
      <c r="BZ373" t="s">
        <v>2036</v>
      </c>
      <c r="CA373" t="s">
        <v>2040</v>
      </c>
      <c r="CB373" t="s">
        <v>2038</v>
      </c>
      <c r="CC373" t="s">
        <v>156</v>
      </c>
      <c r="CD373" t="s">
        <v>157</v>
      </c>
      <c r="CJ373" t="s">
        <v>2036</v>
      </c>
      <c r="CK373" t="s">
        <v>462</v>
      </c>
    </row>
    <row r="374" spans="1:89" x14ac:dyDescent="0.3">
      <c r="A374" t="s">
        <v>2043</v>
      </c>
      <c r="B374" t="s">
        <v>5</v>
      </c>
      <c r="C374" t="s">
        <v>145</v>
      </c>
      <c r="D374">
        <v>200</v>
      </c>
      <c r="E374" t="s">
        <v>146</v>
      </c>
      <c r="F374" t="s">
        <v>147</v>
      </c>
      <c r="H374" t="s">
        <v>2044</v>
      </c>
      <c r="I374">
        <v>36</v>
      </c>
      <c r="J374">
        <v>446</v>
      </c>
      <c r="L374">
        <v>0</v>
      </c>
      <c r="M374">
        <v>0</v>
      </c>
      <c r="N374" t="s">
        <v>2045</v>
      </c>
      <c r="O374">
        <v>118</v>
      </c>
      <c r="P374">
        <v>1646</v>
      </c>
      <c r="S374" t="s">
        <v>2046</v>
      </c>
      <c r="T374">
        <v>16</v>
      </c>
      <c r="V374">
        <v>0</v>
      </c>
      <c r="AB374" t="s">
        <v>2043</v>
      </c>
      <c r="AH374">
        <v>523033</v>
      </c>
      <c r="AI374">
        <v>102781</v>
      </c>
      <c r="AJ374">
        <v>102781</v>
      </c>
      <c r="AK374">
        <v>40.052008422999997</v>
      </c>
      <c r="AM374">
        <v>307</v>
      </c>
      <c r="AS374">
        <v>2</v>
      </c>
      <c r="AT374">
        <v>1</v>
      </c>
      <c r="AV374">
        <v>23</v>
      </c>
      <c r="AW374">
        <v>10</v>
      </c>
      <c r="AX374">
        <v>0</v>
      </c>
      <c r="AY374">
        <v>2.58</v>
      </c>
      <c r="AZ374">
        <v>109</v>
      </c>
      <c r="BA374">
        <v>56</v>
      </c>
      <c r="BB374">
        <v>0</v>
      </c>
      <c r="BP374" t="s">
        <v>151</v>
      </c>
      <c r="BQ374">
        <v>1.1000000000000001</v>
      </c>
      <c r="BR374" t="s">
        <v>2047</v>
      </c>
      <c r="BS374" t="s">
        <v>2045</v>
      </c>
      <c r="BT374" t="s">
        <v>981</v>
      </c>
      <c r="BU374" t="s">
        <v>150</v>
      </c>
      <c r="BV374" t="s">
        <v>2048</v>
      </c>
      <c r="BW374" t="s">
        <v>2049</v>
      </c>
      <c r="BX374">
        <v>1000</v>
      </c>
      <c r="BY374">
        <v>1000</v>
      </c>
      <c r="BZ374" t="s">
        <v>2043</v>
      </c>
      <c r="CA374" t="s">
        <v>2047</v>
      </c>
      <c r="CB374" t="s">
        <v>2045</v>
      </c>
      <c r="CC374" t="s">
        <v>156</v>
      </c>
      <c r="CD374" t="s">
        <v>157</v>
      </c>
      <c r="CJ374" t="s">
        <v>2043</v>
      </c>
      <c r="CK374" t="s">
        <v>714</v>
      </c>
    </row>
    <row r="375" spans="1:89" x14ac:dyDescent="0.3">
      <c r="A375" t="s">
        <v>2050</v>
      </c>
      <c r="B375" t="s">
        <v>5</v>
      </c>
      <c r="C375" t="s">
        <v>145</v>
      </c>
      <c r="D375">
        <v>200</v>
      </c>
      <c r="E375" t="s">
        <v>146</v>
      </c>
      <c r="F375" t="s">
        <v>147</v>
      </c>
      <c r="H375" t="s">
        <v>2051</v>
      </c>
      <c r="I375">
        <v>35</v>
      </c>
      <c r="J375">
        <v>426</v>
      </c>
      <c r="L375">
        <v>0</v>
      </c>
      <c r="M375">
        <v>0</v>
      </c>
      <c r="N375" t="s">
        <v>2052</v>
      </c>
      <c r="O375">
        <v>115</v>
      </c>
      <c r="P375">
        <v>1604</v>
      </c>
      <c r="S375" t="s">
        <v>2053</v>
      </c>
      <c r="T375">
        <v>15</v>
      </c>
      <c r="V375">
        <v>0</v>
      </c>
      <c r="AB375" t="s">
        <v>2050</v>
      </c>
      <c r="AH375">
        <v>525205</v>
      </c>
      <c r="AI375">
        <v>103402</v>
      </c>
      <c r="AJ375">
        <v>103402</v>
      </c>
      <c r="AK375">
        <v>40.294001565999999</v>
      </c>
      <c r="AM375">
        <v>308</v>
      </c>
      <c r="AS375">
        <v>2</v>
      </c>
      <c r="AT375">
        <v>1</v>
      </c>
      <c r="AV375">
        <v>27</v>
      </c>
      <c r="AW375">
        <v>12</v>
      </c>
      <c r="AX375">
        <v>0</v>
      </c>
      <c r="AY375">
        <v>3.1</v>
      </c>
      <c r="AZ375">
        <v>109</v>
      </c>
      <c r="BA375">
        <v>56</v>
      </c>
      <c r="BB375">
        <v>0</v>
      </c>
      <c r="BP375" t="s">
        <v>151</v>
      </c>
      <c r="BQ375">
        <v>1.1000000000000001</v>
      </c>
      <c r="BR375" t="s">
        <v>2054</v>
      </c>
      <c r="BS375" t="s">
        <v>2052</v>
      </c>
      <c r="BT375" t="s">
        <v>981</v>
      </c>
      <c r="BU375" t="s">
        <v>150</v>
      </c>
      <c r="BV375" t="s">
        <v>2055</v>
      </c>
      <c r="BW375" t="s">
        <v>2056</v>
      </c>
      <c r="BX375">
        <v>1000</v>
      </c>
      <c r="BY375">
        <v>1000</v>
      </c>
      <c r="BZ375" t="s">
        <v>2050</v>
      </c>
      <c r="CA375" t="s">
        <v>2054</v>
      </c>
      <c r="CB375" t="s">
        <v>2052</v>
      </c>
      <c r="CC375" t="s">
        <v>156</v>
      </c>
      <c r="CD375" t="s">
        <v>157</v>
      </c>
      <c r="CJ375" t="s">
        <v>2050</v>
      </c>
      <c r="CK375" t="s">
        <v>1610</v>
      </c>
    </row>
    <row r="376" spans="1:89" x14ac:dyDescent="0.3">
      <c r="A376" t="s">
        <v>2057</v>
      </c>
      <c r="B376" t="s">
        <v>5</v>
      </c>
      <c r="C376" t="s">
        <v>145</v>
      </c>
      <c r="D376">
        <v>200</v>
      </c>
      <c r="E376" t="s">
        <v>146</v>
      </c>
      <c r="F376" t="s">
        <v>147</v>
      </c>
      <c r="H376" t="s">
        <v>2058</v>
      </c>
      <c r="I376">
        <v>37</v>
      </c>
      <c r="J376">
        <v>457</v>
      </c>
      <c r="L376">
        <v>0</v>
      </c>
      <c r="M376">
        <v>0</v>
      </c>
      <c r="N376" t="s">
        <v>2059</v>
      </c>
      <c r="O376">
        <v>117</v>
      </c>
      <c r="P376">
        <v>1632</v>
      </c>
      <c r="S376" t="s">
        <v>2060</v>
      </c>
      <c r="T376">
        <v>17</v>
      </c>
      <c r="V376">
        <v>0</v>
      </c>
      <c r="AB376" t="s">
        <v>2057</v>
      </c>
      <c r="AH376">
        <v>523841</v>
      </c>
      <c r="AI376">
        <v>103329</v>
      </c>
      <c r="AJ376">
        <v>103329</v>
      </c>
      <c r="AK376">
        <v>40.265554707</v>
      </c>
      <c r="AM376">
        <v>308</v>
      </c>
      <c r="AS376">
        <v>2</v>
      </c>
      <c r="AT376">
        <v>1</v>
      </c>
      <c r="AV376">
        <v>20</v>
      </c>
      <c r="AW376">
        <v>8</v>
      </c>
      <c r="AX376">
        <v>0</v>
      </c>
      <c r="AY376">
        <v>2.0699999999999998</v>
      </c>
      <c r="AZ376">
        <v>109</v>
      </c>
      <c r="BA376">
        <v>56</v>
      </c>
      <c r="BB376">
        <v>0</v>
      </c>
      <c r="BP376" t="s">
        <v>151</v>
      </c>
      <c r="BQ376">
        <v>1.1000000000000001</v>
      </c>
      <c r="BR376" t="s">
        <v>2061</v>
      </c>
      <c r="BS376" t="s">
        <v>2059</v>
      </c>
      <c r="BT376" t="s">
        <v>981</v>
      </c>
      <c r="BU376" t="s">
        <v>150</v>
      </c>
      <c r="BV376" t="s">
        <v>2062</v>
      </c>
      <c r="BW376" t="s">
        <v>2063</v>
      </c>
      <c r="BX376">
        <v>450</v>
      </c>
      <c r="BY376">
        <v>451</v>
      </c>
      <c r="BZ376" t="s">
        <v>2057</v>
      </c>
      <c r="CA376" t="s">
        <v>2061</v>
      </c>
      <c r="CB376" t="s">
        <v>2059</v>
      </c>
      <c r="CC376" t="s">
        <v>156</v>
      </c>
      <c r="CD376" t="s">
        <v>157</v>
      </c>
      <c r="CJ376" t="s">
        <v>2057</v>
      </c>
      <c r="CK376" t="s">
        <v>714</v>
      </c>
    </row>
    <row r="377" spans="1:89" x14ac:dyDescent="0.3">
      <c r="A377" t="s">
        <v>2064</v>
      </c>
      <c r="B377" t="s">
        <v>5</v>
      </c>
      <c r="C377" t="s">
        <v>145</v>
      </c>
      <c r="D377">
        <v>200</v>
      </c>
      <c r="E377" t="s">
        <v>146</v>
      </c>
      <c r="F377" t="s">
        <v>147</v>
      </c>
      <c r="H377" t="s">
        <v>2065</v>
      </c>
      <c r="I377">
        <v>37</v>
      </c>
      <c r="J377">
        <v>466</v>
      </c>
      <c r="L377">
        <v>0</v>
      </c>
      <c r="M377">
        <v>0</v>
      </c>
      <c r="N377" t="s">
        <v>2066</v>
      </c>
      <c r="O377">
        <v>115</v>
      </c>
      <c r="P377">
        <v>1604</v>
      </c>
      <c r="S377" t="s">
        <v>2067</v>
      </c>
      <c r="T377">
        <v>17</v>
      </c>
      <c r="V377">
        <v>0</v>
      </c>
      <c r="AB377" t="s">
        <v>2064</v>
      </c>
      <c r="AH377">
        <v>523721</v>
      </c>
      <c r="AI377">
        <v>103404</v>
      </c>
      <c r="AJ377">
        <v>103404</v>
      </c>
      <c r="AK377">
        <v>40.294780932000002</v>
      </c>
      <c r="AM377">
        <v>307</v>
      </c>
      <c r="AS377">
        <v>2</v>
      </c>
      <c r="AT377">
        <v>1</v>
      </c>
      <c r="AV377">
        <v>23</v>
      </c>
      <c r="AW377">
        <v>10</v>
      </c>
      <c r="AX377">
        <v>0</v>
      </c>
      <c r="AY377">
        <v>2.58</v>
      </c>
      <c r="AZ377">
        <v>109</v>
      </c>
      <c r="BA377">
        <v>56</v>
      </c>
      <c r="BB377">
        <v>0</v>
      </c>
      <c r="BP377" t="s">
        <v>151</v>
      </c>
      <c r="BQ377">
        <v>1.1000000000000001</v>
      </c>
      <c r="BR377" t="s">
        <v>2068</v>
      </c>
      <c r="BS377" t="s">
        <v>2066</v>
      </c>
      <c r="BT377" t="s">
        <v>981</v>
      </c>
      <c r="BU377" t="s">
        <v>150</v>
      </c>
      <c r="BV377" t="s">
        <v>2069</v>
      </c>
      <c r="BW377" t="s">
        <v>2070</v>
      </c>
      <c r="BX377">
        <v>450</v>
      </c>
      <c r="BY377">
        <v>451</v>
      </c>
      <c r="BZ377" t="s">
        <v>2064</v>
      </c>
      <c r="CA377" t="s">
        <v>2068</v>
      </c>
      <c r="CB377" t="s">
        <v>2066</v>
      </c>
      <c r="CC377" t="s">
        <v>156</v>
      </c>
      <c r="CD377" t="s">
        <v>157</v>
      </c>
      <c r="CJ377" t="s">
        <v>2064</v>
      </c>
      <c r="CK377" t="s">
        <v>714</v>
      </c>
    </row>
    <row r="378" spans="1:89" x14ac:dyDescent="0.3">
      <c r="A378" t="s">
        <v>2071</v>
      </c>
      <c r="B378" t="s">
        <v>5</v>
      </c>
      <c r="C378" t="s">
        <v>145</v>
      </c>
      <c r="D378">
        <v>200</v>
      </c>
      <c r="E378" t="s">
        <v>146</v>
      </c>
      <c r="F378" t="s">
        <v>147</v>
      </c>
      <c r="H378" t="s">
        <v>2072</v>
      </c>
      <c r="I378">
        <v>37</v>
      </c>
      <c r="J378">
        <v>457</v>
      </c>
      <c r="L378">
        <v>0</v>
      </c>
      <c r="M378">
        <v>0</v>
      </c>
      <c r="N378" t="s">
        <v>2073</v>
      </c>
      <c r="O378">
        <v>82</v>
      </c>
      <c r="P378">
        <v>1133</v>
      </c>
      <c r="S378" t="s">
        <v>2074</v>
      </c>
      <c r="T378">
        <v>17</v>
      </c>
      <c r="V378">
        <v>0</v>
      </c>
      <c r="AB378" t="s">
        <v>2071</v>
      </c>
      <c r="AH378">
        <v>523510</v>
      </c>
      <c r="AI378">
        <v>103466</v>
      </c>
      <c r="AJ378">
        <v>103466</v>
      </c>
      <c r="AK378">
        <v>40.318941277999997</v>
      </c>
      <c r="AM378">
        <v>310</v>
      </c>
      <c r="AS378">
        <v>2</v>
      </c>
      <c r="AT378">
        <v>1</v>
      </c>
      <c r="AV378">
        <v>20</v>
      </c>
      <c r="AW378">
        <v>8</v>
      </c>
      <c r="AX378">
        <v>0</v>
      </c>
      <c r="AY378">
        <v>2.0699999999999998</v>
      </c>
      <c r="AZ378">
        <v>109</v>
      </c>
      <c r="BA378">
        <v>56</v>
      </c>
      <c r="BB378">
        <v>0</v>
      </c>
      <c r="BP378" t="s">
        <v>151</v>
      </c>
      <c r="BQ378">
        <v>1.1000000000000001</v>
      </c>
      <c r="BR378" t="s">
        <v>2075</v>
      </c>
      <c r="BS378" t="s">
        <v>2073</v>
      </c>
      <c r="BT378" t="s">
        <v>981</v>
      </c>
      <c r="BU378" t="s">
        <v>150</v>
      </c>
      <c r="BV378" t="s">
        <v>2076</v>
      </c>
      <c r="BW378" t="s">
        <v>2077</v>
      </c>
      <c r="BX378">
        <v>450</v>
      </c>
      <c r="BY378">
        <v>451</v>
      </c>
      <c r="BZ378" t="s">
        <v>2071</v>
      </c>
      <c r="CA378" t="s">
        <v>2075</v>
      </c>
      <c r="CB378" t="s">
        <v>2073</v>
      </c>
      <c r="CC378" t="s">
        <v>156</v>
      </c>
      <c r="CD378" t="s">
        <v>157</v>
      </c>
      <c r="CJ378" t="s">
        <v>2071</v>
      </c>
      <c r="CK378" t="s">
        <v>710</v>
      </c>
    </row>
    <row r="379" spans="1:89" x14ac:dyDescent="0.3">
      <c r="A379" t="s">
        <v>2078</v>
      </c>
      <c r="B379" t="s">
        <v>5</v>
      </c>
      <c r="C379" t="s">
        <v>145</v>
      </c>
      <c r="D379">
        <v>200</v>
      </c>
      <c r="E379" t="s">
        <v>146</v>
      </c>
      <c r="F379" t="s">
        <v>147</v>
      </c>
      <c r="H379" t="s">
        <v>2079</v>
      </c>
      <c r="I379">
        <v>37</v>
      </c>
      <c r="J379">
        <v>460</v>
      </c>
      <c r="K379" t="s">
        <v>977</v>
      </c>
      <c r="L379">
        <v>9</v>
      </c>
      <c r="M379">
        <v>172</v>
      </c>
      <c r="N379" t="s">
        <v>2080</v>
      </c>
      <c r="O379">
        <v>96</v>
      </c>
      <c r="P379">
        <v>1264</v>
      </c>
      <c r="S379" t="s">
        <v>2081</v>
      </c>
      <c r="T379">
        <v>13</v>
      </c>
      <c r="V379">
        <v>0</v>
      </c>
      <c r="AB379" t="s">
        <v>2078</v>
      </c>
      <c r="AH379">
        <v>657353</v>
      </c>
      <c r="AI379">
        <v>133042</v>
      </c>
      <c r="AJ379">
        <v>133042</v>
      </c>
      <c r="AK379">
        <v>51.844205686000002</v>
      </c>
      <c r="AM379">
        <v>460</v>
      </c>
      <c r="AS379">
        <v>3</v>
      </c>
      <c r="AT379">
        <v>1</v>
      </c>
      <c r="AV379">
        <v>21</v>
      </c>
      <c r="AW379">
        <v>8</v>
      </c>
      <c r="AX379">
        <v>0</v>
      </c>
      <c r="AY379">
        <v>2.0699999999999998</v>
      </c>
      <c r="AZ379">
        <v>110</v>
      </c>
      <c r="BA379">
        <v>57</v>
      </c>
      <c r="BB379">
        <v>0</v>
      </c>
      <c r="BP379" t="s">
        <v>151</v>
      </c>
      <c r="BQ379">
        <v>1.1000000000000001</v>
      </c>
      <c r="BR379" t="s">
        <v>2082</v>
      </c>
      <c r="BS379" t="s">
        <v>2080</v>
      </c>
      <c r="BT379" t="s">
        <v>981</v>
      </c>
      <c r="BU379" t="s">
        <v>150</v>
      </c>
      <c r="BV379" t="s">
        <v>2083</v>
      </c>
      <c r="BW379" t="s">
        <v>2084</v>
      </c>
      <c r="BX379">
        <v>1000</v>
      </c>
      <c r="BY379">
        <v>1000</v>
      </c>
      <c r="BZ379" t="s">
        <v>2078</v>
      </c>
      <c r="CA379" t="s">
        <v>2082</v>
      </c>
      <c r="CB379" t="s">
        <v>2080</v>
      </c>
      <c r="CC379" t="s">
        <v>156</v>
      </c>
      <c r="CD379" t="s">
        <v>157</v>
      </c>
      <c r="CJ379" t="s">
        <v>2078</v>
      </c>
      <c r="CK379" t="s">
        <v>1055</v>
      </c>
    </row>
    <row r="380" spans="1:89" x14ac:dyDescent="0.3">
      <c r="A380" t="s">
        <v>2085</v>
      </c>
      <c r="B380" t="s">
        <v>5</v>
      </c>
      <c r="C380" t="s">
        <v>145</v>
      </c>
      <c r="D380">
        <v>200</v>
      </c>
      <c r="E380" t="s">
        <v>146</v>
      </c>
      <c r="F380" t="s">
        <v>147</v>
      </c>
      <c r="H380" t="s">
        <v>2086</v>
      </c>
      <c r="I380">
        <v>35</v>
      </c>
      <c r="J380">
        <v>442</v>
      </c>
      <c r="K380" t="s">
        <v>977</v>
      </c>
      <c r="L380">
        <v>9</v>
      </c>
      <c r="M380">
        <v>172</v>
      </c>
      <c r="N380" t="s">
        <v>2087</v>
      </c>
      <c r="O380">
        <v>128</v>
      </c>
      <c r="P380">
        <v>1573</v>
      </c>
      <c r="S380" t="s">
        <v>2088</v>
      </c>
      <c r="T380">
        <v>15</v>
      </c>
      <c r="V380">
        <v>0</v>
      </c>
      <c r="AB380" t="s">
        <v>2085</v>
      </c>
      <c r="AH380">
        <v>652110</v>
      </c>
      <c r="AI380">
        <v>132924</v>
      </c>
      <c r="AJ380">
        <v>132924</v>
      </c>
      <c r="AK380">
        <v>51.798223092000001</v>
      </c>
      <c r="AM380">
        <v>469</v>
      </c>
      <c r="AS380">
        <v>2</v>
      </c>
      <c r="AT380">
        <v>1</v>
      </c>
      <c r="AV380">
        <v>26</v>
      </c>
      <c r="AW380">
        <v>11</v>
      </c>
      <c r="AX380">
        <v>0</v>
      </c>
      <c r="AY380">
        <v>2.84</v>
      </c>
      <c r="AZ380">
        <v>110</v>
      </c>
      <c r="BA380">
        <v>57</v>
      </c>
      <c r="BB380">
        <v>0</v>
      </c>
      <c r="BP380" t="s">
        <v>151</v>
      </c>
      <c r="BQ380">
        <v>1.1000000000000001</v>
      </c>
      <c r="BR380" t="s">
        <v>2089</v>
      </c>
      <c r="BS380" t="s">
        <v>2087</v>
      </c>
      <c r="BT380" t="s">
        <v>981</v>
      </c>
      <c r="BU380" t="s">
        <v>150</v>
      </c>
      <c r="BV380" t="s">
        <v>2090</v>
      </c>
      <c r="BW380" t="s">
        <v>2091</v>
      </c>
      <c r="BX380">
        <v>1000</v>
      </c>
      <c r="BY380">
        <v>1000</v>
      </c>
      <c r="BZ380" t="s">
        <v>2085</v>
      </c>
      <c r="CA380" t="s">
        <v>2089</v>
      </c>
      <c r="CB380" t="s">
        <v>2087</v>
      </c>
      <c r="CC380" t="s">
        <v>156</v>
      </c>
      <c r="CD380" t="s">
        <v>157</v>
      </c>
      <c r="CJ380" t="s">
        <v>2085</v>
      </c>
      <c r="CK380" t="s">
        <v>250</v>
      </c>
    </row>
    <row r="381" spans="1:89" x14ac:dyDescent="0.3">
      <c r="A381" t="s">
        <v>2092</v>
      </c>
      <c r="B381" t="s">
        <v>5</v>
      </c>
      <c r="C381" t="s">
        <v>145</v>
      </c>
      <c r="D381">
        <v>200</v>
      </c>
      <c r="E381" t="s">
        <v>146</v>
      </c>
      <c r="F381" t="s">
        <v>147</v>
      </c>
      <c r="H381" t="s">
        <v>2093</v>
      </c>
      <c r="I381">
        <v>29</v>
      </c>
      <c r="J381">
        <v>351</v>
      </c>
      <c r="K381" t="s">
        <v>977</v>
      </c>
      <c r="L381">
        <v>9</v>
      </c>
      <c r="M381">
        <v>172</v>
      </c>
      <c r="N381" t="s">
        <v>2094</v>
      </c>
      <c r="O381">
        <v>90</v>
      </c>
      <c r="P381">
        <v>1246</v>
      </c>
      <c r="S381" t="s">
        <v>2095</v>
      </c>
      <c r="T381">
        <v>9</v>
      </c>
      <c r="V381">
        <v>0</v>
      </c>
      <c r="AB381" t="s">
        <v>2092</v>
      </c>
      <c r="AH381">
        <v>648945</v>
      </c>
      <c r="AI381">
        <v>131383</v>
      </c>
      <c r="AJ381">
        <v>131383</v>
      </c>
      <c r="AK381">
        <v>51.197721588999997</v>
      </c>
      <c r="AM381">
        <v>420</v>
      </c>
      <c r="AS381">
        <v>2</v>
      </c>
      <c r="AT381">
        <v>1</v>
      </c>
      <c r="AV381">
        <v>27</v>
      </c>
      <c r="AW381">
        <v>11</v>
      </c>
      <c r="AX381">
        <v>0</v>
      </c>
      <c r="AY381">
        <v>2.84</v>
      </c>
      <c r="AZ381">
        <v>110</v>
      </c>
      <c r="BA381">
        <v>57</v>
      </c>
      <c r="BB381">
        <v>0</v>
      </c>
      <c r="BP381" t="s">
        <v>151</v>
      </c>
      <c r="BQ381">
        <v>1.1000000000000001</v>
      </c>
      <c r="BR381" t="s">
        <v>2096</v>
      </c>
      <c r="BS381" t="s">
        <v>2094</v>
      </c>
      <c r="BT381" t="s">
        <v>981</v>
      </c>
      <c r="BU381" t="s">
        <v>150</v>
      </c>
      <c r="BV381" t="s">
        <v>2097</v>
      </c>
      <c r="BW381" t="s">
        <v>2098</v>
      </c>
      <c r="BX381">
        <v>1000</v>
      </c>
      <c r="BY381">
        <v>1000</v>
      </c>
      <c r="BZ381" t="s">
        <v>2092</v>
      </c>
      <c r="CA381" t="s">
        <v>2096</v>
      </c>
      <c r="CB381" t="s">
        <v>2094</v>
      </c>
      <c r="CC381" t="s">
        <v>156</v>
      </c>
      <c r="CD381" t="s">
        <v>157</v>
      </c>
      <c r="CJ381" t="s">
        <v>2092</v>
      </c>
      <c r="CK381" t="s">
        <v>1307</v>
      </c>
    </row>
    <row r="382" spans="1:89" x14ac:dyDescent="0.3">
      <c r="A382" t="s">
        <v>2099</v>
      </c>
      <c r="B382" t="s">
        <v>5</v>
      </c>
      <c r="C382" t="s">
        <v>145</v>
      </c>
      <c r="D382">
        <v>200</v>
      </c>
      <c r="E382" t="s">
        <v>146</v>
      </c>
      <c r="F382" t="s">
        <v>147</v>
      </c>
      <c r="H382" t="s">
        <v>2100</v>
      </c>
      <c r="I382">
        <v>34</v>
      </c>
      <c r="J382">
        <v>398</v>
      </c>
      <c r="K382" t="s">
        <v>977</v>
      </c>
      <c r="L382">
        <v>9</v>
      </c>
      <c r="M382">
        <v>172</v>
      </c>
      <c r="N382" t="s">
        <v>2094</v>
      </c>
      <c r="O382">
        <v>90</v>
      </c>
      <c r="P382">
        <v>1246</v>
      </c>
      <c r="S382" t="s">
        <v>2101</v>
      </c>
      <c r="T382">
        <v>14</v>
      </c>
      <c r="V382">
        <v>0</v>
      </c>
      <c r="AB382" t="s">
        <v>2099</v>
      </c>
      <c r="AH382">
        <v>649269</v>
      </c>
      <c r="AI382">
        <v>131389</v>
      </c>
      <c r="AJ382">
        <v>131389</v>
      </c>
      <c r="AK382">
        <v>51.200059687000007</v>
      </c>
      <c r="AM382">
        <v>419</v>
      </c>
      <c r="AS382">
        <v>2</v>
      </c>
      <c r="AT382">
        <v>1</v>
      </c>
      <c r="AV382">
        <v>37</v>
      </c>
      <c r="AW382">
        <v>21</v>
      </c>
      <c r="AX382">
        <v>0</v>
      </c>
      <c r="AY382">
        <v>5.43</v>
      </c>
      <c r="AZ382">
        <v>110</v>
      </c>
      <c r="BA382">
        <v>57</v>
      </c>
      <c r="BB382">
        <v>0</v>
      </c>
      <c r="BP382" t="s">
        <v>151</v>
      </c>
      <c r="BQ382">
        <v>1.1000000000000001</v>
      </c>
      <c r="BR382" t="s">
        <v>2102</v>
      </c>
      <c r="BS382" t="s">
        <v>2094</v>
      </c>
      <c r="BT382" t="s">
        <v>981</v>
      </c>
      <c r="BU382" t="s">
        <v>150</v>
      </c>
      <c r="BV382" t="s">
        <v>2103</v>
      </c>
      <c r="BW382" t="s">
        <v>2104</v>
      </c>
      <c r="BX382">
        <v>450</v>
      </c>
      <c r="BY382">
        <v>450</v>
      </c>
      <c r="BZ382" t="s">
        <v>2099</v>
      </c>
      <c r="CA382" t="s">
        <v>2102</v>
      </c>
      <c r="CB382" t="s">
        <v>2094</v>
      </c>
      <c r="CC382" t="s">
        <v>156</v>
      </c>
      <c r="CD382" t="s">
        <v>157</v>
      </c>
      <c r="CJ382" t="s">
        <v>2099</v>
      </c>
      <c r="CK382" t="s">
        <v>1133</v>
      </c>
    </row>
    <row r="383" spans="1:89" x14ac:dyDescent="0.3">
      <c r="A383" t="s">
        <v>2105</v>
      </c>
      <c r="B383" t="s">
        <v>5</v>
      </c>
      <c r="C383" t="s">
        <v>145</v>
      </c>
      <c r="D383">
        <v>200</v>
      </c>
      <c r="E383" t="s">
        <v>146</v>
      </c>
      <c r="F383" t="s">
        <v>147</v>
      </c>
      <c r="H383" t="s">
        <v>2106</v>
      </c>
      <c r="I383">
        <v>38</v>
      </c>
      <c r="J383">
        <v>478</v>
      </c>
      <c r="L383">
        <v>0</v>
      </c>
      <c r="M383">
        <v>0</v>
      </c>
      <c r="N383" t="s">
        <v>2107</v>
      </c>
      <c r="O383">
        <v>45</v>
      </c>
      <c r="P383">
        <v>625</v>
      </c>
      <c r="S383" t="s">
        <v>2108</v>
      </c>
      <c r="T383">
        <v>18</v>
      </c>
      <c r="V383">
        <v>0</v>
      </c>
      <c r="AB383" t="s">
        <v>2105</v>
      </c>
      <c r="AH383">
        <v>398960</v>
      </c>
      <c r="AI383">
        <v>86547</v>
      </c>
      <c r="AJ383">
        <v>86547</v>
      </c>
      <c r="AK383">
        <v>33.725894601</v>
      </c>
      <c r="AM383">
        <v>231</v>
      </c>
      <c r="AS383">
        <v>2</v>
      </c>
      <c r="AT383">
        <v>1</v>
      </c>
      <c r="AV383">
        <v>19</v>
      </c>
      <c r="AW383">
        <v>7</v>
      </c>
      <c r="AX383">
        <v>0</v>
      </c>
      <c r="AY383">
        <v>1.81</v>
      </c>
      <c r="AZ383">
        <v>108</v>
      </c>
      <c r="BA383">
        <v>55</v>
      </c>
      <c r="BB383">
        <v>0</v>
      </c>
      <c r="BP383" t="s">
        <v>151</v>
      </c>
      <c r="BQ383">
        <v>1.1000000000000001</v>
      </c>
      <c r="BR383" t="s">
        <v>2109</v>
      </c>
      <c r="BS383" t="s">
        <v>2107</v>
      </c>
      <c r="BT383" t="s">
        <v>981</v>
      </c>
      <c r="BU383" t="s">
        <v>150</v>
      </c>
      <c r="BV383" t="s">
        <v>2110</v>
      </c>
      <c r="BW383" t="s">
        <v>2111</v>
      </c>
      <c r="BX383">
        <v>1000</v>
      </c>
      <c r="BY383">
        <v>1000</v>
      </c>
      <c r="BZ383" t="s">
        <v>2105</v>
      </c>
      <c r="CA383" t="s">
        <v>2109</v>
      </c>
      <c r="CB383" t="s">
        <v>2107</v>
      </c>
      <c r="CC383" t="s">
        <v>156</v>
      </c>
      <c r="CD383" t="s">
        <v>157</v>
      </c>
      <c r="CJ383" t="s">
        <v>2105</v>
      </c>
      <c r="CK383" t="s">
        <v>2112</v>
      </c>
    </row>
    <row r="384" spans="1:89" x14ac:dyDescent="0.3">
      <c r="A384" t="s">
        <v>2113</v>
      </c>
      <c r="B384" t="s">
        <v>5</v>
      </c>
      <c r="C384" t="s">
        <v>145</v>
      </c>
      <c r="D384">
        <v>200</v>
      </c>
      <c r="E384" t="s">
        <v>146</v>
      </c>
      <c r="F384" t="s">
        <v>147</v>
      </c>
      <c r="H384" t="s">
        <v>2114</v>
      </c>
      <c r="I384">
        <v>33</v>
      </c>
      <c r="J384">
        <v>388</v>
      </c>
      <c r="L384">
        <v>0</v>
      </c>
      <c r="M384">
        <v>0</v>
      </c>
      <c r="N384" t="s">
        <v>2115</v>
      </c>
      <c r="O384">
        <v>78</v>
      </c>
      <c r="P384">
        <v>1044</v>
      </c>
      <c r="S384" t="s">
        <v>2116</v>
      </c>
      <c r="T384">
        <v>13</v>
      </c>
      <c r="V384">
        <v>0</v>
      </c>
      <c r="AB384" t="s">
        <v>2113</v>
      </c>
      <c r="AH384">
        <v>392174</v>
      </c>
      <c r="AI384">
        <v>86712</v>
      </c>
      <c r="AJ384">
        <v>86712</v>
      </c>
      <c r="AK384">
        <v>33.790192296000001</v>
      </c>
      <c r="AM384">
        <v>235</v>
      </c>
      <c r="AS384">
        <v>2</v>
      </c>
      <c r="AT384">
        <v>1</v>
      </c>
      <c r="AV384">
        <v>23</v>
      </c>
      <c r="AW384">
        <v>9</v>
      </c>
      <c r="AX384">
        <v>0</v>
      </c>
      <c r="AY384">
        <v>2.33</v>
      </c>
      <c r="AZ384">
        <v>108</v>
      </c>
      <c r="BA384">
        <v>55</v>
      </c>
      <c r="BB384">
        <v>0</v>
      </c>
      <c r="BP384" t="s">
        <v>151</v>
      </c>
      <c r="BQ384">
        <v>1.1000000000000001</v>
      </c>
      <c r="BR384" t="s">
        <v>2117</v>
      </c>
      <c r="BS384" t="s">
        <v>2115</v>
      </c>
      <c r="BT384" t="s">
        <v>981</v>
      </c>
      <c r="BU384" t="s">
        <v>150</v>
      </c>
      <c r="BV384" t="s">
        <v>2118</v>
      </c>
      <c r="BW384" t="s">
        <v>2119</v>
      </c>
      <c r="BX384">
        <v>1000</v>
      </c>
      <c r="BY384">
        <v>1000</v>
      </c>
      <c r="BZ384" t="s">
        <v>2113</v>
      </c>
      <c r="CA384" t="s">
        <v>2117</v>
      </c>
      <c r="CB384" t="s">
        <v>2115</v>
      </c>
      <c r="CC384" t="s">
        <v>156</v>
      </c>
      <c r="CD384" t="s">
        <v>157</v>
      </c>
      <c r="CJ384" t="s">
        <v>2113</v>
      </c>
      <c r="CK384" t="s">
        <v>2112</v>
      </c>
    </row>
    <row r="385" spans="1:89" x14ac:dyDescent="0.3">
      <c r="A385" t="s">
        <v>2120</v>
      </c>
      <c r="B385" t="s">
        <v>5</v>
      </c>
      <c r="C385" t="s">
        <v>145</v>
      </c>
      <c r="D385">
        <v>200</v>
      </c>
      <c r="E385" t="s">
        <v>146</v>
      </c>
      <c r="F385" t="s">
        <v>147</v>
      </c>
      <c r="H385" t="s">
        <v>2121</v>
      </c>
      <c r="I385">
        <v>37</v>
      </c>
      <c r="J385">
        <v>415</v>
      </c>
      <c r="L385">
        <v>0</v>
      </c>
      <c r="M385">
        <v>0</v>
      </c>
      <c r="N385" t="s">
        <v>1970</v>
      </c>
      <c r="O385">
        <v>73</v>
      </c>
      <c r="P385">
        <v>999</v>
      </c>
      <c r="S385" t="s">
        <v>2122</v>
      </c>
      <c r="T385">
        <v>17</v>
      </c>
      <c r="V385">
        <v>0</v>
      </c>
      <c r="AB385" t="s">
        <v>2120</v>
      </c>
      <c r="AH385">
        <v>392189</v>
      </c>
      <c r="AI385">
        <v>86871</v>
      </c>
      <c r="AJ385">
        <v>86871</v>
      </c>
      <c r="AK385">
        <v>33.852151893000013</v>
      </c>
      <c r="AM385">
        <v>237</v>
      </c>
      <c r="AS385">
        <v>2</v>
      </c>
      <c r="AT385">
        <v>1</v>
      </c>
      <c r="AV385">
        <v>24</v>
      </c>
      <c r="AW385">
        <v>10</v>
      </c>
      <c r="AX385">
        <v>0</v>
      </c>
      <c r="AY385">
        <v>2.58</v>
      </c>
      <c r="AZ385">
        <v>108</v>
      </c>
      <c r="BA385">
        <v>55</v>
      </c>
      <c r="BB385">
        <v>0</v>
      </c>
      <c r="BP385" t="s">
        <v>151</v>
      </c>
      <c r="BQ385">
        <v>1.1000000000000001</v>
      </c>
      <c r="BR385" t="s">
        <v>2123</v>
      </c>
      <c r="BS385" t="s">
        <v>1970</v>
      </c>
      <c r="BT385" t="s">
        <v>981</v>
      </c>
      <c r="BU385" t="s">
        <v>150</v>
      </c>
      <c r="BV385" t="s">
        <v>2124</v>
      </c>
      <c r="BW385" t="s">
        <v>2125</v>
      </c>
      <c r="BX385">
        <v>1000</v>
      </c>
      <c r="BY385">
        <v>1000</v>
      </c>
      <c r="BZ385" t="s">
        <v>2120</v>
      </c>
      <c r="CA385" t="s">
        <v>2123</v>
      </c>
      <c r="CB385" t="s">
        <v>1970</v>
      </c>
      <c r="CC385" t="s">
        <v>156</v>
      </c>
      <c r="CD385" t="s">
        <v>157</v>
      </c>
      <c r="CJ385" t="s">
        <v>2120</v>
      </c>
      <c r="CK385" t="s">
        <v>1982</v>
      </c>
    </row>
    <row r="386" spans="1:89" x14ac:dyDescent="0.3">
      <c r="A386" t="s">
        <v>2126</v>
      </c>
      <c r="B386" t="s">
        <v>5</v>
      </c>
      <c r="C386" t="s">
        <v>145</v>
      </c>
      <c r="D386">
        <v>200</v>
      </c>
      <c r="E386" t="s">
        <v>146</v>
      </c>
      <c r="F386" t="s">
        <v>147</v>
      </c>
      <c r="H386" t="s">
        <v>2127</v>
      </c>
      <c r="I386">
        <v>37</v>
      </c>
      <c r="J386">
        <v>415</v>
      </c>
      <c r="L386">
        <v>0</v>
      </c>
      <c r="M386">
        <v>0</v>
      </c>
      <c r="N386" t="s">
        <v>1970</v>
      </c>
      <c r="O386">
        <v>73</v>
      </c>
      <c r="P386">
        <v>999</v>
      </c>
      <c r="S386" t="s">
        <v>2128</v>
      </c>
      <c r="T386">
        <v>17</v>
      </c>
      <c r="V386">
        <v>0</v>
      </c>
      <c r="AB386" t="s">
        <v>2126</v>
      </c>
      <c r="AH386">
        <v>392693</v>
      </c>
      <c r="AI386">
        <v>87124</v>
      </c>
      <c r="AJ386">
        <v>87124</v>
      </c>
      <c r="AK386">
        <v>33.950741692000001</v>
      </c>
      <c r="AM386">
        <v>239</v>
      </c>
      <c r="AS386">
        <v>2</v>
      </c>
      <c r="AT386">
        <v>1</v>
      </c>
      <c r="AV386">
        <v>27</v>
      </c>
      <c r="AW386">
        <v>11</v>
      </c>
      <c r="AX386">
        <v>0</v>
      </c>
      <c r="AY386">
        <v>2.84</v>
      </c>
      <c r="AZ386">
        <v>108</v>
      </c>
      <c r="BA386">
        <v>55</v>
      </c>
      <c r="BB386">
        <v>0</v>
      </c>
      <c r="BP386" t="s">
        <v>151</v>
      </c>
      <c r="BQ386">
        <v>1.1000000000000001</v>
      </c>
      <c r="BR386" t="s">
        <v>2129</v>
      </c>
      <c r="BS386" t="s">
        <v>1970</v>
      </c>
      <c r="BT386" t="s">
        <v>981</v>
      </c>
      <c r="BU386" t="s">
        <v>150</v>
      </c>
      <c r="BV386" t="s">
        <v>2130</v>
      </c>
      <c r="BW386" t="s">
        <v>2131</v>
      </c>
      <c r="BX386">
        <v>1000</v>
      </c>
      <c r="BY386">
        <v>1000</v>
      </c>
      <c r="BZ386" t="s">
        <v>2126</v>
      </c>
      <c r="CA386" t="s">
        <v>2129</v>
      </c>
      <c r="CB386" t="s">
        <v>1970</v>
      </c>
      <c r="CC386" t="s">
        <v>156</v>
      </c>
      <c r="CD386" t="s">
        <v>157</v>
      </c>
      <c r="CJ386" t="s">
        <v>2126</v>
      </c>
      <c r="CK386" t="s">
        <v>2132</v>
      </c>
    </row>
    <row r="387" spans="1:89" x14ac:dyDescent="0.3">
      <c r="A387" t="s">
        <v>2133</v>
      </c>
      <c r="B387" t="s">
        <v>5</v>
      </c>
      <c r="C387" t="s">
        <v>145</v>
      </c>
      <c r="D387">
        <v>200</v>
      </c>
      <c r="E387" t="s">
        <v>146</v>
      </c>
      <c r="F387" t="s">
        <v>147</v>
      </c>
      <c r="H387" t="s">
        <v>2134</v>
      </c>
      <c r="I387">
        <v>37</v>
      </c>
      <c r="J387">
        <v>418</v>
      </c>
      <c r="L387">
        <v>0</v>
      </c>
      <c r="M387">
        <v>0</v>
      </c>
      <c r="N387" t="s">
        <v>2135</v>
      </c>
      <c r="O387">
        <v>63</v>
      </c>
      <c r="P387">
        <v>859</v>
      </c>
      <c r="S387" t="s">
        <v>2136</v>
      </c>
      <c r="T387">
        <v>17</v>
      </c>
      <c r="V387">
        <v>0</v>
      </c>
      <c r="AB387" t="s">
        <v>2133</v>
      </c>
      <c r="AH387">
        <v>391676</v>
      </c>
      <c r="AI387">
        <v>86255</v>
      </c>
      <c r="AJ387">
        <v>86255</v>
      </c>
      <c r="AK387">
        <v>33.612107164999998</v>
      </c>
      <c r="AM387">
        <v>242</v>
      </c>
      <c r="AS387">
        <v>2</v>
      </c>
      <c r="AT387">
        <v>1</v>
      </c>
      <c r="AV387">
        <v>21</v>
      </c>
      <c r="AW387">
        <v>8</v>
      </c>
      <c r="AX387">
        <v>0</v>
      </c>
      <c r="AY387">
        <v>2.0699999999999998</v>
      </c>
      <c r="AZ387">
        <v>108</v>
      </c>
      <c r="BA387">
        <v>55</v>
      </c>
      <c r="BB387">
        <v>0</v>
      </c>
      <c r="BP387" t="s">
        <v>151</v>
      </c>
      <c r="BQ387">
        <v>1.1000000000000001</v>
      </c>
      <c r="BR387" t="s">
        <v>2137</v>
      </c>
      <c r="BS387" t="s">
        <v>2135</v>
      </c>
      <c r="BT387" t="s">
        <v>981</v>
      </c>
      <c r="BU387" t="s">
        <v>150</v>
      </c>
      <c r="BV387" t="s">
        <v>2138</v>
      </c>
      <c r="BW387" t="s">
        <v>2139</v>
      </c>
      <c r="BX387">
        <v>450</v>
      </c>
      <c r="BY387">
        <v>451</v>
      </c>
      <c r="BZ387" t="s">
        <v>2133</v>
      </c>
      <c r="CA387" t="s">
        <v>2137</v>
      </c>
      <c r="CB387" t="s">
        <v>2135</v>
      </c>
      <c r="CC387" t="s">
        <v>156</v>
      </c>
      <c r="CD387" t="s">
        <v>157</v>
      </c>
      <c r="CJ387" t="s">
        <v>2133</v>
      </c>
      <c r="CK387" t="s">
        <v>1234</v>
      </c>
    </row>
    <row r="388" spans="1:89" x14ac:dyDescent="0.3">
      <c r="A388" t="s">
        <v>2140</v>
      </c>
      <c r="B388" t="s">
        <v>5</v>
      </c>
      <c r="C388" t="s">
        <v>145</v>
      </c>
      <c r="D388">
        <v>200</v>
      </c>
      <c r="E388" t="s">
        <v>146</v>
      </c>
      <c r="F388" t="s">
        <v>147</v>
      </c>
      <c r="H388" t="s">
        <v>2141</v>
      </c>
      <c r="I388">
        <v>41</v>
      </c>
      <c r="J388">
        <v>495</v>
      </c>
      <c r="L388">
        <v>0</v>
      </c>
      <c r="M388">
        <v>0</v>
      </c>
      <c r="N388" t="s">
        <v>2142</v>
      </c>
      <c r="O388">
        <v>50</v>
      </c>
      <c r="P388">
        <v>669</v>
      </c>
      <c r="S388" t="s">
        <v>2143</v>
      </c>
      <c r="T388">
        <v>21</v>
      </c>
      <c r="V388">
        <v>0</v>
      </c>
      <c r="AB388" t="s">
        <v>2140</v>
      </c>
      <c r="AH388">
        <v>399543</v>
      </c>
      <c r="AI388">
        <v>86683</v>
      </c>
      <c r="AJ388">
        <v>86683</v>
      </c>
      <c r="AK388">
        <v>33.778891489000003</v>
      </c>
      <c r="AM388">
        <v>236</v>
      </c>
      <c r="AS388">
        <v>2</v>
      </c>
      <c r="AT388">
        <v>1</v>
      </c>
      <c r="AV388">
        <v>19</v>
      </c>
      <c r="AW388">
        <v>7</v>
      </c>
      <c r="AX388">
        <v>0</v>
      </c>
      <c r="AY388">
        <v>1.81</v>
      </c>
      <c r="AZ388">
        <v>108</v>
      </c>
      <c r="BA388">
        <v>55</v>
      </c>
      <c r="BB388">
        <v>0</v>
      </c>
      <c r="BP388" t="s">
        <v>151</v>
      </c>
      <c r="BQ388">
        <v>1.1000000000000001</v>
      </c>
      <c r="BR388" t="s">
        <v>2144</v>
      </c>
      <c r="BS388" t="s">
        <v>2142</v>
      </c>
      <c r="BT388" t="s">
        <v>981</v>
      </c>
      <c r="BU388" t="s">
        <v>150</v>
      </c>
      <c r="BV388" t="s">
        <v>2145</v>
      </c>
      <c r="BW388" t="s">
        <v>2146</v>
      </c>
      <c r="BX388">
        <v>1000</v>
      </c>
      <c r="BY388">
        <v>1000</v>
      </c>
      <c r="BZ388" t="s">
        <v>2140</v>
      </c>
      <c r="CA388" t="s">
        <v>2144</v>
      </c>
      <c r="CB388" t="s">
        <v>2142</v>
      </c>
      <c r="CC388" t="s">
        <v>156</v>
      </c>
      <c r="CD388" t="s">
        <v>157</v>
      </c>
      <c r="CJ388" t="s">
        <v>2140</v>
      </c>
      <c r="CK388" t="s">
        <v>2132</v>
      </c>
    </row>
    <row r="389" spans="1:89" x14ac:dyDescent="0.3">
      <c r="A389" t="s">
        <v>2147</v>
      </c>
      <c r="B389" t="s">
        <v>5</v>
      </c>
      <c r="C389" t="s">
        <v>145</v>
      </c>
      <c r="D389">
        <v>200</v>
      </c>
      <c r="E389" t="s">
        <v>146</v>
      </c>
      <c r="F389" t="s">
        <v>147</v>
      </c>
      <c r="H389" t="s">
        <v>2148</v>
      </c>
      <c r="I389">
        <v>32</v>
      </c>
      <c r="J389">
        <v>365</v>
      </c>
      <c r="L389">
        <v>0</v>
      </c>
      <c r="M389">
        <v>0</v>
      </c>
      <c r="N389" t="s">
        <v>2149</v>
      </c>
      <c r="O389">
        <v>13</v>
      </c>
      <c r="P389">
        <v>182</v>
      </c>
      <c r="S389" t="s">
        <v>2150</v>
      </c>
      <c r="T389">
        <v>12</v>
      </c>
      <c r="V389">
        <v>0</v>
      </c>
      <c r="AB389" t="s">
        <v>2147</v>
      </c>
      <c r="AH389">
        <v>395758</v>
      </c>
      <c r="AI389">
        <v>85907</v>
      </c>
      <c r="AJ389">
        <v>85907</v>
      </c>
      <c r="AK389">
        <v>33.476497481000003</v>
      </c>
      <c r="AM389">
        <v>224</v>
      </c>
      <c r="AS389">
        <v>3</v>
      </c>
      <c r="AT389">
        <v>1</v>
      </c>
      <c r="AV389">
        <v>13</v>
      </c>
      <c r="AW389">
        <v>4</v>
      </c>
      <c r="AX389">
        <v>0</v>
      </c>
      <c r="AY389">
        <v>1.03</v>
      </c>
      <c r="AZ389">
        <v>108</v>
      </c>
      <c r="BA389">
        <v>55</v>
      </c>
      <c r="BB389">
        <v>0</v>
      </c>
      <c r="BP389" t="s">
        <v>151</v>
      </c>
      <c r="BQ389">
        <v>1.1000000000000001</v>
      </c>
      <c r="BR389" t="s">
        <v>2151</v>
      </c>
      <c r="BS389" t="s">
        <v>2149</v>
      </c>
      <c r="BT389" t="s">
        <v>981</v>
      </c>
      <c r="BU389" t="s">
        <v>150</v>
      </c>
      <c r="BV389" t="s">
        <v>2152</v>
      </c>
      <c r="BW389" t="s">
        <v>2153</v>
      </c>
      <c r="BX389">
        <v>450</v>
      </c>
      <c r="BY389">
        <v>450</v>
      </c>
      <c r="BZ389" t="s">
        <v>2147</v>
      </c>
      <c r="CA389" t="s">
        <v>2151</v>
      </c>
      <c r="CB389" t="s">
        <v>2149</v>
      </c>
      <c r="CC389" t="s">
        <v>156</v>
      </c>
      <c r="CD389" t="s">
        <v>157</v>
      </c>
      <c r="CJ389" t="s">
        <v>2147</v>
      </c>
      <c r="CK389" t="s">
        <v>2154</v>
      </c>
    </row>
    <row r="390" spans="1:89" x14ac:dyDescent="0.3">
      <c r="A390" t="s">
        <v>2155</v>
      </c>
      <c r="B390" t="s">
        <v>5</v>
      </c>
      <c r="C390" t="s">
        <v>145</v>
      </c>
      <c r="D390">
        <v>200</v>
      </c>
      <c r="E390" t="s">
        <v>146</v>
      </c>
      <c r="F390" t="s">
        <v>147</v>
      </c>
      <c r="H390" t="s">
        <v>2156</v>
      </c>
      <c r="I390">
        <v>32</v>
      </c>
      <c r="J390">
        <v>365</v>
      </c>
      <c r="L390">
        <v>0</v>
      </c>
      <c r="M390">
        <v>0</v>
      </c>
      <c r="N390" t="s">
        <v>2157</v>
      </c>
      <c r="O390">
        <v>11</v>
      </c>
      <c r="P390">
        <v>154</v>
      </c>
      <c r="S390" t="s">
        <v>2158</v>
      </c>
      <c r="T390">
        <v>12</v>
      </c>
      <c r="V390">
        <v>0</v>
      </c>
      <c r="AB390" t="s">
        <v>2155</v>
      </c>
      <c r="AH390">
        <v>395783</v>
      </c>
      <c r="AI390">
        <v>86212</v>
      </c>
      <c r="AJ390">
        <v>86212</v>
      </c>
      <c r="AK390">
        <v>33.595350795999998</v>
      </c>
      <c r="AM390">
        <v>228</v>
      </c>
      <c r="AS390">
        <v>3</v>
      </c>
      <c r="AT390">
        <v>1</v>
      </c>
      <c r="AV390">
        <v>13</v>
      </c>
      <c r="AW390">
        <v>4</v>
      </c>
      <c r="AX390">
        <v>0</v>
      </c>
      <c r="AY390">
        <v>1.03</v>
      </c>
      <c r="AZ390">
        <v>108</v>
      </c>
      <c r="BA390">
        <v>55</v>
      </c>
      <c r="BB390">
        <v>0</v>
      </c>
      <c r="BP390" t="s">
        <v>151</v>
      </c>
      <c r="BQ390">
        <v>1.1000000000000001</v>
      </c>
      <c r="BR390" t="s">
        <v>2159</v>
      </c>
      <c r="BS390" t="s">
        <v>2157</v>
      </c>
      <c r="BT390" t="s">
        <v>981</v>
      </c>
      <c r="BU390" t="s">
        <v>150</v>
      </c>
      <c r="BV390" t="s">
        <v>2160</v>
      </c>
      <c r="BW390" t="s">
        <v>2161</v>
      </c>
      <c r="BX390">
        <v>450</v>
      </c>
      <c r="BY390">
        <v>451</v>
      </c>
      <c r="BZ390" t="s">
        <v>2155</v>
      </c>
      <c r="CA390" t="s">
        <v>2159</v>
      </c>
      <c r="CB390" t="s">
        <v>2157</v>
      </c>
      <c r="CC390" t="s">
        <v>156</v>
      </c>
      <c r="CD390" t="s">
        <v>157</v>
      </c>
      <c r="CJ390" t="s">
        <v>2155</v>
      </c>
      <c r="CK390" t="s">
        <v>1813</v>
      </c>
    </row>
    <row r="391" spans="1:89" x14ac:dyDescent="0.3">
      <c r="A391" t="s">
        <v>2162</v>
      </c>
      <c r="B391" t="s">
        <v>5</v>
      </c>
      <c r="C391" t="s">
        <v>145</v>
      </c>
      <c r="D391">
        <v>200</v>
      </c>
      <c r="E391" t="s">
        <v>146</v>
      </c>
      <c r="F391" t="s">
        <v>147</v>
      </c>
      <c r="H391" t="s">
        <v>2163</v>
      </c>
      <c r="I391">
        <v>32</v>
      </c>
      <c r="J391">
        <v>365</v>
      </c>
      <c r="L391">
        <v>0</v>
      </c>
      <c r="M391">
        <v>0</v>
      </c>
      <c r="N391" t="s">
        <v>2164</v>
      </c>
      <c r="O391">
        <v>15</v>
      </c>
      <c r="P391">
        <v>210</v>
      </c>
      <c r="S391" t="s">
        <v>2165</v>
      </c>
      <c r="T391">
        <v>12</v>
      </c>
      <c r="V391">
        <v>0</v>
      </c>
      <c r="AB391" t="s">
        <v>2162</v>
      </c>
      <c r="AH391">
        <v>399308</v>
      </c>
      <c r="AI391">
        <v>86773</v>
      </c>
      <c r="AJ391">
        <v>86773</v>
      </c>
      <c r="AK391">
        <v>33.813962959000001</v>
      </c>
      <c r="AM391">
        <v>240</v>
      </c>
      <c r="AS391">
        <v>3</v>
      </c>
      <c r="AT391">
        <v>1</v>
      </c>
      <c r="AV391">
        <v>15</v>
      </c>
      <c r="AW391">
        <v>5</v>
      </c>
      <c r="AX391">
        <v>0</v>
      </c>
      <c r="AY391">
        <v>1.29</v>
      </c>
      <c r="AZ391">
        <v>108</v>
      </c>
      <c r="BA391">
        <v>55</v>
      </c>
      <c r="BB391">
        <v>0</v>
      </c>
      <c r="BP391" t="s">
        <v>151</v>
      </c>
      <c r="BQ391">
        <v>1.1000000000000001</v>
      </c>
      <c r="BR391" t="s">
        <v>2166</v>
      </c>
      <c r="BS391" t="s">
        <v>2164</v>
      </c>
      <c r="BT391" t="s">
        <v>981</v>
      </c>
      <c r="BU391" t="s">
        <v>150</v>
      </c>
      <c r="BV391" t="s">
        <v>2167</v>
      </c>
      <c r="BW391" t="s">
        <v>2168</v>
      </c>
      <c r="BX391">
        <v>450</v>
      </c>
      <c r="BY391">
        <v>450</v>
      </c>
      <c r="BZ391" t="s">
        <v>2162</v>
      </c>
      <c r="CA391" t="s">
        <v>2166</v>
      </c>
      <c r="CB391" t="s">
        <v>2164</v>
      </c>
      <c r="CC391" t="s">
        <v>156</v>
      </c>
      <c r="CD391" t="s">
        <v>157</v>
      </c>
      <c r="CJ391" t="s">
        <v>2162</v>
      </c>
      <c r="CK391" t="s">
        <v>1103</v>
      </c>
    </row>
    <row r="392" spans="1:89" x14ac:dyDescent="0.3">
      <c r="A392" t="s">
        <v>2169</v>
      </c>
      <c r="B392" t="s">
        <v>5</v>
      </c>
      <c r="C392" t="s">
        <v>145</v>
      </c>
      <c r="D392">
        <v>200</v>
      </c>
      <c r="E392" t="s">
        <v>146</v>
      </c>
      <c r="F392" t="s">
        <v>147</v>
      </c>
      <c r="H392" t="s">
        <v>2170</v>
      </c>
      <c r="I392">
        <v>46</v>
      </c>
      <c r="J392">
        <v>409</v>
      </c>
      <c r="L392">
        <v>0</v>
      </c>
      <c r="M392">
        <v>0</v>
      </c>
      <c r="O392">
        <v>0</v>
      </c>
      <c r="P392">
        <v>0</v>
      </c>
      <c r="S392" t="s">
        <v>2171</v>
      </c>
      <c r="T392">
        <v>26</v>
      </c>
      <c r="V392">
        <v>0</v>
      </c>
      <c r="AB392" t="s">
        <v>2169</v>
      </c>
      <c r="AH392">
        <v>374114</v>
      </c>
      <c r="AI392">
        <v>82429</v>
      </c>
      <c r="AJ392">
        <v>82429</v>
      </c>
      <c r="AK392">
        <v>32.121180007000007</v>
      </c>
      <c r="AM392">
        <v>217</v>
      </c>
      <c r="AS392">
        <v>4</v>
      </c>
      <c r="AT392">
        <v>1</v>
      </c>
      <c r="AV392">
        <v>9</v>
      </c>
      <c r="AW392">
        <v>2</v>
      </c>
      <c r="AX392">
        <v>0</v>
      </c>
      <c r="AY392">
        <v>0.52</v>
      </c>
      <c r="AZ392">
        <v>107</v>
      </c>
      <c r="BA392">
        <v>55</v>
      </c>
      <c r="BB392">
        <v>0</v>
      </c>
      <c r="BP392" t="s">
        <v>151</v>
      </c>
      <c r="BQ392">
        <v>1.1000000000000001</v>
      </c>
      <c r="BR392" t="s">
        <v>2172</v>
      </c>
      <c r="BS392" t="s">
        <v>149</v>
      </c>
      <c r="BT392" t="s">
        <v>981</v>
      </c>
      <c r="BU392" t="s">
        <v>150</v>
      </c>
      <c r="BV392" t="s">
        <v>154</v>
      </c>
      <c r="BW392" t="s">
        <v>155</v>
      </c>
      <c r="BX392">
        <v>200</v>
      </c>
      <c r="BY392">
        <v>200</v>
      </c>
      <c r="BZ392" t="s">
        <v>2169</v>
      </c>
      <c r="CA392" t="s">
        <v>2172</v>
      </c>
      <c r="CB392" t="s">
        <v>149</v>
      </c>
      <c r="CC392" t="s">
        <v>156</v>
      </c>
      <c r="CD392" t="s">
        <v>157</v>
      </c>
      <c r="CJ392" t="s">
        <v>2169</v>
      </c>
      <c r="CK392" t="s">
        <v>512</v>
      </c>
    </row>
    <row r="393" spans="1:89" x14ac:dyDescent="0.3">
      <c r="A393" t="s">
        <v>2173</v>
      </c>
      <c r="B393" t="s">
        <v>5</v>
      </c>
      <c r="C393" t="s">
        <v>145</v>
      </c>
      <c r="D393">
        <v>200</v>
      </c>
      <c r="E393" t="s">
        <v>146</v>
      </c>
      <c r="F393" t="s">
        <v>147</v>
      </c>
      <c r="H393" t="s">
        <v>2174</v>
      </c>
      <c r="I393">
        <v>49</v>
      </c>
      <c r="J393">
        <v>558</v>
      </c>
      <c r="L393">
        <v>0</v>
      </c>
      <c r="M393">
        <v>0</v>
      </c>
      <c r="N393" t="s">
        <v>2175</v>
      </c>
      <c r="O393">
        <v>39</v>
      </c>
      <c r="P393">
        <v>546</v>
      </c>
      <c r="S393" t="s">
        <v>2176</v>
      </c>
      <c r="T393">
        <v>21</v>
      </c>
      <c r="V393">
        <v>0</v>
      </c>
      <c r="AB393" t="s">
        <v>2173</v>
      </c>
      <c r="AH393">
        <v>528647</v>
      </c>
      <c r="AI393">
        <v>106299</v>
      </c>
      <c r="AJ393">
        <v>106299</v>
      </c>
      <c r="AK393">
        <v>41.422913217000001</v>
      </c>
      <c r="AM393">
        <v>354</v>
      </c>
      <c r="AS393">
        <v>2</v>
      </c>
      <c r="AT393">
        <v>1</v>
      </c>
      <c r="AV393">
        <v>19</v>
      </c>
      <c r="AW393">
        <v>7</v>
      </c>
      <c r="AX393">
        <v>0</v>
      </c>
      <c r="AY393">
        <v>1.81</v>
      </c>
      <c r="AZ393">
        <v>109</v>
      </c>
      <c r="BA393">
        <v>56</v>
      </c>
      <c r="BB393">
        <v>0</v>
      </c>
      <c r="BP393" t="s">
        <v>151</v>
      </c>
      <c r="BQ393">
        <v>1.1000000000000001</v>
      </c>
      <c r="BR393" t="s">
        <v>2177</v>
      </c>
      <c r="BS393" t="s">
        <v>2175</v>
      </c>
      <c r="BT393" t="s">
        <v>981</v>
      </c>
      <c r="BU393" t="s">
        <v>150</v>
      </c>
      <c r="BV393" t="s">
        <v>2178</v>
      </c>
      <c r="BW393" t="s">
        <v>2179</v>
      </c>
      <c r="BX393">
        <v>1000</v>
      </c>
      <c r="BY393">
        <v>1000</v>
      </c>
      <c r="BZ393" t="s">
        <v>2173</v>
      </c>
      <c r="CA393" t="s">
        <v>2177</v>
      </c>
      <c r="CB393" t="s">
        <v>2175</v>
      </c>
      <c r="CC393" t="s">
        <v>156</v>
      </c>
      <c r="CD393" t="s">
        <v>157</v>
      </c>
      <c r="CJ393" t="s">
        <v>2173</v>
      </c>
      <c r="CK393" t="s">
        <v>1242</v>
      </c>
    </row>
    <row r="394" spans="1:89" x14ac:dyDescent="0.3">
      <c r="A394" t="s">
        <v>2180</v>
      </c>
      <c r="B394" t="s">
        <v>5</v>
      </c>
      <c r="C394" t="s">
        <v>145</v>
      </c>
      <c r="D394">
        <v>200</v>
      </c>
      <c r="E394" t="s">
        <v>146</v>
      </c>
      <c r="F394" t="s">
        <v>147</v>
      </c>
      <c r="H394" t="s">
        <v>2181</v>
      </c>
      <c r="I394">
        <v>40</v>
      </c>
      <c r="J394">
        <v>464</v>
      </c>
      <c r="L394">
        <v>0</v>
      </c>
      <c r="M394">
        <v>0</v>
      </c>
      <c r="O394">
        <v>0</v>
      </c>
      <c r="P394">
        <v>0</v>
      </c>
      <c r="S394" t="s">
        <v>2182</v>
      </c>
      <c r="T394">
        <v>20</v>
      </c>
      <c r="V394">
        <v>0</v>
      </c>
      <c r="AB394" t="s">
        <v>2180</v>
      </c>
      <c r="AH394">
        <v>366192</v>
      </c>
      <c r="AI394">
        <v>81364</v>
      </c>
      <c r="AJ394">
        <v>81364</v>
      </c>
      <c r="AK394">
        <v>31.706167612000002</v>
      </c>
      <c r="AM394">
        <v>177</v>
      </c>
      <c r="AS394">
        <v>4</v>
      </c>
      <c r="AT394">
        <v>1</v>
      </c>
      <c r="AV394">
        <v>8</v>
      </c>
      <c r="AW394">
        <v>2</v>
      </c>
      <c r="AX394">
        <v>0</v>
      </c>
      <c r="AY394">
        <v>0.52</v>
      </c>
      <c r="AZ394">
        <v>106</v>
      </c>
      <c r="BA394">
        <v>55</v>
      </c>
      <c r="BB394">
        <v>0</v>
      </c>
      <c r="BP394" t="s">
        <v>151</v>
      </c>
      <c r="BQ394">
        <v>1.1000000000000001</v>
      </c>
      <c r="BR394" t="s">
        <v>2183</v>
      </c>
      <c r="BS394" t="s">
        <v>149</v>
      </c>
      <c r="BT394" t="s">
        <v>981</v>
      </c>
      <c r="BU394" t="s">
        <v>150</v>
      </c>
      <c r="BV394" t="s">
        <v>154</v>
      </c>
      <c r="BW394" t="s">
        <v>155</v>
      </c>
      <c r="BX394">
        <v>200</v>
      </c>
      <c r="BY394">
        <v>200</v>
      </c>
      <c r="BZ394" t="s">
        <v>2180</v>
      </c>
      <c r="CA394" t="s">
        <v>2183</v>
      </c>
      <c r="CB394" t="s">
        <v>149</v>
      </c>
      <c r="CC394" t="s">
        <v>156</v>
      </c>
      <c r="CD394" t="s">
        <v>157</v>
      </c>
      <c r="CJ394" t="s">
        <v>2180</v>
      </c>
      <c r="CK394" t="s">
        <v>488</v>
      </c>
    </row>
    <row r="395" spans="1:89" x14ac:dyDescent="0.3">
      <c r="A395" t="s">
        <v>2184</v>
      </c>
      <c r="B395" t="s">
        <v>5</v>
      </c>
      <c r="C395" t="s">
        <v>145</v>
      </c>
      <c r="D395">
        <v>200</v>
      </c>
      <c r="E395" t="s">
        <v>146</v>
      </c>
      <c r="F395" t="s">
        <v>147</v>
      </c>
      <c r="H395" t="s">
        <v>2185</v>
      </c>
      <c r="I395">
        <v>41</v>
      </c>
      <c r="J395">
        <v>382</v>
      </c>
      <c r="L395">
        <v>0</v>
      </c>
      <c r="M395">
        <v>0</v>
      </c>
      <c r="N395" t="s">
        <v>2186</v>
      </c>
      <c r="O395">
        <v>21</v>
      </c>
      <c r="P395">
        <v>139</v>
      </c>
      <c r="S395" t="s">
        <v>2187</v>
      </c>
      <c r="T395">
        <v>21</v>
      </c>
      <c r="V395">
        <v>0</v>
      </c>
      <c r="AB395" t="s">
        <v>2184</v>
      </c>
      <c r="AH395">
        <v>493032</v>
      </c>
      <c r="AI395">
        <v>92193</v>
      </c>
      <c r="AJ395">
        <v>92193</v>
      </c>
      <c r="AK395">
        <v>35.926044818999998</v>
      </c>
      <c r="AM395">
        <v>237</v>
      </c>
      <c r="AS395">
        <v>3</v>
      </c>
      <c r="AT395">
        <v>1</v>
      </c>
      <c r="AV395">
        <v>9</v>
      </c>
      <c r="AW395">
        <v>2</v>
      </c>
      <c r="AX395">
        <v>0</v>
      </c>
      <c r="AY395">
        <v>0.52</v>
      </c>
      <c r="AZ395">
        <v>107</v>
      </c>
      <c r="BA395">
        <v>55</v>
      </c>
      <c r="BB395">
        <v>0</v>
      </c>
      <c r="BP395" t="s">
        <v>151</v>
      </c>
      <c r="BQ395">
        <v>1.1000000000000001</v>
      </c>
      <c r="BR395" t="s">
        <v>2188</v>
      </c>
      <c r="BS395" t="s">
        <v>2186</v>
      </c>
      <c r="BT395" t="s">
        <v>981</v>
      </c>
      <c r="BU395" t="s">
        <v>150</v>
      </c>
      <c r="BV395" t="s">
        <v>2189</v>
      </c>
      <c r="BW395" t="s">
        <v>2190</v>
      </c>
      <c r="BX395">
        <v>600</v>
      </c>
      <c r="BY395">
        <v>600</v>
      </c>
      <c r="BZ395" t="s">
        <v>2184</v>
      </c>
      <c r="CA395" t="s">
        <v>2188</v>
      </c>
      <c r="CB395" t="s">
        <v>2186</v>
      </c>
      <c r="CC395" t="s">
        <v>156</v>
      </c>
      <c r="CD395" t="s">
        <v>157</v>
      </c>
      <c r="CJ395" t="s">
        <v>2184</v>
      </c>
      <c r="CK395" t="s">
        <v>493</v>
      </c>
    </row>
    <row r="396" spans="1:89" x14ac:dyDescent="0.3">
      <c r="A396" t="s">
        <v>2191</v>
      </c>
      <c r="B396" t="s">
        <v>5</v>
      </c>
      <c r="C396" t="s">
        <v>145</v>
      </c>
      <c r="D396">
        <v>200</v>
      </c>
      <c r="E396" t="s">
        <v>146</v>
      </c>
      <c r="F396" t="s">
        <v>147</v>
      </c>
      <c r="H396" t="s">
        <v>2192</v>
      </c>
      <c r="I396">
        <v>49</v>
      </c>
      <c r="J396">
        <v>576</v>
      </c>
      <c r="L396">
        <v>0</v>
      </c>
      <c r="M396">
        <v>0</v>
      </c>
      <c r="N396" t="s">
        <v>1886</v>
      </c>
      <c r="O396">
        <v>37</v>
      </c>
      <c r="P396">
        <v>512</v>
      </c>
      <c r="S396" t="s">
        <v>2193</v>
      </c>
      <c r="T396">
        <v>29</v>
      </c>
      <c r="V396">
        <v>0</v>
      </c>
      <c r="AB396" t="s">
        <v>2191</v>
      </c>
      <c r="AH396">
        <v>413111</v>
      </c>
      <c r="AI396">
        <v>87043</v>
      </c>
      <c r="AJ396">
        <v>87043</v>
      </c>
      <c r="AK396">
        <v>33.919177369000003</v>
      </c>
      <c r="AM396">
        <v>233</v>
      </c>
      <c r="AS396">
        <v>2</v>
      </c>
      <c r="AT396">
        <v>1</v>
      </c>
      <c r="AV396">
        <v>15</v>
      </c>
      <c r="AW396">
        <v>5</v>
      </c>
      <c r="AX396">
        <v>0</v>
      </c>
      <c r="AY396">
        <v>1.29</v>
      </c>
      <c r="AZ396">
        <v>108</v>
      </c>
      <c r="BA396">
        <v>55</v>
      </c>
      <c r="BB396">
        <v>0</v>
      </c>
      <c r="BP396" t="s">
        <v>151</v>
      </c>
      <c r="BQ396">
        <v>1.1000000000000001</v>
      </c>
      <c r="BR396" t="s">
        <v>2194</v>
      </c>
      <c r="BS396" t="s">
        <v>1886</v>
      </c>
      <c r="BT396" t="s">
        <v>981</v>
      </c>
      <c r="BU396" t="s">
        <v>150</v>
      </c>
      <c r="BV396" t="s">
        <v>2195</v>
      </c>
      <c r="BW396" t="s">
        <v>2196</v>
      </c>
      <c r="BX396">
        <v>450</v>
      </c>
      <c r="BY396">
        <v>450</v>
      </c>
      <c r="BZ396" t="s">
        <v>2191</v>
      </c>
      <c r="CA396" t="s">
        <v>2194</v>
      </c>
      <c r="CB396" t="s">
        <v>1886</v>
      </c>
      <c r="CC396" t="s">
        <v>156</v>
      </c>
      <c r="CD396" t="s">
        <v>157</v>
      </c>
      <c r="CJ396" t="s">
        <v>2191</v>
      </c>
      <c r="CK396" t="s">
        <v>1494</v>
      </c>
    </row>
    <row r="397" spans="1:89" x14ac:dyDescent="0.3">
      <c r="A397" t="s">
        <v>2197</v>
      </c>
      <c r="B397" t="s">
        <v>5</v>
      </c>
      <c r="C397" t="s">
        <v>145</v>
      </c>
      <c r="D397">
        <v>200</v>
      </c>
      <c r="E397" t="s">
        <v>146</v>
      </c>
      <c r="F397" t="s">
        <v>147</v>
      </c>
      <c r="H397" t="s">
        <v>2198</v>
      </c>
      <c r="I397">
        <v>48</v>
      </c>
      <c r="J397">
        <v>507</v>
      </c>
      <c r="L397">
        <v>0</v>
      </c>
      <c r="M397">
        <v>0</v>
      </c>
      <c r="N397" t="s">
        <v>2199</v>
      </c>
      <c r="O397">
        <v>128</v>
      </c>
      <c r="P397">
        <v>1592</v>
      </c>
      <c r="S397" t="s">
        <v>2200</v>
      </c>
      <c r="T397">
        <v>20</v>
      </c>
      <c r="V397">
        <v>0</v>
      </c>
      <c r="AB397" t="s">
        <v>2197</v>
      </c>
      <c r="AH397">
        <v>394623</v>
      </c>
      <c r="AI397">
        <v>88177</v>
      </c>
      <c r="AJ397">
        <v>88177</v>
      </c>
      <c r="AK397">
        <v>34.361077891000001</v>
      </c>
      <c r="AM397">
        <v>279</v>
      </c>
      <c r="AS397">
        <v>1</v>
      </c>
      <c r="AT397">
        <v>1</v>
      </c>
      <c r="AV397">
        <v>43</v>
      </c>
      <c r="AW397">
        <v>12</v>
      </c>
      <c r="AX397">
        <v>0</v>
      </c>
      <c r="AY397">
        <v>3.1</v>
      </c>
      <c r="AZ397">
        <v>108</v>
      </c>
      <c r="BA397">
        <v>55</v>
      </c>
      <c r="BB397">
        <v>0</v>
      </c>
      <c r="BP397" t="s">
        <v>151</v>
      </c>
      <c r="BQ397">
        <v>1.1000000000000001</v>
      </c>
      <c r="BR397" t="s">
        <v>2201</v>
      </c>
      <c r="BS397" t="s">
        <v>2199</v>
      </c>
      <c r="BT397" t="s">
        <v>981</v>
      </c>
      <c r="BU397" t="s">
        <v>150</v>
      </c>
      <c r="BV397" t="s">
        <v>2202</v>
      </c>
      <c r="BW397" t="s">
        <v>2203</v>
      </c>
      <c r="BX397">
        <v>1000</v>
      </c>
      <c r="BY397">
        <v>1000</v>
      </c>
      <c r="BZ397" t="s">
        <v>2197</v>
      </c>
      <c r="CA397" t="s">
        <v>2201</v>
      </c>
      <c r="CB397" t="s">
        <v>2199</v>
      </c>
      <c r="CC397" t="s">
        <v>156</v>
      </c>
      <c r="CD397" t="s">
        <v>157</v>
      </c>
      <c r="CJ397" t="s">
        <v>2197</v>
      </c>
      <c r="CK397" t="s">
        <v>835</v>
      </c>
    </row>
    <row r="398" spans="1:89" x14ac:dyDescent="0.3">
      <c r="A398" t="s">
        <v>2204</v>
      </c>
      <c r="B398" t="s">
        <v>5</v>
      </c>
      <c r="C398" t="s">
        <v>145</v>
      </c>
      <c r="D398">
        <v>200</v>
      </c>
      <c r="E398" t="s">
        <v>146</v>
      </c>
      <c r="F398" t="s">
        <v>147</v>
      </c>
      <c r="H398" t="s">
        <v>2205</v>
      </c>
      <c r="I398">
        <v>48</v>
      </c>
      <c r="J398">
        <v>507</v>
      </c>
      <c r="L398">
        <v>0</v>
      </c>
      <c r="M398">
        <v>0</v>
      </c>
      <c r="N398" t="s">
        <v>2199</v>
      </c>
      <c r="O398">
        <v>128</v>
      </c>
      <c r="P398">
        <v>1592</v>
      </c>
      <c r="S398" t="s">
        <v>2206</v>
      </c>
      <c r="T398">
        <v>20</v>
      </c>
      <c r="V398">
        <v>0</v>
      </c>
      <c r="AB398" t="s">
        <v>2204</v>
      </c>
      <c r="AH398">
        <v>394574</v>
      </c>
      <c r="AI398">
        <v>88775</v>
      </c>
      <c r="AJ398">
        <v>88775</v>
      </c>
      <c r="AK398">
        <v>34.594108325000001</v>
      </c>
      <c r="AM398">
        <v>281</v>
      </c>
      <c r="AS398">
        <v>2</v>
      </c>
      <c r="AT398">
        <v>1</v>
      </c>
      <c r="AV398">
        <v>26</v>
      </c>
      <c r="AW398">
        <v>11</v>
      </c>
      <c r="AX398">
        <v>0</v>
      </c>
      <c r="AY398">
        <v>2.84</v>
      </c>
      <c r="AZ398">
        <v>108</v>
      </c>
      <c r="BA398">
        <v>55</v>
      </c>
      <c r="BB398">
        <v>0</v>
      </c>
      <c r="BP398" t="s">
        <v>151</v>
      </c>
      <c r="BQ398">
        <v>1.1000000000000001</v>
      </c>
      <c r="BR398" t="s">
        <v>2207</v>
      </c>
      <c r="BS398" t="s">
        <v>2199</v>
      </c>
      <c r="BT398" t="s">
        <v>981</v>
      </c>
      <c r="BU398" t="s">
        <v>150</v>
      </c>
      <c r="BV398" t="s">
        <v>2208</v>
      </c>
      <c r="BW398" t="s">
        <v>2209</v>
      </c>
      <c r="BX398">
        <v>1000</v>
      </c>
      <c r="BY398">
        <v>1000</v>
      </c>
      <c r="BZ398" t="s">
        <v>2204</v>
      </c>
      <c r="CA398" t="s">
        <v>2207</v>
      </c>
      <c r="CB398" t="s">
        <v>2199</v>
      </c>
      <c r="CC398" t="s">
        <v>156</v>
      </c>
      <c r="CD398" t="s">
        <v>157</v>
      </c>
      <c r="CJ398" t="s">
        <v>2204</v>
      </c>
      <c r="CK398" t="s">
        <v>1008</v>
      </c>
    </row>
    <row r="399" spans="1:89" x14ac:dyDescent="0.3">
      <c r="A399" t="s">
        <v>2210</v>
      </c>
      <c r="B399" t="s">
        <v>5</v>
      </c>
      <c r="C399" t="s">
        <v>145</v>
      </c>
      <c r="D399">
        <v>200</v>
      </c>
      <c r="E399" t="s">
        <v>146</v>
      </c>
      <c r="F399" t="s">
        <v>147</v>
      </c>
      <c r="H399" t="s">
        <v>2211</v>
      </c>
      <c r="I399">
        <v>48</v>
      </c>
      <c r="J399">
        <v>507</v>
      </c>
      <c r="K399" t="s">
        <v>977</v>
      </c>
      <c r="L399">
        <v>9</v>
      </c>
      <c r="M399">
        <v>172</v>
      </c>
      <c r="N399" t="s">
        <v>2212</v>
      </c>
      <c r="O399">
        <v>120</v>
      </c>
      <c r="P399">
        <v>1518</v>
      </c>
      <c r="S399" t="s">
        <v>2213</v>
      </c>
      <c r="T399">
        <v>20</v>
      </c>
      <c r="V399">
        <v>0</v>
      </c>
      <c r="AB399" t="s">
        <v>2210</v>
      </c>
      <c r="AH399">
        <v>652073</v>
      </c>
      <c r="AI399">
        <v>133228</v>
      </c>
      <c r="AJ399">
        <v>133228</v>
      </c>
      <c r="AK399">
        <v>51.916686724000002</v>
      </c>
      <c r="AM399">
        <v>463</v>
      </c>
      <c r="AS399">
        <v>1</v>
      </c>
      <c r="AT399">
        <v>1</v>
      </c>
      <c r="AV399">
        <v>45</v>
      </c>
      <c r="AW399">
        <v>13</v>
      </c>
      <c r="AX399">
        <v>0</v>
      </c>
      <c r="AY399">
        <v>3.36</v>
      </c>
      <c r="AZ399">
        <v>110</v>
      </c>
      <c r="BA399">
        <v>57</v>
      </c>
      <c r="BB399">
        <v>0</v>
      </c>
      <c r="BP399" t="s">
        <v>151</v>
      </c>
      <c r="BQ399">
        <v>1.1000000000000001</v>
      </c>
      <c r="BR399" t="s">
        <v>2214</v>
      </c>
      <c r="BS399" t="s">
        <v>2212</v>
      </c>
      <c r="BT399" t="s">
        <v>981</v>
      </c>
      <c r="BU399" t="s">
        <v>150</v>
      </c>
      <c r="BV399" t="s">
        <v>2215</v>
      </c>
      <c r="BW399" t="s">
        <v>2216</v>
      </c>
      <c r="BX399">
        <v>1000</v>
      </c>
      <c r="BY399">
        <v>1000</v>
      </c>
      <c r="BZ399" t="s">
        <v>2210</v>
      </c>
      <c r="CA399" t="s">
        <v>2214</v>
      </c>
      <c r="CB399" t="s">
        <v>2212</v>
      </c>
      <c r="CC399" t="s">
        <v>156</v>
      </c>
      <c r="CD399" t="s">
        <v>157</v>
      </c>
      <c r="CJ399" t="s">
        <v>2210</v>
      </c>
      <c r="CK399" t="s">
        <v>578</v>
      </c>
    </row>
    <row r="400" spans="1:89" x14ac:dyDescent="0.3">
      <c r="A400" t="s">
        <v>2217</v>
      </c>
      <c r="B400" t="s">
        <v>5</v>
      </c>
      <c r="C400" t="s">
        <v>145</v>
      </c>
      <c r="D400">
        <v>200</v>
      </c>
      <c r="E400" t="s">
        <v>146</v>
      </c>
      <c r="F400" t="s">
        <v>147</v>
      </c>
      <c r="H400" t="s">
        <v>2218</v>
      </c>
      <c r="I400">
        <v>48</v>
      </c>
      <c r="J400">
        <v>507</v>
      </c>
      <c r="K400" t="s">
        <v>977</v>
      </c>
      <c r="L400">
        <v>9</v>
      </c>
      <c r="M400">
        <v>172</v>
      </c>
      <c r="N400" t="s">
        <v>2212</v>
      </c>
      <c r="O400">
        <v>120</v>
      </c>
      <c r="P400">
        <v>1518</v>
      </c>
      <c r="S400" t="s">
        <v>2219</v>
      </c>
      <c r="T400">
        <v>20</v>
      </c>
      <c r="V400">
        <v>0</v>
      </c>
      <c r="AB400" t="s">
        <v>2217</v>
      </c>
      <c r="AH400">
        <v>651805</v>
      </c>
      <c r="AI400">
        <v>132819</v>
      </c>
      <c r="AJ400">
        <v>132819</v>
      </c>
      <c r="AK400">
        <v>51.757306377000013</v>
      </c>
      <c r="AM400">
        <v>463</v>
      </c>
      <c r="AS400">
        <v>2</v>
      </c>
      <c r="AT400">
        <v>1</v>
      </c>
      <c r="AV400">
        <v>21</v>
      </c>
      <c r="AW400">
        <v>8</v>
      </c>
      <c r="AX400">
        <v>0</v>
      </c>
      <c r="AY400">
        <v>2.0699999999999998</v>
      </c>
      <c r="AZ400">
        <v>110</v>
      </c>
      <c r="BA400">
        <v>57</v>
      </c>
      <c r="BB400">
        <v>0</v>
      </c>
      <c r="BP400" t="s">
        <v>151</v>
      </c>
      <c r="BQ400">
        <v>1.1000000000000001</v>
      </c>
      <c r="BR400" t="s">
        <v>2220</v>
      </c>
      <c r="BS400" t="s">
        <v>2212</v>
      </c>
      <c r="BT400" t="s">
        <v>981</v>
      </c>
      <c r="BU400" t="s">
        <v>150</v>
      </c>
      <c r="BV400" t="s">
        <v>2221</v>
      </c>
      <c r="BW400" t="s">
        <v>2222</v>
      </c>
      <c r="BX400">
        <v>1000</v>
      </c>
      <c r="BY400">
        <v>1000</v>
      </c>
      <c r="BZ400" t="s">
        <v>2217</v>
      </c>
      <c r="CA400" t="s">
        <v>2220</v>
      </c>
      <c r="CB400" t="s">
        <v>2212</v>
      </c>
      <c r="CC400" t="s">
        <v>156</v>
      </c>
      <c r="CD400" t="s">
        <v>157</v>
      </c>
      <c r="CJ400" t="s">
        <v>2217</v>
      </c>
      <c r="CK400" t="s">
        <v>840</v>
      </c>
    </row>
    <row r="401" spans="1:89" x14ac:dyDescent="0.3">
      <c r="A401" t="s">
        <v>2223</v>
      </c>
      <c r="B401" t="s">
        <v>5</v>
      </c>
      <c r="C401" t="s">
        <v>145</v>
      </c>
      <c r="D401">
        <v>200</v>
      </c>
      <c r="E401" t="s">
        <v>146</v>
      </c>
      <c r="F401" t="s">
        <v>147</v>
      </c>
      <c r="H401" t="s">
        <v>2224</v>
      </c>
      <c r="I401">
        <v>35</v>
      </c>
      <c r="J401">
        <v>443</v>
      </c>
      <c r="L401">
        <v>0</v>
      </c>
      <c r="M401">
        <v>0</v>
      </c>
      <c r="N401" t="s">
        <v>2225</v>
      </c>
      <c r="O401">
        <v>95</v>
      </c>
      <c r="P401">
        <v>1247</v>
      </c>
      <c r="S401" t="s">
        <v>2226</v>
      </c>
      <c r="T401">
        <v>15</v>
      </c>
      <c r="V401">
        <v>0</v>
      </c>
      <c r="AB401" t="s">
        <v>2223</v>
      </c>
      <c r="AH401">
        <v>391822</v>
      </c>
      <c r="AI401">
        <v>86644</v>
      </c>
      <c r="AJ401">
        <v>86644</v>
      </c>
      <c r="AK401">
        <v>33.763693852000003</v>
      </c>
      <c r="AM401">
        <v>246</v>
      </c>
      <c r="AS401">
        <v>2</v>
      </c>
      <c r="AT401">
        <v>1</v>
      </c>
      <c r="AV401">
        <v>21</v>
      </c>
      <c r="AW401">
        <v>9</v>
      </c>
      <c r="AX401">
        <v>0</v>
      </c>
      <c r="AY401">
        <v>2.33</v>
      </c>
      <c r="AZ401">
        <v>108</v>
      </c>
      <c r="BA401">
        <v>55</v>
      </c>
      <c r="BB401">
        <v>0</v>
      </c>
      <c r="BP401" t="s">
        <v>151</v>
      </c>
      <c r="BQ401">
        <v>1.1000000000000001</v>
      </c>
      <c r="BR401" t="s">
        <v>2227</v>
      </c>
      <c r="BS401" t="s">
        <v>2225</v>
      </c>
      <c r="BT401" t="s">
        <v>981</v>
      </c>
      <c r="BU401" t="s">
        <v>150</v>
      </c>
      <c r="BV401" t="s">
        <v>2228</v>
      </c>
      <c r="BW401" t="s">
        <v>2229</v>
      </c>
      <c r="BX401">
        <v>1000</v>
      </c>
      <c r="BY401">
        <v>1000</v>
      </c>
      <c r="BZ401" t="s">
        <v>2223</v>
      </c>
      <c r="CA401" t="s">
        <v>2227</v>
      </c>
      <c r="CB401" t="s">
        <v>2225</v>
      </c>
      <c r="CC401" t="s">
        <v>156</v>
      </c>
      <c r="CD401" t="s">
        <v>157</v>
      </c>
      <c r="CJ401" t="s">
        <v>2223</v>
      </c>
      <c r="CK401" t="s">
        <v>250</v>
      </c>
    </row>
    <row r="402" spans="1:89" x14ac:dyDescent="0.3">
      <c r="A402" t="s">
        <v>2230</v>
      </c>
      <c r="B402" t="s">
        <v>5</v>
      </c>
      <c r="C402" t="s">
        <v>145</v>
      </c>
      <c r="D402">
        <v>200</v>
      </c>
      <c r="E402" t="s">
        <v>146</v>
      </c>
      <c r="F402" t="s">
        <v>147</v>
      </c>
      <c r="H402" t="s">
        <v>2231</v>
      </c>
      <c r="I402">
        <v>37</v>
      </c>
      <c r="J402">
        <v>459</v>
      </c>
      <c r="L402">
        <v>0</v>
      </c>
      <c r="M402">
        <v>0</v>
      </c>
      <c r="N402" t="s">
        <v>2232</v>
      </c>
      <c r="O402">
        <v>72</v>
      </c>
      <c r="P402">
        <v>994</v>
      </c>
      <c r="S402" t="s">
        <v>2233</v>
      </c>
      <c r="T402">
        <v>17</v>
      </c>
      <c r="V402">
        <v>0</v>
      </c>
      <c r="AB402" t="s">
        <v>2230</v>
      </c>
      <c r="AH402">
        <v>399408</v>
      </c>
      <c r="AI402">
        <v>86867</v>
      </c>
      <c r="AJ402">
        <v>86867</v>
      </c>
      <c r="AK402">
        <v>33.850593161000013</v>
      </c>
      <c r="AM402">
        <v>228</v>
      </c>
      <c r="AS402">
        <v>2</v>
      </c>
      <c r="AT402">
        <v>1</v>
      </c>
      <c r="AV402">
        <v>19</v>
      </c>
      <c r="AW402">
        <v>7</v>
      </c>
      <c r="AX402">
        <v>0</v>
      </c>
      <c r="AY402">
        <v>1.81</v>
      </c>
      <c r="AZ402">
        <v>108</v>
      </c>
      <c r="BA402">
        <v>55</v>
      </c>
      <c r="BB402">
        <v>0</v>
      </c>
      <c r="BP402" t="s">
        <v>151</v>
      </c>
      <c r="BQ402">
        <v>1.1000000000000001</v>
      </c>
      <c r="BR402" t="s">
        <v>2234</v>
      </c>
      <c r="BS402" t="s">
        <v>2232</v>
      </c>
      <c r="BT402" t="s">
        <v>981</v>
      </c>
      <c r="BU402" t="s">
        <v>150</v>
      </c>
      <c r="BV402" t="s">
        <v>2235</v>
      </c>
      <c r="BW402" t="s">
        <v>2236</v>
      </c>
      <c r="BX402">
        <v>1000</v>
      </c>
      <c r="BY402">
        <v>1000</v>
      </c>
      <c r="BZ402" t="s">
        <v>2230</v>
      </c>
      <c r="CA402" t="s">
        <v>2234</v>
      </c>
      <c r="CB402" t="s">
        <v>2232</v>
      </c>
      <c r="CC402" t="s">
        <v>156</v>
      </c>
      <c r="CD402" t="s">
        <v>157</v>
      </c>
      <c r="CJ402" t="s">
        <v>2230</v>
      </c>
      <c r="CK402" t="s">
        <v>1047</v>
      </c>
    </row>
    <row r="403" spans="1:89" x14ac:dyDescent="0.3">
      <c r="A403" t="s">
        <v>2237</v>
      </c>
      <c r="B403" t="s">
        <v>5</v>
      </c>
      <c r="C403" t="s">
        <v>145</v>
      </c>
      <c r="D403">
        <v>200</v>
      </c>
      <c r="E403" t="s">
        <v>146</v>
      </c>
      <c r="F403" t="s">
        <v>147</v>
      </c>
      <c r="H403" t="s">
        <v>2238</v>
      </c>
      <c r="I403">
        <v>33</v>
      </c>
      <c r="J403">
        <v>379</v>
      </c>
      <c r="L403">
        <v>0</v>
      </c>
      <c r="M403">
        <v>0</v>
      </c>
      <c r="N403" t="s">
        <v>2239</v>
      </c>
      <c r="O403">
        <v>83</v>
      </c>
      <c r="P403">
        <v>1149</v>
      </c>
      <c r="S403" t="s">
        <v>2240</v>
      </c>
      <c r="T403">
        <v>13</v>
      </c>
      <c r="V403">
        <v>0</v>
      </c>
      <c r="AB403" t="s">
        <v>2237</v>
      </c>
      <c r="AH403">
        <v>391343</v>
      </c>
      <c r="AI403">
        <v>86198</v>
      </c>
      <c r="AJ403">
        <v>86198</v>
      </c>
      <c r="AK403">
        <v>33.589895233999997</v>
      </c>
      <c r="AM403">
        <v>225</v>
      </c>
      <c r="AS403">
        <v>2</v>
      </c>
      <c r="AT403">
        <v>1</v>
      </c>
      <c r="AV403">
        <v>23</v>
      </c>
      <c r="AW403">
        <v>9</v>
      </c>
      <c r="AX403">
        <v>0</v>
      </c>
      <c r="AY403">
        <v>2.33</v>
      </c>
      <c r="AZ403">
        <v>108</v>
      </c>
      <c r="BA403">
        <v>55</v>
      </c>
      <c r="BB403">
        <v>0</v>
      </c>
      <c r="BP403" t="s">
        <v>151</v>
      </c>
      <c r="BQ403">
        <v>1.1000000000000001</v>
      </c>
      <c r="BR403" t="s">
        <v>2241</v>
      </c>
      <c r="BS403" t="s">
        <v>2239</v>
      </c>
      <c r="BT403" t="s">
        <v>981</v>
      </c>
      <c r="BU403" t="s">
        <v>150</v>
      </c>
      <c r="BV403" t="s">
        <v>2242</v>
      </c>
      <c r="BW403" t="s">
        <v>2243</v>
      </c>
      <c r="BX403">
        <v>1000</v>
      </c>
      <c r="BY403">
        <v>1000</v>
      </c>
      <c r="BZ403" t="s">
        <v>2237</v>
      </c>
      <c r="CA403" t="s">
        <v>2241</v>
      </c>
      <c r="CB403" t="s">
        <v>2239</v>
      </c>
      <c r="CC403" t="s">
        <v>156</v>
      </c>
      <c r="CD403" t="s">
        <v>157</v>
      </c>
      <c r="CJ403" t="s">
        <v>2237</v>
      </c>
      <c r="CK403" t="s">
        <v>840</v>
      </c>
    </row>
    <row r="404" spans="1:89" x14ac:dyDescent="0.3">
      <c r="A404" t="s">
        <v>2244</v>
      </c>
      <c r="B404" t="s">
        <v>5</v>
      </c>
      <c r="C404" t="s">
        <v>145</v>
      </c>
      <c r="D404">
        <v>200</v>
      </c>
      <c r="E404" t="s">
        <v>146</v>
      </c>
      <c r="F404" t="s">
        <v>147</v>
      </c>
      <c r="H404" t="s">
        <v>2245</v>
      </c>
      <c r="I404">
        <v>35</v>
      </c>
      <c r="J404">
        <v>419</v>
      </c>
      <c r="L404">
        <v>0</v>
      </c>
      <c r="M404">
        <v>0</v>
      </c>
      <c r="N404" t="s">
        <v>2246</v>
      </c>
      <c r="O404">
        <v>72</v>
      </c>
      <c r="P404">
        <v>1004</v>
      </c>
      <c r="S404" t="s">
        <v>2247</v>
      </c>
      <c r="T404">
        <v>15</v>
      </c>
      <c r="V404">
        <v>0</v>
      </c>
      <c r="AB404" t="s">
        <v>2244</v>
      </c>
      <c r="AH404">
        <v>391715</v>
      </c>
      <c r="AI404">
        <v>86156</v>
      </c>
      <c r="AJ404">
        <v>86156</v>
      </c>
      <c r="AK404">
        <v>33.573528547999999</v>
      </c>
      <c r="AM404">
        <v>225</v>
      </c>
      <c r="AS404">
        <v>2</v>
      </c>
      <c r="AT404">
        <v>1</v>
      </c>
      <c r="AV404">
        <v>27</v>
      </c>
      <c r="AW404">
        <v>11</v>
      </c>
      <c r="AX404">
        <v>0</v>
      </c>
      <c r="AY404">
        <v>2.84</v>
      </c>
      <c r="AZ404">
        <v>108</v>
      </c>
      <c r="BA404">
        <v>55</v>
      </c>
      <c r="BB404">
        <v>0</v>
      </c>
      <c r="BP404" t="s">
        <v>151</v>
      </c>
      <c r="BQ404">
        <v>1.1000000000000001</v>
      </c>
      <c r="BR404" t="s">
        <v>2248</v>
      </c>
      <c r="BS404" t="s">
        <v>2246</v>
      </c>
      <c r="BT404" t="s">
        <v>981</v>
      </c>
      <c r="BU404" t="s">
        <v>150</v>
      </c>
      <c r="BV404" t="s">
        <v>2249</v>
      </c>
      <c r="BW404" t="s">
        <v>2250</v>
      </c>
      <c r="BX404">
        <v>1000</v>
      </c>
      <c r="BY404">
        <v>1000</v>
      </c>
      <c r="BZ404" t="s">
        <v>2244</v>
      </c>
      <c r="CA404" t="s">
        <v>2248</v>
      </c>
      <c r="CB404" t="s">
        <v>2246</v>
      </c>
      <c r="CC404" t="s">
        <v>156</v>
      </c>
      <c r="CD404" t="s">
        <v>157</v>
      </c>
      <c r="CJ404" t="s">
        <v>2244</v>
      </c>
      <c r="CK404" t="s">
        <v>1047</v>
      </c>
    </row>
    <row r="405" spans="1:89" x14ac:dyDescent="0.3">
      <c r="A405" t="s">
        <v>2251</v>
      </c>
      <c r="B405" t="s">
        <v>5</v>
      </c>
      <c r="C405" t="s">
        <v>145</v>
      </c>
      <c r="D405">
        <v>200</v>
      </c>
      <c r="E405" t="s">
        <v>146</v>
      </c>
      <c r="F405" t="s">
        <v>147</v>
      </c>
      <c r="H405" t="s">
        <v>2252</v>
      </c>
      <c r="I405">
        <v>47</v>
      </c>
      <c r="J405">
        <v>444</v>
      </c>
      <c r="L405">
        <v>0</v>
      </c>
      <c r="M405">
        <v>0</v>
      </c>
      <c r="N405" t="s">
        <v>2253</v>
      </c>
      <c r="O405">
        <v>80</v>
      </c>
      <c r="P405">
        <v>1107</v>
      </c>
      <c r="S405" t="s">
        <v>2254</v>
      </c>
      <c r="T405">
        <v>19</v>
      </c>
      <c r="V405">
        <v>0</v>
      </c>
      <c r="AB405" t="s">
        <v>2251</v>
      </c>
      <c r="AH405">
        <v>391434</v>
      </c>
      <c r="AI405">
        <v>86008</v>
      </c>
      <c r="AJ405">
        <v>86008</v>
      </c>
      <c r="AK405">
        <v>33.515855463999998</v>
      </c>
      <c r="AM405">
        <v>226</v>
      </c>
      <c r="AS405">
        <v>2</v>
      </c>
      <c r="AT405">
        <v>1</v>
      </c>
      <c r="AV405">
        <v>24</v>
      </c>
      <c r="AW405">
        <v>10</v>
      </c>
      <c r="AX405">
        <v>0</v>
      </c>
      <c r="AY405">
        <v>2.58</v>
      </c>
      <c r="AZ405">
        <v>108</v>
      </c>
      <c r="BA405">
        <v>55</v>
      </c>
      <c r="BB405">
        <v>0</v>
      </c>
      <c r="BP405" t="s">
        <v>151</v>
      </c>
      <c r="BQ405">
        <v>1.1000000000000001</v>
      </c>
      <c r="BR405" t="s">
        <v>2255</v>
      </c>
      <c r="BS405" t="s">
        <v>2253</v>
      </c>
      <c r="BT405" t="s">
        <v>981</v>
      </c>
      <c r="BU405" t="s">
        <v>150</v>
      </c>
      <c r="BV405" t="s">
        <v>2256</v>
      </c>
      <c r="BW405" t="s">
        <v>2257</v>
      </c>
      <c r="BX405">
        <v>450</v>
      </c>
      <c r="BY405">
        <v>450</v>
      </c>
      <c r="BZ405" t="s">
        <v>2251</v>
      </c>
      <c r="CA405" t="s">
        <v>2255</v>
      </c>
      <c r="CB405" t="s">
        <v>2253</v>
      </c>
      <c r="CC405" t="s">
        <v>156</v>
      </c>
      <c r="CD405" t="s">
        <v>157</v>
      </c>
      <c r="CJ405" t="s">
        <v>2251</v>
      </c>
      <c r="CK405" t="s">
        <v>1047</v>
      </c>
    </row>
    <row r="406" spans="1:89" x14ac:dyDescent="0.3">
      <c r="A406" t="s">
        <v>2258</v>
      </c>
      <c r="B406" t="s">
        <v>5</v>
      </c>
      <c r="C406" t="s">
        <v>145</v>
      </c>
      <c r="D406">
        <v>200</v>
      </c>
      <c r="E406" t="s">
        <v>146</v>
      </c>
      <c r="F406" t="s">
        <v>147</v>
      </c>
      <c r="H406" t="s">
        <v>2259</v>
      </c>
      <c r="I406">
        <v>33</v>
      </c>
      <c r="J406">
        <v>379</v>
      </c>
      <c r="L406">
        <v>0</v>
      </c>
      <c r="M406">
        <v>0</v>
      </c>
      <c r="N406" t="s">
        <v>2239</v>
      </c>
      <c r="O406">
        <v>83</v>
      </c>
      <c r="P406">
        <v>1149</v>
      </c>
      <c r="S406" t="s">
        <v>2260</v>
      </c>
      <c r="T406">
        <v>13</v>
      </c>
      <c r="V406">
        <v>0</v>
      </c>
      <c r="AB406" t="s">
        <v>2258</v>
      </c>
      <c r="AH406">
        <v>391664</v>
      </c>
      <c r="AI406">
        <v>86423</v>
      </c>
      <c r="AJ406">
        <v>86423</v>
      </c>
      <c r="AK406">
        <v>33.677573909000003</v>
      </c>
      <c r="AM406">
        <v>225</v>
      </c>
      <c r="AS406">
        <v>2</v>
      </c>
      <c r="AT406">
        <v>1</v>
      </c>
      <c r="AV406">
        <v>35</v>
      </c>
      <c r="AW406">
        <v>21</v>
      </c>
      <c r="AX406">
        <v>0</v>
      </c>
      <c r="AY406">
        <v>5.43</v>
      </c>
      <c r="AZ406">
        <v>108</v>
      </c>
      <c r="BA406">
        <v>55</v>
      </c>
      <c r="BB406">
        <v>0</v>
      </c>
      <c r="BP406" t="s">
        <v>151</v>
      </c>
      <c r="BQ406">
        <v>1.1000000000000001</v>
      </c>
      <c r="BR406" t="s">
        <v>2261</v>
      </c>
      <c r="BS406" t="s">
        <v>2239</v>
      </c>
      <c r="BT406" t="s">
        <v>981</v>
      </c>
      <c r="BU406" t="s">
        <v>150</v>
      </c>
      <c r="BV406" t="s">
        <v>2262</v>
      </c>
      <c r="BW406" t="s">
        <v>2263</v>
      </c>
      <c r="BX406">
        <v>450</v>
      </c>
      <c r="BY406">
        <v>450</v>
      </c>
      <c r="BZ406" t="s">
        <v>2258</v>
      </c>
      <c r="CA406" t="s">
        <v>2261</v>
      </c>
      <c r="CB406" t="s">
        <v>2239</v>
      </c>
      <c r="CC406" t="s">
        <v>156</v>
      </c>
      <c r="CD406" t="s">
        <v>157</v>
      </c>
      <c r="CJ406" t="s">
        <v>2258</v>
      </c>
      <c r="CK406" t="s">
        <v>1523</v>
      </c>
    </row>
    <row r="407" spans="1:89" x14ac:dyDescent="0.3">
      <c r="A407" s="44" t="s">
        <v>2428</v>
      </c>
      <c r="B407" s="44"/>
      <c r="C407" s="44" t="s">
        <v>145</v>
      </c>
      <c r="D407" s="44">
        <v>200</v>
      </c>
      <c r="E407" s="44" t="s">
        <v>146</v>
      </c>
      <c r="F407" s="44" t="s">
        <v>147</v>
      </c>
      <c r="G407" s="44"/>
      <c r="H407" s="44" t="s">
        <v>150</v>
      </c>
      <c r="I407" s="44">
        <v>16</v>
      </c>
      <c r="J407" s="44">
        <v>165</v>
      </c>
      <c r="K407" s="44"/>
      <c r="L407" s="44">
        <v>0</v>
      </c>
      <c r="M407" s="44">
        <v>0</v>
      </c>
      <c r="N407" s="44"/>
      <c r="O407" s="44">
        <v>0</v>
      </c>
      <c r="P407" s="44">
        <v>0</v>
      </c>
      <c r="Q407" s="44"/>
      <c r="R407" s="44"/>
      <c r="S407" s="44"/>
      <c r="T407" s="44">
        <v>0</v>
      </c>
      <c r="U407" s="44"/>
      <c r="V407" s="44">
        <v>0</v>
      </c>
      <c r="W407" s="44"/>
      <c r="X407" s="44"/>
      <c r="Y407" s="44"/>
      <c r="Z407" s="44"/>
      <c r="AA407" s="44"/>
      <c r="AB407" s="44" t="s">
        <v>2428</v>
      </c>
      <c r="AC407" s="44"/>
      <c r="AD407" s="44"/>
      <c r="AE407" s="44"/>
      <c r="AF407" s="44"/>
      <c r="AG407" s="44"/>
      <c r="AH407" s="44">
        <v>99009</v>
      </c>
      <c r="AI407" s="44">
        <v>29484</v>
      </c>
      <c r="AJ407" s="44">
        <v>29484</v>
      </c>
      <c r="AK407" s="44">
        <v>11.489413572</v>
      </c>
      <c r="AL407" s="44"/>
      <c r="AM407" s="44">
        <v>13</v>
      </c>
      <c r="AN407" s="44"/>
      <c r="AO407" s="44"/>
      <c r="AP407" s="44"/>
      <c r="AQ407" s="44"/>
      <c r="AR407" s="44"/>
      <c r="AS407" s="44">
        <v>0</v>
      </c>
      <c r="AT407" s="44">
        <v>0</v>
      </c>
      <c r="AU407" s="44"/>
      <c r="AV407" s="44">
        <v>1</v>
      </c>
      <c r="AW407" s="44">
        <v>1</v>
      </c>
      <c r="AX407" s="44">
        <v>0</v>
      </c>
      <c r="AY407" s="44">
        <v>0.96</v>
      </c>
      <c r="AZ407" s="44">
        <v>3</v>
      </c>
      <c r="BA407" s="44">
        <v>2</v>
      </c>
      <c r="BB407" s="44">
        <v>0</v>
      </c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 t="s">
        <v>151</v>
      </c>
      <c r="BQ407" s="44" t="s">
        <v>2410</v>
      </c>
      <c r="BR407" s="44" t="s">
        <v>150</v>
      </c>
      <c r="BS407" s="44" t="s">
        <v>149</v>
      </c>
      <c r="BT407" s="44" t="s">
        <v>153</v>
      </c>
      <c r="BU407" s="44" t="s">
        <v>150</v>
      </c>
      <c r="BV407" s="44" t="s">
        <v>154</v>
      </c>
      <c r="BW407" s="44" t="s">
        <v>155</v>
      </c>
      <c r="BX407" s="44" t="s">
        <v>2475</v>
      </c>
      <c r="BY407" s="44" t="s">
        <v>2475</v>
      </c>
      <c r="BZ407" s="44" t="s">
        <v>2429</v>
      </c>
      <c r="CA407" s="44" t="s">
        <v>150</v>
      </c>
      <c r="CB407" s="44" t="s">
        <v>149</v>
      </c>
      <c r="CC407" s="44" t="s">
        <v>156</v>
      </c>
      <c r="CD407" s="44" t="s">
        <v>859</v>
      </c>
      <c r="CE407" s="44"/>
      <c r="CF407" s="44"/>
      <c r="CG407" s="44"/>
      <c r="CH407" s="44"/>
      <c r="CI407" s="44"/>
      <c r="CJ407" s="44" t="s">
        <v>2428</v>
      </c>
      <c r="CK407" s="44" t="s">
        <v>2476</v>
      </c>
    </row>
    <row r="408" spans="1:89" x14ac:dyDescent="0.3">
      <c r="A408" s="44" t="s">
        <v>2445</v>
      </c>
      <c r="B408" s="44" t="s">
        <v>6</v>
      </c>
      <c r="C408" s="44" t="s">
        <v>145</v>
      </c>
      <c r="D408" s="44">
        <v>200</v>
      </c>
      <c r="E408" s="44" t="s">
        <v>146</v>
      </c>
      <c r="F408" s="44" t="s">
        <v>147</v>
      </c>
      <c r="G408" s="44"/>
      <c r="H408" s="44" t="s">
        <v>236</v>
      </c>
      <c r="I408" s="44">
        <v>38</v>
      </c>
      <c r="J408" s="44">
        <v>486</v>
      </c>
      <c r="K408" s="44"/>
      <c r="L408" s="44">
        <v>0</v>
      </c>
      <c r="M408" s="44">
        <v>0</v>
      </c>
      <c r="N408" s="44" t="s">
        <v>2446</v>
      </c>
      <c r="O408" s="44">
        <v>32</v>
      </c>
      <c r="P408" s="44">
        <v>379</v>
      </c>
      <c r="Q408" s="44"/>
      <c r="R408" s="44"/>
      <c r="S408" s="44" t="s">
        <v>237</v>
      </c>
      <c r="T408" s="44">
        <v>18</v>
      </c>
      <c r="U408" s="44"/>
      <c r="V408" s="44">
        <v>0</v>
      </c>
      <c r="W408" s="44"/>
      <c r="X408" s="44"/>
      <c r="Y408" s="44"/>
      <c r="Z408" s="44"/>
      <c r="AA408" s="44"/>
      <c r="AB408" s="44" t="s">
        <v>2445</v>
      </c>
      <c r="AC408" s="44"/>
      <c r="AD408" s="44"/>
      <c r="AE408" s="44"/>
      <c r="AF408" s="44"/>
      <c r="AG408" s="44"/>
      <c r="AH408" s="44">
        <v>390976</v>
      </c>
      <c r="AI408" s="44">
        <v>73077</v>
      </c>
      <c r="AJ408" s="44">
        <v>73077</v>
      </c>
      <c r="AK408" s="44">
        <v>28.476864590999998</v>
      </c>
      <c r="AL408" s="44"/>
      <c r="AM408" s="44">
        <v>307</v>
      </c>
      <c r="AN408" s="44"/>
      <c r="AO408" s="44"/>
      <c r="AP408" s="44"/>
      <c r="AQ408" s="44"/>
      <c r="AR408" s="44"/>
      <c r="AS408" s="44">
        <v>0</v>
      </c>
      <c r="AT408" s="44">
        <v>1</v>
      </c>
      <c r="AU408" s="44"/>
      <c r="AV408" s="44">
        <v>6</v>
      </c>
      <c r="AW408" s="44">
        <v>1</v>
      </c>
      <c r="AX408" s="44">
        <v>0</v>
      </c>
      <c r="AY408" s="44">
        <v>0.96</v>
      </c>
      <c r="AZ408" s="44">
        <v>184</v>
      </c>
      <c r="BA408" s="44">
        <v>62</v>
      </c>
      <c r="BB408" s="44">
        <v>0</v>
      </c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 t="s">
        <v>151</v>
      </c>
      <c r="BQ408" s="44" t="s">
        <v>2410</v>
      </c>
      <c r="BR408" s="44" t="s">
        <v>238</v>
      </c>
      <c r="BS408" s="44" t="s">
        <v>2446</v>
      </c>
      <c r="BT408" s="44" t="s">
        <v>153</v>
      </c>
      <c r="BU408" s="44" t="s">
        <v>150</v>
      </c>
      <c r="BV408" s="44" t="s">
        <v>154</v>
      </c>
      <c r="BW408" s="44" t="s">
        <v>155</v>
      </c>
      <c r="BX408" s="44" t="s">
        <v>2475</v>
      </c>
      <c r="BY408" s="44" t="s">
        <v>2475</v>
      </c>
      <c r="BZ408" s="44" t="s">
        <v>2445</v>
      </c>
      <c r="CA408" s="44" t="s">
        <v>238</v>
      </c>
      <c r="CB408" s="44" t="s">
        <v>2446</v>
      </c>
      <c r="CC408" s="44" t="s">
        <v>156</v>
      </c>
      <c r="CD408" s="44" t="s">
        <v>157</v>
      </c>
      <c r="CE408" s="44"/>
      <c r="CF408" s="44"/>
      <c r="CG408" s="44"/>
      <c r="CH408" s="44"/>
      <c r="CI408" s="44"/>
      <c r="CJ408" s="44" t="s">
        <v>2445</v>
      </c>
      <c r="CK408" s="44" t="s">
        <v>2476</v>
      </c>
    </row>
    <row r="409" spans="1:89" x14ac:dyDescent="0.3">
      <c r="A409" s="44" t="s">
        <v>2411</v>
      </c>
      <c r="B409" s="44" t="s">
        <v>6</v>
      </c>
      <c r="C409" s="44" t="s">
        <v>145</v>
      </c>
      <c r="D409" s="44">
        <v>200</v>
      </c>
      <c r="E409" s="44" t="s">
        <v>146</v>
      </c>
      <c r="F409" s="44" t="s">
        <v>147</v>
      </c>
      <c r="G409" s="44"/>
      <c r="H409" s="44" t="s">
        <v>200</v>
      </c>
      <c r="I409" s="44">
        <v>28</v>
      </c>
      <c r="J409" s="44">
        <v>326</v>
      </c>
      <c r="K409" s="44"/>
      <c r="L409" s="44">
        <v>0</v>
      </c>
      <c r="M409" s="44">
        <v>0</v>
      </c>
      <c r="N409" s="44" t="s">
        <v>2412</v>
      </c>
      <c r="O409" s="44">
        <v>35</v>
      </c>
      <c r="P409" s="44">
        <v>419</v>
      </c>
      <c r="Q409" s="44"/>
      <c r="R409" s="44"/>
      <c r="S409" s="44" t="s">
        <v>201</v>
      </c>
      <c r="T409" s="44">
        <v>8</v>
      </c>
      <c r="U409" s="44"/>
      <c r="V409" s="44">
        <v>0</v>
      </c>
      <c r="W409" s="44"/>
      <c r="X409" s="44"/>
      <c r="Y409" s="44"/>
      <c r="Z409" s="44"/>
      <c r="AA409" s="44"/>
      <c r="AB409" s="44" t="s">
        <v>2411</v>
      </c>
      <c r="AC409" s="44"/>
      <c r="AD409" s="44"/>
      <c r="AE409" s="44"/>
      <c r="AF409" s="44"/>
      <c r="AG409" s="44"/>
      <c r="AH409" s="44">
        <v>390761</v>
      </c>
      <c r="AI409" s="44">
        <v>73389</v>
      </c>
      <c r="AJ409" s="44">
        <v>73389</v>
      </c>
      <c r="AK409" s="44">
        <v>28.598445687000002</v>
      </c>
      <c r="AL409" s="44"/>
      <c r="AM409" s="44">
        <v>307</v>
      </c>
      <c r="AN409" s="44"/>
      <c r="AO409" s="44"/>
      <c r="AP409" s="44"/>
      <c r="AQ409" s="44"/>
      <c r="AR409" s="44"/>
      <c r="AS409" s="44">
        <v>0</v>
      </c>
      <c r="AT409" s="44">
        <v>1</v>
      </c>
      <c r="AU409" s="44"/>
      <c r="AV409" s="44">
        <v>6</v>
      </c>
      <c r="AW409" s="44">
        <v>1</v>
      </c>
      <c r="AX409" s="44">
        <v>0</v>
      </c>
      <c r="AY409" s="44">
        <v>0.96</v>
      </c>
      <c r="AZ409" s="44">
        <v>184</v>
      </c>
      <c r="BA409" s="44">
        <v>62</v>
      </c>
      <c r="BB409" s="44">
        <v>0</v>
      </c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 t="s">
        <v>151</v>
      </c>
      <c r="BQ409" s="44" t="s">
        <v>2410</v>
      </c>
      <c r="BR409" s="44" t="s">
        <v>202</v>
      </c>
      <c r="BS409" s="44" t="s">
        <v>2412</v>
      </c>
      <c r="BT409" s="44" t="s">
        <v>153</v>
      </c>
      <c r="BU409" s="44" t="s">
        <v>150</v>
      </c>
      <c r="BV409" s="44" t="s">
        <v>154</v>
      </c>
      <c r="BW409" s="44" t="s">
        <v>155</v>
      </c>
      <c r="BX409" s="44" t="s">
        <v>2475</v>
      </c>
      <c r="BY409" s="44" t="s">
        <v>2475</v>
      </c>
      <c r="BZ409" s="44" t="s">
        <v>2411</v>
      </c>
      <c r="CA409" s="44" t="s">
        <v>202</v>
      </c>
      <c r="CB409" s="44" t="s">
        <v>2412</v>
      </c>
      <c r="CC409" s="44" t="s">
        <v>156</v>
      </c>
      <c r="CD409" s="44" t="s">
        <v>157</v>
      </c>
      <c r="CE409" s="44"/>
      <c r="CF409" s="44"/>
      <c r="CG409" s="44"/>
      <c r="CH409" s="44"/>
      <c r="CI409" s="44"/>
      <c r="CJ409" s="44" t="s">
        <v>2411</v>
      </c>
      <c r="CK409" s="44" t="s">
        <v>2477</v>
      </c>
    </row>
    <row r="410" spans="1:89" x14ac:dyDescent="0.3">
      <c r="A410" s="44" t="s">
        <v>2462</v>
      </c>
      <c r="B410" s="44" t="s">
        <v>7</v>
      </c>
      <c r="C410" s="44" t="s">
        <v>145</v>
      </c>
      <c r="D410" s="44">
        <v>200</v>
      </c>
      <c r="E410" s="44" t="s">
        <v>146</v>
      </c>
      <c r="F410" s="44" t="s">
        <v>147</v>
      </c>
      <c r="G410" s="44"/>
      <c r="H410" s="44" t="s">
        <v>2463</v>
      </c>
      <c r="I410" s="44">
        <v>31</v>
      </c>
      <c r="J410" s="44">
        <v>304</v>
      </c>
      <c r="K410" s="44"/>
      <c r="L410" s="44">
        <v>0</v>
      </c>
      <c r="M410" s="44">
        <v>0</v>
      </c>
      <c r="N410" s="44"/>
      <c r="O410" s="44">
        <v>0</v>
      </c>
      <c r="P410" s="44">
        <v>0</v>
      </c>
      <c r="Q410" s="44"/>
      <c r="R410" s="44"/>
      <c r="S410" s="44" t="s">
        <v>454</v>
      </c>
      <c r="T410" s="44">
        <v>2</v>
      </c>
      <c r="U410" s="44"/>
      <c r="V410" s="44">
        <v>0</v>
      </c>
      <c r="W410" s="44"/>
      <c r="X410" s="44"/>
      <c r="Y410" s="44"/>
      <c r="Z410" s="44"/>
      <c r="AA410" s="44"/>
      <c r="AB410" s="44" t="s">
        <v>2462</v>
      </c>
      <c r="AC410" s="44"/>
      <c r="AD410" s="44"/>
      <c r="AE410" s="44"/>
      <c r="AF410" s="44"/>
      <c r="AG410" s="44"/>
      <c r="AH410" s="44">
        <v>327903</v>
      </c>
      <c r="AI410" s="44">
        <v>67351</v>
      </c>
      <c r="AJ410" s="44">
        <v>67351</v>
      </c>
      <c r="AK410" s="44">
        <v>26.245539732999998</v>
      </c>
      <c r="AL410" s="44"/>
      <c r="AM410" s="44">
        <v>136</v>
      </c>
      <c r="AN410" s="44"/>
      <c r="AO410" s="44"/>
      <c r="AP410" s="44"/>
      <c r="AQ410" s="44"/>
      <c r="AR410" s="44"/>
      <c r="AS410" s="44">
        <v>0</v>
      </c>
      <c r="AT410" s="44">
        <v>1</v>
      </c>
      <c r="AU410" s="44"/>
      <c r="AV410" s="44">
        <v>9</v>
      </c>
      <c r="AW410" s="44">
        <v>3</v>
      </c>
      <c r="AX410" s="44">
        <v>0</v>
      </c>
      <c r="AY410" s="44">
        <v>2.88</v>
      </c>
      <c r="AZ410" s="44">
        <v>122</v>
      </c>
      <c r="BA410" s="44">
        <v>57</v>
      </c>
      <c r="BB410" s="44">
        <v>0</v>
      </c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 t="s">
        <v>151</v>
      </c>
      <c r="BQ410" s="44" t="s">
        <v>2410</v>
      </c>
      <c r="BR410" s="44" t="s">
        <v>455</v>
      </c>
      <c r="BS410" s="44" t="s">
        <v>149</v>
      </c>
      <c r="BT410" s="44" t="s">
        <v>153</v>
      </c>
      <c r="BU410" s="44" t="s">
        <v>150</v>
      </c>
      <c r="BV410" s="44" t="s">
        <v>154</v>
      </c>
      <c r="BW410" s="44" t="s">
        <v>155</v>
      </c>
      <c r="BX410" s="44" t="s">
        <v>2475</v>
      </c>
      <c r="BY410" s="44" t="s">
        <v>2475</v>
      </c>
      <c r="BZ410" s="44" t="s">
        <v>2462</v>
      </c>
      <c r="CA410" s="44" t="s">
        <v>455</v>
      </c>
      <c r="CB410" s="44" t="s">
        <v>149</v>
      </c>
      <c r="CC410" s="44" t="s">
        <v>156</v>
      </c>
      <c r="CD410" s="44" t="s">
        <v>157</v>
      </c>
      <c r="CE410" s="44"/>
      <c r="CF410" s="44"/>
      <c r="CG410" s="44"/>
      <c r="CH410" s="44"/>
      <c r="CI410" s="44"/>
      <c r="CJ410" s="44" t="s">
        <v>2462</v>
      </c>
      <c r="CK410" s="44" t="s">
        <v>2478</v>
      </c>
    </row>
    <row r="411" spans="1:89" x14ac:dyDescent="0.3">
      <c r="A411" s="44" t="s">
        <v>2464</v>
      </c>
      <c r="B411" s="44" t="s">
        <v>7</v>
      </c>
      <c r="C411" s="44" t="s">
        <v>145</v>
      </c>
      <c r="D411" s="44">
        <v>200</v>
      </c>
      <c r="E411" s="44" t="s">
        <v>146</v>
      </c>
      <c r="F411" s="44" t="s">
        <v>161</v>
      </c>
      <c r="G411" s="44" t="s">
        <v>226</v>
      </c>
      <c r="H411" s="44" t="s">
        <v>453</v>
      </c>
      <c r="I411" s="44">
        <v>22</v>
      </c>
      <c r="J411" s="44">
        <v>219</v>
      </c>
      <c r="K411" s="44"/>
      <c r="L411" s="44">
        <v>0</v>
      </c>
      <c r="M411" s="44">
        <v>0</v>
      </c>
      <c r="N411" s="44"/>
      <c r="O411" s="44">
        <v>0</v>
      </c>
      <c r="P411" s="44">
        <v>0</v>
      </c>
      <c r="Q411" s="44"/>
      <c r="R411" s="44"/>
      <c r="S411" s="44" t="s">
        <v>454</v>
      </c>
      <c r="T411" s="44">
        <v>2</v>
      </c>
      <c r="U411" s="44"/>
      <c r="V411" s="44">
        <v>0</v>
      </c>
      <c r="W411" s="44"/>
      <c r="X411" s="44"/>
      <c r="Y411" s="44"/>
      <c r="Z411" s="44"/>
      <c r="AA411" s="44"/>
      <c r="AB411" s="44" t="s">
        <v>452</v>
      </c>
      <c r="AC411" s="44"/>
      <c r="AD411" s="44"/>
      <c r="AE411" s="44"/>
      <c r="AF411" s="44"/>
      <c r="AG411" s="44"/>
      <c r="AH411" s="44">
        <v>332086</v>
      </c>
      <c r="AI411" s="44">
        <v>67559</v>
      </c>
      <c r="AJ411" s="44">
        <v>67559</v>
      </c>
      <c r="AK411" s="44">
        <v>26.326593797000001</v>
      </c>
      <c r="AL411" s="44"/>
      <c r="AM411" s="44">
        <v>163</v>
      </c>
      <c r="AN411" s="44"/>
      <c r="AO411" s="44"/>
      <c r="AP411" s="44"/>
      <c r="AQ411" s="44"/>
      <c r="AR411" s="44"/>
      <c r="AS411" s="44">
        <v>0</v>
      </c>
      <c r="AT411" s="44">
        <v>1</v>
      </c>
      <c r="AU411" s="44"/>
      <c r="AV411" s="44">
        <v>7</v>
      </c>
      <c r="AW411" s="44">
        <v>2</v>
      </c>
      <c r="AX411" s="44">
        <v>0</v>
      </c>
      <c r="AY411" s="44">
        <v>1.92</v>
      </c>
      <c r="AZ411" s="44">
        <v>131</v>
      </c>
      <c r="BA411" s="44">
        <v>66</v>
      </c>
      <c r="BB411" s="44">
        <v>0</v>
      </c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 t="s">
        <v>151</v>
      </c>
      <c r="BQ411" s="44" t="s">
        <v>2410</v>
      </c>
      <c r="BR411" s="44" t="s">
        <v>455</v>
      </c>
      <c r="BS411" s="44" t="s">
        <v>149</v>
      </c>
      <c r="BT411" s="44" t="s">
        <v>153</v>
      </c>
      <c r="BU411" s="44" t="s">
        <v>150</v>
      </c>
      <c r="BV411" s="44" t="s">
        <v>154</v>
      </c>
      <c r="BW411" s="44" t="s">
        <v>155</v>
      </c>
      <c r="BX411" s="44" t="s">
        <v>2475</v>
      </c>
      <c r="BY411" s="44" t="s">
        <v>2475</v>
      </c>
      <c r="BZ411" s="44" t="s">
        <v>452</v>
      </c>
      <c r="CA411" s="44" t="s">
        <v>455</v>
      </c>
      <c r="CB411" s="44" t="s">
        <v>149</v>
      </c>
      <c r="CC411" s="44" t="s">
        <v>156</v>
      </c>
      <c r="CD411" s="44" t="s">
        <v>157</v>
      </c>
      <c r="CE411" s="44"/>
      <c r="CF411" s="44"/>
      <c r="CG411" s="44"/>
      <c r="CH411" s="44"/>
      <c r="CI411" s="44"/>
      <c r="CJ411" s="44" t="s">
        <v>2464</v>
      </c>
      <c r="CK411" s="44" t="s">
        <v>2478</v>
      </c>
    </row>
    <row r="412" spans="1:89" x14ac:dyDescent="0.3">
      <c r="A412" s="44" t="s">
        <v>2465</v>
      </c>
      <c r="B412" s="44" t="s">
        <v>7</v>
      </c>
      <c r="C412" s="44" t="s">
        <v>145</v>
      </c>
      <c r="D412" s="44">
        <v>200</v>
      </c>
      <c r="E412" s="44" t="s">
        <v>146</v>
      </c>
      <c r="F412" s="44" t="s">
        <v>147</v>
      </c>
      <c r="G412" s="44"/>
      <c r="H412" s="44" t="s">
        <v>2466</v>
      </c>
      <c r="I412" s="44">
        <v>29</v>
      </c>
      <c r="J412" s="44">
        <v>266</v>
      </c>
      <c r="K412" s="44"/>
      <c r="L412" s="44">
        <v>0</v>
      </c>
      <c r="M412" s="44">
        <v>0</v>
      </c>
      <c r="N412" s="44" t="s">
        <v>2467</v>
      </c>
      <c r="O412" s="44">
        <v>4</v>
      </c>
      <c r="P412" s="44">
        <v>32</v>
      </c>
      <c r="Q412" s="44"/>
      <c r="R412" s="44"/>
      <c r="S412" s="44" t="s">
        <v>2468</v>
      </c>
      <c r="T412" s="44">
        <v>9</v>
      </c>
      <c r="U412" s="44"/>
      <c r="V412" s="44">
        <v>0</v>
      </c>
      <c r="W412" s="44"/>
      <c r="X412" s="44"/>
      <c r="Y412" s="44"/>
      <c r="Z412" s="44"/>
      <c r="AA412" s="44"/>
      <c r="AB412" s="44" t="s">
        <v>2465</v>
      </c>
      <c r="AC412" s="44"/>
      <c r="AD412" s="44"/>
      <c r="AE412" s="44"/>
      <c r="AF412" s="44"/>
      <c r="AG412" s="44"/>
      <c r="AH412" s="44">
        <v>316349</v>
      </c>
      <c r="AI412" s="44">
        <v>66093</v>
      </c>
      <c r="AJ412" s="44">
        <v>66093</v>
      </c>
      <c r="AK412" s="44">
        <v>25.755318519000003</v>
      </c>
      <c r="AL412" s="44"/>
      <c r="AM412" s="44">
        <v>135</v>
      </c>
      <c r="AN412" s="44"/>
      <c r="AO412" s="44"/>
      <c r="AP412" s="44"/>
      <c r="AQ412" s="44"/>
      <c r="AR412" s="44"/>
      <c r="AS412" s="44">
        <v>0</v>
      </c>
      <c r="AT412" s="44">
        <v>2</v>
      </c>
      <c r="AU412" s="44"/>
      <c r="AV412" s="44">
        <v>7</v>
      </c>
      <c r="AW412" s="44">
        <v>3</v>
      </c>
      <c r="AX412" s="44">
        <v>0</v>
      </c>
      <c r="AY412" s="44">
        <v>2.88</v>
      </c>
      <c r="AZ412" s="44">
        <v>106</v>
      </c>
      <c r="BA412" s="44">
        <v>55</v>
      </c>
      <c r="BB412" s="44">
        <v>0</v>
      </c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 t="s">
        <v>151</v>
      </c>
      <c r="BQ412" s="44" t="s">
        <v>2410</v>
      </c>
      <c r="BR412" s="44" t="s">
        <v>2469</v>
      </c>
      <c r="BS412" s="44" t="s">
        <v>2467</v>
      </c>
      <c r="BT412" s="44" t="s">
        <v>195</v>
      </c>
      <c r="BU412" s="44" t="s">
        <v>150</v>
      </c>
      <c r="BV412" s="44" t="s">
        <v>154</v>
      </c>
      <c r="BW412" s="44" t="s">
        <v>155</v>
      </c>
      <c r="BX412" s="44" t="s">
        <v>2475</v>
      </c>
      <c r="BY412" s="44" t="s">
        <v>2475</v>
      </c>
      <c r="BZ412" s="44" t="s">
        <v>2465</v>
      </c>
      <c r="CA412" s="44" t="s">
        <v>2469</v>
      </c>
      <c r="CB412" s="44" t="s">
        <v>2467</v>
      </c>
      <c r="CC412" s="44" t="s">
        <v>156</v>
      </c>
      <c r="CD412" s="44" t="s">
        <v>157</v>
      </c>
      <c r="CE412" s="44"/>
      <c r="CF412" s="44"/>
      <c r="CG412" s="44"/>
      <c r="CH412" s="44"/>
      <c r="CI412" s="44"/>
      <c r="CJ412" s="44" t="s">
        <v>2465</v>
      </c>
      <c r="CK412" s="44" t="s">
        <v>2479</v>
      </c>
    </row>
    <row r="413" spans="1:89" x14ac:dyDescent="0.3">
      <c r="A413" s="44" t="s">
        <v>2470</v>
      </c>
      <c r="B413" s="44" t="s">
        <v>7</v>
      </c>
      <c r="C413" s="44" t="s">
        <v>145</v>
      </c>
      <c r="D413" s="44">
        <v>200</v>
      </c>
      <c r="E413" s="44" t="s">
        <v>146</v>
      </c>
      <c r="F413" s="44" t="s">
        <v>147</v>
      </c>
      <c r="G413" s="44"/>
      <c r="H413" s="44" t="s">
        <v>2471</v>
      </c>
      <c r="I413" s="44">
        <v>29</v>
      </c>
      <c r="J413" s="44">
        <v>266</v>
      </c>
      <c r="K413" s="44"/>
      <c r="L413" s="44">
        <v>0</v>
      </c>
      <c r="M413" s="44">
        <v>0</v>
      </c>
      <c r="N413" s="44" t="s">
        <v>2472</v>
      </c>
      <c r="O413" s="44">
        <v>23</v>
      </c>
      <c r="P413" s="44">
        <v>154</v>
      </c>
      <c r="Q413" s="44"/>
      <c r="R413" s="44"/>
      <c r="S413" s="44" t="s">
        <v>2473</v>
      </c>
      <c r="T413" s="44">
        <v>9</v>
      </c>
      <c r="U413" s="44"/>
      <c r="V413" s="44">
        <v>0</v>
      </c>
      <c r="W413" s="44"/>
      <c r="X413" s="44"/>
      <c r="Y413" s="44"/>
      <c r="Z413" s="44"/>
      <c r="AA413" s="44"/>
      <c r="AB413" s="44" t="s">
        <v>2470</v>
      </c>
      <c r="AC413" s="44"/>
      <c r="AD413" s="44"/>
      <c r="AE413" s="44"/>
      <c r="AF413" s="44"/>
      <c r="AG413" s="44"/>
      <c r="AH413" s="44">
        <v>316566</v>
      </c>
      <c r="AI413" s="44">
        <v>66461</v>
      </c>
      <c r="AJ413" s="44">
        <v>66461</v>
      </c>
      <c r="AK413" s="44">
        <v>25.898721863000002</v>
      </c>
      <c r="AL413" s="44"/>
      <c r="AM413" s="44">
        <v>137</v>
      </c>
      <c r="AN413" s="44"/>
      <c r="AO413" s="44"/>
      <c r="AP413" s="44"/>
      <c r="AQ413" s="44"/>
      <c r="AR413" s="44"/>
      <c r="AS413" s="44">
        <v>0</v>
      </c>
      <c r="AT413" s="44">
        <v>2</v>
      </c>
      <c r="AU413" s="44"/>
      <c r="AV413" s="44">
        <v>7</v>
      </c>
      <c r="AW413" s="44">
        <v>3</v>
      </c>
      <c r="AX413" s="44">
        <v>0</v>
      </c>
      <c r="AY413" s="44">
        <v>2.88</v>
      </c>
      <c r="AZ413" s="44">
        <v>106</v>
      </c>
      <c r="BA413" s="44">
        <v>55</v>
      </c>
      <c r="BB413" s="44">
        <v>0</v>
      </c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 t="s">
        <v>151</v>
      </c>
      <c r="BQ413" s="44" t="s">
        <v>2410</v>
      </c>
      <c r="BR413" s="44" t="s">
        <v>2474</v>
      </c>
      <c r="BS413" s="44" t="s">
        <v>2472</v>
      </c>
      <c r="BT413" s="44" t="s">
        <v>195</v>
      </c>
      <c r="BU413" s="44" t="s">
        <v>150</v>
      </c>
      <c r="BV413" s="44" t="s">
        <v>154</v>
      </c>
      <c r="BW413" s="44" t="s">
        <v>155</v>
      </c>
      <c r="BX413" s="44" t="s">
        <v>2475</v>
      </c>
      <c r="BY413" s="44" t="s">
        <v>2475</v>
      </c>
      <c r="BZ413" s="44" t="s">
        <v>2470</v>
      </c>
      <c r="CA413" s="44" t="s">
        <v>2474</v>
      </c>
      <c r="CB413" s="44" t="s">
        <v>2472</v>
      </c>
      <c r="CC413" s="44" t="s">
        <v>156</v>
      </c>
      <c r="CD413" s="44" t="s">
        <v>157</v>
      </c>
      <c r="CE413" s="44"/>
      <c r="CF413" s="44"/>
      <c r="CG413" s="44"/>
      <c r="CH413" s="44"/>
      <c r="CI413" s="44"/>
      <c r="CJ413" s="44" t="s">
        <v>2470</v>
      </c>
      <c r="CK413" s="44" t="s">
        <v>2479</v>
      </c>
    </row>
    <row r="414" spans="1:89" x14ac:dyDescent="0.3">
      <c r="A414" s="44" t="s">
        <v>2447</v>
      </c>
      <c r="B414" s="44" t="s">
        <v>7</v>
      </c>
      <c r="C414" s="44" t="s">
        <v>145</v>
      </c>
      <c r="D414" s="44">
        <v>200</v>
      </c>
      <c r="E414" s="44" t="s">
        <v>146</v>
      </c>
      <c r="F414" s="44" t="s">
        <v>147</v>
      </c>
      <c r="G414" s="44"/>
      <c r="H414" s="44" t="s">
        <v>2448</v>
      </c>
      <c r="I414" s="44">
        <v>29</v>
      </c>
      <c r="J414" s="44">
        <v>266</v>
      </c>
      <c r="K414" s="44"/>
      <c r="L414" s="44">
        <v>0</v>
      </c>
      <c r="M414" s="44">
        <v>0</v>
      </c>
      <c r="N414" s="44" t="s">
        <v>2449</v>
      </c>
      <c r="O414" s="44">
        <v>33</v>
      </c>
      <c r="P414" s="44">
        <v>229</v>
      </c>
      <c r="Q414" s="44"/>
      <c r="R414" s="44"/>
      <c r="S414" s="44" t="s">
        <v>2450</v>
      </c>
      <c r="T414" s="44">
        <v>9</v>
      </c>
      <c r="U414" s="44" t="s">
        <v>2451</v>
      </c>
      <c r="V414" s="44">
        <v>6</v>
      </c>
      <c r="W414" s="44"/>
      <c r="X414" s="44"/>
      <c r="Y414" s="44"/>
      <c r="Z414" s="44"/>
      <c r="AA414" s="44"/>
      <c r="AB414" s="44" t="s">
        <v>2447</v>
      </c>
      <c r="AC414" s="44"/>
      <c r="AD414" s="44"/>
      <c r="AE414" s="44"/>
      <c r="AF414" s="44"/>
      <c r="AG414" s="44"/>
      <c r="AH414" s="44">
        <v>316879</v>
      </c>
      <c r="AI414" s="44">
        <v>66099</v>
      </c>
      <c r="AJ414" s="44">
        <v>66099</v>
      </c>
      <c r="AK414" s="44">
        <v>25.757656616999999</v>
      </c>
      <c r="AL414" s="44"/>
      <c r="AM414" s="44">
        <v>143</v>
      </c>
      <c r="AN414" s="44"/>
      <c r="AO414" s="44"/>
      <c r="AP414" s="44"/>
      <c r="AQ414" s="44"/>
      <c r="AR414" s="44"/>
      <c r="AS414" s="44">
        <v>0</v>
      </c>
      <c r="AT414" s="44">
        <v>2</v>
      </c>
      <c r="AU414" s="44"/>
      <c r="AV414" s="44">
        <v>7</v>
      </c>
      <c r="AW414" s="44">
        <v>3</v>
      </c>
      <c r="AX414" s="44">
        <v>0</v>
      </c>
      <c r="AY414" s="44">
        <v>2.88</v>
      </c>
      <c r="AZ414" s="44">
        <v>106</v>
      </c>
      <c r="BA414" s="44">
        <v>55</v>
      </c>
      <c r="BB414" s="44">
        <v>0</v>
      </c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 t="s">
        <v>151</v>
      </c>
      <c r="BQ414" s="44" t="s">
        <v>2410</v>
      </c>
      <c r="BR414" s="44" t="s">
        <v>2452</v>
      </c>
      <c r="BS414" s="44" t="s">
        <v>2449</v>
      </c>
      <c r="BT414" s="44" t="s">
        <v>195</v>
      </c>
      <c r="BU414" s="44" t="s">
        <v>150</v>
      </c>
      <c r="BV414" s="44" t="s">
        <v>154</v>
      </c>
      <c r="BW414" s="44" t="s">
        <v>155</v>
      </c>
      <c r="BX414" s="44" t="s">
        <v>2475</v>
      </c>
      <c r="BY414" s="44" t="s">
        <v>2475</v>
      </c>
      <c r="BZ414" s="44" t="s">
        <v>2447</v>
      </c>
      <c r="CA414" s="44" t="s">
        <v>2452</v>
      </c>
      <c r="CB414" s="44" t="s">
        <v>2449</v>
      </c>
      <c r="CC414" s="44" t="s">
        <v>156</v>
      </c>
      <c r="CD414" s="44" t="s">
        <v>177</v>
      </c>
      <c r="CE414" s="44"/>
      <c r="CF414" s="44"/>
      <c r="CG414" s="44"/>
      <c r="CH414" s="44"/>
      <c r="CI414" s="44"/>
      <c r="CJ414" s="44" t="s">
        <v>2447</v>
      </c>
      <c r="CK414" s="44" t="s">
        <v>2480</v>
      </c>
    </row>
    <row r="415" spans="1:89" x14ac:dyDescent="0.3">
      <c r="A415" s="44" t="s">
        <v>2453</v>
      </c>
      <c r="B415" s="44" t="s">
        <v>7</v>
      </c>
      <c r="C415" s="44" t="s">
        <v>145</v>
      </c>
      <c r="D415" s="44">
        <v>200</v>
      </c>
      <c r="E415" s="44" t="s">
        <v>146</v>
      </c>
      <c r="F415" s="44" t="s">
        <v>147</v>
      </c>
      <c r="G415" s="44"/>
      <c r="H415" s="44" t="s">
        <v>2454</v>
      </c>
      <c r="I415" s="44">
        <v>29</v>
      </c>
      <c r="J415" s="44">
        <v>266</v>
      </c>
      <c r="K415" s="44"/>
      <c r="L415" s="44">
        <v>0</v>
      </c>
      <c r="M415" s="44">
        <v>0</v>
      </c>
      <c r="N415" s="44" t="s">
        <v>2455</v>
      </c>
      <c r="O415" s="44">
        <v>35</v>
      </c>
      <c r="P415" s="44">
        <v>256</v>
      </c>
      <c r="Q415" s="44"/>
      <c r="R415" s="44"/>
      <c r="S415" s="44" t="s">
        <v>2456</v>
      </c>
      <c r="T415" s="44">
        <v>9</v>
      </c>
      <c r="U415" s="44"/>
      <c r="V415" s="44">
        <v>0</v>
      </c>
      <c r="W415" s="44"/>
      <c r="X415" s="44"/>
      <c r="Y415" s="44"/>
      <c r="Z415" s="44"/>
      <c r="AA415" s="44"/>
      <c r="AB415" s="44" t="s">
        <v>2453</v>
      </c>
      <c r="AC415" s="44"/>
      <c r="AD415" s="44"/>
      <c r="AE415" s="44"/>
      <c r="AF415" s="44"/>
      <c r="AG415" s="44"/>
      <c r="AH415" s="44">
        <v>316803</v>
      </c>
      <c r="AI415" s="44">
        <v>66461</v>
      </c>
      <c r="AJ415" s="44">
        <v>66461</v>
      </c>
      <c r="AK415" s="44">
        <v>25.898721863000002</v>
      </c>
      <c r="AL415" s="44"/>
      <c r="AM415" s="44">
        <v>139</v>
      </c>
      <c r="AN415" s="44"/>
      <c r="AO415" s="44"/>
      <c r="AP415" s="44"/>
      <c r="AQ415" s="44"/>
      <c r="AR415" s="44"/>
      <c r="AS415" s="44">
        <v>0</v>
      </c>
      <c r="AT415" s="44">
        <v>2</v>
      </c>
      <c r="AU415" s="44"/>
      <c r="AV415" s="44">
        <v>7</v>
      </c>
      <c r="AW415" s="44">
        <v>3</v>
      </c>
      <c r="AX415" s="44">
        <v>0</v>
      </c>
      <c r="AY415" s="44">
        <v>2.88</v>
      </c>
      <c r="AZ415" s="44">
        <v>106</v>
      </c>
      <c r="BA415" s="44">
        <v>55</v>
      </c>
      <c r="BB415" s="44">
        <v>0</v>
      </c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 t="s">
        <v>151</v>
      </c>
      <c r="BQ415" s="44" t="s">
        <v>2410</v>
      </c>
      <c r="BR415" s="44" t="s">
        <v>2457</v>
      </c>
      <c r="BS415" s="44" t="s">
        <v>2455</v>
      </c>
      <c r="BT415" s="44" t="s">
        <v>195</v>
      </c>
      <c r="BU415" s="44" t="s">
        <v>150</v>
      </c>
      <c r="BV415" s="44" t="s">
        <v>154</v>
      </c>
      <c r="BW415" s="44" t="s">
        <v>155</v>
      </c>
      <c r="BX415" s="44" t="s">
        <v>2475</v>
      </c>
      <c r="BY415" s="44" t="s">
        <v>2475</v>
      </c>
      <c r="BZ415" s="44" t="s">
        <v>2453</v>
      </c>
      <c r="CA415" s="44" t="s">
        <v>2457</v>
      </c>
      <c r="CB415" s="44" t="s">
        <v>2455</v>
      </c>
      <c r="CC415" s="44" t="s">
        <v>156</v>
      </c>
      <c r="CD415" s="44" t="s">
        <v>157</v>
      </c>
      <c r="CE415" s="44"/>
      <c r="CF415" s="44"/>
      <c r="CG415" s="44"/>
      <c r="CH415" s="44"/>
      <c r="CI415" s="44"/>
      <c r="CJ415" s="44" t="s">
        <v>2453</v>
      </c>
      <c r="CK415" s="44" t="s">
        <v>2480</v>
      </c>
    </row>
    <row r="416" spans="1:89" x14ac:dyDescent="0.3">
      <c r="A416" s="44" t="s">
        <v>2458</v>
      </c>
      <c r="B416" s="44" t="s">
        <v>7</v>
      </c>
      <c r="C416" s="44" t="s">
        <v>145</v>
      </c>
      <c r="D416" s="44">
        <v>200</v>
      </c>
      <c r="E416" s="44" t="s">
        <v>146</v>
      </c>
      <c r="F416" s="44" t="s">
        <v>147</v>
      </c>
      <c r="G416" s="44"/>
      <c r="H416" s="44" t="s">
        <v>2459</v>
      </c>
      <c r="I416" s="44">
        <v>29</v>
      </c>
      <c r="J416" s="44">
        <v>266</v>
      </c>
      <c r="K416" s="44"/>
      <c r="L416" s="44">
        <v>0</v>
      </c>
      <c r="M416" s="44">
        <v>0</v>
      </c>
      <c r="N416" s="44"/>
      <c r="O416" s="44">
        <v>0</v>
      </c>
      <c r="P416" s="44">
        <v>0</v>
      </c>
      <c r="Q416" s="44"/>
      <c r="R416" s="44"/>
      <c r="S416" s="44" t="s">
        <v>2460</v>
      </c>
      <c r="T416" s="44">
        <v>9</v>
      </c>
      <c r="U416" s="44"/>
      <c r="V416" s="44">
        <v>0</v>
      </c>
      <c r="W416" s="44"/>
      <c r="X416" s="44"/>
      <c r="Y416" s="44"/>
      <c r="Z416" s="44"/>
      <c r="AA416" s="44"/>
      <c r="AB416" s="44" t="s">
        <v>2458</v>
      </c>
      <c r="AC416" s="44"/>
      <c r="AD416" s="44"/>
      <c r="AE416" s="44"/>
      <c r="AF416" s="44"/>
      <c r="AG416" s="44"/>
      <c r="AH416" s="44">
        <v>316823</v>
      </c>
      <c r="AI416" s="44">
        <v>66756</v>
      </c>
      <c r="AJ416" s="44">
        <v>66756</v>
      </c>
      <c r="AK416" s="44">
        <v>26.013678348000003</v>
      </c>
      <c r="AL416" s="44"/>
      <c r="AM416" s="44">
        <v>133</v>
      </c>
      <c r="AN416" s="44"/>
      <c r="AO416" s="44"/>
      <c r="AP416" s="44"/>
      <c r="AQ416" s="44"/>
      <c r="AR416" s="44"/>
      <c r="AS416" s="44">
        <v>0</v>
      </c>
      <c r="AT416" s="44">
        <v>2</v>
      </c>
      <c r="AU416" s="44"/>
      <c r="AV416" s="44">
        <v>7</v>
      </c>
      <c r="AW416" s="44">
        <v>3</v>
      </c>
      <c r="AX416" s="44">
        <v>0</v>
      </c>
      <c r="AY416" s="44">
        <v>2.88</v>
      </c>
      <c r="AZ416" s="44">
        <v>106</v>
      </c>
      <c r="BA416" s="44">
        <v>55</v>
      </c>
      <c r="BB416" s="44">
        <v>0</v>
      </c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 t="s">
        <v>151</v>
      </c>
      <c r="BQ416" s="44" t="s">
        <v>2410</v>
      </c>
      <c r="BR416" s="44" t="s">
        <v>2461</v>
      </c>
      <c r="BS416" s="44" t="s">
        <v>149</v>
      </c>
      <c r="BT416" s="44" t="s">
        <v>195</v>
      </c>
      <c r="BU416" s="44" t="s">
        <v>150</v>
      </c>
      <c r="BV416" s="44" t="s">
        <v>154</v>
      </c>
      <c r="BW416" s="44" t="s">
        <v>155</v>
      </c>
      <c r="BX416" s="44" t="s">
        <v>2475</v>
      </c>
      <c r="BY416" s="44" t="s">
        <v>2475</v>
      </c>
      <c r="BZ416" s="44" t="s">
        <v>2458</v>
      </c>
      <c r="CA416" s="44" t="s">
        <v>2461</v>
      </c>
      <c r="CB416" s="44" t="s">
        <v>149</v>
      </c>
      <c r="CC416" s="44" t="s">
        <v>156</v>
      </c>
      <c r="CD416" s="44" t="s">
        <v>157</v>
      </c>
      <c r="CE416" s="44"/>
      <c r="CF416" s="44"/>
      <c r="CG416" s="44"/>
      <c r="CH416" s="44"/>
      <c r="CI416" s="44"/>
      <c r="CJ416" s="44" t="s">
        <v>2458</v>
      </c>
      <c r="CK416" s="44" t="s">
        <v>2481</v>
      </c>
    </row>
    <row r="417" spans="1:89" x14ac:dyDescent="0.3">
      <c r="A417" s="44" t="s">
        <v>2423</v>
      </c>
      <c r="B417" s="44" t="s">
        <v>7</v>
      </c>
      <c r="C417" s="44" t="s">
        <v>145</v>
      </c>
      <c r="D417" s="44">
        <v>200</v>
      </c>
      <c r="E417" s="44" t="s">
        <v>146</v>
      </c>
      <c r="F417" s="44" t="s">
        <v>147</v>
      </c>
      <c r="G417" s="44"/>
      <c r="H417" s="44" t="s">
        <v>2424</v>
      </c>
      <c r="I417" s="44">
        <v>29</v>
      </c>
      <c r="J417" s="44">
        <v>266</v>
      </c>
      <c r="K417" s="44"/>
      <c r="L417" s="44">
        <v>0</v>
      </c>
      <c r="M417" s="44">
        <v>0</v>
      </c>
      <c r="N417" s="44" t="s">
        <v>2425</v>
      </c>
      <c r="O417" s="44">
        <v>37</v>
      </c>
      <c r="P417" s="44">
        <v>266</v>
      </c>
      <c r="Q417" s="44"/>
      <c r="R417" s="44"/>
      <c r="S417" s="44" t="s">
        <v>2426</v>
      </c>
      <c r="T417" s="44">
        <v>9</v>
      </c>
      <c r="U417" s="44"/>
      <c r="V417" s="44">
        <v>0</v>
      </c>
      <c r="W417" s="44"/>
      <c r="X417" s="44"/>
      <c r="Y417" s="44"/>
      <c r="Z417" s="44"/>
      <c r="AA417" s="44"/>
      <c r="AB417" s="44" t="s">
        <v>2423</v>
      </c>
      <c r="AC417" s="44"/>
      <c r="AD417" s="44"/>
      <c r="AE417" s="44"/>
      <c r="AF417" s="44"/>
      <c r="AG417" s="44"/>
      <c r="AH417" s="44">
        <v>316570</v>
      </c>
      <c r="AI417" s="44">
        <v>66399</v>
      </c>
      <c r="AJ417" s="44">
        <v>66399</v>
      </c>
      <c r="AK417" s="44">
        <v>25.874561517</v>
      </c>
      <c r="AL417" s="44"/>
      <c r="AM417" s="44">
        <v>139</v>
      </c>
      <c r="AN417" s="44"/>
      <c r="AO417" s="44"/>
      <c r="AP417" s="44"/>
      <c r="AQ417" s="44"/>
      <c r="AR417" s="44"/>
      <c r="AS417" s="44">
        <v>0</v>
      </c>
      <c r="AT417" s="44">
        <v>2</v>
      </c>
      <c r="AU417" s="44"/>
      <c r="AV417" s="44">
        <v>7</v>
      </c>
      <c r="AW417" s="44">
        <v>3</v>
      </c>
      <c r="AX417" s="44">
        <v>0</v>
      </c>
      <c r="AY417" s="44">
        <v>2.88</v>
      </c>
      <c r="AZ417" s="44">
        <v>106</v>
      </c>
      <c r="BA417" s="44">
        <v>55</v>
      </c>
      <c r="BB417" s="44">
        <v>0</v>
      </c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 t="s">
        <v>151</v>
      </c>
      <c r="BQ417" s="44" t="s">
        <v>2410</v>
      </c>
      <c r="BR417" s="44" t="s">
        <v>2427</v>
      </c>
      <c r="BS417" s="44" t="s">
        <v>2425</v>
      </c>
      <c r="BT417" s="44" t="s">
        <v>195</v>
      </c>
      <c r="BU417" s="44" t="s">
        <v>150</v>
      </c>
      <c r="BV417" s="44" t="s">
        <v>154</v>
      </c>
      <c r="BW417" s="44" t="s">
        <v>155</v>
      </c>
      <c r="BX417" s="44" t="s">
        <v>2475</v>
      </c>
      <c r="BY417" s="44" t="s">
        <v>2475</v>
      </c>
      <c r="BZ417" s="44" t="s">
        <v>2423</v>
      </c>
      <c r="CA417" s="44" t="s">
        <v>2427</v>
      </c>
      <c r="CB417" s="44" t="s">
        <v>2425</v>
      </c>
      <c r="CC417" s="44" t="s">
        <v>156</v>
      </c>
      <c r="CD417" s="44" t="s">
        <v>157</v>
      </c>
      <c r="CE417" s="44"/>
      <c r="CF417" s="44"/>
      <c r="CG417" s="44"/>
      <c r="CH417" s="44"/>
      <c r="CI417" s="44"/>
      <c r="CJ417" s="44" t="s">
        <v>2423</v>
      </c>
      <c r="CK417" s="44" t="s">
        <v>2481</v>
      </c>
    </row>
    <row r="418" spans="1:89" x14ac:dyDescent="0.3">
      <c r="A418" s="44" t="s">
        <v>2430</v>
      </c>
      <c r="B418" s="44" t="s">
        <v>7</v>
      </c>
      <c r="C418" s="44" t="s">
        <v>145</v>
      </c>
      <c r="D418" s="44">
        <v>200</v>
      </c>
      <c r="E418" s="44" t="s">
        <v>146</v>
      </c>
      <c r="F418" s="44" t="s">
        <v>147</v>
      </c>
      <c r="G418" s="44"/>
      <c r="H418" s="44" t="s">
        <v>2431</v>
      </c>
      <c r="I418" s="44">
        <v>29</v>
      </c>
      <c r="J418" s="44">
        <v>266</v>
      </c>
      <c r="K418" s="44"/>
      <c r="L418" s="44">
        <v>0</v>
      </c>
      <c r="M418" s="44">
        <v>0</v>
      </c>
      <c r="N418" s="44" t="s">
        <v>2432</v>
      </c>
      <c r="O418" s="44">
        <v>9</v>
      </c>
      <c r="P418" s="44">
        <v>56</v>
      </c>
      <c r="Q418" s="44"/>
      <c r="R418" s="44"/>
      <c r="S418" s="44" t="s">
        <v>2433</v>
      </c>
      <c r="T418" s="44">
        <v>9</v>
      </c>
      <c r="U418" s="44"/>
      <c r="V418" s="44">
        <v>0</v>
      </c>
      <c r="W418" s="44"/>
      <c r="X418" s="44"/>
      <c r="Y418" s="44"/>
      <c r="Z418" s="44"/>
      <c r="AA418" s="44"/>
      <c r="AB418" s="44" t="s">
        <v>2430</v>
      </c>
      <c r="AC418" s="44"/>
      <c r="AD418" s="44"/>
      <c r="AE418" s="44"/>
      <c r="AF418" s="44"/>
      <c r="AG418" s="44"/>
      <c r="AH418" s="44">
        <v>316194</v>
      </c>
      <c r="AI418" s="44">
        <v>66203</v>
      </c>
      <c r="AJ418" s="44">
        <v>66203</v>
      </c>
      <c r="AK418" s="44">
        <v>25.798183649000002</v>
      </c>
      <c r="AL418" s="44"/>
      <c r="AM418" s="44">
        <v>137</v>
      </c>
      <c r="AN418" s="44"/>
      <c r="AO418" s="44"/>
      <c r="AP418" s="44"/>
      <c r="AQ418" s="44"/>
      <c r="AR418" s="44"/>
      <c r="AS418" s="44">
        <v>0</v>
      </c>
      <c r="AT418" s="44">
        <v>2</v>
      </c>
      <c r="AU418" s="44"/>
      <c r="AV418" s="44">
        <v>7</v>
      </c>
      <c r="AW418" s="44">
        <v>3</v>
      </c>
      <c r="AX418" s="44">
        <v>0</v>
      </c>
      <c r="AY418" s="44">
        <v>2.88</v>
      </c>
      <c r="AZ418" s="44">
        <v>107</v>
      </c>
      <c r="BA418" s="44">
        <v>55</v>
      </c>
      <c r="BB418" s="44">
        <v>0</v>
      </c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 t="s">
        <v>151</v>
      </c>
      <c r="BQ418" s="44" t="s">
        <v>2410</v>
      </c>
      <c r="BR418" s="44" t="s">
        <v>2434</v>
      </c>
      <c r="BS418" s="44" t="s">
        <v>2432</v>
      </c>
      <c r="BT418" s="44" t="s">
        <v>195</v>
      </c>
      <c r="BU418" s="44" t="s">
        <v>150</v>
      </c>
      <c r="BV418" s="44" t="s">
        <v>154</v>
      </c>
      <c r="BW418" s="44" t="s">
        <v>155</v>
      </c>
      <c r="BX418" s="44" t="s">
        <v>2475</v>
      </c>
      <c r="BY418" s="44" t="s">
        <v>2475</v>
      </c>
      <c r="BZ418" s="44" t="s">
        <v>2430</v>
      </c>
      <c r="CA418" s="44" t="s">
        <v>2434</v>
      </c>
      <c r="CB418" s="44" t="s">
        <v>2432</v>
      </c>
      <c r="CC418" s="44" t="s">
        <v>156</v>
      </c>
      <c r="CD418" s="44" t="s">
        <v>157</v>
      </c>
      <c r="CE418" s="44"/>
      <c r="CF418" s="44"/>
      <c r="CG418" s="44"/>
      <c r="CH418" s="44"/>
      <c r="CI418" s="44"/>
      <c r="CJ418" s="44" t="s">
        <v>2430</v>
      </c>
      <c r="CK418" s="44" t="s">
        <v>2482</v>
      </c>
    </row>
    <row r="419" spans="1:89" x14ac:dyDescent="0.3">
      <c r="A419" s="44" t="s">
        <v>2435</v>
      </c>
      <c r="B419" s="44" t="s">
        <v>7</v>
      </c>
      <c r="C419" s="44" t="s">
        <v>145</v>
      </c>
      <c r="D419" s="44">
        <v>200</v>
      </c>
      <c r="E419" s="44" t="s">
        <v>146</v>
      </c>
      <c r="F419" s="44" t="s">
        <v>147</v>
      </c>
      <c r="G419" s="44"/>
      <c r="H419" s="44" t="s">
        <v>2436</v>
      </c>
      <c r="I419" s="44">
        <v>29</v>
      </c>
      <c r="J419" s="44">
        <v>266</v>
      </c>
      <c r="K419" s="44"/>
      <c r="L419" s="44">
        <v>0</v>
      </c>
      <c r="M419" s="44">
        <v>0</v>
      </c>
      <c r="N419" s="44" t="s">
        <v>2437</v>
      </c>
      <c r="O419" s="44">
        <v>320</v>
      </c>
      <c r="P419" s="44">
        <v>2131</v>
      </c>
      <c r="Q419" s="44"/>
      <c r="R419" s="44"/>
      <c r="S419" s="44" t="s">
        <v>2438</v>
      </c>
      <c r="T419" s="44">
        <v>9</v>
      </c>
      <c r="U419" s="44"/>
      <c r="V419" s="44">
        <v>0</v>
      </c>
      <c r="W419" s="44"/>
      <c r="X419" s="44"/>
      <c r="Y419" s="44"/>
      <c r="Z419" s="44"/>
      <c r="AA419" s="44"/>
      <c r="AB419" s="44" t="s">
        <v>2435</v>
      </c>
      <c r="AC419" s="44"/>
      <c r="AD419" s="44"/>
      <c r="AE419" s="44"/>
      <c r="AF419" s="44"/>
      <c r="AG419" s="44"/>
      <c r="AH419" s="44">
        <v>319875</v>
      </c>
      <c r="AI419" s="44">
        <v>66129</v>
      </c>
      <c r="AJ419" s="44">
        <v>66129</v>
      </c>
      <c r="AK419" s="44">
        <v>25.769347107000002</v>
      </c>
      <c r="AL419" s="44"/>
      <c r="AM419" s="44">
        <v>135</v>
      </c>
      <c r="AN419" s="44"/>
      <c r="AO419" s="44"/>
      <c r="AP419" s="44"/>
      <c r="AQ419" s="44"/>
      <c r="AR419" s="44"/>
      <c r="AS419" s="44">
        <v>0</v>
      </c>
      <c r="AT419" s="44">
        <v>2</v>
      </c>
      <c r="AU419" s="44"/>
      <c r="AV419" s="44">
        <v>7</v>
      </c>
      <c r="AW419" s="44">
        <v>3</v>
      </c>
      <c r="AX419" s="44">
        <v>0</v>
      </c>
      <c r="AY419" s="44">
        <v>2.88</v>
      </c>
      <c r="AZ419" s="44">
        <v>106</v>
      </c>
      <c r="BA419" s="44">
        <v>55</v>
      </c>
      <c r="BB419" s="44">
        <v>0</v>
      </c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 t="s">
        <v>151</v>
      </c>
      <c r="BQ419" s="44" t="s">
        <v>2410</v>
      </c>
      <c r="BR419" s="44" t="s">
        <v>2439</v>
      </c>
      <c r="BS419" s="44" t="s">
        <v>2437</v>
      </c>
      <c r="BT419" s="44" t="s">
        <v>195</v>
      </c>
      <c r="BU419" s="44" t="s">
        <v>150</v>
      </c>
      <c r="BV419" s="44" t="s">
        <v>154</v>
      </c>
      <c r="BW419" s="44" t="s">
        <v>155</v>
      </c>
      <c r="BX419" s="44" t="s">
        <v>2475</v>
      </c>
      <c r="BY419" s="44" t="s">
        <v>2475</v>
      </c>
      <c r="BZ419" s="44" t="s">
        <v>2435</v>
      </c>
      <c r="CA419" s="44" t="s">
        <v>2439</v>
      </c>
      <c r="CB419" s="44" t="s">
        <v>2437</v>
      </c>
      <c r="CC419" s="44" t="s">
        <v>156</v>
      </c>
      <c r="CD419" s="44" t="s">
        <v>157</v>
      </c>
      <c r="CE419" s="44"/>
      <c r="CF419" s="44"/>
      <c r="CG419" s="44"/>
      <c r="CH419" s="44"/>
      <c r="CI419" s="44"/>
      <c r="CJ419" s="44" t="s">
        <v>2435</v>
      </c>
      <c r="CK419" s="44" t="s">
        <v>2482</v>
      </c>
    </row>
    <row r="420" spans="1:89" x14ac:dyDescent="0.3">
      <c r="A420" s="44" t="s">
        <v>2440</v>
      </c>
      <c r="B420" s="44" t="s">
        <v>7</v>
      </c>
      <c r="C420" s="44" t="s">
        <v>145</v>
      </c>
      <c r="D420" s="44">
        <v>200</v>
      </c>
      <c r="E420" s="44" t="s">
        <v>146</v>
      </c>
      <c r="F420" s="44" t="s">
        <v>147</v>
      </c>
      <c r="G420" s="44"/>
      <c r="H420" s="44" t="s">
        <v>2441</v>
      </c>
      <c r="I420" s="44">
        <v>29</v>
      </c>
      <c r="J420" s="44">
        <v>266</v>
      </c>
      <c r="K420" s="44"/>
      <c r="L420" s="44">
        <v>0</v>
      </c>
      <c r="M420" s="44">
        <v>0</v>
      </c>
      <c r="N420" s="44" t="s">
        <v>2442</v>
      </c>
      <c r="O420" s="44">
        <v>62</v>
      </c>
      <c r="P420" s="44">
        <v>395</v>
      </c>
      <c r="Q420" s="44"/>
      <c r="R420" s="44"/>
      <c r="S420" s="44" t="s">
        <v>2443</v>
      </c>
      <c r="T420" s="44">
        <v>9</v>
      </c>
      <c r="U420" s="44"/>
      <c r="V420" s="44">
        <v>0</v>
      </c>
      <c r="W420" s="44"/>
      <c r="X420" s="44"/>
      <c r="Y420" s="44"/>
      <c r="Z420" s="44"/>
      <c r="AA420" s="44"/>
      <c r="AB420" s="44" t="s">
        <v>2440</v>
      </c>
      <c r="AC420" s="44"/>
      <c r="AD420" s="44"/>
      <c r="AE420" s="44"/>
      <c r="AF420" s="44"/>
      <c r="AG420" s="44"/>
      <c r="AH420" s="44">
        <v>316558</v>
      </c>
      <c r="AI420" s="44">
        <v>66445</v>
      </c>
      <c r="AJ420" s="44">
        <v>66445</v>
      </c>
      <c r="AK420" s="44">
        <v>25.892486935000001</v>
      </c>
      <c r="AL420" s="44"/>
      <c r="AM420" s="44">
        <v>169</v>
      </c>
      <c r="AN420" s="44"/>
      <c r="AO420" s="44"/>
      <c r="AP420" s="44"/>
      <c r="AQ420" s="44"/>
      <c r="AR420" s="44"/>
      <c r="AS420" s="44">
        <v>0</v>
      </c>
      <c r="AT420" s="44">
        <v>2</v>
      </c>
      <c r="AU420" s="44"/>
      <c r="AV420" s="44">
        <v>7</v>
      </c>
      <c r="AW420" s="44">
        <v>3</v>
      </c>
      <c r="AX420" s="44">
        <v>0</v>
      </c>
      <c r="AY420" s="44">
        <v>2.88</v>
      </c>
      <c r="AZ420" s="44">
        <v>106</v>
      </c>
      <c r="BA420" s="44">
        <v>55</v>
      </c>
      <c r="BB420" s="44">
        <v>0</v>
      </c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 t="s">
        <v>151</v>
      </c>
      <c r="BQ420" s="44" t="s">
        <v>2410</v>
      </c>
      <c r="BR420" s="44" t="s">
        <v>2444</v>
      </c>
      <c r="BS420" s="44" t="s">
        <v>2442</v>
      </c>
      <c r="BT420" s="44" t="s">
        <v>195</v>
      </c>
      <c r="BU420" s="44" t="s">
        <v>150</v>
      </c>
      <c r="BV420" s="44" t="s">
        <v>154</v>
      </c>
      <c r="BW420" s="44" t="s">
        <v>155</v>
      </c>
      <c r="BX420" s="44" t="s">
        <v>2475</v>
      </c>
      <c r="BY420" s="44" t="s">
        <v>2475</v>
      </c>
      <c r="BZ420" s="44" t="s">
        <v>2440</v>
      </c>
      <c r="CA420" s="44" t="s">
        <v>2444</v>
      </c>
      <c r="CB420" s="44" t="s">
        <v>2442</v>
      </c>
      <c r="CC420" s="44" t="s">
        <v>156</v>
      </c>
      <c r="CD420" s="44" t="s">
        <v>157</v>
      </c>
      <c r="CE420" s="44"/>
      <c r="CF420" s="44"/>
      <c r="CG420" s="44"/>
      <c r="CH420" s="44"/>
      <c r="CI420" s="44"/>
      <c r="CJ420" s="44" t="s">
        <v>2440</v>
      </c>
      <c r="CK420" s="44" t="s">
        <v>2483</v>
      </c>
    </row>
    <row r="421" spans="1:89" x14ac:dyDescent="0.3">
      <c r="A421" s="44" t="s">
        <v>2413</v>
      </c>
      <c r="B421" s="44" t="s">
        <v>7</v>
      </c>
      <c r="C421" s="44" t="s">
        <v>145</v>
      </c>
      <c r="D421" s="44">
        <v>200</v>
      </c>
      <c r="E421" s="44" t="s">
        <v>146</v>
      </c>
      <c r="F421" s="44" t="s">
        <v>147</v>
      </c>
      <c r="G421" s="44"/>
      <c r="H421" s="44" t="s">
        <v>2414</v>
      </c>
      <c r="I421" s="44">
        <v>29</v>
      </c>
      <c r="J421" s="44">
        <v>266</v>
      </c>
      <c r="K421" s="44"/>
      <c r="L421" s="44">
        <v>0</v>
      </c>
      <c r="M421" s="44">
        <v>0</v>
      </c>
      <c r="N421" s="44" t="s">
        <v>2415</v>
      </c>
      <c r="O421" s="44">
        <v>11</v>
      </c>
      <c r="P421" s="44">
        <v>63</v>
      </c>
      <c r="Q421" s="44"/>
      <c r="R421" s="44"/>
      <c r="S421" s="44" t="s">
        <v>2416</v>
      </c>
      <c r="T421" s="44">
        <v>9</v>
      </c>
      <c r="U421" s="44"/>
      <c r="V421" s="44">
        <v>0</v>
      </c>
      <c r="W421" s="44"/>
      <c r="X421" s="44"/>
      <c r="Y421" s="44"/>
      <c r="Z421" s="44"/>
      <c r="AA421" s="44"/>
      <c r="AB421" s="44" t="s">
        <v>2413</v>
      </c>
      <c r="AC421" s="44"/>
      <c r="AD421" s="44"/>
      <c r="AE421" s="44"/>
      <c r="AF421" s="44"/>
      <c r="AG421" s="44"/>
      <c r="AH421" s="44">
        <v>316261</v>
      </c>
      <c r="AI421" s="44">
        <v>66361</v>
      </c>
      <c r="AJ421" s="44">
        <v>66361</v>
      </c>
      <c r="AK421" s="44">
        <v>25.859753563000002</v>
      </c>
      <c r="AL421" s="44"/>
      <c r="AM421" s="44">
        <v>145</v>
      </c>
      <c r="AN421" s="44"/>
      <c r="AO421" s="44"/>
      <c r="AP421" s="44"/>
      <c r="AQ421" s="44"/>
      <c r="AR421" s="44"/>
      <c r="AS421" s="44">
        <v>0</v>
      </c>
      <c r="AT421" s="44">
        <v>2</v>
      </c>
      <c r="AU421" s="44"/>
      <c r="AV421" s="44">
        <v>7</v>
      </c>
      <c r="AW421" s="44">
        <v>3</v>
      </c>
      <c r="AX421" s="44">
        <v>0</v>
      </c>
      <c r="AY421" s="44">
        <v>2.88</v>
      </c>
      <c r="AZ421" s="44">
        <v>106</v>
      </c>
      <c r="BA421" s="44">
        <v>55</v>
      </c>
      <c r="BB421" s="44">
        <v>0</v>
      </c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 t="s">
        <v>151</v>
      </c>
      <c r="BQ421" s="44" t="s">
        <v>2410</v>
      </c>
      <c r="BR421" s="44" t="s">
        <v>2417</v>
      </c>
      <c r="BS421" s="44" t="s">
        <v>2415</v>
      </c>
      <c r="BT421" s="44" t="s">
        <v>195</v>
      </c>
      <c r="BU421" s="44" t="s">
        <v>150</v>
      </c>
      <c r="BV421" s="44" t="s">
        <v>154</v>
      </c>
      <c r="BW421" s="44" t="s">
        <v>155</v>
      </c>
      <c r="BX421" s="44" t="s">
        <v>2475</v>
      </c>
      <c r="BY421" s="44" t="s">
        <v>2475</v>
      </c>
      <c r="BZ421" s="44" t="s">
        <v>2413</v>
      </c>
      <c r="CA421" s="44" t="s">
        <v>2417</v>
      </c>
      <c r="CB421" s="44" t="s">
        <v>2415</v>
      </c>
      <c r="CC421" s="44" t="s">
        <v>156</v>
      </c>
      <c r="CD421" s="44" t="s">
        <v>157</v>
      </c>
      <c r="CE421" s="44"/>
      <c r="CF421" s="44"/>
      <c r="CG421" s="44"/>
      <c r="CH421" s="44"/>
      <c r="CI421" s="44"/>
      <c r="CJ421" s="44" t="s">
        <v>2413</v>
      </c>
      <c r="CK421" s="44" t="s">
        <v>2483</v>
      </c>
    </row>
    <row r="422" spans="1:89" x14ac:dyDescent="0.3">
      <c r="A422" s="44" t="s">
        <v>2418</v>
      </c>
      <c r="B422" s="44" t="s">
        <v>7</v>
      </c>
      <c r="C422" s="44" t="s">
        <v>145</v>
      </c>
      <c r="D422" s="44">
        <v>200</v>
      </c>
      <c r="E422" s="44" t="s">
        <v>146</v>
      </c>
      <c r="F422" s="44" t="s">
        <v>147</v>
      </c>
      <c r="G422" s="44"/>
      <c r="H422" s="44" t="s">
        <v>2419</v>
      </c>
      <c r="I422" s="44">
        <v>29</v>
      </c>
      <c r="J422" s="44">
        <v>266</v>
      </c>
      <c r="K422" s="44"/>
      <c r="L422" s="44">
        <v>0</v>
      </c>
      <c r="M422" s="44">
        <v>0</v>
      </c>
      <c r="N422" s="44" t="s">
        <v>2420</v>
      </c>
      <c r="O422" s="44">
        <v>6</v>
      </c>
      <c r="P422" s="44">
        <v>48</v>
      </c>
      <c r="Q422" s="44"/>
      <c r="R422" s="44"/>
      <c r="S422" s="44" t="s">
        <v>2421</v>
      </c>
      <c r="T422" s="44">
        <v>9</v>
      </c>
      <c r="U422" s="44"/>
      <c r="V422" s="44">
        <v>0</v>
      </c>
      <c r="W422" s="44"/>
      <c r="X422" s="44"/>
      <c r="Y422" s="44"/>
      <c r="Z422" s="44"/>
      <c r="AA422" s="44"/>
      <c r="AB422" s="44" t="s">
        <v>2418</v>
      </c>
      <c r="AC422" s="44"/>
      <c r="AD422" s="44"/>
      <c r="AE422" s="44"/>
      <c r="AF422" s="44"/>
      <c r="AG422" s="44"/>
      <c r="AH422" s="44">
        <v>316041</v>
      </c>
      <c r="AI422" s="44">
        <v>66314</v>
      </c>
      <c r="AJ422" s="44">
        <v>66314</v>
      </c>
      <c r="AK422" s="44">
        <v>25.841438462000003</v>
      </c>
      <c r="AL422" s="44"/>
      <c r="AM422" s="44">
        <v>135</v>
      </c>
      <c r="AN422" s="44"/>
      <c r="AO422" s="44"/>
      <c r="AP422" s="44"/>
      <c r="AQ422" s="44"/>
      <c r="AR422" s="44"/>
      <c r="AS422" s="44">
        <v>0</v>
      </c>
      <c r="AT422" s="44">
        <v>2</v>
      </c>
      <c r="AU422" s="44"/>
      <c r="AV422" s="44">
        <v>6</v>
      </c>
      <c r="AW422" s="44">
        <v>2</v>
      </c>
      <c r="AX422" s="44">
        <v>0</v>
      </c>
      <c r="AY422" s="44">
        <v>1.92</v>
      </c>
      <c r="AZ422" s="44">
        <v>106</v>
      </c>
      <c r="BA422" s="44">
        <v>55</v>
      </c>
      <c r="BB422" s="44">
        <v>0</v>
      </c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 t="s">
        <v>151</v>
      </c>
      <c r="BQ422" s="44" t="s">
        <v>2410</v>
      </c>
      <c r="BR422" s="44" t="s">
        <v>2422</v>
      </c>
      <c r="BS422" s="44" t="s">
        <v>2420</v>
      </c>
      <c r="BT422" s="44" t="s">
        <v>195</v>
      </c>
      <c r="BU422" s="44" t="s">
        <v>150</v>
      </c>
      <c r="BV422" s="44" t="s">
        <v>154</v>
      </c>
      <c r="BW422" s="44" t="s">
        <v>155</v>
      </c>
      <c r="BX422" s="44" t="s">
        <v>2475</v>
      </c>
      <c r="BY422" s="44" t="s">
        <v>2475</v>
      </c>
      <c r="BZ422" s="44" t="s">
        <v>2418</v>
      </c>
      <c r="CA422" s="44" t="s">
        <v>2422</v>
      </c>
      <c r="CB422" s="44" t="s">
        <v>2420</v>
      </c>
      <c r="CC422" s="44" t="s">
        <v>156</v>
      </c>
      <c r="CD422" s="44" t="s">
        <v>157</v>
      </c>
      <c r="CE422" s="44"/>
      <c r="CF422" s="44"/>
      <c r="CG422" s="44"/>
      <c r="CH422" s="44"/>
      <c r="CI422" s="44"/>
      <c r="CJ422" s="44" t="s">
        <v>2418</v>
      </c>
      <c r="CK422" s="44" t="s">
        <v>2484</v>
      </c>
    </row>
    <row r="423" spans="1:89" x14ac:dyDescent="0.3">
      <c r="A423" s="44" t="s">
        <v>2485</v>
      </c>
      <c r="B423" s="44"/>
      <c r="C423" s="44" t="s">
        <v>145</v>
      </c>
      <c r="D423" s="44">
        <v>302</v>
      </c>
      <c r="E423" s="44" t="s">
        <v>165</v>
      </c>
      <c r="F423" s="44" t="s">
        <v>161</v>
      </c>
      <c r="G423" s="44" t="s">
        <v>166</v>
      </c>
      <c r="H423" s="44"/>
      <c r="I423" s="44">
        <v>0</v>
      </c>
      <c r="J423" s="44">
        <v>0</v>
      </c>
      <c r="K423" s="44"/>
      <c r="L423" s="44">
        <v>0</v>
      </c>
      <c r="M423" s="44">
        <v>0</v>
      </c>
      <c r="N423" s="44"/>
      <c r="O423" s="44">
        <v>0</v>
      </c>
      <c r="P423" s="44">
        <v>0</v>
      </c>
      <c r="Q423" s="44"/>
      <c r="R423" s="44"/>
      <c r="S423" s="44"/>
      <c r="T423" s="44">
        <v>0</v>
      </c>
      <c r="U423" s="44"/>
      <c r="V423" s="44">
        <v>0</v>
      </c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>
        <v>51</v>
      </c>
      <c r="AI423" s="44">
        <v>51</v>
      </c>
      <c r="AJ423" s="44">
        <v>51</v>
      </c>
      <c r="AK423" s="44">
        <v>1.9873833E-2</v>
      </c>
      <c r="AL423" s="44"/>
      <c r="AM423" s="44">
        <v>0</v>
      </c>
      <c r="AN423" s="44"/>
      <c r="AO423" s="44"/>
      <c r="AP423" s="44"/>
      <c r="AQ423" s="44"/>
      <c r="AR423" s="44"/>
      <c r="AS423" s="44">
        <v>0</v>
      </c>
      <c r="AT423" s="44">
        <v>0</v>
      </c>
      <c r="AU423" s="44"/>
      <c r="AV423" s="44">
        <v>2</v>
      </c>
      <c r="AW423" s="44">
        <v>1</v>
      </c>
      <c r="AX423" s="44">
        <v>0</v>
      </c>
      <c r="AY423" s="44">
        <v>0.96</v>
      </c>
      <c r="AZ423" s="44">
        <v>0</v>
      </c>
      <c r="BA423" s="44">
        <v>0</v>
      </c>
      <c r="BB423" s="44">
        <v>0</v>
      </c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 t="s">
        <v>2486</v>
      </c>
      <c r="BN423" s="44" t="s">
        <v>168</v>
      </c>
      <c r="BO423" s="44"/>
      <c r="BP423" s="44"/>
      <c r="BQ423" s="44" t="s">
        <v>2410</v>
      </c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 t="s">
        <v>2485</v>
      </c>
      <c r="CK423" s="44" t="s">
        <v>2487</v>
      </c>
    </row>
    <row r="424" spans="1:89" x14ac:dyDescent="0.3">
      <c r="A424" s="44" t="s">
        <v>2486</v>
      </c>
      <c r="B424" s="44"/>
      <c r="C424" s="44" t="s">
        <v>145</v>
      </c>
      <c r="D424" s="44">
        <v>302</v>
      </c>
      <c r="E424" s="44" t="s">
        <v>165</v>
      </c>
      <c r="F424" s="44" t="s">
        <v>161</v>
      </c>
      <c r="G424" s="44" t="s">
        <v>166</v>
      </c>
      <c r="H424" s="44"/>
      <c r="I424" s="44">
        <v>0</v>
      </c>
      <c r="J424" s="44">
        <v>0</v>
      </c>
      <c r="K424" s="44"/>
      <c r="L424" s="44">
        <v>0</v>
      </c>
      <c r="M424" s="44">
        <v>0</v>
      </c>
      <c r="N424" s="44"/>
      <c r="O424" s="44">
        <v>0</v>
      </c>
      <c r="P424" s="44">
        <v>0</v>
      </c>
      <c r="Q424" s="44"/>
      <c r="R424" s="44"/>
      <c r="S424" s="44"/>
      <c r="T424" s="44">
        <v>0</v>
      </c>
      <c r="U424" s="44"/>
      <c r="V424" s="44">
        <v>0</v>
      </c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>
        <v>0</v>
      </c>
      <c r="AI424" s="44">
        <v>0</v>
      </c>
      <c r="AJ424" s="44">
        <v>0</v>
      </c>
      <c r="AK424" s="44">
        <v>0</v>
      </c>
      <c r="AL424" s="44"/>
      <c r="AM424" s="44">
        <v>0</v>
      </c>
      <c r="AN424" s="44"/>
      <c r="AO424" s="44"/>
      <c r="AP424" s="44"/>
      <c r="AQ424" s="44"/>
      <c r="AR424" s="44"/>
      <c r="AS424" s="44">
        <v>1</v>
      </c>
      <c r="AT424" s="44">
        <v>2</v>
      </c>
      <c r="AU424" s="44"/>
      <c r="AV424" s="44">
        <v>0</v>
      </c>
      <c r="AW424" s="44">
        <v>0</v>
      </c>
      <c r="AX424" s="44">
        <v>0</v>
      </c>
      <c r="AY424" s="44">
        <v>0</v>
      </c>
      <c r="AZ424" s="44">
        <v>0</v>
      </c>
      <c r="BA424" s="44">
        <v>0</v>
      </c>
      <c r="BB424" s="44">
        <v>0</v>
      </c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 t="s">
        <v>2488</v>
      </c>
      <c r="BN424" s="44" t="s">
        <v>168</v>
      </c>
      <c r="BO424" s="44"/>
      <c r="BP424" s="44"/>
      <c r="BQ424" s="44" t="s">
        <v>2410</v>
      </c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 t="s">
        <v>2486</v>
      </c>
      <c r="CK424" s="44" t="s">
        <v>2489</v>
      </c>
    </row>
  </sheetData>
  <phoneticPr fontId="2" type="noConversion"/>
  <conditionalFormatting sqref="A1:A424 A517:A1048576">
    <cfRule type="duplicateValues" dxfId="174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05"/>
  <sheetViews>
    <sheetView topLeftCell="A377" workbookViewId="0">
      <selection activeCell="A423" sqref="A423"/>
    </sheetView>
  </sheetViews>
  <sheetFormatPr defaultRowHeight="16.5" x14ac:dyDescent="0.3"/>
  <cols>
    <col min="1" max="1" width="99.875" bestFit="1" customWidth="1"/>
  </cols>
  <sheetData>
    <row r="1" spans="1:20" x14ac:dyDescent="0.3">
      <c r="A1" t="s">
        <v>10</v>
      </c>
      <c r="B1" t="s">
        <v>27</v>
      </c>
      <c r="C1" t="s">
        <v>2264</v>
      </c>
      <c r="D1" t="s">
        <v>2265</v>
      </c>
      <c r="E1" t="s">
        <v>2266</v>
      </c>
      <c r="F1" t="s">
        <v>2267</v>
      </c>
      <c r="G1" t="s">
        <v>2268</v>
      </c>
      <c r="H1" t="s">
        <v>2269</v>
      </c>
      <c r="I1" t="s">
        <v>2270</v>
      </c>
      <c r="J1" t="s">
        <v>2271</v>
      </c>
      <c r="K1" t="s">
        <v>2272</v>
      </c>
      <c r="L1" t="s">
        <v>2273</v>
      </c>
      <c r="M1" t="s">
        <v>2274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75</v>
      </c>
      <c r="T1" t="s">
        <v>76</v>
      </c>
    </row>
    <row r="2" spans="1:20" x14ac:dyDescent="0.3">
      <c r="A2" t="s">
        <v>144</v>
      </c>
      <c r="B2" t="s">
        <v>8</v>
      </c>
      <c r="C2">
        <v>0</v>
      </c>
      <c r="D2">
        <v>1</v>
      </c>
      <c r="E2">
        <v>0</v>
      </c>
      <c r="F2">
        <v>0</v>
      </c>
      <c r="G2">
        <v>2</v>
      </c>
      <c r="H2" t="s">
        <v>2275</v>
      </c>
      <c r="L2">
        <v>3</v>
      </c>
      <c r="M2">
        <v>3</v>
      </c>
      <c r="N2" t="s">
        <v>2276</v>
      </c>
      <c r="O2" t="s">
        <v>2277</v>
      </c>
      <c r="P2" t="s">
        <v>2278</v>
      </c>
      <c r="S2" t="s">
        <v>147</v>
      </c>
    </row>
    <row r="3" spans="1:20" x14ac:dyDescent="0.3">
      <c r="A3" t="s">
        <v>172</v>
      </c>
      <c r="C3">
        <v>0</v>
      </c>
      <c r="D3">
        <v>1</v>
      </c>
      <c r="E3">
        <v>0</v>
      </c>
      <c r="F3">
        <v>0</v>
      </c>
      <c r="G3">
        <v>2</v>
      </c>
      <c r="H3" t="s">
        <v>2275</v>
      </c>
      <c r="L3">
        <v>1</v>
      </c>
      <c r="M3">
        <v>1</v>
      </c>
      <c r="N3" t="s">
        <v>2276</v>
      </c>
      <c r="S3" t="s">
        <v>161</v>
      </c>
      <c r="T3" t="s">
        <v>166</v>
      </c>
    </row>
    <row r="4" spans="1:20" x14ac:dyDescent="0.3">
      <c r="A4" t="s">
        <v>167</v>
      </c>
      <c r="C4">
        <v>0</v>
      </c>
      <c r="D4">
        <v>1</v>
      </c>
      <c r="E4">
        <v>0</v>
      </c>
      <c r="F4">
        <v>0</v>
      </c>
      <c r="G4">
        <v>2</v>
      </c>
      <c r="H4" t="s">
        <v>2275</v>
      </c>
      <c r="L4">
        <v>1</v>
      </c>
      <c r="M4">
        <v>1</v>
      </c>
      <c r="N4" t="s">
        <v>2276</v>
      </c>
      <c r="S4" t="s">
        <v>161</v>
      </c>
      <c r="T4" t="s">
        <v>166</v>
      </c>
    </row>
    <row r="5" spans="1:20" x14ac:dyDescent="0.3">
      <c r="A5" t="s">
        <v>171</v>
      </c>
      <c r="C5">
        <v>0</v>
      </c>
      <c r="D5">
        <v>1</v>
      </c>
      <c r="E5">
        <v>0</v>
      </c>
      <c r="F5">
        <v>0</v>
      </c>
      <c r="G5">
        <v>2</v>
      </c>
      <c r="H5" t="s">
        <v>2275</v>
      </c>
      <c r="L5">
        <v>1</v>
      </c>
      <c r="M5">
        <v>1</v>
      </c>
      <c r="N5" t="s">
        <v>2276</v>
      </c>
      <c r="S5" t="s">
        <v>161</v>
      </c>
      <c r="T5" t="s">
        <v>166</v>
      </c>
    </row>
    <row r="6" spans="1:20" x14ac:dyDescent="0.3">
      <c r="A6" t="s">
        <v>181</v>
      </c>
      <c r="C6">
        <v>0</v>
      </c>
      <c r="D6">
        <v>1</v>
      </c>
      <c r="E6">
        <v>0</v>
      </c>
      <c r="F6">
        <v>0</v>
      </c>
      <c r="G6">
        <v>2</v>
      </c>
      <c r="H6" t="s">
        <v>2275</v>
      </c>
      <c r="L6">
        <v>1</v>
      </c>
      <c r="M6">
        <v>1</v>
      </c>
      <c r="N6" t="s">
        <v>2276</v>
      </c>
      <c r="S6" t="s">
        <v>161</v>
      </c>
      <c r="T6" t="s">
        <v>166</v>
      </c>
    </row>
    <row r="7" spans="1:20" x14ac:dyDescent="0.3">
      <c r="A7" t="s">
        <v>186</v>
      </c>
      <c r="B7" t="s">
        <v>7</v>
      </c>
      <c r="C7">
        <v>0</v>
      </c>
      <c r="D7">
        <v>1</v>
      </c>
      <c r="E7">
        <v>0</v>
      </c>
      <c r="F7">
        <v>0</v>
      </c>
      <c r="G7">
        <v>2</v>
      </c>
      <c r="H7" t="s">
        <v>2275</v>
      </c>
      <c r="L7">
        <v>1</v>
      </c>
      <c r="M7">
        <v>1</v>
      </c>
      <c r="N7" t="s">
        <v>2276</v>
      </c>
      <c r="S7" t="s">
        <v>147</v>
      </c>
    </row>
    <row r="8" spans="1:20" x14ac:dyDescent="0.3">
      <c r="A8" t="s">
        <v>191</v>
      </c>
      <c r="B8" t="s">
        <v>7</v>
      </c>
      <c r="C8">
        <v>0</v>
      </c>
      <c r="D8">
        <v>2</v>
      </c>
      <c r="E8">
        <v>0</v>
      </c>
      <c r="F8">
        <v>0</v>
      </c>
      <c r="G8">
        <v>3</v>
      </c>
      <c r="H8" t="s">
        <v>2279</v>
      </c>
      <c r="I8" t="s">
        <v>2275</v>
      </c>
      <c r="L8">
        <v>5</v>
      </c>
      <c r="M8">
        <v>4</v>
      </c>
      <c r="N8" t="s">
        <v>2280</v>
      </c>
      <c r="O8" t="s">
        <v>2276</v>
      </c>
      <c r="P8" t="s">
        <v>2281</v>
      </c>
      <c r="Q8" t="s">
        <v>2282</v>
      </c>
      <c r="S8" t="s">
        <v>147</v>
      </c>
    </row>
    <row r="9" spans="1:20" x14ac:dyDescent="0.3">
      <c r="A9" t="s">
        <v>199</v>
      </c>
      <c r="B9" t="s">
        <v>7</v>
      </c>
      <c r="C9">
        <v>0</v>
      </c>
      <c r="D9">
        <v>2</v>
      </c>
      <c r="E9">
        <v>0</v>
      </c>
      <c r="F9">
        <v>0</v>
      </c>
      <c r="G9">
        <v>3</v>
      </c>
      <c r="H9" t="s">
        <v>2279</v>
      </c>
      <c r="I9" t="s">
        <v>2275</v>
      </c>
      <c r="L9">
        <v>5</v>
      </c>
      <c r="M9">
        <v>4</v>
      </c>
      <c r="N9" t="s">
        <v>2280</v>
      </c>
      <c r="O9" t="s">
        <v>2276</v>
      </c>
      <c r="P9" t="s">
        <v>2281</v>
      </c>
      <c r="Q9" t="s">
        <v>2282</v>
      </c>
      <c r="S9" t="s">
        <v>147</v>
      </c>
    </row>
    <row r="10" spans="1:20" x14ac:dyDescent="0.3">
      <c r="A10" t="s">
        <v>206</v>
      </c>
      <c r="B10" t="s">
        <v>7</v>
      </c>
      <c r="C10">
        <v>0</v>
      </c>
      <c r="D10">
        <v>2</v>
      </c>
      <c r="E10">
        <v>0</v>
      </c>
      <c r="F10">
        <v>0</v>
      </c>
      <c r="G10">
        <v>3</v>
      </c>
      <c r="H10" t="s">
        <v>2279</v>
      </c>
      <c r="I10" t="s">
        <v>2275</v>
      </c>
      <c r="L10">
        <v>5</v>
      </c>
      <c r="M10">
        <v>4</v>
      </c>
      <c r="N10" t="s">
        <v>2280</v>
      </c>
      <c r="O10" t="s">
        <v>2276</v>
      </c>
      <c r="P10" t="s">
        <v>2281</v>
      </c>
      <c r="Q10" t="s">
        <v>2282</v>
      </c>
      <c r="S10" t="s">
        <v>147</v>
      </c>
    </row>
    <row r="11" spans="1:20" x14ac:dyDescent="0.3">
      <c r="A11" t="s">
        <v>213</v>
      </c>
      <c r="B11" t="s">
        <v>7</v>
      </c>
      <c r="C11">
        <v>0</v>
      </c>
      <c r="D11">
        <v>2</v>
      </c>
      <c r="E11">
        <v>0</v>
      </c>
      <c r="F11">
        <v>0</v>
      </c>
      <c r="G11">
        <v>3</v>
      </c>
      <c r="H11" t="s">
        <v>2279</v>
      </c>
      <c r="I11" t="s">
        <v>2275</v>
      </c>
      <c r="L11">
        <v>5</v>
      </c>
      <c r="M11">
        <v>4</v>
      </c>
      <c r="N11" t="s">
        <v>2280</v>
      </c>
      <c r="O11" t="s">
        <v>2276</v>
      </c>
      <c r="P11" t="s">
        <v>2281</v>
      </c>
      <c r="Q11" t="s">
        <v>2282</v>
      </c>
      <c r="S11" t="s">
        <v>147</v>
      </c>
    </row>
    <row r="12" spans="1:20" x14ac:dyDescent="0.3">
      <c r="A12" t="s">
        <v>220</v>
      </c>
      <c r="B12" t="s">
        <v>7</v>
      </c>
      <c r="C12">
        <v>0</v>
      </c>
      <c r="D12">
        <v>1</v>
      </c>
      <c r="E12">
        <v>0</v>
      </c>
      <c r="F12">
        <v>0</v>
      </c>
      <c r="G12">
        <v>2</v>
      </c>
      <c r="H12" t="s">
        <v>2275</v>
      </c>
      <c r="L12">
        <v>1</v>
      </c>
      <c r="M12">
        <v>1</v>
      </c>
      <c r="N12" t="s">
        <v>2276</v>
      </c>
      <c r="S12" t="s">
        <v>147</v>
      </c>
    </row>
    <row r="13" spans="1:20" x14ac:dyDescent="0.3">
      <c r="A13" t="s">
        <v>223</v>
      </c>
      <c r="B13" t="s">
        <v>7</v>
      </c>
      <c r="C13">
        <v>0</v>
      </c>
      <c r="D13">
        <v>1</v>
      </c>
      <c r="E13">
        <v>0</v>
      </c>
      <c r="F13">
        <v>0</v>
      </c>
      <c r="G13">
        <v>2</v>
      </c>
      <c r="H13" t="s">
        <v>2275</v>
      </c>
      <c r="L13">
        <v>1</v>
      </c>
      <c r="M13">
        <v>1</v>
      </c>
      <c r="N13" t="s">
        <v>2276</v>
      </c>
      <c r="S13" t="s">
        <v>147</v>
      </c>
    </row>
    <row r="14" spans="1:20" x14ac:dyDescent="0.3">
      <c r="A14" t="s">
        <v>225</v>
      </c>
      <c r="B14" t="s">
        <v>7</v>
      </c>
      <c r="C14">
        <v>0</v>
      </c>
      <c r="D14">
        <v>1</v>
      </c>
      <c r="E14">
        <v>0</v>
      </c>
      <c r="F14">
        <v>0</v>
      </c>
      <c r="G14">
        <v>2</v>
      </c>
      <c r="H14" t="s">
        <v>2275</v>
      </c>
      <c r="L14">
        <v>1</v>
      </c>
      <c r="M14">
        <v>1</v>
      </c>
      <c r="N14" t="s">
        <v>2276</v>
      </c>
      <c r="S14" t="s">
        <v>161</v>
      </c>
      <c r="T14" t="s">
        <v>226</v>
      </c>
    </row>
    <row r="15" spans="1:20" x14ac:dyDescent="0.3">
      <c r="A15" t="s">
        <v>228</v>
      </c>
      <c r="B15" t="s">
        <v>7</v>
      </c>
      <c r="C15">
        <v>0</v>
      </c>
      <c r="D15">
        <v>1</v>
      </c>
      <c r="E15">
        <v>0</v>
      </c>
      <c r="F15">
        <v>0</v>
      </c>
      <c r="G15">
        <v>2</v>
      </c>
      <c r="H15" t="s">
        <v>2275</v>
      </c>
      <c r="L15">
        <v>1</v>
      </c>
      <c r="M15">
        <v>1</v>
      </c>
      <c r="N15" t="s">
        <v>2276</v>
      </c>
      <c r="S15" t="s">
        <v>147</v>
      </c>
    </row>
    <row r="16" spans="1:20" x14ac:dyDescent="0.3">
      <c r="A16" t="s">
        <v>231</v>
      </c>
      <c r="B16" t="s">
        <v>7</v>
      </c>
      <c r="C16">
        <v>0</v>
      </c>
      <c r="D16">
        <v>1</v>
      </c>
      <c r="E16">
        <v>0</v>
      </c>
      <c r="F16">
        <v>0</v>
      </c>
      <c r="G16">
        <v>2</v>
      </c>
      <c r="H16" t="s">
        <v>2275</v>
      </c>
      <c r="L16">
        <v>1</v>
      </c>
      <c r="M16">
        <v>1</v>
      </c>
      <c r="N16" t="s">
        <v>2276</v>
      </c>
      <c r="S16" t="s">
        <v>147</v>
      </c>
    </row>
    <row r="17" spans="1:20" x14ac:dyDescent="0.3">
      <c r="A17" t="s">
        <v>233</v>
      </c>
      <c r="B17" t="s">
        <v>7</v>
      </c>
      <c r="C17">
        <v>0</v>
      </c>
      <c r="D17">
        <v>1</v>
      </c>
      <c r="E17">
        <v>0</v>
      </c>
      <c r="F17">
        <v>0</v>
      </c>
      <c r="G17">
        <v>2</v>
      </c>
      <c r="H17" t="s">
        <v>2275</v>
      </c>
      <c r="L17">
        <v>1</v>
      </c>
      <c r="M17">
        <v>1</v>
      </c>
      <c r="N17" t="s">
        <v>2276</v>
      </c>
      <c r="S17" t="s">
        <v>147</v>
      </c>
    </row>
    <row r="18" spans="1:20" x14ac:dyDescent="0.3">
      <c r="A18" t="s">
        <v>235</v>
      </c>
      <c r="B18" t="s">
        <v>7</v>
      </c>
      <c r="C18">
        <v>0</v>
      </c>
      <c r="D18">
        <v>2</v>
      </c>
      <c r="E18">
        <v>0</v>
      </c>
      <c r="F18">
        <v>0</v>
      </c>
      <c r="G18">
        <v>3</v>
      </c>
      <c r="H18" t="s">
        <v>2279</v>
      </c>
      <c r="I18" t="s">
        <v>2275</v>
      </c>
      <c r="L18">
        <v>5</v>
      </c>
      <c r="M18">
        <v>4</v>
      </c>
      <c r="N18" t="s">
        <v>2280</v>
      </c>
      <c r="O18" t="s">
        <v>2276</v>
      </c>
      <c r="P18" t="s">
        <v>2281</v>
      </c>
      <c r="Q18" t="s">
        <v>2282</v>
      </c>
      <c r="S18" t="s">
        <v>147</v>
      </c>
    </row>
    <row r="19" spans="1:20" x14ac:dyDescent="0.3">
      <c r="A19" t="s">
        <v>242</v>
      </c>
      <c r="B19" t="s">
        <v>7</v>
      </c>
      <c r="C19">
        <v>0</v>
      </c>
      <c r="D19">
        <v>2</v>
      </c>
      <c r="E19">
        <v>0</v>
      </c>
      <c r="F19">
        <v>0</v>
      </c>
      <c r="G19">
        <v>3</v>
      </c>
      <c r="H19" t="s">
        <v>2279</v>
      </c>
      <c r="I19" t="s">
        <v>2275</v>
      </c>
      <c r="L19">
        <v>5</v>
      </c>
      <c r="M19">
        <v>4</v>
      </c>
      <c r="N19" t="s">
        <v>2280</v>
      </c>
      <c r="O19" t="s">
        <v>2276</v>
      </c>
      <c r="P19" t="s">
        <v>2281</v>
      </c>
      <c r="Q19" t="s">
        <v>2282</v>
      </c>
      <c r="S19" t="s">
        <v>147</v>
      </c>
    </row>
    <row r="20" spans="1:20" x14ac:dyDescent="0.3">
      <c r="A20" t="s">
        <v>251</v>
      </c>
      <c r="B20" t="s">
        <v>7</v>
      </c>
      <c r="C20">
        <v>0</v>
      </c>
      <c r="D20">
        <v>1</v>
      </c>
      <c r="E20">
        <v>0</v>
      </c>
      <c r="F20">
        <v>0</v>
      </c>
      <c r="G20">
        <v>2</v>
      </c>
      <c r="H20" t="s">
        <v>2275</v>
      </c>
      <c r="L20">
        <v>1</v>
      </c>
      <c r="M20">
        <v>1</v>
      </c>
      <c r="N20" t="s">
        <v>2276</v>
      </c>
      <c r="S20" t="s">
        <v>161</v>
      </c>
      <c r="T20" t="s">
        <v>226</v>
      </c>
    </row>
    <row r="21" spans="1:20" x14ac:dyDescent="0.3">
      <c r="A21" t="s">
        <v>252</v>
      </c>
      <c r="B21" t="s">
        <v>7</v>
      </c>
      <c r="C21">
        <v>0</v>
      </c>
      <c r="D21">
        <v>1</v>
      </c>
      <c r="E21">
        <v>0</v>
      </c>
      <c r="F21">
        <v>0</v>
      </c>
      <c r="G21">
        <v>2</v>
      </c>
      <c r="H21" t="s">
        <v>2275</v>
      </c>
      <c r="L21">
        <v>1</v>
      </c>
      <c r="M21">
        <v>1</v>
      </c>
      <c r="N21" t="s">
        <v>2276</v>
      </c>
      <c r="S21" t="s">
        <v>147</v>
      </c>
    </row>
    <row r="22" spans="1:20" x14ac:dyDescent="0.3">
      <c r="A22" t="s">
        <v>254</v>
      </c>
      <c r="B22" t="s">
        <v>7</v>
      </c>
      <c r="C22">
        <v>0</v>
      </c>
      <c r="D22">
        <v>1</v>
      </c>
      <c r="E22">
        <v>0</v>
      </c>
      <c r="F22">
        <v>0</v>
      </c>
      <c r="G22">
        <v>2</v>
      </c>
      <c r="H22" t="s">
        <v>2275</v>
      </c>
      <c r="L22">
        <v>1</v>
      </c>
      <c r="M22">
        <v>1</v>
      </c>
      <c r="N22" t="s">
        <v>2276</v>
      </c>
      <c r="S22" t="s">
        <v>147</v>
      </c>
    </row>
    <row r="23" spans="1:20" x14ac:dyDescent="0.3">
      <c r="A23" t="s">
        <v>257</v>
      </c>
      <c r="B23" t="s">
        <v>7</v>
      </c>
      <c r="C23">
        <v>0</v>
      </c>
      <c r="D23">
        <v>1</v>
      </c>
      <c r="E23">
        <v>0</v>
      </c>
      <c r="F23">
        <v>0</v>
      </c>
      <c r="G23">
        <v>2</v>
      </c>
      <c r="H23" t="s">
        <v>2275</v>
      </c>
      <c r="L23">
        <v>1</v>
      </c>
      <c r="M23">
        <v>1</v>
      </c>
      <c r="N23" t="s">
        <v>2276</v>
      </c>
      <c r="S23" t="s">
        <v>147</v>
      </c>
    </row>
    <row r="24" spans="1:20" x14ac:dyDescent="0.3">
      <c r="A24" t="s">
        <v>260</v>
      </c>
      <c r="B24" t="s">
        <v>7</v>
      </c>
      <c r="C24">
        <v>0</v>
      </c>
      <c r="D24">
        <v>1</v>
      </c>
      <c r="E24">
        <v>0</v>
      </c>
      <c r="F24">
        <v>0</v>
      </c>
      <c r="G24">
        <v>2</v>
      </c>
      <c r="H24" t="s">
        <v>2275</v>
      </c>
      <c r="L24">
        <v>1</v>
      </c>
      <c r="M24">
        <v>1</v>
      </c>
      <c r="N24" t="s">
        <v>2276</v>
      </c>
      <c r="S24" t="s">
        <v>147</v>
      </c>
    </row>
    <row r="25" spans="1:20" x14ac:dyDescent="0.3">
      <c r="A25" t="s">
        <v>262</v>
      </c>
      <c r="B25" t="s">
        <v>7</v>
      </c>
      <c r="C25">
        <v>0</v>
      </c>
      <c r="D25">
        <v>1</v>
      </c>
      <c r="E25">
        <v>0</v>
      </c>
      <c r="F25">
        <v>0</v>
      </c>
      <c r="G25">
        <v>2</v>
      </c>
      <c r="H25" t="s">
        <v>2275</v>
      </c>
      <c r="L25">
        <v>1</v>
      </c>
      <c r="M25">
        <v>1</v>
      </c>
      <c r="N25" t="s">
        <v>2276</v>
      </c>
      <c r="S25" t="s">
        <v>147</v>
      </c>
    </row>
    <row r="26" spans="1:20" x14ac:dyDescent="0.3">
      <c r="A26" t="s">
        <v>267</v>
      </c>
      <c r="B26" t="s">
        <v>7</v>
      </c>
      <c r="C26">
        <v>0</v>
      </c>
      <c r="D26">
        <v>2</v>
      </c>
      <c r="E26">
        <v>0</v>
      </c>
      <c r="F26">
        <v>0</v>
      </c>
      <c r="G26">
        <v>3</v>
      </c>
      <c r="H26" t="s">
        <v>2279</v>
      </c>
      <c r="I26" t="s">
        <v>2275</v>
      </c>
      <c r="L26">
        <v>5</v>
      </c>
      <c r="M26">
        <v>4</v>
      </c>
      <c r="N26" t="s">
        <v>2280</v>
      </c>
      <c r="O26" t="s">
        <v>2276</v>
      </c>
      <c r="P26" t="s">
        <v>2281</v>
      </c>
      <c r="Q26" t="s">
        <v>2282</v>
      </c>
      <c r="S26" t="s">
        <v>147</v>
      </c>
    </row>
    <row r="27" spans="1:20" x14ac:dyDescent="0.3">
      <c r="A27" t="s">
        <v>275</v>
      </c>
      <c r="B27" t="s">
        <v>7</v>
      </c>
      <c r="C27">
        <v>0</v>
      </c>
      <c r="D27">
        <v>2</v>
      </c>
      <c r="E27">
        <v>0</v>
      </c>
      <c r="F27">
        <v>0</v>
      </c>
      <c r="G27">
        <v>3</v>
      </c>
      <c r="H27" t="s">
        <v>2279</v>
      </c>
      <c r="I27" t="s">
        <v>2275</v>
      </c>
      <c r="L27">
        <v>5</v>
      </c>
      <c r="M27">
        <v>4</v>
      </c>
      <c r="N27" t="s">
        <v>2280</v>
      </c>
      <c r="O27" t="s">
        <v>2276</v>
      </c>
      <c r="P27" t="s">
        <v>2281</v>
      </c>
      <c r="Q27" t="s">
        <v>2282</v>
      </c>
      <c r="S27" t="s">
        <v>147</v>
      </c>
    </row>
    <row r="28" spans="1:20" x14ac:dyDescent="0.3">
      <c r="A28" t="s">
        <v>283</v>
      </c>
      <c r="B28" t="s">
        <v>7</v>
      </c>
      <c r="C28">
        <v>0</v>
      </c>
      <c r="D28">
        <v>2</v>
      </c>
      <c r="E28">
        <v>0</v>
      </c>
      <c r="F28">
        <v>0</v>
      </c>
      <c r="G28">
        <v>3</v>
      </c>
      <c r="H28" t="s">
        <v>2279</v>
      </c>
      <c r="I28" t="s">
        <v>2275</v>
      </c>
      <c r="L28">
        <v>5</v>
      </c>
      <c r="M28">
        <v>4</v>
      </c>
      <c r="N28" t="s">
        <v>2280</v>
      </c>
      <c r="O28" t="s">
        <v>2276</v>
      </c>
      <c r="P28" t="s">
        <v>2281</v>
      </c>
      <c r="Q28" t="s">
        <v>2282</v>
      </c>
      <c r="S28" t="s">
        <v>147</v>
      </c>
    </row>
    <row r="29" spans="1:20" x14ac:dyDescent="0.3">
      <c r="A29" t="s">
        <v>291</v>
      </c>
      <c r="B29" t="s">
        <v>7</v>
      </c>
      <c r="C29">
        <v>0</v>
      </c>
      <c r="D29">
        <v>2</v>
      </c>
      <c r="E29">
        <v>0</v>
      </c>
      <c r="F29">
        <v>0</v>
      </c>
      <c r="G29">
        <v>3</v>
      </c>
      <c r="H29" t="s">
        <v>2279</v>
      </c>
      <c r="I29" t="s">
        <v>2275</v>
      </c>
      <c r="L29">
        <v>5</v>
      </c>
      <c r="M29">
        <v>4</v>
      </c>
      <c r="N29" t="s">
        <v>2280</v>
      </c>
      <c r="O29" t="s">
        <v>2276</v>
      </c>
      <c r="P29" t="s">
        <v>2281</v>
      </c>
      <c r="Q29" t="s">
        <v>2282</v>
      </c>
      <c r="S29" t="s">
        <v>147</v>
      </c>
    </row>
    <row r="30" spans="1:20" x14ac:dyDescent="0.3">
      <c r="A30" t="s">
        <v>299</v>
      </c>
      <c r="B30" t="s">
        <v>7</v>
      </c>
      <c r="C30">
        <v>0</v>
      </c>
      <c r="D30">
        <v>2</v>
      </c>
      <c r="E30">
        <v>0</v>
      </c>
      <c r="F30">
        <v>0</v>
      </c>
      <c r="G30">
        <v>3</v>
      </c>
      <c r="H30" t="s">
        <v>2279</v>
      </c>
      <c r="I30" t="s">
        <v>2275</v>
      </c>
      <c r="L30">
        <v>5</v>
      </c>
      <c r="M30">
        <v>4</v>
      </c>
      <c r="N30" t="s">
        <v>2280</v>
      </c>
      <c r="O30" t="s">
        <v>2276</v>
      </c>
      <c r="P30" t="s">
        <v>2281</v>
      </c>
      <c r="Q30" t="s">
        <v>2282</v>
      </c>
      <c r="S30" t="s">
        <v>147</v>
      </c>
    </row>
    <row r="31" spans="1:20" x14ac:dyDescent="0.3">
      <c r="A31" t="s">
        <v>307</v>
      </c>
      <c r="B31" t="s">
        <v>7</v>
      </c>
      <c r="C31">
        <v>0</v>
      </c>
      <c r="D31">
        <v>2</v>
      </c>
      <c r="E31">
        <v>0</v>
      </c>
      <c r="F31">
        <v>0</v>
      </c>
      <c r="G31">
        <v>3</v>
      </c>
      <c r="H31" t="s">
        <v>2279</v>
      </c>
      <c r="I31" t="s">
        <v>2275</v>
      </c>
      <c r="L31">
        <v>5</v>
      </c>
      <c r="M31">
        <v>4</v>
      </c>
      <c r="N31" t="s">
        <v>2280</v>
      </c>
      <c r="O31" t="s">
        <v>2276</v>
      </c>
      <c r="P31" t="s">
        <v>2281</v>
      </c>
      <c r="Q31" t="s">
        <v>2282</v>
      </c>
      <c r="S31" t="s">
        <v>147</v>
      </c>
    </row>
    <row r="32" spans="1:20" x14ac:dyDescent="0.3">
      <c r="A32" t="s">
        <v>312</v>
      </c>
      <c r="B32" t="s">
        <v>7</v>
      </c>
      <c r="C32">
        <v>0</v>
      </c>
      <c r="D32">
        <v>2</v>
      </c>
      <c r="E32">
        <v>0</v>
      </c>
      <c r="F32">
        <v>0</v>
      </c>
      <c r="G32">
        <v>3</v>
      </c>
      <c r="H32" t="s">
        <v>2279</v>
      </c>
      <c r="I32" t="s">
        <v>2275</v>
      </c>
      <c r="L32">
        <v>5</v>
      </c>
      <c r="M32">
        <v>4</v>
      </c>
      <c r="N32" t="s">
        <v>2280</v>
      </c>
      <c r="O32" t="s">
        <v>2276</v>
      </c>
      <c r="P32" t="s">
        <v>2281</v>
      </c>
      <c r="Q32" t="s">
        <v>2282</v>
      </c>
      <c r="S32" t="s">
        <v>147</v>
      </c>
    </row>
    <row r="33" spans="1:20" x14ac:dyDescent="0.3">
      <c r="A33" t="s">
        <v>320</v>
      </c>
      <c r="B33" t="s">
        <v>7</v>
      </c>
      <c r="C33">
        <v>0</v>
      </c>
      <c r="D33">
        <v>2</v>
      </c>
      <c r="E33">
        <v>0</v>
      </c>
      <c r="F33">
        <v>0</v>
      </c>
      <c r="G33">
        <v>3</v>
      </c>
      <c r="H33" t="s">
        <v>2279</v>
      </c>
      <c r="I33" t="s">
        <v>2275</v>
      </c>
      <c r="L33">
        <v>5</v>
      </c>
      <c r="M33">
        <v>4</v>
      </c>
      <c r="N33" t="s">
        <v>2280</v>
      </c>
      <c r="O33" t="s">
        <v>2276</v>
      </c>
      <c r="P33" t="s">
        <v>2281</v>
      </c>
      <c r="Q33" t="s">
        <v>2282</v>
      </c>
      <c r="S33" t="s">
        <v>147</v>
      </c>
    </row>
    <row r="34" spans="1:20" x14ac:dyDescent="0.3">
      <c r="A34" t="s">
        <v>327</v>
      </c>
      <c r="B34" t="s">
        <v>7</v>
      </c>
      <c r="C34">
        <v>0</v>
      </c>
      <c r="D34">
        <v>2</v>
      </c>
      <c r="E34">
        <v>0</v>
      </c>
      <c r="F34">
        <v>0</v>
      </c>
      <c r="G34">
        <v>3</v>
      </c>
      <c r="H34" t="s">
        <v>2279</v>
      </c>
      <c r="I34" t="s">
        <v>2275</v>
      </c>
      <c r="L34">
        <v>5</v>
      </c>
      <c r="M34">
        <v>4</v>
      </c>
      <c r="N34" t="s">
        <v>2280</v>
      </c>
      <c r="O34" t="s">
        <v>2276</v>
      </c>
      <c r="P34" t="s">
        <v>2281</v>
      </c>
      <c r="Q34" t="s">
        <v>2282</v>
      </c>
      <c r="S34" t="s">
        <v>147</v>
      </c>
    </row>
    <row r="35" spans="1:20" x14ac:dyDescent="0.3">
      <c r="A35" t="s">
        <v>334</v>
      </c>
      <c r="B35" t="s">
        <v>7</v>
      </c>
      <c r="C35">
        <v>0</v>
      </c>
      <c r="D35">
        <v>2</v>
      </c>
      <c r="E35">
        <v>0</v>
      </c>
      <c r="F35">
        <v>0</v>
      </c>
      <c r="G35">
        <v>3</v>
      </c>
      <c r="H35" t="s">
        <v>2279</v>
      </c>
      <c r="I35" t="s">
        <v>2275</v>
      </c>
      <c r="L35">
        <v>5</v>
      </c>
      <c r="M35">
        <v>4</v>
      </c>
      <c r="N35" t="s">
        <v>2280</v>
      </c>
      <c r="O35" t="s">
        <v>2276</v>
      </c>
      <c r="P35" t="s">
        <v>2281</v>
      </c>
      <c r="Q35" t="s">
        <v>2282</v>
      </c>
      <c r="S35" t="s">
        <v>147</v>
      </c>
    </row>
    <row r="36" spans="1:20" x14ac:dyDescent="0.3">
      <c r="A36" t="s">
        <v>342</v>
      </c>
      <c r="B36" t="s">
        <v>7</v>
      </c>
      <c r="C36">
        <v>0</v>
      </c>
      <c r="D36">
        <v>2</v>
      </c>
      <c r="E36">
        <v>0</v>
      </c>
      <c r="F36">
        <v>0</v>
      </c>
      <c r="G36">
        <v>3</v>
      </c>
      <c r="H36" t="s">
        <v>2279</v>
      </c>
      <c r="I36" t="s">
        <v>2275</v>
      </c>
      <c r="L36">
        <v>5</v>
      </c>
      <c r="M36">
        <v>4</v>
      </c>
      <c r="N36" t="s">
        <v>2280</v>
      </c>
      <c r="O36" t="s">
        <v>2276</v>
      </c>
      <c r="P36" t="s">
        <v>2281</v>
      </c>
      <c r="Q36" t="s">
        <v>2282</v>
      </c>
      <c r="S36" t="s">
        <v>147</v>
      </c>
    </row>
    <row r="37" spans="1:20" x14ac:dyDescent="0.3">
      <c r="A37" t="s">
        <v>349</v>
      </c>
      <c r="B37" t="s">
        <v>7</v>
      </c>
      <c r="C37">
        <v>0</v>
      </c>
      <c r="D37">
        <v>2</v>
      </c>
      <c r="E37">
        <v>0</v>
      </c>
      <c r="F37">
        <v>0</v>
      </c>
      <c r="G37">
        <v>3</v>
      </c>
      <c r="H37" t="s">
        <v>2279</v>
      </c>
      <c r="I37" t="s">
        <v>2275</v>
      </c>
      <c r="L37">
        <v>5</v>
      </c>
      <c r="M37">
        <v>4</v>
      </c>
      <c r="N37" t="s">
        <v>2280</v>
      </c>
      <c r="O37" t="s">
        <v>2276</v>
      </c>
      <c r="P37" t="s">
        <v>2281</v>
      </c>
      <c r="Q37" t="s">
        <v>2282</v>
      </c>
      <c r="S37" t="s">
        <v>147</v>
      </c>
    </row>
    <row r="38" spans="1:20" x14ac:dyDescent="0.3">
      <c r="A38" t="s">
        <v>356</v>
      </c>
      <c r="B38" t="s">
        <v>7</v>
      </c>
      <c r="C38">
        <v>0</v>
      </c>
      <c r="D38">
        <v>2</v>
      </c>
      <c r="E38">
        <v>0</v>
      </c>
      <c r="F38">
        <v>0</v>
      </c>
      <c r="G38">
        <v>3</v>
      </c>
      <c r="H38" t="s">
        <v>2279</v>
      </c>
      <c r="I38" t="s">
        <v>2275</v>
      </c>
      <c r="L38">
        <v>5</v>
      </c>
      <c r="M38">
        <v>4</v>
      </c>
      <c r="N38" t="s">
        <v>2280</v>
      </c>
      <c r="O38" t="s">
        <v>2276</v>
      </c>
      <c r="P38" t="s">
        <v>2281</v>
      </c>
      <c r="Q38" t="s">
        <v>2282</v>
      </c>
      <c r="S38" t="s">
        <v>147</v>
      </c>
    </row>
    <row r="39" spans="1:20" x14ac:dyDescent="0.3">
      <c r="A39" t="s">
        <v>363</v>
      </c>
      <c r="B39" t="s">
        <v>7</v>
      </c>
      <c r="C39">
        <v>0</v>
      </c>
      <c r="D39">
        <v>2</v>
      </c>
      <c r="E39">
        <v>0</v>
      </c>
      <c r="F39">
        <v>0</v>
      </c>
      <c r="G39">
        <v>3</v>
      </c>
      <c r="H39" t="s">
        <v>2279</v>
      </c>
      <c r="I39" t="s">
        <v>2275</v>
      </c>
      <c r="L39">
        <v>5</v>
      </c>
      <c r="M39">
        <v>4</v>
      </c>
      <c r="N39" t="s">
        <v>2280</v>
      </c>
      <c r="O39" t="s">
        <v>2276</v>
      </c>
      <c r="P39" t="s">
        <v>2281</v>
      </c>
      <c r="Q39" t="s">
        <v>2282</v>
      </c>
      <c r="S39" t="s">
        <v>147</v>
      </c>
    </row>
    <row r="40" spans="1:20" x14ac:dyDescent="0.3">
      <c r="A40" t="s">
        <v>370</v>
      </c>
      <c r="B40" t="s">
        <v>7</v>
      </c>
      <c r="C40">
        <v>0</v>
      </c>
      <c r="D40">
        <v>2</v>
      </c>
      <c r="E40">
        <v>0</v>
      </c>
      <c r="F40">
        <v>0</v>
      </c>
      <c r="G40">
        <v>3</v>
      </c>
      <c r="H40" t="s">
        <v>2279</v>
      </c>
      <c r="I40" t="s">
        <v>2275</v>
      </c>
      <c r="L40">
        <v>5</v>
      </c>
      <c r="M40">
        <v>4</v>
      </c>
      <c r="N40" t="s">
        <v>2280</v>
      </c>
      <c r="O40" t="s">
        <v>2276</v>
      </c>
      <c r="P40" t="s">
        <v>2281</v>
      </c>
      <c r="Q40" t="s">
        <v>2282</v>
      </c>
      <c r="S40" t="s">
        <v>147</v>
      </c>
    </row>
    <row r="41" spans="1:20" x14ac:dyDescent="0.3">
      <c r="A41" t="s">
        <v>378</v>
      </c>
      <c r="B41" t="s">
        <v>7</v>
      </c>
      <c r="C41">
        <v>0</v>
      </c>
      <c r="D41">
        <v>2</v>
      </c>
      <c r="E41">
        <v>0</v>
      </c>
      <c r="F41">
        <v>0</v>
      </c>
      <c r="G41">
        <v>3</v>
      </c>
      <c r="H41" t="s">
        <v>2279</v>
      </c>
      <c r="I41" t="s">
        <v>2275</v>
      </c>
      <c r="L41">
        <v>5</v>
      </c>
      <c r="M41">
        <v>4</v>
      </c>
      <c r="N41" t="s">
        <v>2280</v>
      </c>
      <c r="O41" t="s">
        <v>2276</v>
      </c>
      <c r="P41" t="s">
        <v>2281</v>
      </c>
      <c r="Q41" t="s">
        <v>2282</v>
      </c>
      <c r="S41" t="s">
        <v>147</v>
      </c>
    </row>
    <row r="42" spans="1:20" x14ac:dyDescent="0.3">
      <c r="A42" t="s">
        <v>386</v>
      </c>
      <c r="B42" t="s">
        <v>7</v>
      </c>
      <c r="C42">
        <v>0</v>
      </c>
      <c r="D42">
        <v>2</v>
      </c>
      <c r="E42">
        <v>0</v>
      </c>
      <c r="F42">
        <v>0</v>
      </c>
      <c r="G42">
        <v>3</v>
      </c>
      <c r="H42" t="s">
        <v>2279</v>
      </c>
      <c r="I42" t="s">
        <v>2275</v>
      </c>
      <c r="L42">
        <v>5</v>
      </c>
      <c r="M42">
        <v>4</v>
      </c>
      <c r="N42" t="s">
        <v>2280</v>
      </c>
      <c r="O42" t="s">
        <v>2276</v>
      </c>
      <c r="P42" t="s">
        <v>2281</v>
      </c>
      <c r="Q42" t="s">
        <v>2282</v>
      </c>
      <c r="S42" t="s">
        <v>147</v>
      </c>
    </row>
    <row r="43" spans="1:20" x14ac:dyDescent="0.3">
      <c r="A43" t="s">
        <v>393</v>
      </c>
      <c r="B43" t="s">
        <v>7</v>
      </c>
      <c r="C43">
        <v>0</v>
      </c>
      <c r="D43">
        <v>2</v>
      </c>
      <c r="E43">
        <v>0</v>
      </c>
      <c r="F43">
        <v>0</v>
      </c>
      <c r="G43">
        <v>3</v>
      </c>
      <c r="H43" t="s">
        <v>2279</v>
      </c>
      <c r="I43" t="s">
        <v>2275</v>
      </c>
      <c r="L43">
        <v>5</v>
      </c>
      <c r="M43">
        <v>4</v>
      </c>
      <c r="N43" t="s">
        <v>2280</v>
      </c>
      <c r="O43" t="s">
        <v>2276</v>
      </c>
      <c r="P43" t="s">
        <v>2281</v>
      </c>
      <c r="Q43" t="s">
        <v>2282</v>
      </c>
      <c r="S43" t="s">
        <v>147</v>
      </c>
    </row>
    <row r="44" spans="1:20" x14ac:dyDescent="0.3">
      <c r="A44" t="s">
        <v>400</v>
      </c>
      <c r="B44" t="s">
        <v>7</v>
      </c>
      <c r="C44">
        <v>0</v>
      </c>
      <c r="D44">
        <v>1</v>
      </c>
      <c r="E44">
        <v>0</v>
      </c>
      <c r="F44">
        <v>0</v>
      </c>
      <c r="G44">
        <v>2</v>
      </c>
      <c r="H44" t="s">
        <v>2275</v>
      </c>
      <c r="L44">
        <v>1</v>
      </c>
      <c r="M44">
        <v>1</v>
      </c>
      <c r="N44" t="s">
        <v>2276</v>
      </c>
      <c r="S44" t="s">
        <v>147</v>
      </c>
    </row>
    <row r="45" spans="1:20" x14ac:dyDescent="0.3">
      <c r="A45" t="s">
        <v>403</v>
      </c>
      <c r="B45" t="s">
        <v>7</v>
      </c>
      <c r="C45">
        <v>0</v>
      </c>
      <c r="D45">
        <v>1</v>
      </c>
      <c r="E45">
        <v>0</v>
      </c>
      <c r="F45">
        <v>0</v>
      </c>
      <c r="G45">
        <v>2</v>
      </c>
      <c r="H45" t="s">
        <v>2275</v>
      </c>
      <c r="L45">
        <v>1</v>
      </c>
      <c r="M45">
        <v>1</v>
      </c>
      <c r="N45" t="s">
        <v>2276</v>
      </c>
      <c r="S45" t="s">
        <v>147</v>
      </c>
    </row>
    <row r="46" spans="1:20" x14ac:dyDescent="0.3">
      <c r="A46" t="s">
        <v>405</v>
      </c>
      <c r="B46" t="s">
        <v>7</v>
      </c>
      <c r="C46">
        <v>0</v>
      </c>
      <c r="D46">
        <v>1</v>
      </c>
      <c r="E46">
        <v>0</v>
      </c>
      <c r="F46">
        <v>0</v>
      </c>
      <c r="G46">
        <v>2</v>
      </c>
      <c r="H46" t="s">
        <v>2275</v>
      </c>
      <c r="L46">
        <v>1</v>
      </c>
      <c r="M46">
        <v>1</v>
      </c>
      <c r="N46" t="s">
        <v>2276</v>
      </c>
      <c r="S46" t="s">
        <v>147</v>
      </c>
    </row>
    <row r="47" spans="1:20" x14ac:dyDescent="0.3">
      <c r="A47" t="s">
        <v>408</v>
      </c>
      <c r="B47" t="s">
        <v>7</v>
      </c>
      <c r="C47">
        <v>0</v>
      </c>
      <c r="D47">
        <v>1</v>
      </c>
      <c r="E47">
        <v>0</v>
      </c>
      <c r="F47">
        <v>0</v>
      </c>
      <c r="G47">
        <v>2</v>
      </c>
      <c r="H47" t="s">
        <v>2275</v>
      </c>
      <c r="L47">
        <v>1</v>
      </c>
      <c r="M47">
        <v>1</v>
      </c>
      <c r="N47" t="s">
        <v>2276</v>
      </c>
      <c r="S47" t="s">
        <v>161</v>
      </c>
      <c r="T47" t="s">
        <v>226</v>
      </c>
    </row>
    <row r="48" spans="1:20" x14ac:dyDescent="0.3">
      <c r="A48" t="s">
        <v>410</v>
      </c>
      <c r="B48" t="s">
        <v>7</v>
      </c>
      <c r="C48">
        <v>0</v>
      </c>
      <c r="D48">
        <v>1</v>
      </c>
      <c r="E48">
        <v>0</v>
      </c>
      <c r="F48">
        <v>0</v>
      </c>
      <c r="G48">
        <v>2</v>
      </c>
      <c r="H48" t="s">
        <v>2275</v>
      </c>
      <c r="L48">
        <v>1</v>
      </c>
      <c r="M48">
        <v>1</v>
      </c>
      <c r="N48" t="s">
        <v>2276</v>
      </c>
      <c r="S48" t="s">
        <v>147</v>
      </c>
    </row>
    <row r="49" spans="1:20" x14ac:dyDescent="0.3">
      <c r="A49" t="s">
        <v>447</v>
      </c>
      <c r="B49" t="s">
        <v>7</v>
      </c>
      <c r="C49">
        <v>0</v>
      </c>
      <c r="D49">
        <v>1</v>
      </c>
      <c r="E49">
        <v>0</v>
      </c>
      <c r="F49">
        <v>0</v>
      </c>
      <c r="G49">
        <v>2</v>
      </c>
      <c r="H49" t="s">
        <v>2275</v>
      </c>
      <c r="L49">
        <v>1</v>
      </c>
      <c r="M49">
        <v>1</v>
      </c>
      <c r="N49" t="s">
        <v>2276</v>
      </c>
      <c r="S49" t="s">
        <v>161</v>
      </c>
      <c r="T49" t="s">
        <v>226</v>
      </c>
    </row>
    <row r="50" spans="1:20" x14ac:dyDescent="0.3">
      <c r="A50" t="s">
        <v>448</v>
      </c>
      <c r="B50" t="s">
        <v>7</v>
      </c>
      <c r="C50">
        <v>0</v>
      </c>
      <c r="D50">
        <v>1</v>
      </c>
      <c r="E50">
        <v>0</v>
      </c>
      <c r="F50">
        <v>0</v>
      </c>
      <c r="G50">
        <v>2</v>
      </c>
      <c r="H50" t="s">
        <v>2275</v>
      </c>
      <c r="L50">
        <v>1</v>
      </c>
      <c r="M50">
        <v>1</v>
      </c>
      <c r="N50" t="s">
        <v>2276</v>
      </c>
      <c r="S50" t="s">
        <v>147</v>
      </c>
    </row>
    <row r="51" spans="1:20" x14ac:dyDescent="0.3">
      <c r="A51" t="s">
        <v>450</v>
      </c>
      <c r="B51" t="s">
        <v>7</v>
      </c>
      <c r="C51">
        <v>0</v>
      </c>
      <c r="D51">
        <v>1</v>
      </c>
      <c r="E51">
        <v>0</v>
      </c>
      <c r="F51">
        <v>0</v>
      </c>
      <c r="G51">
        <v>2</v>
      </c>
      <c r="H51" t="s">
        <v>2275</v>
      </c>
      <c r="L51">
        <v>1</v>
      </c>
      <c r="M51">
        <v>1</v>
      </c>
      <c r="N51" t="s">
        <v>2276</v>
      </c>
      <c r="S51" t="s">
        <v>147</v>
      </c>
    </row>
    <row r="52" spans="1:20" x14ac:dyDescent="0.3">
      <c r="A52" t="s">
        <v>452</v>
      </c>
      <c r="B52" t="s">
        <v>7</v>
      </c>
      <c r="C52">
        <v>0</v>
      </c>
      <c r="D52">
        <v>1</v>
      </c>
      <c r="E52">
        <v>0</v>
      </c>
      <c r="F52">
        <v>0</v>
      </c>
      <c r="G52">
        <v>2</v>
      </c>
      <c r="H52" t="s">
        <v>2275</v>
      </c>
      <c r="L52">
        <v>1</v>
      </c>
      <c r="M52">
        <v>1</v>
      </c>
      <c r="N52" t="s">
        <v>2276</v>
      </c>
      <c r="S52" t="s">
        <v>147</v>
      </c>
    </row>
    <row r="53" spans="1:20" x14ac:dyDescent="0.3">
      <c r="A53" t="s">
        <v>457</v>
      </c>
      <c r="C53">
        <v>0</v>
      </c>
      <c r="D53">
        <v>1</v>
      </c>
      <c r="E53">
        <v>0</v>
      </c>
      <c r="F53">
        <v>0</v>
      </c>
      <c r="G53">
        <v>2</v>
      </c>
      <c r="H53" t="s">
        <v>2275</v>
      </c>
      <c r="L53">
        <v>1</v>
      </c>
      <c r="M53">
        <v>1</v>
      </c>
      <c r="N53" t="s">
        <v>2276</v>
      </c>
      <c r="S53" t="s">
        <v>161</v>
      </c>
      <c r="T53" t="s">
        <v>166</v>
      </c>
    </row>
    <row r="54" spans="1:20" x14ac:dyDescent="0.3">
      <c r="A54" t="s">
        <v>463</v>
      </c>
      <c r="B54" t="s">
        <v>6</v>
      </c>
      <c r="C54">
        <v>0</v>
      </c>
      <c r="D54">
        <v>1</v>
      </c>
      <c r="E54">
        <v>0</v>
      </c>
      <c r="F54">
        <v>0</v>
      </c>
      <c r="G54">
        <v>2</v>
      </c>
      <c r="H54" t="s">
        <v>2275</v>
      </c>
      <c r="L54">
        <v>1</v>
      </c>
      <c r="M54">
        <v>1</v>
      </c>
      <c r="N54" t="s">
        <v>2276</v>
      </c>
      <c r="S54" t="s">
        <v>147</v>
      </c>
    </row>
    <row r="55" spans="1:20" x14ac:dyDescent="0.3">
      <c r="A55" t="s">
        <v>468</v>
      </c>
      <c r="B55" t="s">
        <v>6</v>
      </c>
      <c r="C55">
        <v>0</v>
      </c>
      <c r="D55">
        <v>1</v>
      </c>
      <c r="E55">
        <v>0</v>
      </c>
      <c r="F55">
        <v>0</v>
      </c>
      <c r="G55">
        <v>2</v>
      </c>
      <c r="H55" t="s">
        <v>2275</v>
      </c>
      <c r="L55">
        <v>1</v>
      </c>
      <c r="M55">
        <v>1</v>
      </c>
      <c r="N55" t="s">
        <v>2276</v>
      </c>
      <c r="S55" t="s">
        <v>161</v>
      </c>
      <c r="T55" t="s">
        <v>226</v>
      </c>
    </row>
    <row r="56" spans="1:20" x14ac:dyDescent="0.3">
      <c r="A56" t="s">
        <v>469</v>
      </c>
      <c r="B56" t="s">
        <v>6</v>
      </c>
      <c r="C56">
        <v>0</v>
      </c>
      <c r="D56">
        <v>1</v>
      </c>
      <c r="E56">
        <v>0</v>
      </c>
      <c r="F56">
        <v>0</v>
      </c>
      <c r="G56">
        <v>2</v>
      </c>
      <c r="H56" t="s">
        <v>2275</v>
      </c>
      <c r="L56">
        <v>1</v>
      </c>
      <c r="M56">
        <v>1</v>
      </c>
      <c r="N56" t="s">
        <v>2276</v>
      </c>
      <c r="S56" t="s">
        <v>147</v>
      </c>
    </row>
    <row r="57" spans="1:20" x14ac:dyDescent="0.3">
      <c r="A57" t="s">
        <v>472</v>
      </c>
      <c r="B57" t="s">
        <v>6</v>
      </c>
      <c r="C57">
        <v>0</v>
      </c>
      <c r="D57">
        <v>1</v>
      </c>
      <c r="E57">
        <v>0</v>
      </c>
      <c r="F57">
        <v>0</v>
      </c>
      <c r="G57">
        <v>2</v>
      </c>
      <c r="H57" t="s">
        <v>2275</v>
      </c>
      <c r="L57">
        <v>1</v>
      </c>
      <c r="M57">
        <v>1</v>
      </c>
      <c r="N57" t="s">
        <v>2276</v>
      </c>
      <c r="S57" t="s">
        <v>147</v>
      </c>
    </row>
    <row r="58" spans="1:20" x14ac:dyDescent="0.3">
      <c r="A58" t="s">
        <v>474</v>
      </c>
      <c r="B58" t="s">
        <v>6</v>
      </c>
      <c r="C58">
        <v>0</v>
      </c>
      <c r="D58">
        <v>1</v>
      </c>
      <c r="E58">
        <v>0</v>
      </c>
      <c r="F58">
        <v>0</v>
      </c>
      <c r="G58">
        <v>2</v>
      </c>
      <c r="H58" t="s">
        <v>2275</v>
      </c>
      <c r="L58">
        <v>1</v>
      </c>
      <c r="M58">
        <v>1</v>
      </c>
      <c r="N58" t="s">
        <v>2276</v>
      </c>
      <c r="S58" t="s">
        <v>147</v>
      </c>
    </row>
    <row r="59" spans="1:20" x14ac:dyDescent="0.3">
      <c r="A59" t="s">
        <v>479</v>
      </c>
      <c r="B59" t="s">
        <v>6</v>
      </c>
      <c r="C59">
        <v>0</v>
      </c>
      <c r="D59">
        <v>1</v>
      </c>
      <c r="E59">
        <v>0</v>
      </c>
      <c r="F59">
        <v>0</v>
      </c>
      <c r="G59">
        <v>2</v>
      </c>
      <c r="H59" t="s">
        <v>2275</v>
      </c>
      <c r="L59">
        <v>1</v>
      </c>
      <c r="M59">
        <v>1</v>
      </c>
      <c r="N59" t="s">
        <v>2276</v>
      </c>
      <c r="S59" t="s">
        <v>161</v>
      </c>
      <c r="T59" t="s">
        <v>226</v>
      </c>
    </row>
    <row r="60" spans="1:20" x14ac:dyDescent="0.3">
      <c r="A60" t="s">
        <v>481</v>
      </c>
      <c r="B60" t="s">
        <v>6</v>
      </c>
      <c r="C60">
        <v>0</v>
      </c>
      <c r="D60">
        <v>1</v>
      </c>
      <c r="E60">
        <v>0</v>
      </c>
      <c r="F60">
        <v>0</v>
      </c>
      <c r="G60">
        <v>2</v>
      </c>
      <c r="H60" t="s">
        <v>2275</v>
      </c>
      <c r="L60">
        <v>1</v>
      </c>
      <c r="M60">
        <v>1</v>
      </c>
      <c r="N60" t="s">
        <v>2276</v>
      </c>
      <c r="S60" t="s">
        <v>147</v>
      </c>
    </row>
    <row r="61" spans="1:20" x14ac:dyDescent="0.3">
      <c r="A61" t="s">
        <v>484</v>
      </c>
      <c r="B61" t="s">
        <v>6</v>
      </c>
      <c r="C61">
        <v>0</v>
      </c>
      <c r="D61">
        <v>1</v>
      </c>
      <c r="E61">
        <v>0</v>
      </c>
      <c r="F61">
        <v>0</v>
      </c>
      <c r="G61">
        <v>2</v>
      </c>
      <c r="H61" t="s">
        <v>2275</v>
      </c>
      <c r="L61">
        <v>1</v>
      </c>
      <c r="M61">
        <v>1</v>
      </c>
      <c r="N61" t="s">
        <v>2276</v>
      </c>
      <c r="S61" t="s">
        <v>147</v>
      </c>
    </row>
    <row r="62" spans="1:20" x14ac:dyDescent="0.3">
      <c r="A62" t="s">
        <v>486</v>
      </c>
      <c r="B62" t="s">
        <v>6</v>
      </c>
      <c r="C62">
        <v>0</v>
      </c>
      <c r="D62">
        <v>1</v>
      </c>
      <c r="E62">
        <v>0</v>
      </c>
      <c r="F62">
        <v>0</v>
      </c>
      <c r="G62">
        <v>2</v>
      </c>
      <c r="H62" t="s">
        <v>2275</v>
      </c>
      <c r="L62">
        <v>1</v>
      </c>
      <c r="M62">
        <v>1</v>
      </c>
      <c r="N62" t="s">
        <v>2276</v>
      </c>
      <c r="S62" t="s">
        <v>147</v>
      </c>
    </row>
    <row r="63" spans="1:20" x14ac:dyDescent="0.3">
      <c r="A63" t="s">
        <v>489</v>
      </c>
      <c r="B63" t="s">
        <v>6</v>
      </c>
      <c r="C63">
        <v>0</v>
      </c>
      <c r="D63">
        <v>1</v>
      </c>
      <c r="E63">
        <v>0</v>
      </c>
      <c r="F63">
        <v>0</v>
      </c>
      <c r="G63">
        <v>2</v>
      </c>
      <c r="H63" t="s">
        <v>2275</v>
      </c>
      <c r="L63">
        <v>1</v>
      </c>
      <c r="M63">
        <v>1</v>
      </c>
      <c r="N63" t="s">
        <v>2276</v>
      </c>
      <c r="S63" t="s">
        <v>147</v>
      </c>
    </row>
    <row r="64" spans="1:20" x14ac:dyDescent="0.3">
      <c r="A64" t="s">
        <v>491</v>
      </c>
      <c r="B64" t="s">
        <v>6</v>
      </c>
      <c r="C64">
        <v>0</v>
      </c>
      <c r="D64">
        <v>1</v>
      </c>
      <c r="E64">
        <v>0</v>
      </c>
      <c r="F64">
        <v>0</v>
      </c>
      <c r="G64">
        <v>2</v>
      </c>
      <c r="H64" t="s">
        <v>2275</v>
      </c>
      <c r="L64">
        <v>1</v>
      </c>
      <c r="M64">
        <v>1</v>
      </c>
      <c r="N64" t="s">
        <v>2276</v>
      </c>
      <c r="S64" t="s">
        <v>147</v>
      </c>
    </row>
    <row r="65" spans="1:20" x14ac:dyDescent="0.3">
      <c r="A65" t="s">
        <v>494</v>
      </c>
      <c r="B65" t="s">
        <v>6</v>
      </c>
      <c r="C65">
        <v>0</v>
      </c>
      <c r="D65">
        <v>1</v>
      </c>
      <c r="E65">
        <v>0</v>
      </c>
      <c r="F65">
        <v>0</v>
      </c>
      <c r="G65">
        <v>2</v>
      </c>
      <c r="H65" t="s">
        <v>2275</v>
      </c>
      <c r="L65">
        <v>1</v>
      </c>
      <c r="M65">
        <v>1</v>
      </c>
      <c r="N65" t="s">
        <v>2276</v>
      </c>
      <c r="S65" t="s">
        <v>147</v>
      </c>
    </row>
    <row r="66" spans="1:20" x14ac:dyDescent="0.3">
      <c r="A66" t="s">
        <v>497</v>
      </c>
      <c r="B66" t="s">
        <v>6</v>
      </c>
      <c r="C66">
        <v>0</v>
      </c>
      <c r="D66">
        <v>1</v>
      </c>
      <c r="E66">
        <v>0</v>
      </c>
      <c r="F66">
        <v>0</v>
      </c>
      <c r="G66">
        <v>2</v>
      </c>
      <c r="H66" t="s">
        <v>2275</v>
      </c>
      <c r="L66">
        <v>1</v>
      </c>
      <c r="M66">
        <v>1</v>
      </c>
      <c r="N66" t="s">
        <v>2276</v>
      </c>
      <c r="S66" t="s">
        <v>147</v>
      </c>
    </row>
    <row r="67" spans="1:20" x14ac:dyDescent="0.3">
      <c r="A67" t="s">
        <v>500</v>
      </c>
      <c r="B67" t="s">
        <v>6</v>
      </c>
      <c r="C67">
        <v>0</v>
      </c>
      <c r="D67">
        <v>1</v>
      </c>
      <c r="E67">
        <v>0</v>
      </c>
      <c r="F67">
        <v>0</v>
      </c>
      <c r="G67">
        <v>2</v>
      </c>
      <c r="H67" t="s">
        <v>2275</v>
      </c>
      <c r="L67">
        <v>1</v>
      </c>
      <c r="M67">
        <v>1</v>
      </c>
      <c r="N67" t="s">
        <v>2276</v>
      </c>
      <c r="S67" t="s">
        <v>147</v>
      </c>
    </row>
    <row r="68" spans="1:20" x14ac:dyDescent="0.3">
      <c r="A68" t="s">
        <v>503</v>
      </c>
      <c r="B68" t="s">
        <v>6</v>
      </c>
      <c r="C68">
        <v>0</v>
      </c>
      <c r="D68">
        <v>1</v>
      </c>
      <c r="E68">
        <v>0</v>
      </c>
      <c r="F68">
        <v>0</v>
      </c>
      <c r="G68">
        <v>2</v>
      </c>
      <c r="H68" t="s">
        <v>2275</v>
      </c>
      <c r="L68">
        <v>1</v>
      </c>
      <c r="M68">
        <v>1</v>
      </c>
      <c r="N68" t="s">
        <v>2276</v>
      </c>
      <c r="S68" t="s">
        <v>147</v>
      </c>
    </row>
    <row r="69" spans="1:20" x14ac:dyDescent="0.3">
      <c r="A69" t="s">
        <v>505</v>
      </c>
      <c r="B69" t="s">
        <v>6</v>
      </c>
      <c r="C69">
        <v>0</v>
      </c>
      <c r="D69">
        <v>1</v>
      </c>
      <c r="E69">
        <v>0</v>
      </c>
      <c r="F69">
        <v>0</v>
      </c>
      <c r="G69">
        <v>2</v>
      </c>
      <c r="H69" t="s">
        <v>2275</v>
      </c>
      <c r="L69">
        <v>1</v>
      </c>
      <c r="M69">
        <v>1</v>
      </c>
      <c r="N69" t="s">
        <v>2276</v>
      </c>
      <c r="S69" t="s">
        <v>147</v>
      </c>
    </row>
    <row r="70" spans="1:20" x14ac:dyDescent="0.3">
      <c r="A70" t="s">
        <v>507</v>
      </c>
      <c r="B70" t="s">
        <v>6</v>
      </c>
      <c r="C70">
        <v>0</v>
      </c>
      <c r="D70">
        <v>1</v>
      </c>
      <c r="E70">
        <v>0</v>
      </c>
      <c r="F70">
        <v>0</v>
      </c>
      <c r="G70">
        <v>2</v>
      </c>
      <c r="H70" t="s">
        <v>2275</v>
      </c>
      <c r="L70">
        <v>1</v>
      </c>
      <c r="M70">
        <v>1</v>
      </c>
      <c r="N70" t="s">
        <v>2276</v>
      </c>
      <c r="S70" t="s">
        <v>147</v>
      </c>
    </row>
    <row r="71" spans="1:20" x14ac:dyDescent="0.3">
      <c r="A71" t="s">
        <v>510</v>
      </c>
      <c r="B71" t="s">
        <v>6</v>
      </c>
      <c r="C71">
        <v>0</v>
      </c>
      <c r="D71">
        <v>1</v>
      </c>
      <c r="E71">
        <v>0</v>
      </c>
      <c r="F71">
        <v>0</v>
      </c>
      <c r="G71">
        <v>2</v>
      </c>
      <c r="H71" t="s">
        <v>2275</v>
      </c>
      <c r="L71">
        <v>1</v>
      </c>
      <c r="M71">
        <v>1</v>
      </c>
      <c r="N71" t="s">
        <v>2276</v>
      </c>
      <c r="S71" t="s">
        <v>147</v>
      </c>
    </row>
    <row r="72" spans="1:20" x14ac:dyDescent="0.3">
      <c r="A72" t="s">
        <v>513</v>
      </c>
      <c r="B72" t="s">
        <v>6</v>
      </c>
      <c r="C72">
        <v>0</v>
      </c>
      <c r="D72">
        <v>1</v>
      </c>
      <c r="E72">
        <v>0</v>
      </c>
      <c r="F72">
        <v>0</v>
      </c>
      <c r="G72">
        <v>2</v>
      </c>
      <c r="H72" t="s">
        <v>2275</v>
      </c>
      <c r="L72">
        <v>1</v>
      </c>
      <c r="M72">
        <v>1</v>
      </c>
      <c r="N72" t="s">
        <v>2276</v>
      </c>
      <c r="S72" t="s">
        <v>147</v>
      </c>
    </row>
    <row r="73" spans="1:20" x14ac:dyDescent="0.3">
      <c r="A73" t="s">
        <v>516</v>
      </c>
      <c r="B73" t="s">
        <v>6</v>
      </c>
      <c r="C73">
        <v>0</v>
      </c>
      <c r="D73">
        <v>1</v>
      </c>
      <c r="E73">
        <v>0</v>
      </c>
      <c r="F73">
        <v>0</v>
      </c>
      <c r="G73">
        <v>2</v>
      </c>
      <c r="H73" t="s">
        <v>2275</v>
      </c>
      <c r="L73">
        <v>1</v>
      </c>
      <c r="M73">
        <v>1</v>
      </c>
      <c r="N73" t="s">
        <v>2276</v>
      </c>
      <c r="S73" t="s">
        <v>147</v>
      </c>
    </row>
    <row r="74" spans="1:20" x14ac:dyDescent="0.3">
      <c r="A74" t="s">
        <v>519</v>
      </c>
      <c r="B74" t="s">
        <v>6</v>
      </c>
      <c r="C74">
        <v>0</v>
      </c>
      <c r="D74">
        <v>1</v>
      </c>
      <c r="E74">
        <v>0</v>
      </c>
      <c r="F74">
        <v>0</v>
      </c>
      <c r="G74">
        <v>2</v>
      </c>
      <c r="H74" t="s">
        <v>2275</v>
      </c>
      <c r="L74">
        <v>1</v>
      </c>
      <c r="M74">
        <v>1</v>
      </c>
      <c r="N74" t="s">
        <v>2276</v>
      </c>
      <c r="S74" t="s">
        <v>147</v>
      </c>
    </row>
    <row r="75" spans="1:20" x14ac:dyDescent="0.3">
      <c r="A75" t="s">
        <v>522</v>
      </c>
      <c r="B75" t="s">
        <v>6</v>
      </c>
      <c r="C75">
        <v>0</v>
      </c>
      <c r="D75">
        <v>1</v>
      </c>
      <c r="E75">
        <v>0</v>
      </c>
      <c r="F75">
        <v>0</v>
      </c>
      <c r="G75">
        <v>2</v>
      </c>
      <c r="H75" t="s">
        <v>2275</v>
      </c>
      <c r="L75">
        <v>1</v>
      </c>
      <c r="M75">
        <v>1</v>
      </c>
      <c r="N75" t="s">
        <v>2276</v>
      </c>
      <c r="S75" t="s">
        <v>147</v>
      </c>
    </row>
    <row r="76" spans="1:20" x14ac:dyDescent="0.3">
      <c r="A76" t="s">
        <v>527</v>
      </c>
      <c r="B76" t="s">
        <v>6</v>
      </c>
      <c r="C76">
        <v>0</v>
      </c>
      <c r="D76">
        <v>1</v>
      </c>
      <c r="E76">
        <v>0</v>
      </c>
      <c r="F76">
        <v>0</v>
      </c>
      <c r="G76">
        <v>2</v>
      </c>
      <c r="H76" t="s">
        <v>2275</v>
      </c>
      <c r="L76">
        <v>1</v>
      </c>
      <c r="M76">
        <v>1</v>
      </c>
      <c r="N76" t="s">
        <v>2276</v>
      </c>
      <c r="S76" t="s">
        <v>147</v>
      </c>
    </row>
    <row r="77" spans="1:20" x14ac:dyDescent="0.3">
      <c r="A77" t="s">
        <v>532</v>
      </c>
      <c r="B77" t="s">
        <v>6</v>
      </c>
      <c r="C77">
        <v>0</v>
      </c>
      <c r="D77">
        <v>1</v>
      </c>
      <c r="E77">
        <v>0</v>
      </c>
      <c r="F77">
        <v>0</v>
      </c>
      <c r="G77">
        <v>2</v>
      </c>
      <c r="H77" t="s">
        <v>2275</v>
      </c>
      <c r="L77">
        <v>1</v>
      </c>
      <c r="M77">
        <v>1</v>
      </c>
      <c r="N77" t="s">
        <v>2276</v>
      </c>
      <c r="S77" t="s">
        <v>161</v>
      </c>
      <c r="T77" t="s">
        <v>226</v>
      </c>
    </row>
    <row r="78" spans="1:20" x14ac:dyDescent="0.3">
      <c r="A78" t="s">
        <v>534</v>
      </c>
      <c r="B78" t="s">
        <v>6</v>
      </c>
      <c r="C78">
        <v>0</v>
      </c>
      <c r="D78">
        <v>1</v>
      </c>
      <c r="E78">
        <v>0</v>
      </c>
      <c r="F78">
        <v>0</v>
      </c>
      <c r="G78">
        <v>2</v>
      </c>
      <c r="H78" t="s">
        <v>2275</v>
      </c>
      <c r="L78">
        <v>1</v>
      </c>
      <c r="M78">
        <v>1</v>
      </c>
      <c r="N78" t="s">
        <v>2276</v>
      </c>
      <c r="S78" t="s">
        <v>147</v>
      </c>
    </row>
    <row r="79" spans="1:20" x14ac:dyDescent="0.3">
      <c r="A79" t="s">
        <v>537</v>
      </c>
      <c r="B79" t="s">
        <v>6</v>
      </c>
      <c r="C79">
        <v>0</v>
      </c>
      <c r="D79">
        <v>1</v>
      </c>
      <c r="E79">
        <v>0</v>
      </c>
      <c r="F79">
        <v>0</v>
      </c>
      <c r="G79">
        <v>2</v>
      </c>
      <c r="H79" t="s">
        <v>2275</v>
      </c>
      <c r="L79">
        <v>1</v>
      </c>
      <c r="M79">
        <v>1</v>
      </c>
      <c r="N79" t="s">
        <v>2276</v>
      </c>
      <c r="S79" t="s">
        <v>147</v>
      </c>
    </row>
    <row r="80" spans="1:20" x14ac:dyDescent="0.3">
      <c r="A80" t="s">
        <v>542</v>
      </c>
      <c r="B80" t="s">
        <v>6</v>
      </c>
      <c r="C80">
        <v>0</v>
      </c>
      <c r="D80">
        <v>1</v>
      </c>
      <c r="E80">
        <v>0</v>
      </c>
      <c r="F80">
        <v>0</v>
      </c>
      <c r="G80">
        <v>2</v>
      </c>
      <c r="H80" t="s">
        <v>2275</v>
      </c>
      <c r="L80">
        <v>1</v>
      </c>
      <c r="M80">
        <v>1</v>
      </c>
      <c r="N80" t="s">
        <v>2276</v>
      </c>
      <c r="S80" t="s">
        <v>147</v>
      </c>
    </row>
    <row r="81" spans="1:20" x14ac:dyDescent="0.3">
      <c r="A81" t="s">
        <v>547</v>
      </c>
      <c r="B81" t="s">
        <v>6</v>
      </c>
      <c r="C81">
        <v>0</v>
      </c>
      <c r="D81">
        <v>1</v>
      </c>
      <c r="E81">
        <v>0</v>
      </c>
      <c r="F81">
        <v>0</v>
      </c>
      <c r="G81">
        <v>2</v>
      </c>
      <c r="H81" t="s">
        <v>2275</v>
      </c>
      <c r="L81">
        <v>1</v>
      </c>
      <c r="M81">
        <v>1</v>
      </c>
      <c r="N81" t="s">
        <v>2276</v>
      </c>
      <c r="S81" t="s">
        <v>147</v>
      </c>
    </row>
    <row r="82" spans="1:20" x14ac:dyDescent="0.3">
      <c r="A82" t="s">
        <v>551</v>
      </c>
      <c r="B82" t="s">
        <v>6</v>
      </c>
      <c r="C82">
        <v>0</v>
      </c>
      <c r="D82">
        <v>1</v>
      </c>
      <c r="E82">
        <v>0</v>
      </c>
      <c r="F82">
        <v>0</v>
      </c>
      <c r="G82">
        <v>2</v>
      </c>
      <c r="H82" t="s">
        <v>2275</v>
      </c>
      <c r="L82">
        <v>1</v>
      </c>
      <c r="M82">
        <v>1</v>
      </c>
      <c r="N82" t="s">
        <v>2276</v>
      </c>
      <c r="S82" t="s">
        <v>161</v>
      </c>
      <c r="T82" t="s">
        <v>226</v>
      </c>
    </row>
    <row r="83" spans="1:20" x14ac:dyDescent="0.3">
      <c r="A83" t="s">
        <v>553</v>
      </c>
      <c r="B83" t="s">
        <v>6</v>
      </c>
      <c r="C83">
        <v>0</v>
      </c>
      <c r="D83">
        <v>1</v>
      </c>
      <c r="E83">
        <v>0</v>
      </c>
      <c r="F83">
        <v>0</v>
      </c>
      <c r="G83">
        <v>2</v>
      </c>
      <c r="H83" t="s">
        <v>2275</v>
      </c>
      <c r="L83">
        <v>1</v>
      </c>
      <c r="M83">
        <v>1</v>
      </c>
      <c r="N83" t="s">
        <v>2276</v>
      </c>
      <c r="S83" t="s">
        <v>147</v>
      </c>
    </row>
    <row r="84" spans="1:20" x14ac:dyDescent="0.3">
      <c r="A84" t="s">
        <v>556</v>
      </c>
      <c r="B84" t="s">
        <v>6</v>
      </c>
      <c r="C84">
        <v>0</v>
      </c>
      <c r="D84">
        <v>1</v>
      </c>
      <c r="E84">
        <v>0</v>
      </c>
      <c r="F84">
        <v>0</v>
      </c>
      <c r="G84">
        <v>2</v>
      </c>
      <c r="H84" t="s">
        <v>2275</v>
      </c>
      <c r="L84">
        <v>1</v>
      </c>
      <c r="M84">
        <v>1</v>
      </c>
      <c r="N84" t="s">
        <v>2276</v>
      </c>
      <c r="S84" t="s">
        <v>147</v>
      </c>
    </row>
    <row r="85" spans="1:20" x14ac:dyDescent="0.3">
      <c r="A85" t="s">
        <v>560</v>
      </c>
      <c r="B85" t="s">
        <v>6</v>
      </c>
      <c r="C85">
        <v>0</v>
      </c>
      <c r="D85">
        <v>1</v>
      </c>
      <c r="E85">
        <v>0</v>
      </c>
      <c r="F85">
        <v>0</v>
      </c>
      <c r="G85">
        <v>2</v>
      </c>
      <c r="H85" t="s">
        <v>2275</v>
      </c>
      <c r="L85">
        <v>1</v>
      </c>
      <c r="M85">
        <v>1</v>
      </c>
      <c r="N85" t="s">
        <v>2276</v>
      </c>
      <c r="S85" t="s">
        <v>161</v>
      </c>
      <c r="T85" t="s">
        <v>226</v>
      </c>
    </row>
    <row r="86" spans="1:20" x14ac:dyDescent="0.3">
      <c r="A86" t="s">
        <v>561</v>
      </c>
      <c r="B86" t="s">
        <v>6</v>
      </c>
      <c r="C86">
        <v>0</v>
      </c>
      <c r="D86">
        <v>1</v>
      </c>
      <c r="E86">
        <v>0</v>
      </c>
      <c r="F86">
        <v>0</v>
      </c>
      <c r="G86">
        <v>2</v>
      </c>
      <c r="H86" t="s">
        <v>2275</v>
      </c>
      <c r="L86">
        <v>1</v>
      </c>
      <c r="M86">
        <v>1</v>
      </c>
      <c r="N86" t="s">
        <v>2276</v>
      </c>
      <c r="S86" t="s">
        <v>147</v>
      </c>
    </row>
    <row r="87" spans="1:20" x14ac:dyDescent="0.3">
      <c r="A87" t="s">
        <v>564</v>
      </c>
      <c r="B87" t="s">
        <v>6</v>
      </c>
      <c r="C87">
        <v>0</v>
      </c>
      <c r="D87">
        <v>1</v>
      </c>
      <c r="E87">
        <v>0</v>
      </c>
      <c r="F87">
        <v>0</v>
      </c>
      <c r="G87">
        <v>2</v>
      </c>
      <c r="H87" t="s">
        <v>2275</v>
      </c>
      <c r="L87">
        <v>1</v>
      </c>
      <c r="M87">
        <v>1</v>
      </c>
      <c r="N87" t="s">
        <v>2276</v>
      </c>
      <c r="S87" t="s">
        <v>147</v>
      </c>
    </row>
    <row r="88" spans="1:20" x14ac:dyDescent="0.3">
      <c r="A88" t="s">
        <v>569</v>
      </c>
      <c r="B88" t="s">
        <v>6</v>
      </c>
      <c r="C88">
        <v>0</v>
      </c>
      <c r="D88">
        <v>1</v>
      </c>
      <c r="E88">
        <v>0</v>
      </c>
      <c r="F88">
        <v>0</v>
      </c>
      <c r="G88">
        <v>2</v>
      </c>
      <c r="H88" t="s">
        <v>2275</v>
      </c>
      <c r="L88">
        <v>1</v>
      </c>
      <c r="M88">
        <v>1</v>
      </c>
      <c r="N88" t="s">
        <v>2276</v>
      </c>
      <c r="S88" t="s">
        <v>147</v>
      </c>
    </row>
    <row r="89" spans="1:20" x14ac:dyDescent="0.3">
      <c r="A89" t="s">
        <v>574</v>
      </c>
      <c r="B89" t="s">
        <v>6</v>
      </c>
      <c r="C89">
        <v>0</v>
      </c>
      <c r="D89">
        <v>1</v>
      </c>
      <c r="E89">
        <v>0</v>
      </c>
      <c r="F89">
        <v>0</v>
      </c>
      <c r="G89">
        <v>2</v>
      </c>
      <c r="H89" t="s">
        <v>2275</v>
      </c>
      <c r="L89">
        <v>1</v>
      </c>
      <c r="M89">
        <v>1</v>
      </c>
      <c r="N89" t="s">
        <v>2276</v>
      </c>
      <c r="S89" t="s">
        <v>147</v>
      </c>
    </row>
    <row r="90" spans="1:20" x14ac:dyDescent="0.3">
      <c r="A90" t="s">
        <v>579</v>
      </c>
      <c r="B90" t="s">
        <v>6</v>
      </c>
      <c r="C90">
        <v>0</v>
      </c>
      <c r="D90">
        <v>1</v>
      </c>
      <c r="E90">
        <v>0</v>
      </c>
      <c r="F90">
        <v>0</v>
      </c>
      <c r="G90">
        <v>2</v>
      </c>
      <c r="H90" t="s">
        <v>2275</v>
      </c>
      <c r="L90">
        <v>1</v>
      </c>
      <c r="M90">
        <v>1</v>
      </c>
      <c r="N90" t="s">
        <v>2276</v>
      </c>
      <c r="S90" t="s">
        <v>147</v>
      </c>
    </row>
    <row r="91" spans="1:20" x14ac:dyDescent="0.3">
      <c r="A91" t="s">
        <v>583</v>
      </c>
      <c r="B91" t="s">
        <v>6</v>
      </c>
      <c r="C91">
        <v>0</v>
      </c>
      <c r="D91">
        <v>1</v>
      </c>
      <c r="E91">
        <v>0</v>
      </c>
      <c r="F91">
        <v>0</v>
      </c>
      <c r="G91">
        <v>2</v>
      </c>
      <c r="H91" t="s">
        <v>2275</v>
      </c>
      <c r="L91">
        <v>1</v>
      </c>
      <c r="M91">
        <v>1</v>
      </c>
      <c r="N91" t="s">
        <v>2276</v>
      </c>
      <c r="S91" t="s">
        <v>161</v>
      </c>
      <c r="T91" t="s">
        <v>226</v>
      </c>
    </row>
    <row r="92" spans="1:20" x14ac:dyDescent="0.3">
      <c r="A92" t="s">
        <v>584</v>
      </c>
      <c r="B92" t="s">
        <v>6</v>
      </c>
      <c r="C92">
        <v>0</v>
      </c>
      <c r="D92">
        <v>1</v>
      </c>
      <c r="E92">
        <v>0</v>
      </c>
      <c r="F92">
        <v>0</v>
      </c>
      <c r="G92">
        <v>2</v>
      </c>
      <c r="H92" t="s">
        <v>2275</v>
      </c>
      <c r="L92">
        <v>1</v>
      </c>
      <c r="M92">
        <v>1</v>
      </c>
      <c r="N92" t="s">
        <v>2276</v>
      </c>
      <c r="S92" t="s">
        <v>147</v>
      </c>
    </row>
    <row r="93" spans="1:20" x14ac:dyDescent="0.3">
      <c r="A93" t="s">
        <v>587</v>
      </c>
      <c r="B93" t="s">
        <v>6</v>
      </c>
      <c r="C93">
        <v>0</v>
      </c>
      <c r="D93">
        <v>1</v>
      </c>
      <c r="E93">
        <v>0</v>
      </c>
      <c r="F93">
        <v>0</v>
      </c>
      <c r="G93">
        <v>2</v>
      </c>
      <c r="H93" t="s">
        <v>2275</v>
      </c>
      <c r="L93">
        <v>1</v>
      </c>
      <c r="M93">
        <v>1</v>
      </c>
      <c r="N93" t="s">
        <v>2276</v>
      </c>
      <c r="S93" t="s">
        <v>147</v>
      </c>
    </row>
    <row r="94" spans="1:20" x14ac:dyDescent="0.3">
      <c r="A94" t="s">
        <v>591</v>
      </c>
      <c r="B94" t="s">
        <v>6</v>
      </c>
      <c r="C94">
        <v>0</v>
      </c>
      <c r="D94">
        <v>1</v>
      </c>
      <c r="E94">
        <v>0</v>
      </c>
      <c r="F94">
        <v>0</v>
      </c>
      <c r="G94">
        <v>2</v>
      </c>
      <c r="H94" t="s">
        <v>2275</v>
      </c>
      <c r="L94">
        <v>1</v>
      </c>
      <c r="M94">
        <v>1</v>
      </c>
      <c r="N94" t="s">
        <v>2276</v>
      </c>
      <c r="S94" t="s">
        <v>147</v>
      </c>
    </row>
    <row r="95" spans="1:20" x14ac:dyDescent="0.3">
      <c r="A95" t="s">
        <v>596</v>
      </c>
      <c r="B95" t="s">
        <v>6</v>
      </c>
      <c r="C95">
        <v>0</v>
      </c>
      <c r="D95">
        <v>1</v>
      </c>
      <c r="E95">
        <v>0</v>
      </c>
      <c r="F95">
        <v>0</v>
      </c>
      <c r="G95">
        <v>2</v>
      </c>
      <c r="H95" t="s">
        <v>2275</v>
      </c>
      <c r="L95">
        <v>1</v>
      </c>
      <c r="M95">
        <v>1</v>
      </c>
      <c r="N95" t="s">
        <v>2276</v>
      </c>
      <c r="S95" t="s">
        <v>147</v>
      </c>
    </row>
    <row r="96" spans="1:20" x14ac:dyDescent="0.3">
      <c r="A96" t="s">
        <v>601</v>
      </c>
      <c r="B96" t="s">
        <v>6</v>
      </c>
      <c r="C96">
        <v>0</v>
      </c>
      <c r="D96">
        <v>1</v>
      </c>
      <c r="E96">
        <v>0</v>
      </c>
      <c r="F96">
        <v>0</v>
      </c>
      <c r="G96">
        <v>2</v>
      </c>
      <c r="H96" t="s">
        <v>2275</v>
      </c>
      <c r="L96">
        <v>1</v>
      </c>
      <c r="M96">
        <v>1</v>
      </c>
      <c r="N96" t="s">
        <v>2276</v>
      </c>
      <c r="S96" t="s">
        <v>147</v>
      </c>
    </row>
    <row r="97" spans="1:20" x14ac:dyDescent="0.3">
      <c r="A97" t="s">
        <v>605</v>
      </c>
      <c r="B97" t="s">
        <v>6</v>
      </c>
      <c r="C97">
        <v>0</v>
      </c>
      <c r="D97">
        <v>1</v>
      </c>
      <c r="E97">
        <v>0</v>
      </c>
      <c r="F97">
        <v>0</v>
      </c>
      <c r="G97">
        <v>2</v>
      </c>
      <c r="H97" t="s">
        <v>2275</v>
      </c>
      <c r="L97">
        <v>1</v>
      </c>
      <c r="M97">
        <v>1</v>
      </c>
      <c r="N97" t="s">
        <v>2276</v>
      </c>
      <c r="S97" t="s">
        <v>161</v>
      </c>
      <c r="T97" t="s">
        <v>226</v>
      </c>
    </row>
    <row r="98" spans="1:20" x14ac:dyDescent="0.3">
      <c r="A98" t="s">
        <v>607</v>
      </c>
      <c r="B98" t="s">
        <v>6</v>
      </c>
      <c r="C98">
        <v>0</v>
      </c>
      <c r="D98">
        <v>1</v>
      </c>
      <c r="E98">
        <v>0</v>
      </c>
      <c r="F98">
        <v>0</v>
      </c>
      <c r="G98">
        <v>2</v>
      </c>
      <c r="H98" t="s">
        <v>2275</v>
      </c>
      <c r="L98">
        <v>1</v>
      </c>
      <c r="M98">
        <v>1</v>
      </c>
      <c r="N98" t="s">
        <v>2276</v>
      </c>
      <c r="S98" t="s">
        <v>147</v>
      </c>
    </row>
    <row r="99" spans="1:20" x14ac:dyDescent="0.3">
      <c r="A99" t="s">
        <v>610</v>
      </c>
      <c r="B99" t="s">
        <v>6</v>
      </c>
      <c r="C99">
        <v>0</v>
      </c>
      <c r="D99">
        <v>1</v>
      </c>
      <c r="E99">
        <v>0</v>
      </c>
      <c r="F99">
        <v>0</v>
      </c>
      <c r="G99">
        <v>2</v>
      </c>
      <c r="H99" t="s">
        <v>2275</v>
      </c>
      <c r="L99">
        <v>1</v>
      </c>
      <c r="M99">
        <v>1</v>
      </c>
      <c r="N99" t="s">
        <v>2276</v>
      </c>
      <c r="S99" t="s">
        <v>147</v>
      </c>
    </row>
    <row r="100" spans="1:20" x14ac:dyDescent="0.3">
      <c r="A100" t="s">
        <v>615</v>
      </c>
      <c r="B100" t="s">
        <v>6</v>
      </c>
      <c r="C100">
        <v>0</v>
      </c>
      <c r="D100">
        <v>1</v>
      </c>
      <c r="E100">
        <v>0</v>
      </c>
      <c r="F100">
        <v>0</v>
      </c>
      <c r="G100">
        <v>2</v>
      </c>
      <c r="H100" t="s">
        <v>2275</v>
      </c>
      <c r="L100">
        <v>1</v>
      </c>
      <c r="M100">
        <v>1</v>
      </c>
      <c r="N100" t="s">
        <v>2276</v>
      </c>
      <c r="S100" t="s">
        <v>161</v>
      </c>
      <c r="T100" t="s">
        <v>226</v>
      </c>
    </row>
    <row r="101" spans="1:20" x14ac:dyDescent="0.3">
      <c r="A101" t="s">
        <v>617</v>
      </c>
      <c r="B101" t="s">
        <v>6</v>
      </c>
      <c r="C101">
        <v>0</v>
      </c>
      <c r="D101">
        <v>1</v>
      </c>
      <c r="E101">
        <v>0</v>
      </c>
      <c r="F101">
        <v>0</v>
      </c>
      <c r="G101">
        <v>2</v>
      </c>
      <c r="H101" t="s">
        <v>2275</v>
      </c>
      <c r="L101">
        <v>1</v>
      </c>
      <c r="M101">
        <v>1</v>
      </c>
      <c r="N101" t="s">
        <v>2276</v>
      </c>
      <c r="S101" t="s">
        <v>147</v>
      </c>
    </row>
    <row r="102" spans="1:20" x14ac:dyDescent="0.3">
      <c r="A102" t="s">
        <v>620</v>
      </c>
      <c r="B102" t="s">
        <v>6</v>
      </c>
      <c r="C102">
        <v>0</v>
      </c>
      <c r="D102">
        <v>1</v>
      </c>
      <c r="E102">
        <v>0</v>
      </c>
      <c r="F102">
        <v>0</v>
      </c>
      <c r="G102">
        <v>2</v>
      </c>
      <c r="H102" t="s">
        <v>2275</v>
      </c>
      <c r="L102">
        <v>1</v>
      </c>
      <c r="M102">
        <v>1</v>
      </c>
      <c r="N102" t="s">
        <v>2276</v>
      </c>
      <c r="S102" t="s">
        <v>147</v>
      </c>
    </row>
    <row r="103" spans="1:20" x14ac:dyDescent="0.3">
      <c r="A103" t="s">
        <v>624</v>
      </c>
      <c r="B103" t="s">
        <v>6</v>
      </c>
      <c r="C103">
        <v>0</v>
      </c>
      <c r="D103">
        <v>1</v>
      </c>
      <c r="E103">
        <v>0</v>
      </c>
      <c r="F103">
        <v>0</v>
      </c>
      <c r="G103">
        <v>2</v>
      </c>
      <c r="H103" t="s">
        <v>2275</v>
      </c>
      <c r="L103">
        <v>1</v>
      </c>
      <c r="M103">
        <v>1</v>
      </c>
      <c r="N103" t="s">
        <v>2276</v>
      </c>
      <c r="S103" t="s">
        <v>161</v>
      </c>
      <c r="T103" t="s">
        <v>226</v>
      </c>
    </row>
    <row r="104" spans="1:20" x14ac:dyDescent="0.3">
      <c r="A104" t="s">
        <v>626</v>
      </c>
      <c r="B104" t="s">
        <v>6</v>
      </c>
      <c r="C104">
        <v>0</v>
      </c>
      <c r="D104">
        <v>1</v>
      </c>
      <c r="E104">
        <v>0</v>
      </c>
      <c r="F104">
        <v>0</v>
      </c>
      <c r="G104">
        <v>2</v>
      </c>
      <c r="H104" t="s">
        <v>2275</v>
      </c>
      <c r="L104">
        <v>1</v>
      </c>
      <c r="M104">
        <v>1</v>
      </c>
      <c r="N104" t="s">
        <v>2276</v>
      </c>
      <c r="S104" t="s">
        <v>147</v>
      </c>
    </row>
    <row r="105" spans="1:20" x14ac:dyDescent="0.3">
      <c r="A105" t="s">
        <v>628</v>
      </c>
      <c r="B105" t="s">
        <v>6</v>
      </c>
      <c r="C105">
        <v>0</v>
      </c>
      <c r="D105">
        <v>1</v>
      </c>
      <c r="E105">
        <v>0</v>
      </c>
      <c r="F105">
        <v>0</v>
      </c>
      <c r="G105">
        <v>2</v>
      </c>
      <c r="H105" t="s">
        <v>2275</v>
      </c>
      <c r="L105">
        <v>1</v>
      </c>
      <c r="M105">
        <v>1</v>
      </c>
      <c r="N105" t="s">
        <v>2276</v>
      </c>
      <c r="S105" t="s">
        <v>147</v>
      </c>
    </row>
    <row r="106" spans="1:20" x14ac:dyDescent="0.3">
      <c r="A106" t="s">
        <v>630</v>
      </c>
      <c r="B106" t="s">
        <v>6</v>
      </c>
      <c r="C106">
        <v>0</v>
      </c>
      <c r="D106">
        <v>1</v>
      </c>
      <c r="E106">
        <v>0</v>
      </c>
      <c r="F106">
        <v>0</v>
      </c>
      <c r="G106">
        <v>2</v>
      </c>
      <c r="H106" t="s">
        <v>2275</v>
      </c>
      <c r="L106">
        <v>1</v>
      </c>
      <c r="M106">
        <v>1</v>
      </c>
      <c r="N106" t="s">
        <v>2276</v>
      </c>
      <c r="S106" t="s">
        <v>147</v>
      </c>
    </row>
    <row r="107" spans="1:20" x14ac:dyDescent="0.3">
      <c r="A107" t="s">
        <v>632</v>
      </c>
      <c r="B107" t="s">
        <v>6</v>
      </c>
      <c r="C107">
        <v>0</v>
      </c>
      <c r="D107">
        <v>1</v>
      </c>
      <c r="E107">
        <v>0</v>
      </c>
      <c r="F107">
        <v>0</v>
      </c>
      <c r="G107">
        <v>2</v>
      </c>
      <c r="H107" t="s">
        <v>2275</v>
      </c>
      <c r="L107">
        <v>1</v>
      </c>
      <c r="M107">
        <v>1</v>
      </c>
      <c r="N107" t="s">
        <v>2276</v>
      </c>
      <c r="S107" t="s">
        <v>147</v>
      </c>
    </row>
    <row r="108" spans="1:20" x14ac:dyDescent="0.3">
      <c r="A108" t="s">
        <v>634</v>
      </c>
      <c r="B108" t="s">
        <v>6</v>
      </c>
      <c r="C108">
        <v>0</v>
      </c>
      <c r="D108">
        <v>1</v>
      </c>
      <c r="E108">
        <v>0</v>
      </c>
      <c r="F108">
        <v>0</v>
      </c>
      <c r="G108">
        <v>2</v>
      </c>
      <c r="H108" t="s">
        <v>2275</v>
      </c>
      <c r="L108">
        <v>1</v>
      </c>
      <c r="M108">
        <v>1</v>
      </c>
      <c r="N108" t="s">
        <v>2276</v>
      </c>
      <c r="S108" t="s">
        <v>147</v>
      </c>
    </row>
    <row r="109" spans="1:20" x14ac:dyDescent="0.3">
      <c r="A109" t="s">
        <v>636</v>
      </c>
      <c r="B109" t="s">
        <v>6</v>
      </c>
      <c r="C109">
        <v>0</v>
      </c>
      <c r="D109">
        <v>1</v>
      </c>
      <c r="E109">
        <v>0</v>
      </c>
      <c r="F109">
        <v>0</v>
      </c>
      <c r="G109">
        <v>2</v>
      </c>
      <c r="H109" t="s">
        <v>2275</v>
      </c>
      <c r="L109">
        <v>1</v>
      </c>
      <c r="M109">
        <v>1</v>
      </c>
      <c r="N109" t="s">
        <v>2276</v>
      </c>
      <c r="S109" t="s">
        <v>147</v>
      </c>
    </row>
    <row r="110" spans="1:20" x14ac:dyDescent="0.3">
      <c r="A110" t="s">
        <v>638</v>
      </c>
      <c r="B110" t="s">
        <v>6</v>
      </c>
      <c r="C110">
        <v>0</v>
      </c>
      <c r="D110">
        <v>1</v>
      </c>
      <c r="E110">
        <v>0</v>
      </c>
      <c r="F110">
        <v>0</v>
      </c>
      <c r="G110">
        <v>2</v>
      </c>
      <c r="H110" t="s">
        <v>2275</v>
      </c>
      <c r="L110">
        <v>1</v>
      </c>
      <c r="M110">
        <v>1</v>
      </c>
      <c r="N110" t="s">
        <v>2276</v>
      </c>
      <c r="S110" t="s">
        <v>147</v>
      </c>
    </row>
    <row r="111" spans="1:20" x14ac:dyDescent="0.3">
      <c r="A111" t="s">
        <v>640</v>
      </c>
      <c r="B111" t="s">
        <v>6</v>
      </c>
      <c r="C111">
        <v>0</v>
      </c>
      <c r="D111">
        <v>1</v>
      </c>
      <c r="E111">
        <v>0</v>
      </c>
      <c r="F111">
        <v>0</v>
      </c>
      <c r="G111">
        <v>2</v>
      </c>
      <c r="H111" t="s">
        <v>2275</v>
      </c>
      <c r="L111">
        <v>1</v>
      </c>
      <c r="M111">
        <v>1</v>
      </c>
      <c r="N111" t="s">
        <v>2276</v>
      </c>
      <c r="S111" t="s">
        <v>147</v>
      </c>
    </row>
    <row r="112" spans="1:20" x14ac:dyDescent="0.3">
      <c r="A112" t="s">
        <v>642</v>
      </c>
      <c r="B112" t="s">
        <v>6</v>
      </c>
      <c r="C112">
        <v>0</v>
      </c>
      <c r="D112">
        <v>1</v>
      </c>
      <c r="E112">
        <v>0</v>
      </c>
      <c r="F112">
        <v>0</v>
      </c>
      <c r="G112">
        <v>2</v>
      </c>
      <c r="H112" t="s">
        <v>2275</v>
      </c>
      <c r="L112">
        <v>1</v>
      </c>
      <c r="M112">
        <v>1</v>
      </c>
      <c r="N112" t="s">
        <v>2276</v>
      </c>
      <c r="S112" t="s">
        <v>147</v>
      </c>
    </row>
    <row r="113" spans="1:20" x14ac:dyDescent="0.3">
      <c r="A113" t="s">
        <v>645</v>
      </c>
      <c r="B113" t="s">
        <v>6</v>
      </c>
      <c r="C113">
        <v>0</v>
      </c>
      <c r="D113">
        <v>1</v>
      </c>
      <c r="E113">
        <v>0</v>
      </c>
      <c r="F113">
        <v>0</v>
      </c>
      <c r="G113">
        <v>2</v>
      </c>
      <c r="H113" t="s">
        <v>2275</v>
      </c>
      <c r="L113">
        <v>1</v>
      </c>
      <c r="M113">
        <v>1</v>
      </c>
      <c r="N113" t="s">
        <v>2276</v>
      </c>
      <c r="S113" t="s">
        <v>147</v>
      </c>
    </row>
    <row r="114" spans="1:20" x14ac:dyDescent="0.3">
      <c r="A114" t="s">
        <v>649</v>
      </c>
      <c r="B114" t="s">
        <v>6</v>
      </c>
      <c r="C114">
        <v>0</v>
      </c>
      <c r="D114">
        <v>1</v>
      </c>
      <c r="E114">
        <v>0</v>
      </c>
      <c r="F114">
        <v>0</v>
      </c>
      <c r="G114">
        <v>2</v>
      </c>
      <c r="H114" t="s">
        <v>2275</v>
      </c>
      <c r="L114">
        <v>1</v>
      </c>
      <c r="M114">
        <v>1</v>
      </c>
      <c r="N114" t="s">
        <v>2276</v>
      </c>
      <c r="S114" t="s">
        <v>147</v>
      </c>
    </row>
    <row r="115" spans="1:20" x14ac:dyDescent="0.3">
      <c r="A115" t="s">
        <v>654</v>
      </c>
      <c r="B115" t="s">
        <v>6</v>
      </c>
      <c r="C115">
        <v>0</v>
      </c>
      <c r="D115">
        <v>1</v>
      </c>
      <c r="E115">
        <v>0</v>
      </c>
      <c r="F115">
        <v>0</v>
      </c>
      <c r="G115">
        <v>2</v>
      </c>
      <c r="H115" t="s">
        <v>2275</v>
      </c>
      <c r="L115">
        <v>1</v>
      </c>
      <c r="M115">
        <v>1</v>
      </c>
      <c r="N115" t="s">
        <v>2276</v>
      </c>
      <c r="S115" t="s">
        <v>147</v>
      </c>
    </row>
    <row r="116" spans="1:20" x14ac:dyDescent="0.3">
      <c r="A116" t="s">
        <v>659</v>
      </c>
      <c r="B116" t="s">
        <v>6</v>
      </c>
      <c r="C116">
        <v>0</v>
      </c>
      <c r="D116">
        <v>1</v>
      </c>
      <c r="E116">
        <v>0</v>
      </c>
      <c r="F116">
        <v>0</v>
      </c>
      <c r="G116">
        <v>2</v>
      </c>
      <c r="H116" t="s">
        <v>2275</v>
      </c>
      <c r="L116">
        <v>1</v>
      </c>
      <c r="M116">
        <v>1</v>
      </c>
      <c r="N116" t="s">
        <v>2276</v>
      </c>
      <c r="S116" t="s">
        <v>147</v>
      </c>
    </row>
    <row r="117" spans="1:20" x14ac:dyDescent="0.3">
      <c r="A117" t="s">
        <v>664</v>
      </c>
      <c r="B117" t="s">
        <v>6</v>
      </c>
      <c r="C117">
        <v>0</v>
      </c>
      <c r="D117">
        <v>1</v>
      </c>
      <c r="E117">
        <v>0</v>
      </c>
      <c r="F117">
        <v>0</v>
      </c>
      <c r="G117">
        <v>2</v>
      </c>
      <c r="H117" t="s">
        <v>2275</v>
      </c>
      <c r="L117">
        <v>1</v>
      </c>
      <c r="M117">
        <v>1</v>
      </c>
      <c r="N117" t="s">
        <v>2276</v>
      </c>
      <c r="S117" t="s">
        <v>147</v>
      </c>
    </row>
    <row r="118" spans="1:20" x14ac:dyDescent="0.3">
      <c r="A118" t="s">
        <v>668</v>
      </c>
      <c r="B118" t="s">
        <v>6</v>
      </c>
      <c r="C118">
        <v>0</v>
      </c>
      <c r="D118">
        <v>1</v>
      </c>
      <c r="E118">
        <v>0</v>
      </c>
      <c r="F118">
        <v>0</v>
      </c>
      <c r="G118">
        <v>2</v>
      </c>
      <c r="H118" t="s">
        <v>2275</v>
      </c>
      <c r="L118">
        <v>1</v>
      </c>
      <c r="M118">
        <v>1</v>
      </c>
      <c r="N118" t="s">
        <v>2276</v>
      </c>
      <c r="S118" t="s">
        <v>147</v>
      </c>
    </row>
    <row r="119" spans="1:20" x14ac:dyDescent="0.3">
      <c r="A119" t="s">
        <v>672</v>
      </c>
      <c r="B119" t="s">
        <v>6</v>
      </c>
      <c r="C119">
        <v>0</v>
      </c>
      <c r="D119">
        <v>1</v>
      </c>
      <c r="E119">
        <v>0</v>
      </c>
      <c r="F119">
        <v>0</v>
      </c>
      <c r="G119">
        <v>2</v>
      </c>
      <c r="H119" t="s">
        <v>2275</v>
      </c>
      <c r="L119">
        <v>1</v>
      </c>
      <c r="M119">
        <v>1</v>
      </c>
      <c r="N119" t="s">
        <v>2276</v>
      </c>
      <c r="S119" t="s">
        <v>161</v>
      </c>
      <c r="T119" t="s">
        <v>226</v>
      </c>
    </row>
    <row r="120" spans="1:20" x14ac:dyDescent="0.3">
      <c r="A120" t="s">
        <v>674</v>
      </c>
      <c r="B120" t="s">
        <v>6</v>
      </c>
      <c r="C120">
        <v>0</v>
      </c>
      <c r="D120">
        <v>1</v>
      </c>
      <c r="E120">
        <v>0</v>
      </c>
      <c r="F120">
        <v>0</v>
      </c>
      <c r="G120">
        <v>2</v>
      </c>
      <c r="H120" t="s">
        <v>2275</v>
      </c>
      <c r="L120">
        <v>1</v>
      </c>
      <c r="M120">
        <v>1</v>
      </c>
      <c r="N120" t="s">
        <v>2276</v>
      </c>
      <c r="S120" t="s">
        <v>147</v>
      </c>
    </row>
    <row r="121" spans="1:20" x14ac:dyDescent="0.3">
      <c r="A121" t="s">
        <v>677</v>
      </c>
      <c r="B121" t="s">
        <v>6</v>
      </c>
      <c r="C121">
        <v>0</v>
      </c>
      <c r="D121">
        <v>1</v>
      </c>
      <c r="E121">
        <v>0</v>
      </c>
      <c r="F121">
        <v>0</v>
      </c>
      <c r="G121">
        <v>2</v>
      </c>
      <c r="H121" t="s">
        <v>2275</v>
      </c>
      <c r="L121">
        <v>1</v>
      </c>
      <c r="M121">
        <v>1</v>
      </c>
      <c r="N121" t="s">
        <v>2276</v>
      </c>
      <c r="S121" t="s">
        <v>147</v>
      </c>
    </row>
    <row r="122" spans="1:20" x14ac:dyDescent="0.3">
      <c r="A122" t="s">
        <v>679</v>
      </c>
      <c r="B122" t="s">
        <v>6</v>
      </c>
      <c r="C122">
        <v>0</v>
      </c>
      <c r="D122">
        <v>1</v>
      </c>
      <c r="E122">
        <v>0</v>
      </c>
      <c r="F122">
        <v>0</v>
      </c>
      <c r="G122">
        <v>2</v>
      </c>
      <c r="H122" t="s">
        <v>2275</v>
      </c>
      <c r="L122">
        <v>1</v>
      </c>
      <c r="M122">
        <v>1</v>
      </c>
      <c r="N122" t="s">
        <v>2276</v>
      </c>
      <c r="S122" t="s">
        <v>147</v>
      </c>
    </row>
    <row r="123" spans="1:20" x14ac:dyDescent="0.3">
      <c r="A123" t="s">
        <v>683</v>
      </c>
      <c r="B123" t="s">
        <v>6</v>
      </c>
      <c r="C123">
        <v>0</v>
      </c>
      <c r="D123">
        <v>1</v>
      </c>
      <c r="E123">
        <v>0</v>
      </c>
      <c r="F123">
        <v>0</v>
      </c>
      <c r="G123">
        <v>2</v>
      </c>
      <c r="H123" t="s">
        <v>2275</v>
      </c>
      <c r="L123">
        <v>1</v>
      </c>
      <c r="M123">
        <v>1</v>
      </c>
      <c r="N123" t="s">
        <v>2276</v>
      </c>
      <c r="S123" t="s">
        <v>147</v>
      </c>
    </row>
    <row r="124" spans="1:20" x14ac:dyDescent="0.3">
      <c r="A124" t="s">
        <v>687</v>
      </c>
      <c r="B124" t="s">
        <v>6</v>
      </c>
      <c r="C124">
        <v>0</v>
      </c>
      <c r="D124">
        <v>1</v>
      </c>
      <c r="E124">
        <v>0</v>
      </c>
      <c r="F124">
        <v>0</v>
      </c>
      <c r="G124">
        <v>2</v>
      </c>
      <c r="H124" t="s">
        <v>2275</v>
      </c>
      <c r="L124">
        <v>1</v>
      </c>
      <c r="M124">
        <v>1</v>
      </c>
      <c r="N124" t="s">
        <v>2276</v>
      </c>
      <c r="S124" t="s">
        <v>147</v>
      </c>
    </row>
    <row r="125" spans="1:20" x14ac:dyDescent="0.3">
      <c r="A125" t="s">
        <v>691</v>
      </c>
      <c r="B125" t="s">
        <v>6</v>
      </c>
      <c r="C125">
        <v>0</v>
      </c>
      <c r="D125">
        <v>1</v>
      </c>
      <c r="E125">
        <v>0</v>
      </c>
      <c r="F125">
        <v>0</v>
      </c>
      <c r="G125">
        <v>2</v>
      </c>
      <c r="H125" t="s">
        <v>2275</v>
      </c>
      <c r="L125">
        <v>1</v>
      </c>
      <c r="M125">
        <v>1</v>
      </c>
      <c r="N125" t="s">
        <v>2276</v>
      </c>
      <c r="S125" t="s">
        <v>161</v>
      </c>
      <c r="T125" t="s">
        <v>226</v>
      </c>
    </row>
    <row r="126" spans="1:20" x14ac:dyDescent="0.3">
      <c r="A126" t="s">
        <v>692</v>
      </c>
      <c r="B126" t="s">
        <v>6</v>
      </c>
      <c r="C126">
        <v>0</v>
      </c>
      <c r="D126">
        <v>1</v>
      </c>
      <c r="E126">
        <v>0</v>
      </c>
      <c r="F126">
        <v>0</v>
      </c>
      <c r="G126">
        <v>2</v>
      </c>
      <c r="H126" t="s">
        <v>2275</v>
      </c>
      <c r="L126">
        <v>1</v>
      </c>
      <c r="M126">
        <v>1</v>
      </c>
      <c r="N126" t="s">
        <v>2276</v>
      </c>
      <c r="S126" t="s">
        <v>147</v>
      </c>
    </row>
    <row r="127" spans="1:20" x14ac:dyDescent="0.3">
      <c r="A127" t="s">
        <v>694</v>
      </c>
      <c r="B127" t="s">
        <v>6</v>
      </c>
      <c r="C127">
        <v>0</v>
      </c>
      <c r="D127">
        <v>1</v>
      </c>
      <c r="E127">
        <v>0</v>
      </c>
      <c r="F127">
        <v>0</v>
      </c>
      <c r="G127">
        <v>2</v>
      </c>
      <c r="H127" t="s">
        <v>2275</v>
      </c>
      <c r="L127">
        <v>1</v>
      </c>
      <c r="M127">
        <v>1</v>
      </c>
      <c r="N127" t="s">
        <v>2276</v>
      </c>
      <c r="S127" t="s">
        <v>147</v>
      </c>
    </row>
    <row r="128" spans="1:20" x14ac:dyDescent="0.3">
      <c r="A128" t="s">
        <v>698</v>
      </c>
      <c r="B128" t="s">
        <v>6</v>
      </c>
      <c r="C128">
        <v>0</v>
      </c>
      <c r="D128">
        <v>1</v>
      </c>
      <c r="E128">
        <v>0</v>
      </c>
      <c r="F128">
        <v>0</v>
      </c>
      <c r="G128">
        <v>2</v>
      </c>
      <c r="H128" t="s">
        <v>2275</v>
      </c>
      <c r="L128">
        <v>1</v>
      </c>
      <c r="M128">
        <v>1</v>
      </c>
      <c r="N128" t="s">
        <v>2276</v>
      </c>
      <c r="S128" t="s">
        <v>147</v>
      </c>
    </row>
    <row r="129" spans="1:20" x14ac:dyDescent="0.3">
      <c r="A129" t="s">
        <v>702</v>
      </c>
      <c r="B129" t="s">
        <v>6</v>
      </c>
      <c r="C129">
        <v>0</v>
      </c>
      <c r="D129">
        <v>1</v>
      </c>
      <c r="E129">
        <v>0</v>
      </c>
      <c r="F129">
        <v>0</v>
      </c>
      <c r="G129">
        <v>2</v>
      </c>
      <c r="H129" t="s">
        <v>2275</v>
      </c>
      <c r="L129">
        <v>1</v>
      </c>
      <c r="M129">
        <v>1</v>
      </c>
      <c r="N129" t="s">
        <v>2276</v>
      </c>
      <c r="S129" t="s">
        <v>147</v>
      </c>
    </row>
    <row r="130" spans="1:20" x14ac:dyDescent="0.3">
      <c r="A130" t="s">
        <v>706</v>
      </c>
      <c r="B130" t="s">
        <v>6</v>
      </c>
      <c r="C130">
        <v>0</v>
      </c>
      <c r="D130">
        <v>1</v>
      </c>
      <c r="E130">
        <v>0</v>
      </c>
      <c r="F130">
        <v>0</v>
      </c>
      <c r="G130">
        <v>2</v>
      </c>
      <c r="H130" t="s">
        <v>2275</v>
      </c>
      <c r="L130">
        <v>1</v>
      </c>
      <c r="M130">
        <v>1</v>
      </c>
      <c r="N130" t="s">
        <v>2276</v>
      </c>
      <c r="S130" t="s">
        <v>147</v>
      </c>
    </row>
    <row r="131" spans="1:20" x14ac:dyDescent="0.3">
      <c r="A131" t="s">
        <v>711</v>
      </c>
      <c r="B131" t="s">
        <v>6</v>
      </c>
      <c r="C131">
        <v>0</v>
      </c>
      <c r="D131">
        <v>1</v>
      </c>
      <c r="E131">
        <v>0</v>
      </c>
      <c r="F131">
        <v>0</v>
      </c>
      <c r="G131">
        <v>2</v>
      </c>
      <c r="H131" t="s">
        <v>2275</v>
      </c>
      <c r="L131">
        <v>1</v>
      </c>
      <c r="M131">
        <v>1</v>
      </c>
      <c r="N131" t="s">
        <v>2276</v>
      </c>
      <c r="S131" t="s">
        <v>161</v>
      </c>
      <c r="T131" t="s">
        <v>226</v>
      </c>
    </row>
    <row r="132" spans="1:20" x14ac:dyDescent="0.3">
      <c r="A132" t="s">
        <v>712</v>
      </c>
      <c r="B132" t="s">
        <v>6</v>
      </c>
      <c r="C132">
        <v>0</v>
      </c>
      <c r="D132">
        <v>1</v>
      </c>
      <c r="E132">
        <v>0</v>
      </c>
      <c r="F132">
        <v>0</v>
      </c>
      <c r="G132">
        <v>2</v>
      </c>
      <c r="H132" t="s">
        <v>2275</v>
      </c>
      <c r="L132">
        <v>1</v>
      </c>
      <c r="M132">
        <v>1</v>
      </c>
      <c r="N132" t="s">
        <v>2276</v>
      </c>
      <c r="S132" t="s">
        <v>147</v>
      </c>
    </row>
    <row r="133" spans="1:20" x14ac:dyDescent="0.3">
      <c r="A133" t="s">
        <v>715</v>
      </c>
      <c r="B133" t="s">
        <v>6</v>
      </c>
      <c r="C133">
        <v>0</v>
      </c>
      <c r="D133">
        <v>1</v>
      </c>
      <c r="E133">
        <v>0</v>
      </c>
      <c r="F133">
        <v>0</v>
      </c>
      <c r="G133">
        <v>2</v>
      </c>
      <c r="H133" t="s">
        <v>2275</v>
      </c>
      <c r="L133">
        <v>1</v>
      </c>
      <c r="M133">
        <v>1</v>
      </c>
      <c r="N133" t="s">
        <v>2276</v>
      </c>
      <c r="S133" t="s">
        <v>147</v>
      </c>
    </row>
    <row r="134" spans="1:20" x14ac:dyDescent="0.3">
      <c r="A134" t="s">
        <v>719</v>
      </c>
      <c r="B134" t="s">
        <v>6</v>
      </c>
      <c r="C134">
        <v>0</v>
      </c>
      <c r="D134">
        <v>1</v>
      </c>
      <c r="E134">
        <v>0</v>
      </c>
      <c r="F134">
        <v>0</v>
      </c>
      <c r="G134">
        <v>2</v>
      </c>
      <c r="H134" t="s">
        <v>2275</v>
      </c>
      <c r="L134">
        <v>1</v>
      </c>
      <c r="M134">
        <v>1</v>
      </c>
      <c r="N134" t="s">
        <v>2276</v>
      </c>
      <c r="S134" t="s">
        <v>161</v>
      </c>
      <c r="T134" t="s">
        <v>226</v>
      </c>
    </row>
    <row r="135" spans="1:20" x14ac:dyDescent="0.3">
      <c r="A135" t="s">
        <v>721</v>
      </c>
      <c r="B135" t="s">
        <v>6</v>
      </c>
      <c r="C135">
        <v>0</v>
      </c>
      <c r="D135">
        <v>1</v>
      </c>
      <c r="E135">
        <v>0</v>
      </c>
      <c r="F135">
        <v>0</v>
      </c>
      <c r="G135">
        <v>2</v>
      </c>
      <c r="H135" t="s">
        <v>2275</v>
      </c>
      <c r="L135">
        <v>1</v>
      </c>
      <c r="M135">
        <v>1</v>
      </c>
      <c r="N135" t="s">
        <v>2276</v>
      </c>
      <c r="S135" t="s">
        <v>147</v>
      </c>
    </row>
    <row r="136" spans="1:20" x14ac:dyDescent="0.3">
      <c r="A136" t="s">
        <v>724</v>
      </c>
      <c r="B136" t="s">
        <v>6</v>
      </c>
      <c r="C136">
        <v>0</v>
      </c>
      <c r="D136">
        <v>1</v>
      </c>
      <c r="E136">
        <v>0</v>
      </c>
      <c r="F136">
        <v>0</v>
      </c>
      <c r="G136">
        <v>2</v>
      </c>
      <c r="H136" t="s">
        <v>2275</v>
      </c>
      <c r="L136">
        <v>1</v>
      </c>
      <c r="M136">
        <v>1</v>
      </c>
      <c r="N136" t="s">
        <v>2276</v>
      </c>
      <c r="S136" t="s">
        <v>147</v>
      </c>
    </row>
    <row r="137" spans="1:20" x14ac:dyDescent="0.3">
      <c r="A137" t="s">
        <v>726</v>
      </c>
      <c r="B137" t="s">
        <v>6</v>
      </c>
      <c r="C137">
        <v>0</v>
      </c>
      <c r="D137">
        <v>1</v>
      </c>
      <c r="E137">
        <v>0</v>
      </c>
      <c r="F137">
        <v>0</v>
      </c>
      <c r="G137">
        <v>2</v>
      </c>
      <c r="H137" t="s">
        <v>2275</v>
      </c>
      <c r="L137">
        <v>1</v>
      </c>
      <c r="M137">
        <v>1</v>
      </c>
      <c r="N137" t="s">
        <v>2276</v>
      </c>
      <c r="S137" t="s">
        <v>147</v>
      </c>
    </row>
    <row r="138" spans="1:20" x14ac:dyDescent="0.3">
      <c r="A138" t="s">
        <v>728</v>
      </c>
      <c r="B138" t="s">
        <v>6</v>
      </c>
      <c r="C138">
        <v>0</v>
      </c>
      <c r="D138">
        <v>1</v>
      </c>
      <c r="E138">
        <v>0</v>
      </c>
      <c r="F138">
        <v>0</v>
      </c>
      <c r="G138">
        <v>2</v>
      </c>
      <c r="H138" t="s">
        <v>2275</v>
      </c>
      <c r="L138">
        <v>1</v>
      </c>
      <c r="M138">
        <v>1</v>
      </c>
      <c r="N138" t="s">
        <v>2276</v>
      </c>
      <c r="S138" t="s">
        <v>147</v>
      </c>
    </row>
    <row r="139" spans="1:20" x14ac:dyDescent="0.3">
      <c r="A139" t="s">
        <v>731</v>
      </c>
      <c r="B139" t="s">
        <v>6</v>
      </c>
      <c r="C139">
        <v>0</v>
      </c>
      <c r="D139">
        <v>1</v>
      </c>
      <c r="E139">
        <v>0</v>
      </c>
      <c r="F139">
        <v>0</v>
      </c>
      <c r="G139">
        <v>2</v>
      </c>
      <c r="H139" t="s">
        <v>2275</v>
      </c>
      <c r="L139">
        <v>1</v>
      </c>
      <c r="M139">
        <v>1</v>
      </c>
      <c r="N139" t="s">
        <v>2276</v>
      </c>
      <c r="S139" t="s">
        <v>147</v>
      </c>
    </row>
    <row r="140" spans="1:20" x14ac:dyDescent="0.3">
      <c r="A140" t="s">
        <v>733</v>
      </c>
      <c r="B140" t="s">
        <v>6</v>
      </c>
      <c r="C140">
        <v>0</v>
      </c>
      <c r="D140">
        <v>1</v>
      </c>
      <c r="E140">
        <v>0</v>
      </c>
      <c r="F140">
        <v>0</v>
      </c>
      <c r="G140">
        <v>2</v>
      </c>
      <c r="H140" t="s">
        <v>2275</v>
      </c>
      <c r="L140">
        <v>1</v>
      </c>
      <c r="M140">
        <v>1</v>
      </c>
      <c r="N140" t="s">
        <v>2276</v>
      </c>
      <c r="S140" t="s">
        <v>147</v>
      </c>
    </row>
    <row r="141" spans="1:20" x14ac:dyDescent="0.3">
      <c r="A141" t="s">
        <v>735</v>
      </c>
      <c r="B141" t="s">
        <v>6</v>
      </c>
      <c r="C141">
        <v>0</v>
      </c>
      <c r="D141">
        <v>1</v>
      </c>
      <c r="E141">
        <v>0</v>
      </c>
      <c r="F141">
        <v>0</v>
      </c>
      <c r="G141">
        <v>2</v>
      </c>
      <c r="H141" t="s">
        <v>2275</v>
      </c>
      <c r="L141">
        <v>1</v>
      </c>
      <c r="M141">
        <v>1</v>
      </c>
      <c r="N141" t="s">
        <v>2276</v>
      </c>
      <c r="S141" t="s">
        <v>147</v>
      </c>
    </row>
    <row r="142" spans="1:20" x14ac:dyDescent="0.3">
      <c r="A142" t="s">
        <v>738</v>
      </c>
      <c r="B142" t="s">
        <v>6</v>
      </c>
      <c r="C142">
        <v>0</v>
      </c>
      <c r="D142">
        <v>1</v>
      </c>
      <c r="E142">
        <v>0</v>
      </c>
      <c r="F142">
        <v>0</v>
      </c>
      <c r="G142">
        <v>2</v>
      </c>
      <c r="H142" t="s">
        <v>2275</v>
      </c>
      <c r="L142">
        <v>1</v>
      </c>
      <c r="M142">
        <v>1</v>
      </c>
      <c r="N142" t="s">
        <v>2276</v>
      </c>
      <c r="S142" t="s">
        <v>147</v>
      </c>
    </row>
    <row r="143" spans="1:20" x14ac:dyDescent="0.3">
      <c r="A143" t="s">
        <v>742</v>
      </c>
      <c r="B143" t="s">
        <v>6</v>
      </c>
      <c r="C143">
        <v>0</v>
      </c>
      <c r="D143">
        <v>1</v>
      </c>
      <c r="E143">
        <v>0</v>
      </c>
      <c r="F143">
        <v>0</v>
      </c>
      <c r="G143">
        <v>2</v>
      </c>
      <c r="H143" t="s">
        <v>2275</v>
      </c>
      <c r="L143">
        <v>1</v>
      </c>
      <c r="M143">
        <v>1</v>
      </c>
      <c r="N143" t="s">
        <v>2276</v>
      </c>
      <c r="S143" t="s">
        <v>147</v>
      </c>
    </row>
    <row r="144" spans="1:20" x14ac:dyDescent="0.3">
      <c r="A144" t="s">
        <v>747</v>
      </c>
      <c r="B144" t="s">
        <v>6</v>
      </c>
      <c r="C144">
        <v>0</v>
      </c>
      <c r="D144">
        <v>1</v>
      </c>
      <c r="E144">
        <v>0</v>
      </c>
      <c r="F144">
        <v>0</v>
      </c>
      <c r="G144">
        <v>2</v>
      </c>
      <c r="H144" t="s">
        <v>2275</v>
      </c>
      <c r="L144">
        <v>1</v>
      </c>
      <c r="M144">
        <v>1</v>
      </c>
      <c r="N144" t="s">
        <v>2276</v>
      </c>
      <c r="S144" t="s">
        <v>147</v>
      </c>
    </row>
    <row r="145" spans="1:20" x14ac:dyDescent="0.3">
      <c r="A145" t="s">
        <v>751</v>
      </c>
      <c r="B145" t="s">
        <v>6</v>
      </c>
      <c r="C145">
        <v>0</v>
      </c>
      <c r="D145">
        <v>1</v>
      </c>
      <c r="E145">
        <v>0</v>
      </c>
      <c r="F145">
        <v>0</v>
      </c>
      <c r="G145">
        <v>2</v>
      </c>
      <c r="H145" t="s">
        <v>2275</v>
      </c>
      <c r="L145">
        <v>1</v>
      </c>
      <c r="M145">
        <v>1</v>
      </c>
      <c r="N145" t="s">
        <v>2276</v>
      </c>
      <c r="S145" t="s">
        <v>161</v>
      </c>
      <c r="T145" t="s">
        <v>226</v>
      </c>
    </row>
    <row r="146" spans="1:20" x14ac:dyDescent="0.3">
      <c r="A146" t="s">
        <v>753</v>
      </c>
      <c r="B146" t="s">
        <v>6</v>
      </c>
      <c r="C146">
        <v>0</v>
      </c>
      <c r="D146">
        <v>1</v>
      </c>
      <c r="E146">
        <v>0</v>
      </c>
      <c r="F146">
        <v>0</v>
      </c>
      <c r="G146">
        <v>2</v>
      </c>
      <c r="H146" t="s">
        <v>2275</v>
      </c>
      <c r="L146">
        <v>1</v>
      </c>
      <c r="M146">
        <v>1</v>
      </c>
      <c r="N146" t="s">
        <v>2276</v>
      </c>
      <c r="S146" t="s">
        <v>147</v>
      </c>
    </row>
    <row r="147" spans="1:20" x14ac:dyDescent="0.3">
      <c r="A147" t="s">
        <v>756</v>
      </c>
      <c r="B147" t="s">
        <v>6</v>
      </c>
      <c r="C147">
        <v>0</v>
      </c>
      <c r="D147">
        <v>1</v>
      </c>
      <c r="E147">
        <v>0</v>
      </c>
      <c r="F147">
        <v>0</v>
      </c>
      <c r="G147">
        <v>2</v>
      </c>
      <c r="H147" t="s">
        <v>2275</v>
      </c>
      <c r="L147">
        <v>1</v>
      </c>
      <c r="M147">
        <v>1</v>
      </c>
      <c r="N147" t="s">
        <v>2276</v>
      </c>
      <c r="S147" t="s">
        <v>147</v>
      </c>
    </row>
    <row r="148" spans="1:20" x14ac:dyDescent="0.3">
      <c r="A148" t="s">
        <v>758</v>
      </c>
      <c r="B148" t="s">
        <v>6</v>
      </c>
      <c r="C148">
        <v>0</v>
      </c>
      <c r="D148">
        <v>1</v>
      </c>
      <c r="E148">
        <v>0</v>
      </c>
      <c r="F148">
        <v>0</v>
      </c>
      <c r="G148">
        <v>2</v>
      </c>
      <c r="H148" t="s">
        <v>2275</v>
      </c>
      <c r="L148">
        <v>1</v>
      </c>
      <c r="M148">
        <v>1</v>
      </c>
      <c r="N148" t="s">
        <v>2276</v>
      </c>
      <c r="S148" t="s">
        <v>147</v>
      </c>
    </row>
    <row r="149" spans="1:20" x14ac:dyDescent="0.3">
      <c r="A149" t="s">
        <v>762</v>
      </c>
      <c r="B149" t="s">
        <v>6</v>
      </c>
      <c r="C149">
        <v>0</v>
      </c>
      <c r="D149">
        <v>1</v>
      </c>
      <c r="E149">
        <v>0</v>
      </c>
      <c r="F149">
        <v>0</v>
      </c>
      <c r="G149">
        <v>2</v>
      </c>
      <c r="H149" t="s">
        <v>2275</v>
      </c>
      <c r="L149">
        <v>1</v>
      </c>
      <c r="M149">
        <v>1</v>
      </c>
      <c r="N149" t="s">
        <v>2276</v>
      </c>
      <c r="S149" t="s">
        <v>147</v>
      </c>
    </row>
    <row r="150" spans="1:20" x14ac:dyDescent="0.3">
      <c r="A150" t="s">
        <v>766</v>
      </c>
      <c r="B150" t="s">
        <v>6</v>
      </c>
      <c r="C150">
        <v>0</v>
      </c>
      <c r="D150">
        <v>1</v>
      </c>
      <c r="E150">
        <v>0</v>
      </c>
      <c r="F150">
        <v>0</v>
      </c>
      <c r="G150">
        <v>2</v>
      </c>
      <c r="H150" t="s">
        <v>2275</v>
      </c>
      <c r="L150">
        <v>1</v>
      </c>
      <c r="M150">
        <v>1</v>
      </c>
      <c r="N150" t="s">
        <v>2276</v>
      </c>
      <c r="S150" t="s">
        <v>147</v>
      </c>
    </row>
    <row r="151" spans="1:20" x14ac:dyDescent="0.3">
      <c r="A151" t="s">
        <v>770</v>
      </c>
      <c r="B151" t="s">
        <v>6</v>
      </c>
      <c r="C151">
        <v>0</v>
      </c>
      <c r="D151">
        <v>1</v>
      </c>
      <c r="E151">
        <v>0</v>
      </c>
      <c r="F151">
        <v>0</v>
      </c>
      <c r="G151">
        <v>2</v>
      </c>
      <c r="H151" t="s">
        <v>2275</v>
      </c>
      <c r="L151">
        <v>1</v>
      </c>
      <c r="M151">
        <v>1</v>
      </c>
      <c r="N151" t="s">
        <v>2276</v>
      </c>
      <c r="S151" t="s">
        <v>147</v>
      </c>
    </row>
    <row r="152" spans="1:20" x14ac:dyDescent="0.3">
      <c r="A152" t="s">
        <v>774</v>
      </c>
      <c r="B152" t="s">
        <v>6</v>
      </c>
      <c r="C152">
        <v>0</v>
      </c>
      <c r="D152">
        <v>1</v>
      </c>
      <c r="E152">
        <v>0</v>
      </c>
      <c r="F152">
        <v>0</v>
      </c>
      <c r="G152">
        <v>2</v>
      </c>
      <c r="H152" t="s">
        <v>2275</v>
      </c>
      <c r="L152">
        <v>1</v>
      </c>
      <c r="M152">
        <v>1</v>
      </c>
      <c r="N152" t="s">
        <v>2276</v>
      </c>
      <c r="S152" t="s">
        <v>147</v>
      </c>
    </row>
    <row r="153" spans="1:20" x14ac:dyDescent="0.3">
      <c r="A153" t="s">
        <v>778</v>
      </c>
      <c r="B153" t="s">
        <v>6</v>
      </c>
      <c r="C153">
        <v>0</v>
      </c>
      <c r="D153">
        <v>1</v>
      </c>
      <c r="E153">
        <v>0</v>
      </c>
      <c r="F153">
        <v>0</v>
      </c>
      <c r="G153">
        <v>2</v>
      </c>
      <c r="H153" t="s">
        <v>2275</v>
      </c>
      <c r="L153">
        <v>1</v>
      </c>
      <c r="M153">
        <v>1</v>
      </c>
      <c r="N153" t="s">
        <v>2276</v>
      </c>
      <c r="S153" t="s">
        <v>161</v>
      </c>
      <c r="T153" t="s">
        <v>226</v>
      </c>
    </row>
    <row r="154" spans="1:20" x14ac:dyDescent="0.3">
      <c r="A154" t="s">
        <v>780</v>
      </c>
      <c r="B154" t="s">
        <v>6</v>
      </c>
      <c r="C154">
        <v>0</v>
      </c>
      <c r="D154">
        <v>1</v>
      </c>
      <c r="E154">
        <v>0</v>
      </c>
      <c r="F154">
        <v>0</v>
      </c>
      <c r="G154">
        <v>2</v>
      </c>
      <c r="H154" t="s">
        <v>2275</v>
      </c>
      <c r="L154">
        <v>1</v>
      </c>
      <c r="M154">
        <v>1</v>
      </c>
      <c r="N154" t="s">
        <v>2276</v>
      </c>
      <c r="S154" t="s">
        <v>147</v>
      </c>
    </row>
    <row r="155" spans="1:20" x14ac:dyDescent="0.3">
      <c r="A155" t="s">
        <v>783</v>
      </c>
      <c r="B155" t="s">
        <v>6</v>
      </c>
      <c r="C155">
        <v>0</v>
      </c>
      <c r="D155">
        <v>1</v>
      </c>
      <c r="E155">
        <v>0</v>
      </c>
      <c r="F155">
        <v>0</v>
      </c>
      <c r="G155">
        <v>2</v>
      </c>
      <c r="H155" t="s">
        <v>2275</v>
      </c>
      <c r="L155">
        <v>1</v>
      </c>
      <c r="M155">
        <v>1</v>
      </c>
      <c r="N155" t="s">
        <v>2276</v>
      </c>
      <c r="S155" t="s">
        <v>147</v>
      </c>
    </row>
    <row r="156" spans="1:20" x14ac:dyDescent="0.3">
      <c r="A156" t="s">
        <v>785</v>
      </c>
      <c r="B156" t="s">
        <v>6</v>
      </c>
      <c r="C156">
        <v>0</v>
      </c>
      <c r="D156">
        <v>1</v>
      </c>
      <c r="E156">
        <v>0</v>
      </c>
      <c r="F156">
        <v>0</v>
      </c>
      <c r="G156">
        <v>2</v>
      </c>
      <c r="H156" t="s">
        <v>2275</v>
      </c>
      <c r="L156">
        <v>1</v>
      </c>
      <c r="M156">
        <v>1</v>
      </c>
      <c r="N156" t="s">
        <v>2276</v>
      </c>
      <c r="S156" t="s">
        <v>147</v>
      </c>
    </row>
    <row r="157" spans="1:20" x14ac:dyDescent="0.3">
      <c r="A157" t="s">
        <v>788</v>
      </c>
      <c r="B157" t="s">
        <v>6</v>
      </c>
      <c r="C157">
        <v>0</v>
      </c>
      <c r="D157">
        <v>1</v>
      </c>
      <c r="E157">
        <v>0</v>
      </c>
      <c r="F157">
        <v>0</v>
      </c>
      <c r="G157">
        <v>2</v>
      </c>
      <c r="H157" t="s">
        <v>2275</v>
      </c>
      <c r="L157">
        <v>1</v>
      </c>
      <c r="M157">
        <v>1</v>
      </c>
      <c r="N157" t="s">
        <v>2276</v>
      </c>
      <c r="S157" t="s">
        <v>147</v>
      </c>
    </row>
    <row r="158" spans="1:20" x14ac:dyDescent="0.3">
      <c r="A158" t="s">
        <v>790</v>
      </c>
      <c r="B158" t="s">
        <v>6</v>
      </c>
      <c r="C158">
        <v>0</v>
      </c>
      <c r="D158">
        <v>1</v>
      </c>
      <c r="E158">
        <v>0</v>
      </c>
      <c r="F158">
        <v>0</v>
      </c>
      <c r="G158">
        <v>2</v>
      </c>
      <c r="H158" t="s">
        <v>2275</v>
      </c>
      <c r="L158">
        <v>1</v>
      </c>
      <c r="M158">
        <v>1</v>
      </c>
      <c r="N158" t="s">
        <v>2276</v>
      </c>
      <c r="S158" t="s">
        <v>147</v>
      </c>
    </row>
    <row r="159" spans="1:20" x14ac:dyDescent="0.3">
      <c r="A159" t="s">
        <v>793</v>
      </c>
      <c r="B159" t="s">
        <v>6</v>
      </c>
      <c r="C159">
        <v>0</v>
      </c>
      <c r="D159">
        <v>1</v>
      </c>
      <c r="E159">
        <v>0</v>
      </c>
      <c r="F159">
        <v>0</v>
      </c>
      <c r="G159">
        <v>2</v>
      </c>
      <c r="H159" t="s">
        <v>2275</v>
      </c>
      <c r="L159">
        <v>1</v>
      </c>
      <c r="M159">
        <v>1</v>
      </c>
      <c r="N159" t="s">
        <v>2276</v>
      </c>
      <c r="S159" t="s">
        <v>147</v>
      </c>
    </row>
    <row r="160" spans="1:20" x14ac:dyDescent="0.3">
      <c r="A160" t="s">
        <v>795</v>
      </c>
      <c r="B160" t="s">
        <v>6</v>
      </c>
      <c r="C160">
        <v>0</v>
      </c>
      <c r="D160">
        <v>1</v>
      </c>
      <c r="E160">
        <v>0</v>
      </c>
      <c r="F160">
        <v>0</v>
      </c>
      <c r="G160">
        <v>2</v>
      </c>
      <c r="H160" t="s">
        <v>2275</v>
      </c>
      <c r="L160">
        <v>1</v>
      </c>
      <c r="M160">
        <v>1</v>
      </c>
      <c r="N160" t="s">
        <v>2276</v>
      </c>
      <c r="S160" t="s">
        <v>147</v>
      </c>
    </row>
    <row r="161" spans="1:20" x14ac:dyDescent="0.3">
      <c r="A161" t="s">
        <v>798</v>
      </c>
      <c r="B161" t="s">
        <v>6</v>
      </c>
      <c r="C161">
        <v>0</v>
      </c>
      <c r="D161">
        <v>1</v>
      </c>
      <c r="E161">
        <v>0</v>
      </c>
      <c r="F161">
        <v>0</v>
      </c>
      <c r="G161">
        <v>2</v>
      </c>
      <c r="H161" t="s">
        <v>2275</v>
      </c>
      <c r="L161">
        <v>1</v>
      </c>
      <c r="M161">
        <v>1</v>
      </c>
      <c r="N161" t="s">
        <v>2276</v>
      </c>
      <c r="S161" t="s">
        <v>147</v>
      </c>
    </row>
    <row r="162" spans="1:20" x14ac:dyDescent="0.3">
      <c r="A162" t="s">
        <v>802</v>
      </c>
      <c r="B162" t="s">
        <v>6</v>
      </c>
      <c r="C162">
        <v>0</v>
      </c>
      <c r="D162">
        <v>1</v>
      </c>
      <c r="E162">
        <v>0</v>
      </c>
      <c r="F162">
        <v>0</v>
      </c>
      <c r="G162">
        <v>2</v>
      </c>
      <c r="H162" t="s">
        <v>2275</v>
      </c>
      <c r="L162">
        <v>1</v>
      </c>
      <c r="M162">
        <v>1</v>
      </c>
      <c r="N162" t="s">
        <v>2276</v>
      </c>
      <c r="S162" t="s">
        <v>147</v>
      </c>
    </row>
    <row r="163" spans="1:20" x14ac:dyDescent="0.3">
      <c r="A163" t="s">
        <v>806</v>
      </c>
      <c r="B163" t="s">
        <v>6</v>
      </c>
      <c r="C163">
        <v>0</v>
      </c>
      <c r="D163">
        <v>1</v>
      </c>
      <c r="E163">
        <v>0</v>
      </c>
      <c r="F163">
        <v>0</v>
      </c>
      <c r="G163">
        <v>2</v>
      </c>
      <c r="H163" t="s">
        <v>2275</v>
      </c>
      <c r="L163">
        <v>1</v>
      </c>
      <c r="M163">
        <v>1</v>
      </c>
      <c r="N163" t="s">
        <v>2276</v>
      </c>
      <c r="S163" t="s">
        <v>161</v>
      </c>
      <c r="T163" t="s">
        <v>226</v>
      </c>
    </row>
    <row r="164" spans="1:20" x14ac:dyDescent="0.3">
      <c r="A164" t="s">
        <v>807</v>
      </c>
      <c r="B164" t="s">
        <v>6</v>
      </c>
      <c r="C164">
        <v>0</v>
      </c>
      <c r="D164">
        <v>1</v>
      </c>
      <c r="E164">
        <v>0</v>
      </c>
      <c r="F164">
        <v>0</v>
      </c>
      <c r="G164">
        <v>2</v>
      </c>
      <c r="H164" t="s">
        <v>2275</v>
      </c>
      <c r="L164">
        <v>1</v>
      </c>
      <c r="M164">
        <v>1</v>
      </c>
      <c r="N164" t="s">
        <v>2276</v>
      </c>
      <c r="S164" t="s">
        <v>147</v>
      </c>
    </row>
    <row r="165" spans="1:20" x14ac:dyDescent="0.3">
      <c r="A165" t="s">
        <v>810</v>
      </c>
      <c r="B165" t="s">
        <v>6</v>
      </c>
      <c r="C165">
        <v>0</v>
      </c>
      <c r="D165">
        <v>1</v>
      </c>
      <c r="E165">
        <v>0</v>
      </c>
      <c r="F165">
        <v>0</v>
      </c>
      <c r="G165">
        <v>2</v>
      </c>
      <c r="H165" t="s">
        <v>2275</v>
      </c>
      <c r="L165">
        <v>1</v>
      </c>
      <c r="M165">
        <v>1</v>
      </c>
      <c r="N165" t="s">
        <v>2276</v>
      </c>
      <c r="S165" t="s">
        <v>147</v>
      </c>
    </row>
    <row r="166" spans="1:20" x14ac:dyDescent="0.3">
      <c r="A166" t="s">
        <v>812</v>
      </c>
      <c r="B166" t="s">
        <v>6</v>
      </c>
      <c r="C166">
        <v>0</v>
      </c>
      <c r="D166">
        <v>1</v>
      </c>
      <c r="E166">
        <v>0</v>
      </c>
      <c r="F166">
        <v>0</v>
      </c>
      <c r="G166">
        <v>2</v>
      </c>
      <c r="H166" t="s">
        <v>2275</v>
      </c>
      <c r="L166">
        <v>1</v>
      </c>
      <c r="M166">
        <v>1</v>
      </c>
      <c r="N166" t="s">
        <v>2276</v>
      </c>
      <c r="S166" t="s">
        <v>147</v>
      </c>
    </row>
    <row r="167" spans="1:20" x14ac:dyDescent="0.3">
      <c r="A167" t="s">
        <v>814</v>
      </c>
      <c r="B167" t="s">
        <v>6</v>
      </c>
      <c r="C167">
        <v>0</v>
      </c>
      <c r="D167">
        <v>1</v>
      </c>
      <c r="E167">
        <v>0</v>
      </c>
      <c r="F167">
        <v>0</v>
      </c>
      <c r="G167">
        <v>2</v>
      </c>
      <c r="H167" t="s">
        <v>2275</v>
      </c>
      <c r="L167">
        <v>1</v>
      </c>
      <c r="M167">
        <v>1</v>
      </c>
      <c r="N167" t="s">
        <v>2276</v>
      </c>
      <c r="S167" t="s">
        <v>147</v>
      </c>
    </row>
    <row r="168" spans="1:20" x14ac:dyDescent="0.3">
      <c r="A168" t="s">
        <v>819</v>
      </c>
      <c r="B168" t="s">
        <v>6</v>
      </c>
      <c r="C168">
        <v>0</v>
      </c>
      <c r="D168">
        <v>1</v>
      </c>
      <c r="E168">
        <v>0</v>
      </c>
      <c r="F168">
        <v>0</v>
      </c>
      <c r="G168">
        <v>2</v>
      </c>
      <c r="H168" t="s">
        <v>2275</v>
      </c>
      <c r="L168">
        <v>1</v>
      </c>
      <c r="M168">
        <v>1</v>
      </c>
      <c r="N168" t="s">
        <v>2276</v>
      </c>
      <c r="S168" t="s">
        <v>147</v>
      </c>
    </row>
    <row r="169" spans="1:20" x14ac:dyDescent="0.3">
      <c r="A169" t="s">
        <v>823</v>
      </c>
      <c r="B169" t="s">
        <v>6</v>
      </c>
      <c r="C169">
        <v>0</v>
      </c>
      <c r="D169">
        <v>1</v>
      </c>
      <c r="E169">
        <v>0</v>
      </c>
      <c r="F169">
        <v>0</v>
      </c>
      <c r="G169">
        <v>2</v>
      </c>
      <c r="H169" t="s">
        <v>2275</v>
      </c>
      <c r="L169">
        <v>1</v>
      </c>
      <c r="M169">
        <v>1</v>
      </c>
      <c r="N169" t="s">
        <v>2276</v>
      </c>
      <c r="S169" t="s">
        <v>147</v>
      </c>
    </row>
    <row r="170" spans="1:20" x14ac:dyDescent="0.3">
      <c r="A170" t="s">
        <v>827</v>
      </c>
      <c r="B170" t="s">
        <v>6</v>
      </c>
      <c r="C170">
        <v>0</v>
      </c>
      <c r="D170">
        <v>1</v>
      </c>
      <c r="E170">
        <v>0</v>
      </c>
      <c r="F170">
        <v>0</v>
      </c>
      <c r="G170">
        <v>2</v>
      </c>
      <c r="H170" t="s">
        <v>2275</v>
      </c>
      <c r="L170">
        <v>1</v>
      </c>
      <c r="M170">
        <v>1</v>
      </c>
      <c r="N170" t="s">
        <v>2276</v>
      </c>
      <c r="S170" t="s">
        <v>147</v>
      </c>
    </row>
    <row r="171" spans="1:20" x14ac:dyDescent="0.3">
      <c r="A171" t="s">
        <v>831</v>
      </c>
      <c r="B171" t="s">
        <v>6</v>
      </c>
      <c r="C171">
        <v>0</v>
      </c>
      <c r="D171">
        <v>1</v>
      </c>
      <c r="E171">
        <v>0</v>
      </c>
      <c r="F171">
        <v>0</v>
      </c>
      <c r="G171">
        <v>2</v>
      </c>
      <c r="H171" t="s">
        <v>2275</v>
      </c>
      <c r="L171">
        <v>1</v>
      </c>
      <c r="M171">
        <v>1</v>
      </c>
      <c r="N171" t="s">
        <v>2276</v>
      </c>
      <c r="S171" t="s">
        <v>147</v>
      </c>
    </row>
    <row r="172" spans="1:20" x14ac:dyDescent="0.3">
      <c r="A172" t="s">
        <v>836</v>
      </c>
      <c r="B172" t="s">
        <v>6</v>
      </c>
      <c r="C172">
        <v>0</v>
      </c>
      <c r="D172">
        <v>1</v>
      </c>
      <c r="E172">
        <v>0</v>
      </c>
      <c r="F172">
        <v>0</v>
      </c>
      <c r="G172">
        <v>2</v>
      </c>
      <c r="H172" t="s">
        <v>2275</v>
      </c>
      <c r="L172">
        <v>1</v>
      </c>
      <c r="M172">
        <v>1</v>
      </c>
      <c r="N172" t="s">
        <v>2276</v>
      </c>
      <c r="S172" t="s">
        <v>161</v>
      </c>
      <c r="T172" t="s">
        <v>226</v>
      </c>
    </row>
    <row r="173" spans="1:20" x14ac:dyDescent="0.3">
      <c r="A173" t="s">
        <v>838</v>
      </c>
      <c r="B173" t="s">
        <v>6</v>
      </c>
      <c r="C173">
        <v>0</v>
      </c>
      <c r="D173">
        <v>1</v>
      </c>
      <c r="E173">
        <v>0</v>
      </c>
      <c r="F173">
        <v>0</v>
      </c>
      <c r="G173">
        <v>2</v>
      </c>
      <c r="H173" t="s">
        <v>2275</v>
      </c>
      <c r="L173">
        <v>1</v>
      </c>
      <c r="M173">
        <v>1</v>
      </c>
      <c r="N173" t="s">
        <v>2276</v>
      </c>
      <c r="S173" t="s">
        <v>147</v>
      </c>
    </row>
    <row r="174" spans="1:20" x14ac:dyDescent="0.3">
      <c r="A174" t="s">
        <v>841</v>
      </c>
      <c r="B174" t="s">
        <v>6</v>
      </c>
      <c r="C174">
        <v>0</v>
      </c>
      <c r="D174">
        <v>1</v>
      </c>
      <c r="E174">
        <v>0</v>
      </c>
      <c r="F174">
        <v>0</v>
      </c>
      <c r="G174">
        <v>2</v>
      </c>
      <c r="H174" t="s">
        <v>2275</v>
      </c>
      <c r="L174">
        <v>1</v>
      </c>
      <c r="M174">
        <v>1</v>
      </c>
      <c r="N174" t="s">
        <v>2276</v>
      </c>
      <c r="S174" t="s">
        <v>147</v>
      </c>
    </row>
    <row r="175" spans="1:20" x14ac:dyDescent="0.3">
      <c r="A175" t="s">
        <v>845</v>
      </c>
      <c r="B175" t="s">
        <v>6</v>
      </c>
      <c r="C175">
        <v>0</v>
      </c>
      <c r="D175">
        <v>1</v>
      </c>
      <c r="E175">
        <v>0</v>
      </c>
      <c r="F175">
        <v>0</v>
      </c>
      <c r="G175">
        <v>2</v>
      </c>
      <c r="H175" t="s">
        <v>2275</v>
      </c>
      <c r="L175">
        <v>1</v>
      </c>
      <c r="M175">
        <v>1</v>
      </c>
      <c r="N175" t="s">
        <v>2276</v>
      </c>
      <c r="S175" t="s">
        <v>147</v>
      </c>
    </row>
    <row r="176" spans="1:20" x14ac:dyDescent="0.3">
      <c r="A176" t="s">
        <v>849</v>
      </c>
      <c r="B176" t="s">
        <v>6</v>
      </c>
      <c r="C176">
        <v>0</v>
      </c>
      <c r="D176">
        <v>1</v>
      </c>
      <c r="E176">
        <v>0</v>
      </c>
      <c r="F176">
        <v>0</v>
      </c>
      <c r="G176">
        <v>2</v>
      </c>
      <c r="H176" t="s">
        <v>2275</v>
      </c>
      <c r="L176">
        <v>1</v>
      </c>
      <c r="M176">
        <v>1</v>
      </c>
      <c r="N176" t="s">
        <v>2276</v>
      </c>
      <c r="S176" t="s">
        <v>147</v>
      </c>
    </row>
    <row r="177" spans="1:19" x14ac:dyDescent="0.3">
      <c r="A177" t="s">
        <v>855</v>
      </c>
      <c r="B177" t="s">
        <v>8</v>
      </c>
      <c r="C177">
        <v>0</v>
      </c>
      <c r="D177">
        <v>1</v>
      </c>
      <c r="E177">
        <v>0</v>
      </c>
      <c r="F177">
        <v>0</v>
      </c>
      <c r="G177">
        <v>2</v>
      </c>
      <c r="H177" t="s">
        <v>2275</v>
      </c>
      <c r="L177">
        <v>1</v>
      </c>
      <c r="M177">
        <v>1</v>
      </c>
      <c r="N177" t="s">
        <v>2276</v>
      </c>
      <c r="S177" t="s">
        <v>147</v>
      </c>
    </row>
    <row r="178" spans="1:19" x14ac:dyDescent="0.3">
      <c r="A178" t="s">
        <v>860</v>
      </c>
      <c r="B178" t="s">
        <v>8</v>
      </c>
      <c r="C178">
        <v>0</v>
      </c>
      <c r="D178">
        <v>1</v>
      </c>
      <c r="E178">
        <v>0</v>
      </c>
      <c r="F178">
        <v>0</v>
      </c>
      <c r="G178">
        <v>2</v>
      </c>
      <c r="H178" t="s">
        <v>2275</v>
      </c>
      <c r="L178">
        <v>1</v>
      </c>
      <c r="M178">
        <v>1</v>
      </c>
      <c r="N178" t="s">
        <v>2276</v>
      </c>
      <c r="S178" t="s">
        <v>147</v>
      </c>
    </row>
    <row r="179" spans="1:19" x14ac:dyDescent="0.3">
      <c r="A179" t="s">
        <v>863</v>
      </c>
      <c r="B179" t="s">
        <v>8</v>
      </c>
      <c r="C179">
        <v>0</v>
      </c>
      <c r="D179">
        <v>1</v>
      </c>
      <c r="E179">
        <v>0</v>
      </c>
      <c r="F179">
        <v>0</v>
      </c>
      <c r="G179">
        <v>2</v>
      </c>
      <c r="H179" t="s">
        <v>2275</v>
      </c>
      <c r="L179">
        <v>1</v>
      </c>
      <c r="M179">
        <v>1</v>
      </c>
      <c r="N179" t="s">
        <v>2276</v>
      </c>
      <c r="S179" t="s">
        <v>147</v>
      </c>
    </row>
    <row r="180" spans="1:19" x14ac:dyDescent="0.3">
      <c r="A180" t="s">
        <v>867</v>
      </c>
      <c r="B180" t="s">
        <v>8</v>
      </c>
      <c r="C180">
        <v>0</v>
      </c>
      <c r="D180">
        <v>1</v>
      </c>
      <c r="E180">
        <v>0</v>
      </c>
      <c r="F180">
        <v>0</v>
      </c>
      <c r="G180">
        <v>2</v>
      </c>
      <c r="H180" t="s">
        <v>2275</v>
      </c>
      <c r="L180">
        <v>1</v>
      </c>
      <c r="M180">
        <v>1</v>
      </c>
      <c r="N180" t="s">
        <v>2276</v>
      </c>
      <c r="S180" t="s">
        <v>147</v>
      </c>
    </row>
    <row r="181" spans="1:19" x14ac:dyDescent="0.3">
      <c r="A181" t="s">
        <v>871</v>
      </c>
      <c r="B181" t="s">
        <v>8</v>
      </c>
      <c r="C181">
        <v>0</v>
      </c>
      <c r="D181">
        <v>1</v>
      </c>
      <c r="E181">
        <v>0</v>
      </c>
      <c r="F181">
        <v>0</v>
      </c>
      <c r="G181">
        <v>2</v>
      </c>
      <c r="H181" t="s">
        <v>2275</v>
      </c>
      <c r="L181">
        <v>1</v>
      </c>
      <c r="M181">
        <v>1</v>
      </c>
      <c r="N181" t="s">
        <v>2276</v>
      </c>
      <c r="S181" t="s">
        <v>147</v>
      </c>
    </row>
    <row r="182" spans="1:19" x14ac:dyDescent="0.3">
      <c r="A182" t="s">
        <v>875</v>
      </c>
      <c r="B182" t="s">
        <v>8</v>
      </c>
      <c r="C182">
        <v>0</v>
      </c>
      <c r="D182">
        <v>1</v>
      </c>
      <c r="E182">
        <v>0</v>
      </c>
      <c r="F182">
        <v>0</v>
      </c>
      <c r="G182">
        <v>2</v>
      </c>
      <c r="H182" t="s">
        <v>2275</v>
      </c>
      <c r="L182">
        <v>1</v>
      </c>
      <c r="M182">
        <v>1</v>
      </c>
      <c r="N182" t="s">
        <v>2276</v>
      </c>
      <c r="S182" t="s">
        <v>147</v>
      </c>
    </row>
    <row r="183" spans="1:19" x14ac:dyDescent="0.3">
      <c r="A183" t="s">
        <v>878</v>
      </c>
      <c r="B183" t="s">
        <v>8</v>
      </c>
      <c r="C183">
        <v>0</v>
      </c>
      <c r="D183">
        <v>1</v>
      </c>
      <c r="E183">
        <v>0</v>
      </c>
      <c r="F183">
        <v>0</v>
      </c>
      <c r="G183">
        <v>2</v>
      </c>
      <c r="H183" t="s">
        <v>2275</v>
      </c>
      <c r="L183">
        <v>1</v>
      </c>
      <c r="M183">
        <v>1</v>
      </c>
      <c r="N183" t="s">
        <v>2276</v>
      </c>
      <c r="S183" t="s">
        <v>147</v>
      </c>
    </row>
    <row r="184" spans="1:19" x14ac:dyDescent="0.3">
      <c r="A184" t="s">
        <v>881</v>
      </c>
      <c r="B184" t="s">
        <v>8</v>
      </c>
      <c r="C184">
        <v>0</v>
      </c>
      <c r="D184">
        <v>1</v>
      </c>
      <c r="E184">
        <v>0</v>
      </c>
      <c r="F184">
        <v>0</v>
      </c>
      <c r="G184">
        <v>2</v>
      </c>
      <c r="H184" t="s">
        <v>2275</v>
      </c>
      <c r="L184">
        <v>1</v>
      </c>
      <c r="M184">
        <v>1</v>
      </c>
      <c r="N184" t="s">
        <v>2276</v>
      </c>
      <c r="S184" t="s">
        <v>147</v>
      </c>
    </row>
    <row r="185" spans="1:19" x14ac:dyDescent="0.3">
      <c r="A185" t="s">
        <v>885</v>
      </c>
      <c r="B185" t="s">
        <v>8</v>
      </c>
      <c r="C185">
        <v>0</v>
      </c>
      <c r="D185">
        <v>1</v>
      </c>
      <c r="E185">
        <v>0</v>
      </c>
      <c r="F185">
        <v>0</v>
      </c>
      <c r="G185">
        <v>2</v>
      </c>
      <c r="H185" t="s">
        <v>2275</v>
      </c>
      <c r="L185">
        <v>1</v>
      </c>
      <c r="M185">
        <v>1</v>
      </c>
      <c r="N185" t="s">
        <v>2276</v>
      </c>
      <c r="S185" t="s">
        <v>147</v>
      </c>
    </row>
    <row r="186" spans="1:19" x14ac:dyDescent="0.3">
      <c r="A186" t="s">
        <v>889</v>
      </c>
      <c r="B186" t="s">
        <v>8</v>
      </c>
      <c r="C186">
        <v>0</v>
      </c>
      <c r="D186">
        <v>1</v>
      </c>
      <c r="E186">
        <v>0</v>
      </c>
      <c r="F186">
        <v>0</v>
      </c>
      <c r="G186">
        <v>2</v>
      </c>
      <c r="H186" t="s">
        <v>2275</v>
      </c>
      <c r="L186">
        <v>1</v>
      </c>
      <c r="M186">
        <v>1</v>
      </c>
      <c r="N186" t="s">
        <v>2276</v>
      </c>
      <c r="S186" t="s">
        <v>147</v>
      </c>
    </row>
    <row r="187" spans="1:19" x14ac:dyDescent="0.3">
      <c r="A187" t="s">
        <v>892</v>
      </c>
      <c r="B187" t="s">
        <v>8</v>
      </c>
      <c r="C187">
        <v>0</v>
      </c>
      <c r="D187">
        <v>1</v>
      </c>
      <c r="E187">
        <v>0</v>
      </c>
      <c r="F187">
        <v>0</v>
      </c>
      <c r="G187">
        <v>2</v>
      </c>
      <c r="H187" t="s">
        <v>2275</v>
      </c>
      <c r="L187">
        <v>1</v>
      </c>
      <c r="M187">
        <v>1</v>
      </c>
      <c r="N187" t="s">
        <v>2276</v>
      </c>
      <c r="S187" t="s">
        <v>147</v>
      </c>
    </row>
    <row r="188" spans="1:19" x14ac:dyDescent="0.3">
      <c r="A188" t="s">
        <v>895</v>
      </c>
      <c r="B188" t="s">
        <v>8</v>
      </c>
      <c r="C188">
        <v>0</v>
      </c>
      <c r="D188">
        <v>1</v>
      </c>
      <c r="E188">
        <v>0</v>
      </c>
      <c r="F188">
        <v>0</v>
      </c>
      <c r="G188">
        <v>2</v>
      </c>
      <c r="H188" t="s">
        <v>2275</v>
      </c>
      <c r="L188">
        <v>1</v>
      </c>
      <c r="M188">
        <v>1</v>
      </c>
      <c r="N188" t="s">
        <v>2276</v>
      </c>
      <c r="S188" t="s">
        <v>147</v>
      </c>
    </row>
    <row r="189" spans="1:19" x14ac:dyDescent="0.3">
      <c r="A189" t="s">
        <v>898</v>
      </c>
      <c r="B189" t="s">
        <v>8</v>
      </c>
      <c r="C189">
        <v>0</v>
      </c>
      <c r="D189">
        <v>1</v>
      </c>
      <c r="E189">
        <v>0</v>
      </c>
      <c r="F189">
        <v>0</v>
      </c>
      <c r="G189">
        <v>2</v>
      </c>
      <c r="H189" t="s">
        <v>2275</v>
      </c>
      <c r="L189">
        <v>1</v>
      </c>
      <c r="M189">
        <v>1</v>
      </c>
      <c r="N189" t="s">
        <v>2276</v>
      </c>
      <c r="S189" t="s">
        <v>147</v>
      </c>
    </row>
    <row r="190" spans="1:19" x14ac:dyDescent="0.3">
      <c r="A190" t="s">
        <v>901</v>
      </c>
      <c r="B190" t="s">
        <v>8</v>
      </c>
      <c r="C190">
        <v>0</v>
      </c>
      <c r="D190">
        <v>1</v>
      </c>
      <c r="E190">
        <v>0</v>
      </c>
      <c r="F190">
        <v>0</v>
      </c>
      <c r="G190">
        <v>2</v>
      </c>
      <c r="H190" t="s">
        <v>2275</v>
      </c>
      <c r="L190">
        <v>1</v>
      </c>
      <c r="M190">
        <v>1</v>
      </c>
      <c r="N190" t="s">
        <v>2276</v>
      </c>
      <c r="S190" t="s">
        <v>147</v>
      </c>
    </row>
    <row r="191" spans="1:19" x14ac:dyDescent="0.3">
      <c r="A191" t="s">
        <v>904</v>
      </c>
      <c r="B191" t="s">
        <v>8</v>
      </c>
      <c r="C191">
        <v>0</v>
      </c>
      <c r="D191">
        <v>1</v>
      </c>
      <c r="E191">
        <v>0</v>
      </c>
      <c r="F191">
        <v>0</v>
      </c>
      <c r="G191">
        <v>2</v>
      </c>
      <c r="H191" t="s">
        <v>2275</v>
      </c>
      <c r="L191">
        <v>1</v>
      </c>
      <c r="M191">
        <v>1</v>
      </c>
      <c r="N191" t="s">
        <v>2276</v>
      </c>
      <c r="S191" t="s">
        <v>147</v>
      </c>
    </row>
    <row r="192" spans="1:19" x14ac:dyDescent="0.3">
      <c r="A192" t="s">
        <v>907</v>
      </c>
      <c r="B192" t="s">
        <v>8</v>
      </c>
      <c r="C192">
        <v>0</v>
      </c>
      <c r="D192">
        <v>1</v>
      </c>
      <c r="E192">
        <v>0</v>
      </c>
      <c r="F192">
        <v>0</v>
      </c>
      <c r="G192">
        <v>2</v>
      </c>
      <c r="H192" t="s">
        <v>2275</v>
      </c>
      <c r="L192">
        <v>1</v>
      </c>
      <c r="M192">
        <v>1</v>
      </c>
      <c r="N192" t="s">
        <v>2276</v>
      </c>
      <c r="S192" t="s">
        <v>147</v>
      </c>
    </row>
    <row r="193" spans="1:20" x14ac:dyDescent="0.3">
      <c r="A193" t="s">
        <v>912</v>
      </c>
      <c r="B193" t="s">
        <v>8</v>
      </c>
      <c r="C193">
        <v>0</v>
      </c>
      <c r="D193">
        <v>1</v>
      </c>
      <c r="E193">
        <v>0</v>
      </c>
      <c r="F193">
        <v>0</v>
      </c>
      <c r="G193">
        <v>2</v>
      </c>
      <c r="H193" t="s">
        <v>2275</v>
      </c>
      <c r="L193">
        <v>1</v>
      </c>
      <c r="M193">
        <v>1</v>
      </c>
      <c r="N193" t="s">
        <v>2276</v>
      </c>
      <c r="S193" t="s">
        <v>147</v>
      </c>
    </row>
    <row r="194" spans="1:20" x14ac:dyDescent="0.3">
      <c r="A194" t="s">
        <v>918</v>
      </c>
      <c r="B194" t="s">
        <v>8</v>
      </c>
      <c r="C194">
        <v>0</v>
      </c>
      <c r="D194">
        <v>1</v>
      </c>
      <c r="E194">
        <v>0</v>
      </c>
      <c r="F194">
        <v>0</v>
      </c>
      <c r="G194">
        <v>2</v>
      </c>
      <c r="H194" t="s">
        <v>2275</v>
      </c>
      <c r="L194">
        <v>1</v>
      </c>
      <c r="M194">
        <v>1</v>
      </c>
      <c r="N194" t="s">
        <v>2276</v>
      </c>
      <c r="S194" t="s">
        <v>147</v>
      </c>
    </row>
    <row r="195" spans="1:20" x14ac:dyDescent="0.3">
      <c r="A195" t="s">
        <v>923</v>
      </c>
      <c r="B195" t="s">
        <v>8</v>
      </c>
      <c r="C195">
        <v>0</v>
      </c>
      <c r="D195">
        <v>1</v>
      </c>
      <c r="E195">
        <v>0</v>
      </c>
      <c r="F195">
        <v>0</v>
      </c>
      <c r="G195">
        <v>2</v>
      </c>
      <c r="H195" t="s">
        <v>2275</v>
      </c>
      <c r="L195">
        <v>1</v>
      </c>
      <c r="M195">
        <v>1</v>
      </c>
      <c r="N195" t="s">
        <v>2276</v>
      </c>
      <c r="S195" t="s">
        <v>147</v>
      </c>
    </row>
    <row r="196" spans="1:20" x14ac:dyDescent="0.3">
      <c r="A196" t="s">
        <v>927</v>
      </c>
      <c r="B196" t="s">
        <v>8</v>
      </c>
      <c r="C196">
        <v>0</v>
      </c>
      <c r="D196">
        <v>1</v>
      </c>
      <c r="E196">
        <v>0</v>
      </c>
      <c r="F196">
        <v>0</v>
      </c>
      <c r="G196">
        <v>2</v>
      </c>
      <c r="H196" t="s">
        <v>2275</v>
      </c>
      <c r="L196">
        <v>1</v>
      </c>
      <c r="M196">
        <v>1</v>
      </c>
      <c r="N196" t="s">
        <v>2276</v>
      </c>
      <c r="S196" t="s">
        <v>147</v>
      </c>
    </row>
    <row r="197" spans="1:20" x14ac:dyDescent="0.3">
      <c r="A197" t="s">
        <v>930</v>
      </c>
      <c r="B197" t="s">
        <v>8</v>
      </c>
      <c r="C197">
        <v>0</v>
      </c>
      <c r="D197">
        <v>1</v>
      </c>
      <c r="E197">
        <v>0</v>
      </c>
      <c r="F197">
        <v>0</v>
      </c>
      <c r="G197">
        <v>2</v>
      </c>
      <c r="H197" t="s">
        <v>2275</v>
      </c>
      <c r="L197">
        <v>1</v>
      </c>
      <c r="M197">
        <v>1</v>
      </c>
      <c r="N197" t="s">
        <v>2276</v>
      </c>
      <c r="S197" t="s">
        <v>147</v>
      </c>
    </row>
    <row r="198" spans="1:20" x14ac:dyDescent="0.3">
      <c r="A198" t="s">
        <v>935</v>
      </c>
      <c r="B198" t="s">
        <v>8</v>
      </c>
      <c r="C198">
        <v>0</v>
      </c>
      <c r="D198">
        <v>1</v>
      </c>
      <c r="E198">
        <v>0</v>
      </c>
      <c r="F198">
        <v>0</v>
      </c>
      <c r="G198">
        <v>2</v>
      </c>
      <c r="H198" t="s">
        <v>2275</v>
      </c>
      <c r="L198">
        <v>1</v>
      </c>
      <c r="M198">
        <v>1</v>
      </c>
      <c r="N198" t="s">
        <v>2276</v>
      </c>
      <c r="S198" t="s">
        <v>147</v>
      </c>
    </row>
    <row r="199" spans="1:20" x14ac:dyDescent="0.3">
      <c r="A199" t="s">
        <v>940</v>
      </c>
      <c r="B199" t="s">
        <v>8</v>
      </c>
      <c r="C199">
        <v>0</v>
      </c>
      <c r="D199">
        <v>1</v>
      </c>
      <c r="E199">
        <v>0</v>
      </c>
      <c r="F199">
        <v>0</v>
      </c>
      <c r="G199">
        <v>2</v>
      </c>
      <c r="H199" t="s">
        <v>2275</v>
      </c>
      <c r="L199">
        <v>1</v>
      </c>
      <c r="M199">
        <v>1</v>
      </c>
      <c r="N199" t="s">
        <v>2276</v>
      </c>
      <c r="S199" t="s">
        <v>147</v>
      </c>
    </row>
    <row r="200" spans="1:20" x14ac:dyDescent="0.3">
      <c r="A200" t="s">
        <v>944</v>
      </c>
      <c r="B200" t="s">
        <v>8</v>
      </c>
      <c r="C200">
        <v>0</v>
      </c>
      <c r="D200">
        <v>1</v>
      </c>
      <c r="E200">
        <v>0</v>
      </c>
      <c r="F200">
        <v>0</v>
      </c>
      <c r="G200">
        <v>2</v>
      </c>
      <c r="H200" t="s">
        <v>2275</v>
      </c>
      <c r="L200">
        <v>1</v>
      </c>
      <c r="M200">
        <v>1</v>
      </c>
      <c r="N200" t="s">
        <v>2276</v>
      </c>
      <c r="S200" t="s">
        <v>147</v>
      </c>
    </row>
    <row r="201" spans="1:20" x14ac:dyDescent="0.3">
      <c r="A201" t="s">
        <v>946</v>
      </c>
      <c r="B201" t="s">
        <v>8</v>
      </c>
      <c r="C201">
        <v>0</v>
      </c>
      <c r="D201">
        <v>1</v>
      </c>
      <c r="E201">
        <v>0</v>
      </c>
      <c r="F201">
        <v>0</v>
      </c>
      <c r="G201">
        <v>2</v>
      </c>
      <c r="H201" t="s">
        <v>2275</v>
      </c>
      <c r="L201">
        <v>1</v>
      </c>
      <c r="M201">
        <v>1</v>
      </c>
      <c r="N201" t="s">
        <v>2276</v>
      </c>
      <c r="S201" t="s">
        <v>147</v>
      </c>
    </row>
    <row r="202" spans="1:20" x14ac:dyDescent="0.3">
      <c r="A202" t="s">
        <v>948</v>
      </c>
      <c r="B202" t="s">
        <v>8</v>
      </c>
      <c r="C202">
        <v>0</v>
      </c>
      <c r="D202">
        <v>1</v>
      </c>
      <c r="E202">
        <v>0</v>
      </c>
      <c r="F202">
        <v>0</v>
      </c>
      <c r="G202">
        <v>2</v>
      </c>
      <c r="H202" t="s">
        <v>2275</v>
      </c>
      <c r="L202">
        <v>1</v>
      </c>
      <c r="M202">
        <v>1</v>
      </c>
      <c r="N202" t="s">
        <v>2276</v>
      </c>
      <c r="S202" t="s">
        <v>147</v>
      </c>
    </row>
    <row r="203" spans="1:20" x14ac:dyDescent="0.3">
      <c r="A203" t="s">
        <v>953</v>
      </c>
      <c r="B203" t="s">
        <v>8</v>
      </c>
      <c r="C203">
        <v>0</v>
      </c>
      <c r="D203">
        <v>1</v>
      </c>
      <c r="E203">
        <v>0</v>
      </c>
      <c r="F203">
        <v>0</v>
      </c>
      <c r="G203">
        <v>2</v>
      </c>
      <c r="H203" t="s">
        <v>2275</v>
      </c>
      <c r="L203">
        <v>1</v>
      </c>
      <c r="M203">
        <v>1</v>
      </c>
      <c r="N203" t="s">
        <v>2276</v>
      </c>
      <c r="S203" t="s">
        <v>147</v>
      </c>
    </row>
    <row r="204" spans="1:20" x14ac:dyDescent="0.3">
      <c r="A204" t="s">
        <v>958</v>
      </c>
      <c r="B204" t="s">
        <v>8</v>
      </c>
      <c r="C204">
        <v>0</v>
      </c>
      <c r="D204">
        <v>1</v>
      </c>
      <c r="E204">
        <v>0</v>
      </c>
      <c r="F204">
        <v>0</v>
      </c>
      <c r="G204">
        <v>2</v>
      </c>
      <c r="H204" t="s">
        <v>2275</v>
      </c>
      <c r="L204">
        <v>1</v>
      </c>
      <c r="M204">
        <v>1</v>
      </c>
      <c r="N204" t="s">
        <v>2276</v>
      </c>
      <c r="S204" t="s">
        <v>147</v>
      </c>
    </row>
    <row r="205" spans="1:20" x14ac:dyDescent="0.3">
      <c r="A205" t="s">
        <v>963</v>
      </c>
      <c r="B205" t="s">
        <v>8</v>
      </c>
      <c r="C205">
        <v>0</v>
      </c>
      <c r="D205">
        <v>1</v>
      </c>
      <c r="E205">
        <v>0</v>
      </c>
      <c r="F205">
        <v>0</v>
      </c>
      <c r="G205">
        <v>2</v>
      </c>
      <c r="H205" t="s">
        <v>2275</v>
      </c>
      <c r="L205">
        <v>1</v>
      </c>
      <c r="M205">
        <v>1</v>
      </c>
      <c r="N205" t="s">
        <v>2276</v>
      </c>
      <c r="S205" t="s">
        <v>147</v>
      </c>
    </row>
    <row r="206" spans="1:20" x14ac:dyDescent="0.3">
      <c r="A206" t="s">
        <v>967</v>
      </c>
      <c r="C206">
        <v>0</v>
      </c>
      <c r="D206">
        <v>1</v>
      </c>
      <c r="E206">
        <v>0</v>
      </c>
      <c r="F206">
        <v>0</v>
      </c>
      <c r="G206">
        <v>2</v>
      </c>
      <c r="H206" t="s">
        <v>2275</v>
      </c>
      <c r="L206">
        <v>1</v>
      </c>
      <c r="M206">
        <v>1</v>
      </c>
      <c r="N206" t="s">
        <v>2276</v>
      </c>
      <c r="S206" t="s">
        <v>161</v>
      </c>
      <c r="T206" t="s">
        <v>166</v>
      </c>
    </row>
    <row r="207" spans="1:20" x14ac:dyDescent="0.3">
      <c r="A207" t="s">
        <v>971</v>
      </c>
      <c r="C207">
        <v>0</v>
      </c>
      <c r="D207">
        <v>1</v>
      </c>
      <c r="E207">
        <v>0</v>
      </c>
      <c r="F207">
        <v>0</v>
      </c>
      <c r="G207">
        <v>2</v>
      </c>
      <c r="H207" t="s">
        <v>2275</v>
      </c>
      <c r="L207">
        <v>1</v>
      </c>
      <c r="M207">
        <v>1</v>
      </c>
      <c r="N207" t="s">
        <v>2276</v>
      </c>
      <c r="S207" t="s">
        <v>161</v>
      </c>
      <c r="T207" t="s">
        <v>166</v>
      </c>
    </row>
    <row r="208" spans="1:20" x14ac:dyDescent="0.3">
      <c r="A208" t="s">
        <v>975</v>
      </c>
      <c r="B208" t="s">
        <v>5</v>
      </c>
      <c r="C208">
        <v>0</v>
      </c>
      <c r="D208">
        <v>3</v>
      </c>
      <c r="E208">
        <v>0</v>
      </c>
      <c r="F208">
        <v>0</v>
      </c>
      <c r="G208">
        <v>7</v>
      </c>
      <c r="H208" t="s">
        <v>2275</v>
      </c>
      <c r="I208" t="s">
        <v>2283</v>
      </c>
      <c r="J208" t="s">
        <v>2284</v>
      </c>
      <c r="L208">
        <v>4</v>
      </c>
      <c r="M208">
        <v>4</v>
      </c>
      <c r="N208" t="s">
        <v>2285</v>
      </c>
      <c r="O208" t="s">
        <v>2286</v>
      </c>
      <c r="P208" t="s">
        <v>2276</v>
      </c>
      <c r="Q208" t="s">
        <v>2287</v>
      </c>
      <c r="S208" t="s">
        <v>147</v>
      </c>
    </row>
    <row r="209" spans="1:19" x14ac:dyDescent="0.3">
      <c r="A209" t="s">
        <v>984</v>
      </c>
      <c r="B209" t="s">
        <v>5</v>
      </c>
      <c r="C209">
        <v>0</v>
      </c>
      <c r="D209">
        <v>3</v>
      </c>
      <c r="E209">
        <v>0</v>
      </c>
      <c r="F209">
        <v>0</v>
      </c>
      <c r="G209">
        <v>8</v>
      </c>
      <c r="H209" t="s">
        <v>2275</v>
      </c>
      <c r="I209" t="s">
        <v>2283</v>
      </c>
      <c r="J209" t="s">
        <v>2284</v>
      </c>
      <c r="L209">
        <v>4</v>
      </c>
      <c r="M209">
        <v>4</v>
      </c>
      <c r="N209" t="s">
        <v>2285</v>
      </c>
      <c r="O209" t="s">
        <v>2286</v>
      </c>
      <c r="P209" t="s">
        <v>2276</v>
      </c>
      <c r="Q209" t="s">
        <v>2287</v>
      </c>
      <c r="S209" t="s">
        <v>147</v>
      </c>
    </row>
    <row r="210" spans="1:19" x14ac:dyDescent="0.3">
      <c r="A210" t="s">
        <v>992</v>
      </c>
      <c r="B210" t="s">
        <v>5</v>
      </c>
      <c r="C210">
        <v>0</v>
      </c>
      <c r="D210">
        <v>3</v>
      </c>
      <c r="E210">
        <v>0</v>
      </c>
      <c r="F210">
        <v>0</v>
      </c>
      <c r="G210">
        <v>7</v>
      </c>
      <c r="H210" t="s">
        <v>2275</v>
      </c>
      <c r="I210" t="s">
        <v>2283</v>
      </c>
      <c r="J210" t="s">
        <v>2284</v>
      </c>
      <c r="L210">
        <v>4</v>
      </c>
      <c r="M210">
        <v>4</v>
      </c>
      <c r="N210" t="s">
        <v>2285</v>
      </c>
      <c r="O210" t="s">
        <v>2286</v>
      </c>
      <c r="P210" t="s">
        <v>2276</v>
      </c>
      <c r="Q210" t="s">
        <v>2287</v>
      </c>
      <c r="S210" t="s">
        <v>147</v>
      </c>
    </row>
    <row r="211" spans="1:19" x14ac:dyDescent="0.3">
      <c r="A211" t="s">
        <v>1001</v>
      </c>
      <c r="B211" t="s">
        <v>5</v>
      </c>
      <c r="C211">
        <v>0</v>
      </c>
      <c r="D211">
        <v>3</v>
      </c>
      <c r="E211">
        <v>0</v>
      </c>
      <c r="F211">
        <v>0</v>
      </c>
      <c r="G211">
        <v>7</v>
      </c>
      <c r="H211" t="s">
        <v>2275</v>
      </c>
      <c r="I211" t="s">
        <v>2283</v>
      </c>
      <c r="J211" t="s">
        <v>2284</v>
      </c>
      <c r="L211">
        <v>4</v>
      </c>
      <c r="M211">
        <v>4</v>
      </c>
      <c r="N211" t="s">
        <v>2285</v>
      </c>
      <c r="O211" t="s">
        <v>2286</v>
      </c>
      <c r="P211" t="s">
        <v>2276</v>
      </c>
      <c r="Q211" t="s">
        <v>2287</v>
      </c>
      <c r="S211" t="s">
        <v>147</v>
      </c>
    </row>
    <row r="212" spans="1:19" x14ac:dyDescent="0.3">
      <c r="A212" t="s">
        <v>1009</v>
      </c>
      <c r="B212" t="s">
        <v>5</v>
      </c>
      <c r="C212">
        <v>0</v>
      </c>
      <c r="D212">
        <v>3</v>
      </c>
      <c r="E212">
        <v>0</v>
      </c>
      <c r="F212">
        <v>0</v>
      </c>
      <c r="G212">
        <v>7</v>
      </c>
      <c r="H212" t="s">
        <v>2275</v>
      </c>
      <c r="I212" t="s">
        <v>2283</v>
      </c>
      <c r="J212" t="s">
        <v>2284</v>
      </c>
      <c r="L212">
        <v>4</v>
      </c>
      <c r="M212">
        <v>4</v>
      </c>
      <c r="N212" t="s">
        <v>2285</v>
      </c>
      <c r="O212" t="s">
        <v>2286</v>
      </c>
      <c r="P212" t="s">
        <v>2276</v>
      </c>
      <c r="Q212" t="s">
        <v>2287</v>
      </c>
      <c r="S212" t="s">
        <v>147</v>
      </c>
    </row>
    <row r="213" spans="1:19" x14ac:dyDescent="0.3">
      <c r="A213" t="s">
        <v>1017</v>
      </c>
      <c r="B213" t="s">
        <v>5</v>
      </c>
      <c r="C213">
        <v>0</v>
      </c>
      <c r="D213">
        <v>3</v>
      </c>
      <c r="E213">
        <v>0</v>
      </c>
      <c r="F213">
        <v>0</v>
      </c>
      <c r="G213">
        <v>8</v>
      </c>
      <c r="H213" t="s">
        <v>2275</v>
      </c>
      <c r="I213" t="s">
        <v>2283</v>
      </c>
      <c r="J213" t="s">
        <v>2284</v>
      </c>
      <c r="L213">
        <v>4</v>
      </c>
      <c r="M213">
        <v>4</v>
      </c>
      <c r="N213" t="s">
        <v>2285</v>
      </c>
      <c r="O213" t="s">
        <v>2286</v>
      </c>
      <c r="P213" t="s">
        <v>2276</v>
      </c>
      <c r="Q213" t="s">
        <v>2287</v>
      </c>
      <c r="S213" t="s">
        <v>147</v>
      </c>
    </row>
    <row r="214" spans="1:19" x14ac:dyDescent="0.3">
      <c r="A214" t="s">
        <v>1024</v>
      </c>
      <c r="B214" t="s">
        <v>5</v>
      </c>
      <c r="C214">
        <v>0</v>
      </c>
      <c r="D214">
        <v>3</v>
      </c>
      <c r="E214">
        <v>0</v>
      </c>
      <c r="F214">
        <v>0</v>
      </c>
      <c r="G214">
        <v>7</v>
      </c>
      <c r="H214" t="s">
        <v>2275</v>
      </c>
      <c r="I214" t="s">
        <v>2283</v>
      </c>
      <c r="J214" t="s">
        <v>2284</v>
      </c>
      <c r="L214">
        <v>4</v>
      </c>
      <c r="M214">
        <v>4</v>
      </c>
      <c r="N214" t="s">
        <v>2285</v>
      </c>
      <c r="O214" t="s">
        <v>2286</v>
      </c>
      <c r="P214" t="s">
        <v>2276</v>
      </c>
      <c r="Q214" t="s">
        <v>2287</v>
      </c>
      <c r="S214" t="s">
        <v>147</v>
      </c>
    </row>
    <row r="215" spans="1:19" x14ac:dyDescent="0.3">
      <c r="A215" t="s">
        <v>1032</v>
      </c>
      <c r="B215" t="s">
        <v>5</v>
      </c>
      <c r="C215">
        <v>0</v>
      </c>
      <c r="D215">
        <v>3</v>
      </c>
      <c r="E215">
        <v>0</v>
      </c>
      <c r="F215">
        <v>0</v>
      </c>
      <c r="G215">
        <v>7</v>
      </c>
      <c r="H215" t="s">
        <v>2275</v>
      </c>
      <c r="I215" t="s">
        <v>2283</v>
      </c>
      <c r="J215" t="s">
        <v>2284</v>
      </c>
      <c r="L215">
        <v>4</v>
      </c>
      <c r="M215">
        <v>4</v>
      </c>
      <c r="N215" t="s">
        <v>2285</v>
      </c>
      <c r="O215" t="s">
        <v>2286</v>
      </c>
      <c r="P215" t="s">
        <v>2276</v>
      </c>
      <c r="Q215" t="s">
        <v>2287</v>
      </c>
      <c r="S215" t="s">
        <v>147</v>
      </c>
    </row>
    <row r="216" spans="1:19" x14ac:dyDescent="0.3">
      <c r="A216" t="s">
        <v>1040</v>
      </c>
      <c r="B216" t="s">
        <v>5</v>
      </c>
      <c r="C216">
        <v>0</v>
      </c>
      <c r="D216">
        <v>3</v>
      </c>
      <c r="E216">
        <v>0</v>
      </c>
      <c r="F216">
        <v>0</v>
      </c>
      <c r="G216">
        <v>7</v>
      </c>
      <c r="H216" t="s">
        <v>2275</v>
      </c>
      <c r="I216" t="s">
        <v>2283</v>
      </c>
      <c r="J216" t="s">
        <v>2284</v>
      </c>
      <c r="L216">
        <v>4</v>
      </c>
      <c r="M216">
        <v>4</v>
      </c>
      <c r="N216" t="s">
        <v>2285</v>
      </c>
      <c r="O216" t="s">
        <v>2286</v>
      </c>
      <c r="P216" t="s">
        <v>2276</v>
      </c>
      <c r="Q216" t="s">
        <v>2287</v>
      </c>
      <c r="S216" t="s">
        <v>147</v>
      </c>
    </row>
    <row r="217" spans="1:19" x14ac:dyDescent="0.3">
      <c r="A217" t="s">
        <v>1048</v>
      </c>
      <c r="B217" t="s">
        <v>5</v>
      </c>
      <c r="C217">
        <v>0</v>
      </c>
      <c r="D217">
        <v>3</v>
      </c>
      <c r="E217">
        <v>0</v>
      </c>
      <c r="F217">
        <v>0</v>
      </c>
      <c r="G217">
        <v>8</v>
      </c>
      <c r="H217" t="s">
        <v>2275</v>
      </c>
      <c r="I217" t="s">
        <v>2283</v>
      </c>
      <c r="J217" t="s">
        <v>2284</v>
      </c>
      <c r="L217">
        <v>4</v>
      </c>
      <c r="M217">
        <v>4</v>
      </c>
      <c r="N217" t="s">
        <v>2285</v>
      </c>
      <c r="O217" t="s">
        <v>2286</v>
      </c>
      <c r="P217" t="s">
        <v>2276</v>
      </c>
      <c r="Q217" t="s">
        <v>2287</v>
      </c>
      <c r="S217" t="s">
        <v>147</v>
      </c>
    </row>
    <row r="218" spans="1:19" x14ac:dyDescent="0.3">
      <c r="A218" t="s">
        <v>1056</v>
      </c>
      <c r="B218" t="s">
        <v>5</v>
      </c>
      <c r="C218">
        <v>0</v>
      </c>
      <c r="D218">
        <v>3</v>
      </c>
      <c r="E218">
        <v>0</v>
      </c>
      <c r="F218">
        <v>0</v>
      </c>
      <c r="G218">
        <v>8</v>
      </c>
      <c r="H218" t="s">
        <v>2275</v>
      </c>
      <c r="I218" t="s">
        <v>2283</v>
      </c>
      <c r="J218" t="s">
        <v>2284</v>
      </c>
      <c r="L218">
        <v>4</v>
      </c>
      <c r="M218">
        <v>4</v>
      </c>
      <c r="N218" t="s">
        <v>2285</v>
      </c>
      <c r="O218" t="s">
        <v>2286</v>
      </c>
      <c r="P218" t="s">
        <v>2276</v>
      </c>
      <c r="Q218" t="s">
        <v>2287</v>
      </c>
      <c r="S218" t="s">
        <v>147</v>
      </c>
    </row>
    <row r="219" spans="1:19" x14ac:dyDescent="0.3">
      <c r="A219" t="s">
        <v>1064</v>
      </c>
      <c r="B219" t="s">
        <v>5</v>
      </c>
      <c r="C219">
        <v>0</v>
      </c>
      <c r="D219">
        <v>3</v>
      </c>
      <c r="E219">
        <v>0</v>
      </c>
      <c r="F219">
        <v>0</v>
      </c>
      <c r="G219">
        <v>8</v>
      </c>
      <c r="H219" t="s">
        <v>2275</v>
      </c>
      <c r="I219" t="s">
        <v>2283</v>
      </c>
      <c r="J219" t="s">
        <v>2284</v>
      </c>
      <c r="L219">
        <v>4</v>
      </c>
      <c r="M219">
        <v>4</v>
      </c>
      <c r="N219" t="s">
        <v>2285</v>
      </c>
      <c r="O219" t="s">
        <v>2286</v>
      </c>
      <c r="P219" t="s">
        <v>2276</v>
      </c>
      <c r="Q219" t="s">
        <v>2287</v>
      </c>
      <c r="S219" t="s">
        <v>147</v>
      </c>
    </row>
    <row r="220" spans="1:19" x14ac:dyDescent="0.3">
      <c r="A220" t="s">
        <v>1071</v>
      </c>
      <c r="B220" t="s">
        <v>5</v>
      </c>
      <c r="C220">
        <v>0</v>
      </c>
      <c r="D220">
        <v>3</v>
      </c>
      <c r="E220">
        <v>0</v>
      </c>
      <c r="F220">
        <v>0</v>
      </c>
      <c r="G220">
        <v>7</v>
      </c>
      <c r="H220" t="s">
        <v>2275</v>
      </c>
      <c r="I220" t="s">
        <v>2283</v>
      </c>
      <c r="J220" t="s">
        <v>2284</v>
      </c>
      <c r="L220">
        <v>4</v>
      </c>
      <c r="M220">
        <v>4</v>
      </c>
      <c r="N220" t="s">
        <v>2285</v>
      </c>
      <c r="O220" t="s">
        <v>2286</v>
      </c>
      <c r="P220" t="s">
        <v>2276</v>
      </c>
      <c r="Q220" t="s">
        <v>2287</v>
      </c>
      <c r="S220" t="s">
        <v>147</v>
      </c>
    </row>
    <row r="221" spans="1:19" x14ac:dyDescent="0.3">
      <c r="A221" t="s">
        <v>1078</v>
      </c>
      <c r="B221" t="s">
        <v>5</v>
      </c>
      <c r="C221">
        <v>0</v>
      </c>
      <c r="D221">
        <v>3</v>
      </c>
      <c r="E221">
        <v>0</v>
      </c>
      <c r="F221">
        <v>0</v>
      </c>
      <c r="G221">
        <v>8</v>
      </c>
      <c r="H221" t="s">
        <v>2275</v>
      </c>
      <c r="I221" t="s">
        <v>2283</v>
      </c>
      <c r="J221" t="s">
        <v>2284</v>
      </c>
      <c r="L221">
        <v>4</v>
      </c>
      <c r="M221">
        <v>4</v>
      </c>
      <c r="N221" t="s">
        <v>2285</v>
      </c>
      <c r="O221" t="s">
        <v>2286</v>
      </c>
      <c r="P221" t="s">
        <v>2276</v>
      </c>
      <c r="Q221" t="s">
        <v>2287</v>
      </c>
      <c r="S221" t="s">
        <v>147</v>
      </c>
    </row>
    <row r="222" spans="1:19" x14ac:dyDescent="0.3">
      <c r="A222" t="s">
        <v>1085</v>
      </c>
      <c r="B222" t="s">
        <v>5</v>
      </c>
      <c r="C222">
        <v>0</v>
      </c>
      <c r="D222">
        <v>3</v>
      </c>
      <c r="E222">
        <v>0</v>
      </c>
      <c r="F222">
        <v>0</v>
      </c>
      <c r="G222">
        <v>8</v>
      </c>
      <c r="H222" t="s">
        <v>2275</v>
      </c>
      <c r="I222" t="s">
        <v>2283</v>
      </c>
      <c r="J222" t="s">
        <v>2284</v>
      </c>
      <c r="L222">
        <v>4</v>
      </c>
      <c r="M222">
        <v>4</v>
      </c>
      <c r="N222" t="s">
        <v>2285</v>
      </c>
      <c r="O222" t="s">
        <v>2286</v>
      </c>
      <c r="P222" t="s">
        <v>2276</v>
      </c>
      <c r="Q222" t="s">
        <v>2287</v>
      </c>
      <c r="S222" t="s">
        <v>147</v>
      </c>
    </row>
    <row r="223" spans="1:19" x14ac:dyDescent="0.3">
      <c r="A223" t="s">
        <v>1092</v>
      </c>
      <c r="B223" t="s">
        <v>5</v>
      </c>
      <c r="C223">
        <v>0</v>
      </c>
      <c r="D223">
        <v>4</v>
      </c>
      <c r="E223">
        <v>0</v>
      </c>
      <c r="F223">
        <v>7</v>
      </c>
      <c r="G223">
        <v>44</v>
      </c>
      <c r="H223" t="s">
        <v>2275</v>
      </c>
      <c r="I223" t="s">
        <v>2283</v>
      </c>
      <c r="J223" t="s">
        <v>2284</v>
      </c>
      <c r="K223" t="s">
        <v>2288</v>
      </c>
      <c r="L223">
        <v>17</v>
      </c>
      <c r="M223">
        <v>5</v>
      </c>
      <c r="N223" t="s">
        <v>2285</v>
      </c>
      <c r="O223" t="s">
        <v>2286</v>
      </c>
      <c r="P223" t="s">
        <v>2276</v>
      </c>
      <c r="Q223" t="s">
        <v>2287</v>
      </c>
      <c r="R223" t="s">
        <v>2289</v>
      </c>
      <c r="S223" t="s">
        <v>147</v>
      </c>
    </row>
    <row r="224" spans="1:19" x14ac:dyDescent="0.3">
      <c r="A224" t="s">
        <v>1096</v>
      </c>
      <c r="B224" t="s">
        <v>5</v>
      </c>
      <c r="C224">
        <v>0</v>
      </c>
      <c r="D224">
        <v>4</v>
      </c>
      <c r="E224">
        <v>0</v>
      </c>
      <c r="F224">
        <v>0</v>
      </c>
      <c r="G224">
        <v>44</v>
      </c>
      <c r="H224" t="s">
        <v>2275</v>
      </c>
      <c r="I224" t="s">
        <v>2283</v>
      </c>
      <c r="J224" t="s">
        <v>2284</v>
      </c>
      <c r="K224" t="s">
        <v>2288</v>
      </c>
      <c r="L224">
        <v>17</v>
      </c>
      <c r="M224">
        <v>5</v>
      </c>
      <c r="N224" t="s">
        <v>2285</v>
      </c>
      <c r="O224" t="s">
        <v>2286</v>
      </c>
      <c r="P224" t="s">
        <v>2276</v>
      </c>
      <c r="Q224" t="s">
        <v>2287</v>
      </c>
      <c r="R224" t="s">
        <v>2289</v>
      </c>
      <c r="S224" t="s">
        <v>147</v>
      </c>
    </row>
    <row r="225" spans="1:19" x14ac:dyDescent="0.3">
      <c r="A225" t="s">
        <v>1104</v>
      </c>
      <c r="B225" t="s">
        <v>5</v>
      </c>
      <c r="C225">
        <v>0</v>
      </c>
      <c r="D225">
        <v>3</v>
      </c>
      <c r="E225">
        <v>0</v>
      </c>
      <c r="F225">
        <v>0</v>
      </c>
      <c r="G225">
        <v>7</v>
      </c>
      <c r="H225" t="s">
        <v>2275</v>
      </c>
      <c r="I225" t="s">
        <v>2283</v>
      </c>
      <c r="J225" t="s">
        <v>2284</v>
      </c>
      <c r="L225">
        <v>4</v>
      </c>
      <c r="M225">
        <v>4</v>
      </c>
      <c r="N225" t="s">
        <v>2285</v>
      </c>
      <c r="O225" t="s">
        <v>2286</v>
      </c>
      <c r="P225" t="s">
        <v>2276</v>
      </c>
      <c r="Q225" t="s">
        <v>2287</v>
      </c>
      <c r="S225" t="s">
        <v>147</v>
      </c>
    </row>
    <row r="226" spans="1:19" x14ac:dyDescent="0.3">
      <c r="A226" t="s">
        <v>1112</v>
      </c>
      <c r="B226" t="s">
        <v>5</v>
      </c>
      <c r="C226">
        <v>0</v>
      </c>
      <c r="D226">
        <v>3</v>
      </c>
      <c r="E226">
        <v>0</v>
      </c>
      <c r="F226">
        <v>0</v>
      </c>
      <c r="G226">
        <v>7</v>
      </c>
      <c r="H226" t="s">
        <v>2275</v>
      </c>
      <c r="I226" t="s">
        <v>2283</v>
      </c>
      <c r="J226" t="s">
        <v>2284</v>
      </c>
      <c r="L226">
        <v>4</v>
      </c>
      <c r="M226">
        <v>4</v>
      </c>
      <c r="N226" t="s">
        <v>2285</v>
      </c>
      <c r="O226" t="s">
        <v>2286</v>
      </c>
      <c r="P226" t="s">
        <v>2276</v>
      </c>
      <c r="Q226" t="s">
        <v>2287</v>
      </c>
      <c r="S226" t="s">
        <v>147</v>
      </c>
    </row>
    <row r="227" spans="1:19" x14ac:dyDescent="0.3">
      <c r="A227" t="s">
        <v>1119</v>
      </c>
      <c r="B227" t="s">
        <v>5</v>
      </c>
      <c r="C227">
        <v>0</v>
      </c>
      <c r="D227">
        <v>3</v>
      </c>
      <c r="E227">
        <v>0</v>
      </c>
      <c r="F227">
        <v>0</v>
      </c>
      <c r="G227">
        <v>8</v>
      </c>
      <c r="H227" t="s">
        <v>2275</v>
      </c>
      <c r="I227" t="s">
        <v>2283</v>
      </c>
      <c r="J227" t="s">
        <v>2284</v>
      </c>
      <c r="L227">
        <v>4</v>
      </c>
      <c r="M227">
        <v>4</v>
      </c>
      <c r="N227" t="s">
        <v>2285</v>
      </c>
      <c r="O227" t="s">
        <v>2286</v>
      </c>
      <c r="P227" t="s">
        <v>2276</v>
      </c>
      <c r="Q227" t="s">
        <v>2287</v>
      </c>
      <c r="S227" t="s">
        <v>147</v>
      </c>
    </row>
    <row r="228" spans="1:19" x14ac:dyDescent="0.3">
      <c r="A228" t="s">
        <v>1126</v>
      </c>
      <c r="B228" t="s">
        <v>5</v>
      </c>
      <c r="C228">
        <v>0</v>
      </c>
      <c r="D228">
        <v>3</v>
      </c>
      <c r="E228">
        <v>0</v>
      </c>
      <c r="F228">
        <v>0</v>
      </c>
      <c r="G228">
        <v>8</v>
      </c>
      <c r="H228" t="s">
        <v>2275</v>
      </c>
      <c r="I228" t="s">
        <v>2283</v>
      </c>
      <c r="J228" t="s">
        <v>2284</v>
      </c>
      <c r="L228">
        <v>4</v>
      </c>
      <c r="M228">
        <v>4</v>
      </c>
      <c r="N228" t="s">
        <v>2285</v>
      </c>
      <c r="O228" t="s">
        <v>2286</v>
      </c>
      <c r="P228" t="s">
        <v>2276</v>
      </c>
      <c r="Q228" t="s">
        <v>2287</v>
      </c>
      <c r="S228" t="s">
        <v>147</v>
      </c>
    </row>
    <row r="229" spans="1:19" x14ac:dyDescent="0.3">
      <c r="A229" t="s">
        <v>1134</v>
      </c>
      <c r="B229" t="s">
        <v>5</v>
      </c>
      <c r="C229">
        <v>0</v>
      </c>
      <c r="D229">
        <v>3</v>
      </c>
      <c r="E229">
        <v>0</v>
      </c>
      <c r="F229">
        <v>0</v>
      </c>
      <c r="G229">
        <v>7</v>
      </c>
      <c r="H229" t="s">
        <v>2275</v>
      </c>
      <c r="I229" t="s">
        <v>2283</v>
      </c>
      <c r="J229" t="s">
        <v>2284</v>
      </c>
      <c r="L229">
        <v>4</v>
      </c>
      <c r="M229">
        <v>4</v>
      </c>
      <c r="N229" t="s">
        <v>2285</v>
      </c>
      <c r="O229" t="s">
        <v>2286</v>
      </c>
      <c r="P229" t="s">
        <v>2276</v>
      </c>
      <c r="Q229" t="s">
        <v>2287</v>
      </c>
      <c r="S229" t="s">
        <v>147</v>
      </c>
    </row>
    <row r="230" spans="1:19" x14ac:dyDescent="0.3">
      <c r="A230" t="s">
        <v>1141</v>
      </c>
      <c r="B230" t="s">
        <v>5</v>
      </c>
      <c r="C230">
        <v>0</v>
      </c>
      <c r="D230">
        <v>3</v>
      </c>
      <c r="E230">
        <v>0</v>
      </c>
      <c r="F230">
        <v>0</v>
      </c>
      <c r="G230">
        <v>7</v>
      </c>
      <c r="H230" t="s">
        <v>2275</v>
      </c>
      <c r="I230" t="s">
        <v>2283</v>
      </c>
      <c r="J230" t="s">
        <v>2284</v>
      </c>
      <c r="L230">
        <v>4</v>
      </c>
      <c r="M230">
        <v>4</v>
      </c>
      <c r="N230" t="s">
        <v>2285</v>
      </c>
      <c r="O230" t="s">
        <v>2286</v>
      </c>
      <c r="P230" t="s">
        <v>2276</v>
      </c>
      <c r="Q230" t="s">
        <v>2287</v>
      </c>
      <c r="S230" t="s">
        <v>147</v>
      </c>
    </row>
    <row r="231" spans="1:19" x14ac:dyDescent="0.3">
      <c r="A231" t="s">
        <v>1148</v>
      </c>
      <c r="B231" t="s">
        <v>5</v>
      </c>
      <c r="C231">
        <v>0</v>
      </c>
      <c r="D231">
        <v>3</v>
      </c>
      <c r="E231">
        <v>0</v>
      </c>
      <c r="F231">
        <v>0</v>
      </c>
      <c r="G231">
        <v>7</v>
      </c>
      <c r="H231" t="s">
        <v>2275</v>
      </c>
      <c r="I231" t="s">
        <v>2283</v>
      </c>
      <c r="J231" t="s">
        <v>2284</v>
      </c>
      <c r="L231">
        <v>4</v>
      </c>
      <c r="M231">
        <v>4</v>
      </c>
      <c r="N231" t="s">
        <v>2285</v>
      </c>
      <c r="O231" t="s">
        <v>2286</v>
      </c>
      <c r="P231" t="s">
        <v>2276</v>
      </c>
      <c r="Q231" t="s">
        <v>2287</v>
      </c>
      <c r="S231" t="s">
        <v>147</v>
      </c>
    </row>
    <row r="232" spans="1:19" x14ac:dyDescent="0.3">
      <c r="A232" t="s">
        <v>1155</v>
      </c>
      <c r="B232" t="s">
        <v>5</v>
      </c>
      <c r="C232">
        <v>0</v>
      </c>
      <c r="D232">
        <v>3</v>
      </c>
      <c r="E232">
        <v>0</v>
      </c>
      <c r="F232">
        <v>0</v>
      </c>
      <c r="G232">
        <v>7</v>
      </c>
      <c r="H232" t="s">
        <v>2275</v>
      </c>
      <c r="I232" t="s">
        <v>2283</v>
      </c>
      <c r="J232" t="s">
        <v>2284</v>
      </c>
      <c r="L232">
        <v>4</v>
      </c>
      <c r="M232">
        <v>4</v>
      </c>
      <c r="N232" t="s">
        <v>2285</v>
      </c>
      <c r="O232" t="s">
        <v>2286</v>
      </c>
      <c r="P232" t="s">
        <v>2276</v>
      </c>
      <c r="Q232" t="s">
        <v>2287</v>
      </c>
      <c r="S232" t="s">
        <v>147</v>
      </c>
    </row>
    <row r="233" spans="1:19" x14ac:dyDescent="0.3">
      <c r="A233" t="s">
        <v>1162</v>
      </c>
      <c r="B233" t="s">
        <v>5</v>
      </c>
      <c r="C233">
        <v>0</v>
      </c>
      <c r="D233">
        <v>3</v>
      </c>
      <c r="E233">
        <v>0</v>
      </c>
      <c r="F233">
        <v>0</v>
      </c>
      <c r="G233">
        <v>7</v>
      </c>
      <c r="H233" t="s">
        <v>2275</v>
      </c>
      <c r="I233" t="s">
        <v>2283</v>
      </c>
      <c r="J233" t="s">
        <v>2284</v>
      </c>
      <c r="L233">
        <v>4</v>
      </c>
      <c r="M233">
        <v>4</v>
      </c>
      <c r="N233" t="s">
        <v>2285</v>
      </c>
      <c r="O233" t="s">
        <v>2286</v>
      </c>
      <c r="P233" t="s">
        <v>2276</v>
      </c>
      <c r="Q233" t="s">
        <v>2287</v>
      </c>
      <c r="S233" t="s">
        <v>147</v>
      </c>
    </row>
    <row r="234" spans="1:19" x14ac:dyDescent="0.3">
      <c r="A234" t="s">
        <v>1168</v>
      </c>
      <c r="B234" t="s">
        <v>5</v>
      </c>
      <c r="C234">
        <v>0</v>
      </c>
      <c r="D234">
        <v>3</v>
      </c>
      <c r="E234">
        <v>0</v>
      </c>
      <c r="F234">
        <v>0</v>
      </c>
      <c r="G234">
        <v>7</v>
      </c>
      <c r="H234" t="s">
        <v>2275</v>
      </c>
      <c r="I234" t="s">
        <v>2283</v>
      </c>
      <c r="J234" t="s">
        <v>2284</v>
      </c>
      <c r="L234">
        <v>4</v>
      </c>
      <c r="M234">
        <v>4</v>
      </c>
      <c r="N234" t="s">
        <v>2285</v>
      </c>
      <c r="O234" t="s">
        <v>2286</v>
      </c>
      <c r="P234" t="s">
        <v>2276</v>
      </c>
      <c r="Q234" t="s">
        <v>2287</v>
      </c>
      <c r="S234" t="s">
        <v>147</v>
      </c>
    </row>
    <row r="235" spans="1:19" x14ac:dyDescent="0.3">
      <c r="A235" t="s">
        <v>1175</v>
      </c>
      <c r="B235" t="s">
        <v>5</v>
      </c>
      <c r="C235">
        <v>0</v>
      </c>
      <c r="D235">
        <v>3</v>
      </c>
      <c r="E235">
        <v>0</v>
      </c>
      <c r="F235">
        <v>0</v>
      </c>
      <c r="G235">
        <v>7</v>
      </c>
      <c r="H235" t="s">
        <v>2275</v>
      </c>
      <c r="I235" t="s">
        <v>2283</v>
      </c>
      <c r="J235" t="s">
        <v>2284</v>
      </c>
      <c r="L235">
        <v>4</v>
      </c>
      <c r="M235">
        <v>4</v>
      </c>
      <c r="N235" t="s">
        <v>2285</v>
      </c>
      <c r="O235" t="s">
        <v>2286</v>
      </c>
      <c r="P235" t="s">
        <v>2276</v>
      </c>
      <c r="Q235" t="s">
        <v>2287</v>
      </c>
      <c r="S235" t="s">
        <v>147</v>
      </c>
    </row>
    <row r="236" spans="1:19" x14ac:dyDescent="0.3">
      <c r="A236" t="s">
        <v>1183</v>
      </c>
      <c r="B236" t="s">
        <v>5</v>
      </c>
      <c r="C236">
        <v>0</v>
      </c>
      <c r="D236">
        <v>3</v>
      </c>
      <c r="E236">
        <v>0</v>
      </c>
      <c r="F236">
        <v>0</v>
      </c>
      <c r="G236">
        <v>8</v>
      </c>
      <c r="H236" t="s">
        <v>2275</v>
      </c>
      <c r="I236" t="s">
        <v>2283</v>
      </c>
      <c r="J236" t="s">
        <v>2284</v>
      </c>
      <c r="L236">
        <v>4</v>
      </c>
      <c r="M236">
        <v>4</v>
      </c>
      <c r="N236" t="s">
        <v>2285</v>
      </c>
      <c r="O236" t="s">
        <v>2286</v>
      </c>
      <c r="P236" t="s">
        <v>2276</v>
      </c>
      <c r="Q236" t="s">
        <v>2287</v>
      </c>
      <c r="S236" t="s">
        <v>147</v>
      </c>
    </row>
    <row r="237" spans="1:19" x14ac:dyDescent="0.3">
      <c r="A237" t="s">
        <v>1191</v>
      </c>
      <c r="B237" t="s">
        <v>5</v>
      </c>
      <c r="C237">
        <v>0</v>
      </c>
      <c r="D237">
        <v>4</v>
      </c>
      <c r="E237">
        <v>0</v>
      </c>
      <c r="F237">
        <v>0</v>
      </c>
      <c r="G237">
        <v>32</v>
      </c>
      <c r="H237" t="s">
        <v>2275</v>
      </c>
      <c r="I237" t="s">
        <v>2283</v>
      </c>
      <c r="J237" t="s">
        <v>2284</v>
      </c>
      <c r="K237" t="s">
        <v>2288</v>
      </c>
      <c r="L237">
        <v>13</v>
      </c>
      <c r="M237">
        <v>5</v>
      </c>
      <c r="N237" t="s">
        <v>2285</v>
      </c>
      <c r="O237" t="s">
        <v>2286</v>
      </c>
      <c r="P237" t="s">
        <v>2276</v>
      </c>
      <c r="Q237" t="s">
        <v>2287</v>
      </c>
      <c r="R237" t="s">
        <v>2289</v>
      </c>
      <c r="S237" t="s">
        <v>147</v>
      </c>
    </row>
    <row r="238" spans="1:19" x14ac:dyDescent="0.3">
      <c r="A238" t="s">
        <v>1198</v>
      </c>
      <c r="B238" t="s">
        <v>5</v>
      </c>
      <c r="C238">
        <v>0</v>
      </c>
      <c r="D238">
        <v>3</v>
      </c>
      <c r="E238">
        <v>0</v>
      </c>
      <c r="F238">
        <v>0</v>
      </c>
      <c r="G238">
        <v>8</v>
      </c>
      <c r="H238" t="s">
        <v>2275</v>
      </c>
      <c r="I238" t="s">
        <v>2283</v>
      </c>
      <c r="J238" t="s">
        <v>2284</v>
      </c>
      <c r="L238">
        <v>4</v>
      </c>
      <c r="M238">
        <v>4</v>
      </c>
      <c r="N238" t="s">
        <v>2285</v>
      </c>
      <c r="O238" t="s">
        <v>2286</v>
      </c>
      <c r="P238" t="s">
        <v>2276</v>
      </c>
      <c r="Q238" t="s">
        <v>2287</v>
      </c>
      <c r="S238" t="s">
        <v>147</v>
      </c>
    </row>
    <row r="239" spans="1:19" x14ac:dyDescent="0.3">
      <c r="A239" t="s">
        <v>1205</v>
      </c>
      <c r="B239" t="s">
        <v>5</v>
      </c>
      <c r="C239">
        <v>0</v>
      </c>
      <c r="D239">
        <v>3</v>
      </c>
      <c r="E239">
        <v>0</v>
      </c>
      <c r="F239">
        <v>0</v>
      </c>
      <c r="G239">
        <v>7</v>
      </c>
      <c r="H239" t="s">
        <v>2275</v>
      </c>
      <c r="I239" t="s">
        <v>2283</v>
      </c>
      <c r="J239" t="s">
        <v>2284</v>
      </c>
      <c r="L239">
        <v>4</v>
      </c>
      <c r="M239">
        <v>4</v>
      </c>
      <c r="N239" t="s">
        <v>2285</v>
      </c>
      <c r="O239" t="s">
        <v>2286</v>
      </c>
      <c r="P239" t="s">
        <v>2276</v>
      </c>
      <c r="Q239" t="s">
        <v>2287</v>
      </c>
      <c r="S239" t="s">
        <v>147</v>
      </c>
    </row>
    <row r="240" spans="1:19" x14ac:dyDescent="0.3">
      <c r="A240" t="s">
        <v>1213</v>
      </c>
      <c r="B240" t="s">
        <v>5</v>
      </c>
      <c r="C240">
        <v>0</v>
      </c>
      <c r="D240">
        <v>3</v>
      </c>
      <c r="E240">
        <v>0</v>
      </c>
      <c r="F240">
        <v>0</v>
      </c>
      <c r="G240">
        <v>7</v>
      </c>
      <c r="H240" t="s">
        <v>2275</v>
      </c>
      <c r="I240" t="s">
        <v>2283</v>
      </c>
      <c r="J240" t="s">
        <v>2284</v>
      </c>
      <c r="L240">
        <v>4</v>
      </c>
      <c r="M240">
        <v>4</v>
      </c>
      <c r="N240" t="s">
        <v>2285</v>
      </c>
      <c r="O240" t="s">
        <v>2286</v>
      </c>
      <c r="P240" t="s">
        <v>2276</v>
      </c>
      <c r="Q240" t="s">
        <v>2287</v>
      </c>
      <c r="S240" t="s">
        <v>147</v>
      </c>
    </row>
    <row r="241" spans="1:19" x14ac:dyDescent="0.3">
      <c r="A241" t="s">
        <v>1220</v>
      </c>
      <c r="B241" t="s">
        <v>5</v>
      </c>
      <c r="C241">
        <v>0</v>
      </c>
      <c r="D241">
        <v>3</v>
      </c>
      <c r="E241">
        <v>0</v>
      </c>
      <c r="F241">
        <v>0</v>
      </c>
      <c r="G241">
        <v>8</v>
      </c>
      <c r="H241" t="s">
        <v>2275</v>
      </c>
      <c r="I241" t="s">
        <v>2283</v>
      </c>
      <c r="J241" t="s">
        <v>2284</v>
      </c>
      <c r="L241">
        <v>4</v>
      </c>
      <c r="M241">
        <v>4</v>
      </c>
      <c r="N241" t="s">
        <v>2285</v>
      </c>
      <c r="O241" t="s">
        <v>2286</v>
      </c>
      <c r="P241" t="s">
        <v>2276</v>
      </c>
      <c r="Q241" t="s">
        <v>2287</v>
      </c>
      <c r="S241" t="s">
        <v>147</v>
      </c>
    </row>
    <row r="242" spans="1:19" x14ac:dyDescent="0.3">
      <c r="A242" t="s">
        <v>1227</v>
      </c>
      <c r="B242" t="s">
        <v>5</v>
      </c>
      <c r="C242">
        <v>0</v>
      </c>
      <c r="D242">
        <v>3</v>
      </c>
      <c r="E242">
        <v>0</v>
      </c>
      <c r="F242">
        <v>0</v>
      </c>
      <c r="G242">
        <v>8</v>
      </c>
      <c r="H242" t="s">
        <v>2275</v>
      </c>
      <c r="I242" t="s">
        <v>2283</v>
      </c>
      <c r="J242" t="s">
        <v>2284</v>
      </c>
      <c r="L242">
        <v>4</v>
      </c>
      <c r="M242">
        <v>4</v>
      </c>
      <c r="N242" t="s">
        <v>2285</v>
      </c>
      <c r="O242" t="s">
        <v>2286</v>
      </c>
      <c r="P242" t="s">
        <v>2276</v>
      </c>
      <c r="Q242" t="s">
        <v>2287</v>
      </c>
      <c r="S242" t="s">
        <v>147</v>
      </c>
    </row>
    <row r="243" spans="1:19" x14ac:dyDescent="0.3">
      <c r="A243" t="s">
        <v>1235</v>
      </c>
      <c r="B243" t="s">
        <v>5</v>
      </c>
      <c r="C243">
        <v>0</v>
      </c>
      <c r="D243">
        <v>3</v>
      </c>
      <c r="E243">
        <v>0</v>
      </c>
      <c r="F243">
        <v>0</v>
      </c>
      <c r="G243">
        <v>7</v>
      </c>
      <c r="H243" t="s">
        <v>2275</v>
      </c>
      <c r="I243" t="s">
        <v>2283</v>
      </c>
      <c r="J243" t="s">
        <v>2284</v>
      </c>
      <c r="L243">
        <v>4</v>
      </c>
      <c r="M243">
        <v>4</v>
      </c>
      <c r="N243" t="s">
        <v>2285</v>
      </c>
      <c r="O243" t="s">
        <v>2286</v>
      </c>
      <c r="P243" t="s">
        <v>2276</v>
      </c>
      <c r="Q243" t="s">
        <v>2287</v>
      </c>
      <c r="S243" t="s">
        <v>147</v>
      </c>
    </row>
    <row r="244" spans="1:19" x14ac:dyDescent="0.3">
      <c r="A244" t="s">
        <v>1243</v>
      </c>
      <c r="B244" t="s">
        <v>5</v>
      </c>
      <c r="C244">
        <v>0</v>
      </c>
      <c r="D244">
        <v>4</v>
      </c>
      <c r="E244">
        <v>0</v>
      </c>
      <c r="F244">
        <v>0</v>
      </c>
      <c r="G244">
        <v>50</v>
      </c>
      <c r="H244" t="s">
        <v>2275</v>
      </c>
      <c r="I244" t="s">
        <v>2283</v>
      </c>
      <c r="J244" t="s">
        <v>2284</v>
      </c>
      <c r="K244" t="s">
        <v>2288</v>
      </c>
      <c r="L244">
        <v>19</v>
      </c>
      <c r="M244">
        <v>5</v>
      </c>
      <c r="N244" t="s">
        <v>2285</v>
      </c>
      <c r="O244" t="s">
        <v>2286</v>
      </c>
      <c r="P244" t="s">
        <v>2276</v>
      </c>
      <c r="Q244" t="s">
        <v>2287</v>
      </c>
      <c r="R244" t="s">
        <v>2289</v>
      </c>
      <c r="S244" t="s">
        <v>147</v>
      </c>
    </row>
    <row r="245" spans="1:19" x14ac:dyDescent="0.3">
      <c r="A245" t="s">
        <v>1251</v>
      </c>
      <c r="B245" t="s">
        <v>5</v>
      </c>
      <c r="C245">
        <v>0</v>
      </c>
      <c r="D245">
        <v>4</v>
      </c>
      <c r="E245">
        <v>0</v>
      </c>
      <c r="F245">
        <v>0</v>
      </c>
      <c r="G245">
        <v>32</v>
      </c>
      <c r="H245" t="s">
        <v>2275</v>
      </c>
      <c r="I245" t="s">
        <v>2283</v>
      </c>
      <c r="J245" t="s">
        <v>2284</v>
      </c>
      <c r="K245" t="s">
        <v>2288</v>
      </c>
      <c r="L245">
        <v>13</v>
      </c>
      <c r="M245">
        <v>5</v>
      </c>
      <c r="N245" t="s">
        <v>2285</v>
      </c>
      <c r="O245" t="s">
        <v>2286</v>
      </c>
      <c r="P245" t="s">
        <v>2276</v>
      </c>
      <c r="Q245" t="s">
        <v>2287</v>
      </c>
      <c r="R245" t="s">
        <v>2289</v>
      </c>
      <c r="S245" t="s">
        <v>147</v>
      </c>
    </row>
    <row r="246" spans="1:19" x14ac:dyDescent="0.3">
      <c r="A246" t="s">
        <v>1258</v>
      </c>
      <c r="B246" t="s">
        <v>5</v>
      </c>
      <c r="C246">
        <v>0</v>
      </c>
      <c r="D246">
        <v>3</v>
      </c>
      <c r="E246">
        <v>0</v>
      </c>
      <c r="F246">
        <v>0</v>
      </c>
      <c r="G246">
        <v>7</v>
      </c>
      <c r="H246" t="s">
        <v>2275</v>
      </c>
      <c r="I246" t="s">
        <v>2283</v>
      </c>
      <c r="J246" t="s">
        <v>2284</v>
      </c>
      <c r="L246">
        <v>4</v>
      </c>
      <c r="M246">
        <v>4</v>
      </c>
      <c r="N246" t="s">
        <v>2285</v>
      </c>
      <c r="O246" t="s">
        <v>2286</v>
      </c>
      <c r="P246" t="s">
        <v>2276</v>
      </c>
      <c r="Q246" t="s">
        <v>2287</v>
      </c>
      <c r="S246" t="s">
        <v>147</v>
      </c>
    </row>
    <row r="247" spans="1:19" x14ac:dyDescent="0.3">
      <c r="A247" t="s">
        <v>1265</v>
      </c>
      <c r="B247" t="s">
        <v>5</v>
      </c>
      <c r="C247">
        <v>0</v>
      </c>
      <c r="D247">
        <v>3</v>
      </c>
      <c r="E247">
        <v>0</v>
      </c>
      <c r="F247">
        <v>0</v>
      </c>
      <c r="G247">
        <v>7</v>
      </c>
      <c r="H247" t="s">
        <v>2275</v>
      </c>
      <c r="I247" t="s">
        <v>2283</v>
      </c>
      <c r="J247" t="s">
        <v>2284</v>
      </c>
      <c r="L247">
        <v>4</v>
      </c>
      <c r="M247">
        <v>4</v>
      </c>
      <c r="N247" t="s">
        <v>2285</v>
      </c>
      <c r="O247" t="s">
        <v>2286</v>
      </c>
      <c r="P247" t="s">
        <v>2276</v>
      </c>
      <c r="Q247" t="s">
        <v>2287</v>
      </c>
      <c r="S247" t="s">
        <v>147</v>
      </c>
    </row>
    <row r="248" spans="1:19" x14ac:dyDescent="0.3">
      <c r="A248" t="s">
        <v>1272</v>
      </c>
      <c r="B248" t="s">
        <v>5</v>
      </c>
      <c r="C248">
        <v>0</v>
      </c>
      <c r="D248">
        <v>3</v>
      </c>
      <c r="E248">
        <v>0</v>
      </c>
      <c r="F248">
        <v>0</v>
      </c>
      <c r="G248">
        <v>7</v>
      </c>
      <c r="H248" t="s">
        <v>2275</v>
      </c>
      <c r="I248" t="s">
        <v>2283</v>
      </c>
      <c r="J248" t="s">
        <v>2284</v>
      </c>
      <c r="L248">
        <v>4</v>
      </c>
      <c r="M248">
        <v>4</v>
      </c>
      <c r="N248" t="s">
        <v>2285</v>
      </c>
      <c r="O248" t="s">
        <v>2286</v>
      </c>
      <c r="P248" t="s">
        <v>2276</v>
      </c>
      <c r="Q248" t="s">
        <v>2287</v>
      </c>
      <c r="S248" t="s">
        <v>147</v>
      </c>
    </row>
    <row r="249" spans="1:19" x14ac:dyDescent="0.3">
      <c r="A249" t="s">
        <v>1279</v>
      </c>
      <c r="B249" t="s">
        <v>5</v>
      </c>
      <c r="C249">
        <v>0</v>
      </c>
      <c r="D249">
        <v>4</v>
      </c>
      <c r="E249">
        <v>0</v>
      </c>
      <c r="F249">
        <v>0</v>
      </c>
      <c r="G249">
        <v>44</v>
      </c>
      <c r="H249" t="s">
        <v>2275</v>
      </c>
      <c r="I249" t="s">
        <v>2283</v>
      </c>
      <c r="J249" t="s">
        <v>2284</v>
      </c>
      <c r="K249" t="s">
        <v>2288</v>
      </c>
      <c r="L249">
        <v>17</v>
      </c>
      <c r="M249">
        <v>5</v>
      </c>
      <c r="N249" t="s">
        <v>2285</v>
      </c>
      <c r="O249" t="s">
        <v>2286</v>
      </c>
      <c r="P249" t="s">
        <v>2276</v>
      </c>
      <c r="Q249" t="s">
        <v>2287</v>
      </c>
      <c r="R249" t="s">
        <v>2289</v>
      </c>
      <c r="S249" t="s">
        <v>147</v>
      </c>
    </row>
    <row r="250" spans="1:19" x14ac:dyDescent="0.3">
      <c r="A250" t="s">
        <v>1287</v>
      </c>
      <c r="B250" t="s">
        <v>5</v>
      </c>
      <c r="C250">
        <v>0</v>
      </c>
      <c r="D250">
        <v>3</v>
      </c>
      <c r="E250">
        <v>0</v>
      </c>
      <c r="F250">
        <v>0</v>
      </c>
      <c r="G250">
        <v>7</v>
      </c>
      <c r="H250" t="s">
        <v>2275</v>
      </c>
      <c r="I250" t="s">
        <v>2283</v>
      </c>
      <c r="J250" t="s">
        <v>2284</v>
      </c>
      <c r="L250">
        <v>4</v>
      </c>
      <c r="M250">
        <v>4</v>
      </c>
      <c r="N250" t="s">
        <v>2285</v>
      </c>
      <c r="O250" t="s">
        <v>2286</v>
      </c>
      <c r="P250" t="s">
        <v>2276</v>
      </c>
      <c r="Q250" t="s">
        <v>2287</v>
      </c>
      <c r="S250" t="s">
        <v>147</v>
      </c>
    </row>
    <row r="251" spans="1:19" x14ac:dyDescent="0.3">
      <c r="A251" t="s">
        <v>1293</v>
      </c>
      <c r="B251" t="s">
        <v>5</v>
      </c>
      <c r="C251">
        <v>0</v>
      </c>
      <c r="D251">
        <v>3</v>
      </c>
      <c r="E251">
        <v>0</v>
      </c>
      <c r="F251">
        <v>0</v>
      </c>
      <c r="G251">
        <v>7</v>
      </c>
      <c r="H251" t="s">
        <v>2275</v>
      </c>
      <c r="I251" t="s">
        <v>2283</v>
      </c>
      <c r="J251" t="s">
        <v>2284</v>
      </c>
      <c r="L251">
        <v>4</v>
      </c>
      <c r="M251">
        <v>4</v>
      </c>
      <c r="N251" t="s">
        <v>2285</v>
      </c>
      <c r="O251" t="s">
        <v>2286</v>
      </c>
      <c r="P251" t="s">
        <v>2276</v>
      </c>
      <c r="Q251" t="s">
        <v>2287</v>
      </c>
      <c r="S251" t="s">
        <v>147</v>
      </c>
    </row>
    <row r="252" spans="1:19" x14ac:dyDescent="0.3">
      <c r="A252" t="s">
        <v>1301</v>
      </c>
      <c r="B252" t="s">
        <v>5</v>
      </c>
      <c r="C252">
        <v>0</v>
      </c>
      <c r="D252">
        <v>3</v>
      </c>
      <c r="E252">
        <v>0</v>
      </c>
      <c r="F252">
        <v>0</v>
      </c>
      <c r="G252">
        <v>7</v>
      </c>
      <c r="H252" t="s">
        <v>2275</v>
      </c>
      <c r="I252" t="s">
        <v>2283</v>
      </c>
      <c r="J252" t="s">
        <v>2284</v>
      </c>
      <c r="L252">
        <v>4</v>
      </c>
      <c r="M252">
        <v>4</v>
      </c>
      <c r="N252" t="s">
        <v>2285</v>
      </c>
      <c r="O252" t="s">
        <v>2286</v>
      </c>
      <c r="P252" t="s">
        <v>2276</v>
      </c>
      <c r="Q252" t="s">
        <v>2287</v>
      </c>
      <c r="S252" t="s">
        <v>147</v>
      </c>
    </row>
    <row r="253" spans="1:19" x14ac:dyDescent="0.3">
      <c r="A253" t="s">
        <v>1308</v>
      </c>
      <c r="B253" t="s">
        <v>5</v>
      </c>
      <c r="C253">
        <v>0</v>
      </c>
      <c r="D253">
        <v>3</v>
      </c>
      <c r="E253">
        <v>0</v>
      </c>
      <c r="F253">
        <v>0</v>
      </c>
      <c r="G253">
        <v>7</v>
      </c>
      <c r="H253" t="s">
        <v>2275</v>
      </c>
      <c r="I253" t="s">
        <v>2283</v>
      </c>
      <c r="J253" t="s">
        <v>2284</v>
      </c>
      <c r="L253">
        <v>4</v>
      </c>
      <c r="M253">
        <v>4</v>
      </c>
      <c r="N253" t="s">
        <v>2285</v>
      </c>
      <c r="O253" t="s">
        <v>2286</v>
      </c>
      <c r="P253" t="s">
        <v>2276</v>
      </c>
      <c r="Q253" t="s">
        <v>2287</v>
      </c>
      <c r="S253" t="s">
        <v>147</v>
      </c>
    </row>
    <row r="254" spans="1:19" x14ac:dyDescent="0.3">
      <c r="A254" t="s">
        <v>1316</v>
      </c>
      <c r="B254" t="s">
        <v>5</v>
      </c>
      <c r="C254">
        <v>0</v>
      </c>
      <c r="D254">
        <v>3</v>
      </c>
      <c r="E254">
        <v>0</v>
      </c>
      <c r="F254">
        <v>0</v>
      </c>
      <c r="G254">
        <v>7</v>
      </c>
      <c r="H254" t="s">
        <v>2275</v>
      </c>
      <c r="I254" t="s">
        <v>2283</v>
      </c>
      <c r="J254" t="s">
        <v>2284</v>
      </c>
      <c r="L254">
        <v>4</v>
      </c>
      <c r="M254">
        <v>4</v>
      </c>
      <c r="N254" t="s">
        <v>2285</v>
      </c>
      <c r="O254" t="s">
        <v>2286</v>
      </c>
      <c r="P254" t="s">
        <v>2276</v>
      </c>
      <c r="Q254" t="s">
        <v>2287</v>
      </c>
      <c r="S254" t="s">
        <v>147</v>
      </c>
    </row>
    <row r="255" spans="1:19" x14ac:dyDescent="0.3">
      <c r="A255" t="s">
        <v>1323</v>
      </c>
      <c r="B255" t="s">
        <v>5</v>
      </c>
      <c r="C255">
        <v>0</v>
      </c>
      <c r="D255">
        <v>3</v>
      </c>
      <c r="E255">
        <v>0</v>
      </c>
      <c r="F255">
        <v>0</v>
      </c>
      <c r="G255">
        <v>7</v>
      </c>
      <c r="H255" t="s">
        <v>2275</v>
      </c>
      <c r="I255" t="s">
        <v>2283</v>
      </c>
      <c r="J255" t="s">
        <v>2284</v>
      </c>
      <c r="L255">
        <v>4</v>
      </c>
      <c r="M255">
        <v>4</v>
      </c>
      <c r="N255" t="s">
        <v>2285</v>
      </c>
      <c r="O255" t="s">
        <v>2286</v>
      </c>
      <c r="P255" t="s">
        <v>2276</v>
      </c>
      <c r="Q255" t="s">
        <v>2287</v>
      </c>
      <c r="S255" t="s">
        <v>147</v>
      </c>
    </row>
    <row r="256" spans="1:19" x14ac:dyDescent="0.3">
      <c r="A256" t="s">
        <v>1330</v>
      </c>
      <c r="B256" t="s">
        <v>5</v>
      </c>
      <c r="C256">
        <v>0</v>
      </c>
      <c r="D256">
        <v>3</v>
      </c>
      <c r="E256">
        <v>0</v>
      </c>
      <c r="F256">
        <v>0</v>
      </c>
      <c r="G256">
        <v>7</v>
      </c>
      <c r="H256" t="s">
        <v>2275</v>
      </c>
      <c r="I256" t="s">
        <v>2283</v>
      </c>
      <c r="J256" t="s">
        <v>2284</v>
      </c>
      <c r="L256">
        <v>4</v>
      </c>
      <c r="M256">
        <v>4</v>
      </c>
      <c r="N256" t="s">
        <v>2285</v>
      </c>
      <c r="O256" t="s">
        <v>2286</v>
      </c>
      <c r="P256" t="s">
        <v>2276</v>
      </c>
      <c r="Q256" t="s">
        <v>2287</v>
      </c>
      <c r="S256" t="s">
        <v>147</v>
      </c>
    </row>
    <row r="257" spans="1:19" x14ac:dyDescent="0.3">
      <c r="A257" t="s">
        <v>1337</v>
      </c>
      <c r="B257" t="s">
        <v>5</v>
      </c>
      <c r="C257">
        <v>0</v>
      </c>
      <c r="D257">
        <v>3</v>
      </c>
      <c r="E257">
        <v>0</v>
      </c>
      <c r="F257">
        <v>0</v>
      </c>
      <c r="G257">
        <v>7</v>
      </c>
      <c r="H257" t="s">
        <v>2275</v>
      </c>
      <c r="I257" t="s">
        <v>2283</v>
      </c>
      <c r="J257" t="s">
        <v>2284</v>
      </c>
      <c r="L257">
        <v>4</v>
      </c>
      <c r="M257">
        <v>4</v>
      </c>
      <c r="N257" t="s">
        <v>2285</v>
      </c>
      <c r="O257" t="s">
        <v>2286</v>
      </c>
      <c r="P257" t="s">
        <v>2276</v>
      </c>
      <c r="Q257" t="s">
        <v>2287</v>
      </c>
      <c r="S257" t="s">
        <v>147</v>
      </c>
    </row>
    <row r="258" spans="1:19" x14ac:dyDescent="0.3">
      <c r="A258" t="s">
        <v>1345</v>
      </c>
      <c r="B258" t="s">
        <v>5</v>
      </c>
      <c r="C258">
        <v>0</v>
      </c>
      <c r="D258">
        <v>3</v>
      </c>
      <c r="E258">
        <v>0</v>
      </c>
      <c r="F258">
        <v>0</v>
      </c>
      <c r="G258">
        <v>7</v>
      </c>
      <c r="H258" t="s">
        <v>2275</v>
      </c>
      <c r="I258" t="s">
        <v>2283</v>
      </c>
      <c r="J258" t="s">
        <v>2284</v>
      </c>
      <c r="L258">
        <v>4</v>
      </c>
      <c r="M258">
        <v>4</v>
      </c>
      <c r="N258" t="s">
        <v>2285</v>
      </c>
      <c r="O258" t="s">
        <v>2286</v>
      </c>
      <c r="P258" t="s">
        <v>2276</v>
      </c>
      <c r="Q258" t="s">
        <v>2287</v>
      </c>
      <c r="S258" t="s">
        <v>147</v>
      </c>
    </row>
    <row r="259" spans="1:19" x14ac:dyDescent="0.3">
      <c r="A259" t="s">
        <v>1352</v>
      </c>
      <c r="B259" t="s">
        <v>5</v>
      </c>
      <c r="C259">
        <v>0</v>
      </c>
      <c r="D259">
        <v>3</v>
      </c>
      <c r="E259">
        <v>0</v>
      </c>
      <c r="F259">
        <v>0</v>
      </c>
      <c r="G259">
        <v>8</v>
      </c>
      <c r="H259" t="s">
        <v>2275</v>
      </c>
      <c r="I259" t="s">
        <v>2283</v>
      </c>
      <c r="J259" t="s">
        <v>2284</v>
      </c>
      <c r="L259">
        <v>4</v>
      </c>
      <c r="M259">
        <v>4</v>
      </c>
      <c r="N259" t="s">
        <v>2285</v>
      </c>
      <c r="O259" t="s">
        <v>2286</v>
      </c>
      <c r="P259" t="s">
        <v>2276</v>
      </c>
      <c r="Q259" t="s">
        <v>2287</v>
      </c>
      <c r="S259" t="s">
        <v>147</v>
      </c>
    </row>
    <row r="260" spans="1:19" x14ac:dyDescent="0.3">
      <c r="A260" t="s">
        <v>1359</v>
      </c>
      <c r="B260" t="s">
        <v>5</v>
      </c>
      <c r="C260">
        <v>0</v>
      </c>
      <c r="D260">
        <v>3</v>
      </c>
      <c r="E260">
        <v>0</v>
      </c>
      <c r="F260">
        <v>0</v>
      </c>
      <c r="G260">
        <v>8</v>
      </c>
      <c r="H260" t="s">
        <v>2275</v>
      </c>
      <c r="I260" t="s">
        <v>2283</v>
      </c>
      <c r="J260" t="s">
        <v>2284</v>
      </c>
      <c r="L260">
        <v>4</v>
      </c>
      <c r="M260">
        <v>4</v>
      </c>
      <c r="N260" t="s">
        <v>2285</v>
      </c>
      <c r="O260" t="s">
        <v>2286</v>
      </c>
      <c r="P260" t="s">
        <v>2276</v>
      </c>
      <c r="Q260" t="s">
        <v>2287</v>
      </c>
      <c r="S260" t="s">
        <v>147</v>
      </c>
    </row>
    <row r="261" spans="1:19" x14ac:dyDescent="0.3">
      <c r="A261" t="s">
        <v>1367</v>
      </c>
      <c r="B261" t="s">
        <v>5</v>
      </c>
      <c r="C261">
        <v>0</v>
      </c>
      <c r="D261">
        <v>3</v>
      </c>
      <c r="E261">
        <v>0</v>
      </c>
      <c r="F261">
        <v>0</v>
      </c>
      <c r="G261">
        <v>8</v>
      </c>
      <c r="H261" t="s">
        <v>2275</v>
      </c>
      <c r="I261" t="s">
        <v>2283</v>
      </c>
      <c r="J261" t="s">
        <v>2284</v>
      </c>
      <c r="L261">
        <v>4</v>
      </c>
      <c r="M261">
        <v>4</v>
      </c>
      <c r="N261" t="s">
        <v>2285</v>
      </c>
      <c r="O261" t="s">
        <v>2286</v>
      </c>
      <c r="P261" t="s">
        <v>2276</v>
      </c>
      <c r="Q261" t="s">
        <v>2287</v>
      </c>
      <c r="S261" t="s">
        <v>147</v>
      </c>
    </row>
    <row r="262" spans="1:19" x14ac:dyDescent="0.3">
      <c r="A262" t="s">
        <v>1375</v>
      </c>
      <c r="B262" t="s">
        <v>5</v>
      </c>
      <c r="C262">
        <v>0</v>
      </c>
      <c r="D262">
        <v>4</v>
      </c>
      <c r="E262">
        <v>0</v>
      </c>
      <c r="F262">
        <v>0</v>
      </c>
      <c r="G262">
        <v>32</v>
      </c>
      <c r="H262" t="s">
        <v>2275</v>
      </c>
      <c r="I262" t="s">
        <v>2283</v>
      </c>
      <c r="J262" t="s">
        <v>2284</v>
      </c>
      <c r="K262" t="s">
        <v>2288</v>
      </c>
      <c r="L262">
        <v>13</v>
      </c>
      <c r="M262">
        <v>5</v>
      </c>
      <c r="N262" t="s">
        <v>2285</v>
      </c>
      <c r="O262" t="s">
        <v>2286</v>
      </c>
      <c r="P262" t="s">
        <v>2276</v>
      </c>
      <c r="Q262" t="s">
        <v>2287</v>
      </c>
      <c r="R262" t="s">
        <v>2289</v>
      </c>
      <c r="S262" t="s">
        <v>147</v>
      </c>
    </row>
    <row r="263" spans="1:19" x14ac:dyDescent="0.3">
      <c r="A263" t="s">
        <v>1382</v>
      </c>
      <c r="B263" t="s">
        <v>5</v>
      </c>
      <c r="C263">
        <v>0</v>
      </c>
      <c r="D263">
        <v>3</v>
      </c>
      <c r="E263">
        <v>0</v>
      </c>
      <c r="F263">
        <v>0</v>
      </c>
      <c r="G263">
        <v>7</v>
      </c>
      <c r="H263" t="s">
        <v>2275</v>
      </c>
      <c r="I263" t="s">
        <v>2283</v>
      </c>
      <c r="J263" t="s">
        <v>2284</v>
      </c>
      <c r="L263">
        <v>4</v>
      </c>
      <c r="M263">
        <v>4</v>
      </c>
      <c r="N263" t="s">
        <v>2285</v>
      </c>
      <c r="O263" t="s">
        <v>2286</v>
      </c>
      <c r="P263" t="s">
        <v>2276</v>
      </c>
      <c r="Q263" t="s">
        <v>2287</v>
      </c>
      <c r="S263" t="s">
        <v>147</v>
      </c>
    </row>
    <row r="264" spans="1:19" x14ac:dyDescent="0.3">
      <c r="A264" t="s">
        <v>1389</v>
      </c>
      <c r="B264" t="s">
        <v>5</v>
      </c>
      <c r="C264">
        <v>0</v>
      </c>
      <c r="D264">
        <v>4</v>
      </c>
      <c r="E264">
        <v>0</v>
      </c>
      <c r="F264">
        <v>0</v>
      </c>
      <c r="G264">
        <v>26</v>
      </c>
      <c r="H264" t="s">
        <v>2275</v>
      </c>
      <c r="I264" t="s">
        <v>2283</v>
      </c>
      <c r="J264" t="s">
        <v>2284</v>
      </c>
      <c r="K264" t="s">
        <v>2288</v>
      </c>
      <c r="L264">
        <v>11</v>
      </c>
      <c r="M264">
        <v>5</v>
      </c>
      <c r="N264" t="s">
        <v>2285</v>
      </c>
      <c r="O264" t="s">
        <v>2286</v>
      </c>
      <c r="P264" t="s">
        <v>2276</v>
      </c>
      <c r="Q264" t="s">
        <v>2287</v>
      </c>
      <c r="R264" t="s">
        <v>2289</v>
      </c>
      <c r="S264" t="s">
        <v>147</v>
      </c>
    </row>
    <row r="265" spans="1:19" x14ac:dyDescent="0.3">
      <c r="A265" t="s">
        <v>1396</v>
      </c>
      <c r="B265" t="s">
        <v>5</v>
      </c>
      <c r="C265">
        <v>0</v>
      </c>
      <c r="D265">
        <v>3</v>
      </c>
      <c r="E265">
        <v>0</v>
      </c>
      <c r="F265">
        <v>0</v>
      </c>
      <c r="G265">
        <v>8</v>
      </c>
      <c r="H265" t="s">
        <v>2275</v>
      </c>
      <c r="I265" t="s">
        <v>2283</v>
      </c>
      <c r="J265" t="s">
        <v>2284</v>
      </c>
      <c r="L265">
        <v>4</v>
      </c>
      <c r="M265">
        <v>4</v>
      </c>
      <c r="N265" t="s">
        <v>2285</v>
      </c>
      <c r="O265" t="s">
        <v>2286</v>
      </c>
      <c r="P265" t="s">
        <v>2276</v>
      </c>
      <c r="Q265" t="s">
        <v>2287</v>
      </c>
      <c r="S265" t="s">
        <v>147</v>
      </c>
    </row>
    <row r="266" spans="1:19" x14ac:dyDescent="0.3">
      <c r="A266" t="s">
        <v>1404</v>
      </c>
      <c r="B266" t="s">
        <v>5</v>
      </c>
      <c r="C266">
        <v>0</v>
      </c>
      <c r="D266">
        <v>3</v>
      </c>
      <c r="E266">
        <v>0</v>
      </c>
      <c r="F266">
        <v>0</v>
      </c>
      <c r="G266">
        <v>8</v>
      </c>
      <c r="H266" t="s">
        <v>2275</v>
      </c>
      <c r="I266" t="s">
        <v>2283</v>
      </c>
      <c r="J266" t="s">
        <v>2284</v>
      </c>
      <c r="L266">
        <v>4</v>
      </c>
      <c r="M266">
        <v>4</v>
      </c>
      <c r="N266" t="s">
        <v>2285</v>
      </c>
      <c r="O266" t="s">
        <v>2286</v>
      </c>
      <c r="P266" t="s">
        <v>2276</v>
      </c>
      <c r="Q266" t="s">
        <v>2287</v>
      </c>
      <c r="S266" t="s">
        <v>147</v>
      </c>
    </row>
    <row r="267" spans="1:19" x14ac:dyDescent="0.3">
      <c r="A267" t="s">
        <v>1411</v>
      </c>
      <c r="B267" t="s">
        <v>5</v>
      </c>
      <c r="C267">
        <v>0</v>
      </c>
      <c r="D267">
        <v>3</v>
      </c>
      <c r="E267">
        <v>0</v>
      </c>
      <c r="F267">
        <v>0</v>
      </c>
      <c r="G267">
        <v>8</v>
      </c>
      <c r="H267" t="s">
        <v>2275</v>
      </c>
      <c r="I267" t="s">
        <v>2283</v>
      </c>
      <c r="J267" t="s">
        <v>2284</v>
      </c>
      <c r="L267">
        <v>4</v>
      </c>
      <c r="M267">
        <v>4</v>
      </c>
      <c r="N267" t="s">
        <v>2285</v>
      </c>
      <c r="O267" t="s">
        <v>2286</v>
      </c>
      <c r="P267" t="s">
        <v>2276</v>
      </c>
      <c r="Q267" t="s">
        <v>2287</v>
      </c>
      <c r="S267" t="s">
        <v>147</v>
      </c>
    </row>
    <row r="268" spans="1:19" x14ac:dyDescent="0.3">
      <c r="A268" t="s">
        <v>1418</v>
      </c>
      <c r="B268" t="s">
        <v>5</v>
      </c>
      <c r="C268">
        <v>0</v>
      </c>
      <c r="D268">
        <v>4</v>
      </c>
      <c r="E268">
        <v>0</v>
      </c>
      <c r="F268">
        <v>0</v>
      </c>
      <c r="G268">
        <v>14</v>
      </c>
      <c r="H268" t="s">
        <v>2275</v>
      </c>
      <c r="I268" t="s">
        <v>2283</v>
      </c>
      <c r="J268" t="s">
        <v>2284</v>
      </c>
      <c r="K268" t="s">
        <v>2288</v>
      </c>
      <c r="L268">
        <v>7</v>
      </c>
      <c r="M268">
        <v>5</v>
      </c>
      <c r="N268" t="s">
        <v>2285</v>
      </c>
      <c r="O268" t="s">
        <v>2286</v>
      </c>
      <c r="P268" t="s">
        <v>2276</v>
      </c>
      <c r="Q268" t="s">
        <v>2287</v>
      </c>
      <c r="R268" t="s">
        <v>2289</v>
      </c>
      <c r="S268" t="s">
        <v>147</v>
      </c>
    </row>
    <row r="269" spans="1:19" x14ac:dyDescent="0.3">
      <c r="A269" t="s">
        <v>1426</v>
      </c>
      <c r="B269" t="s">
        <v>5</v>
      </c>
      <c r="C269">
        <v>0</v>
      </c>
      <c r="D269">
        <v>3</v>
      </c>
      <c r="E269">
        <v>0</v>
      </c>
      <c r="F269">
        <v>0</v>
      </c>
      <c r="G269">
        <v>8</v>
      </c>
      <c r="H269" t="s">
        <v>2275</v>
      </c>
      <c r="I269" t="s">
        <v>2283</v>
      </c>
      <c r="J269" t="s">
        <v>2284</v>
      </c>
      <c r="L269">
        <v>4</v>
      </c>
      <c r="M269">
        <v>4</v>
      </c>
      <c r="N269" t="s">
        <v>2285</v>
      </c>
      <c r="O269" t="s">
        <v>2286</v>
      </c>
      <c r="P269" t="s">
        <v>2276</v>
      </c>
      <c r="Q269" t="s">
        <v>2287</v>
      </c>
      <c r="S269" t="s">
        <v>147</v>
      </c>
    </row>
    <row r="270" spans="1:19" x14ac:dyDescent="0.3">
      <c r="A270" t="s">
        <v>1433</v>
      </c>
      <c r="B270" t="s">
        <v>5</v>
      </c>
      <c r="C270">
        <v>0</v>
      </c>
      <c r="D270">
        <v>3</v>
      </c>
      <c r="E270">
        <v>0</v>
      </c>
      <c r="F270">
        <v>0</v>
      </c>
      <c r="G270">
        <v>7</v>
      </c>
      <c r="H270" t="s">
        <v>2275</v>
      </c>
      <c r="I270" t="s">
        <v>2283</v>
      </c>
      <c r="J270" t="s">
        <v>2284</v>
      </c>
      <c r="L270">
        <v>4</v>
      </c>
      <c r="M270">
        <v>4</v>
      </c>
      <c r="N270" t="s">
        <v>2285</v>
      </c>
      <c r="O270" t="s">
        <v>2286</v>
      </c>
      <c r="P270" t="s">
        <v>2276</v>
      </c>
      <c r="Q270" t="s">
        <v>2287</v>
      </c>
      <c r="S270" t="s">
        <v>147</v>
      </c>
    </row>
    <row r="271" spans="1:19" x14ac:dyDescent="0.3">
      <c r="A271" t="s">
        <v>1441</v>
      </c>
      <c r="B271" t="s">
        <v>5</v>
      </c>
      <c r="C271">
        <v>0</v>
      </c>
      <c r="D271">
        <v>3</v>
      </c>
      <c r="E271">
        <v>0</v>
      </c>
      <c r="F271">
        <v>0</v>
      </c>
      <c r="G271">
        <v>8</v>
      </c>
      <c r="H271" t="s">
        <v>2275</v>
      </c>
      <c r="I271" t="s">
        <v>2283</v>
      </c>
      <c r="J271" t="s">
        <v>2284</v>
      </c>
      <c r="L271">
        <v>4</v>
      </c>
      <c r="M271">
        <v>4</v>
      </c>
      <c r="N271" t="s">
        <v>2285</v>
      </c>
      <c r="O271" t="s">
        <v>2286</v>
      </c>
      <c r="P271" t="s">
        <v>2276</v>
      </c>
      <c r="Q271" t="s">
        <v>2287</v>
      </c>
      <c r="S271" t="s">
        <v>147</v>
      </c>
    </row>
    <row r="272" spans="1:19" x14ac:dyDescent="0.3">
      <c r="A272" t="s">
        <v>1448</v>
      </c>
      <c r="B272" t="s">
        <v>5</v>
      </c>
      <c r="C272">
        <v>0</v>
      </c>
      <c r="D272">
        <v>3</v>
      </c>
      <c r="E272">
        <v>0</v>
      </c>
      <c r="F272">
        <v>0</v>
      </c>
      <c r="G272">
        <v>8</v>
      </c>
      <c r="H272" t="s">
        <v>2275</v>
      </c>
      <c r="I272" t="s">
        <v>2283</v>
      </c>
      <c r="J272" t="s">
        <v>2284</v>
      </c>
      <c r="L272">
        <v>4</v>
      </c>
      <c r="M272">
        <v>4</v>
      </c>
      <c r="N272" t="s">
        <v>2285</v>
      </c>
      <c r="O272" t="s">
        <v>2286</v>
      </c>
      <c r="P272" t="s">
        <v>2276</v>
      </c>
      <c r="Q272" t="s">
        <v>2287</v>
      </c>
      <c r="S272" t="s">
        <v>147</v>
      </c>
    </row>
    <row r="273" spans="1:19" x14ac:dyDescent="0.3">
      <c r="A273" t="s">
        <v>1454</v>
      </c>
      <c r="B273" t="s">
        <v>5</v>
      </c>
      <c r="C273">
        <v>0</v>
      </c>
      <c r="D273">
        <v>3</v>
      </c>
      <c r="E273">
        <v>0</v>
      </c>
      <c r="F273">
        <v>0</v>
      </c>
      <c r="G273">
        <v>8</v>
      </c>
      <c r="H273" t="s">
        <v>2275</v>
      </c>
      <c r="I273" t="s">
        <v>2283</v>
      </c>
      <c r="J273" t="s">
        <v>2284</v>
      </c>
      <c r="L273">
        <v>4</v>
      </c>
      <c r="M273">
        <v>4</v>
      </c>
      <c r="N273" t="s">
        <v>2285</v>
      </c>
      <c r="O273" t="s">
        <v>2286</v>
      </c>
      <c r="P273" t="s">
        <v>2276</v>
      </c>
      <c r="Q273" t="s">
        <v>2287</v>
      </c>
      <c r="S273" t="s">
        <v>147</v>
      </c>
    </row>
    <row r="274" spans="1:19" x14ac:dyDescent="0.3">
      <c r="A274" t="s">
        <v>1460</v>
      </c>
      <c r="B274" t="s">
        <v>5</v>
      </c>
      <c r="C274">
        <v>0</v>
      </c>
      <c r="D274">
        <v>3</v>
      </c>
      <c r="E274">
        <v>0</v>
      </c>
      <c r="F274">
        <v>0</v>
      </c>
      <c r="G274">
        <v>8</v>
      </c>
      <c r="H274" t="s">
        <v>2275</v>
      </c>
      <c r="I274" t="s">
        <v>2283</v>
      </c>
      <c r="J274" t="s">
        <v>2284</v>
      </c>
      <c r="L274">
        <v>4</v>
      </c>
      <c r="M274">
        <v>4</v>
      </c>
      <c r="N274" t="s">
        <v>2285</v>
      </c>
      <c r="O274" t="s">
        <v>2286</v>
      </c>
      <c r="P274" t="s">
        <v>2276</v>
      </c>
      <c r="Q274" t="s">
        <v>2287</v>
      </c>
      <c r="S274" t="s">
        <v>147</v>
      </c>
    </row>
    <row r="275" spans="1:19" x14ac:dyDescent="0.3">
      <c r="A275" t="s">
        <v>1466</v>
      </c>
      <c r="B275" t="s">
        <v>5</v>
      </c>
      <c r="C275">
        <v>0</v>
      </c>
      <c r="D275">
        <v>3</v>
      </c>
      <c r="E275">
        <v>0</v>
      </c>
      <c r="F275">
        <v>0</v>
      </c>
      <c r="G275">
        <v>7</v>
      </c>
      <c r="H275" t="s">
        <v>2275</v>
      </c>
      <c r="I275" t="s">
        <v>2283</v>
      </c>
      <c r="J275" t="s">
        <v>2284</v>
      </c>
      <c r="L275">
        <v>4</v>
      </c>
      <c r="M275">
        <v>4</v>
      </c>
      <c r="N275" t="s">
        <v>2285</v>
      </c>
      <c r="O275" t="s">
        <v>2286</v>
      </c>
      <c r="P275" t="s">
        <v>2276</v>
      </c>
      <c r="Q275" t="s">
        <v>2287</v>
      </c>
      <c r="S275" t="s">
        <v>147</v>
      </c>
    </row>
    <row r="276" spans="1:19" x14ac:dyDescent="0.3">
      <c r="A276" t="s">
        <v>1473</v>
      </c>
      <c r="B276" t="s">
        <v>5</v>
      </c>
      <c r="C276">
        <v>0</v>
      </c>
      <c r="D276">
        <v>3</v>
      </c>
      <c r="E276">
        <v>0</v>
      </c>
      <c r="F276">
        <v>0</v>
      </c>
      <c r="G276">
        <v>7</v>
      </c>
      <c r="H276" t="s">
        <v>2275</v>
      </c>
      <c r="I276" t="s">
        <v>2283</v>
      </c>
      <c r="J276" t="s">
        <v>2284</v>
      </c>
      <c r="L276">
        <v>4</v>
      </c>
      <c r="M276">
        <v>4</v>
      </c>
      <c r="N276" t="s">
        <v>2285</v>
      </c>
      <c r="O276" t="s">
        <v>2286</v>
      </c>
      <c r="P276" t="s">
        <v>2276</v>
      </c>
      <c r="Q276" t="s">
        <v>2287</v>
      </c>
      <c r="S276" t="s">
        <v>147</v>
      </c>
    </row>
    <row r="277" spans="1:19" x14ac:dyDescent="0.3">
      <c r="A277" t="s">
        <v>1480</v>
      </c>
      <c r="B277" t="s">
        <v>5</v>
      </c>
      <c r="C277">
        <v>0</v>
      </c>
      <c r="D277">
        <v>3</v>
      </c>
      <c r="E277">
        <v>0</v>
      </c>
      <c r="F277">
        <v>0</v>
      </c>
      <c r="G277">
        <v>7</v>
      </c>
      <c r="H277" t="s">
        <v>2275</v>
      </c>
      <c r="I277" t="s">
        <v>2283</v>
      </c>
      <c r="J277" t="s">
        <v>2284</v>
      </c>
      <c r="L277">
        <v>4</v>
      </c>
      <c r="M277">
        <v>4</v>
      </c>
      <c r="N277" t="s">
        <v>2285</v>
      </c>
      <c r="O277" t="s">
        <v>2286</v>
      </c>
      <c r="P277" t="s">
        <v>2276</v>
      </c>
      <c r="Q277" t="s">
        <v>2287</v>
      </c>
      <c r="S277" t="s">
        <v>147</v>
      </c>
    </row>
    <row r="278" spans="1:19" x14ac:dyDescent="0.3">
      <c r="A278" t="s">
        <v>1487</v>
      </c>
      <c r="B278" t="s">
        <v>5</v>
      </c>
      <c r="C278">
        <v>0</v>
      </c>
      <c r="D278">
        <v>3</v>
      </c>
      <c r="E278">
        <v>0</v>
      </c>
      <c r="F278">
        <v>0</v>
      </c>
      <c r="G278">
        <v>8</v>
      </c>
      <c r="H278" t="s">
        <v>2275</v>
      </c>
      <c r="I278" t="s">
        <v>2283</v>
      </c>
      <c r="J278" t="s">
        <v>2284</v>
      </c>
      <c r="L278">
        <v>4</v>
      </c>
      <c r="M278">
        <v>4</v>
      </c>
      <c r="N278" t="s">
        <v>2285</v>
      </c>
      <c r="O278" t="s">
        <v>2286</v>
      </c>
      <c r="P278" t="s">
        <v>2276</v>
      </c>
      <c r="Q278" t="s">
        <v>2287</v>
      </c>
      <c r="S278" t="s">
        <v>147</v>
      </c>
    </row>
    <row r="279" spans="1:19" x14ac:dyDescent="0.3">
      <c r="A279" t="s">
        <v>1495</v>
      </c>
      <c r="B279" t="s">
        <v>5</v>
      </c>
      <c r="C279">
        <v>0</v>
      </c>
      <c r="D279">
        <v>3</v>
      </c>
      <c r="E279">
        <v>0</v>
      </c>
      <c r="F279">
        <v>0</v>
      </c>
      <c r="G279">
        <v>7</v>
      </c>
      <c r="H279" t="s">
        <v>2275</v>
      </c>
      <c r="I279" t="s">
        <v>2283</v>
      </c>
      <c r="J279" t="s">
        <v>2284</v>
      </c>
      <c r="L279">
        <v>4</v>
      </c>
      <c r="M279">
        <v>4</v>
      </c>
      <c r="N279" t="s">
        <v>2285</v>
      </c>
      <c r="O279" t="s">
        <v>2286</v>
      </c>
      <c r="P279" t="s">
        <v>2276</v>
      </c>
      <c r="Q279" t="s">
        <v>2287</v>
      </c>
      <c r="S279" t="s">
        <v>147</v>
      </c>
    </row>
    <row r="280" spans="1:19" x14ac:dyDescent="0.3">
      <c r="A280" t="s">
        <v>1502</v>
      </c>
      <c r="B280" t="s">
        <v>5</v>
      </c>
      <c r="C280">
        <v>0</v>
      </c>
      <c r="D280">
        <v>3</v>
      </c>
      <c r="E280">
        <v>0</v>
      </c>
      <c r="F280">
        <v>0</v>
      </c>
      <c r="G280">
        <v>8</v>
      </c>
      <c r="H280" t="s">
        <v>2275</v>
      </c>
      <c r="I280" t="s">
        <v>2283</v>
      </c>
      <c r="J280" t="s">
        <v>2284</v>
      </c>
      <c r="L280">
        <v>4</v>
      </c>
      <c r="M280">
        <v>4</v>
      </c>
      <c r="N280" t="s">
        <v>2285</v>
      </c>
      <c r="O280" t="s">
        <v>2286</v>
      </c>
      <c r="P280" t="s">
        <v>2276</v>
      </c>
      <c r="Q280" t="s">
        <v>2287</v>
      </c>
      <c r="S280" t="s">
        <v>147</v>
      </c>
    </row>
    <row r="281" spans="1:19" x14ac:dyDescent="0.3">
      <c r="A281" t="s">
        <v>1509</v>
      </c>
      <c r="B281" t="s">
        <v>5</v>
      </c>
      <c r="C281">
        <v>0</v>
      </c>
      <c r="D281">
        <v>3</v>
      </c>
      <c r="E281">
        <v>0</v>
      </c>
      <c r="F281">
        <v>0</v>
      </c>
      <c r="G281">
        <v>7</v>
      </c>
      <c r="H281" t="s">
        <v>2275</v>
      </c>
      <c r="I281" t="s">
        <v>2283</v>
      </c>
      <c r="J281" t="s">
        <v>2284</v>
      </c>
      <c r="L281">
        <v>4</v>
      </c>
      <c r="M281">
        <v>4</v>
      </c>
      <c r="N281" t="s">
        <v>2285</v>
      </c>
      <c r="O281" t="s">
        <v>2286</v>
      </c>
      <c r="P281" t="s">
        <v>2276</v>
      </c>
      <c r="Q281" t="s">
        <v>2287</v>
      </c>
      <c r="S281" t="s">
        <v>147</v>
      </c>
    </row>
    <row r="282" spans="1:19" x14ac:dyDescent="0.3">
      <c r="A282" t="s">
        <v>1516</v>
      </c>
      <c r="B282" t="s">
        <v>5</v>
      </c>
      <c r="C282">
        <v>0</v>
      </c>
      <c r="D282">
        <v>3</v>
      </c>
      <c r="E282">
        <v>0</v>
      </c>
      <c r="F282">
        <v>0</v>
      </c>
      <c r="G282">
        <v>7</v>
      </c>
      <c r="H282" t="s">
        <v>2275</v>
      </c>
      <c r="I282" t="s">
        <v>2283</v>
      </c>
      <c r="J282" t="s">
        <v>2284</v>
      </c>
      <c r="L282">
        <v>4</v>
      </c>
      <c r="M282">
        <v>4</v>
      </c>
      <c r="N282" t="s">
        <v>2285</v>
      </c>
      <c r="O282" t="s">
        <v>2286</v>
      </c>
      <c r="P282" t="s">
        <v>2276</v>
      </c>
      <c r="Q282" t="s">
        <v>2287</v>
      </c>
      <c r="S282" t="s">
        <v>147</v>
      </c>
    </row>
    <row r="283" spans="1:19" x14ac:dyDescent="0.3">
      <c r="A283" t="s">
        <v>1524</v>
      </c>
      <c r="B283" t="s">
        <v>5</v>
      </c>
      <c r="C283">
        <v>0</v>
      </c>
      <c r="D283">
        <v>3</v>
      </c>
      <c r="E283">
        <v>0</v>
      </c>
      <c r="F283">
        <v>0</v>
      </c>
      <c r="G283">
        <v>7</v>
      </c>
      <c r="H283" t="s">
        <v>2275</v>
      </c>
      <c r="I283" t="s">
        <v>2283</v>
      </c>
      <c r="J283" t="s">
        <v>2284</v>
      </c>
      <c r="L283">
        <v>4</v>
      </c>
      <c r="M283">
        <v>4</v>
      </c>
      <c r="N283" t="s">
        <v>2285</v>
      </c>
      <c r="O283" t="s">
        <v>2286</v>
      </c>
      <c r="P283" t="s">
        <v>2276</v>
      </c>
      <c r="Q283" t="s">
        <v>2287</v>
      </c>
      <c r="S283" t="s">
        <v>147</v>
      </c>
    </row>
    <row r="284" spans="1:19" x14ac:dyDescent="0.3">
      <c r="A284" t="s">
        <v>1531</v>
      </c>
      <c r="B284" t="s">
        <v>5</v>
      </c>
      <c r="C284">
        <v>0</v>
      </c>
      <c r="D284">
        <v>3</v>
      </c>
      <c r="E284">
        <v>0</v>
      </c>
      <c r="F284">
        <v>0</v>
      </c>
      <c r="G284">
        <v>8</v>
      </c>
      <c r="H284" t="s">
        <v>2275</v>
      </c>
      <c r="I284" t="s">
        <v>2283</v>
      </c>
      <c r="J284" t="s">
        <v>2284</v>
      </c>
      <c r="L284">
        <v>4</v>
      </c>
      <c r="M284">
        <v>4</v>
      </c>
      <c r="N284" t="s">
        <v>2285</v>
      </c>
      <c r="O284" t="s">
        <v>2286</v>
      </c>
      <c r="P284" t="s">
        <v>2276</v>
      </c>
      <c r="Q284" t="s">
        <v>2287</v>
      </c>
      <c r="S284" t="s">
        <v>147</v>
      </c>
    </row>
    <row r="285" spans="1:19" x14ac:dyDescent="0.3">
      <c r="A285" t="s">
        <v>1538</v>
      </c>
      <c r="B285" t="s">
        <v>5</v>
      </c>
      <c r="C285">
        <v>0</v>
      </c>
      <c r="D285">
        <v>3</v>
      </c>
      <c r="E285">
        <v>0</v>
      </c>
      <c r="F285">
        <v>0</v>
      </c>
      <c r="G285">
        <v>8</v>
      </c>
      <c r="H285" t="s">
        <v>2275</v>
      </c>
      <c r="I285" t="s">
        <v>2283</v>
      </c>
      <c r="J285" t="s">
        <v>2284</v>
      </c>
      <c r="L285">
        <v>4</v>
      </c>
      <c r="M285">
        <v>4</v>
      </c>
      <c r="N285" t="s">
        <v>2285</v>
      </c>
      <c r="O285" t="s">
        <v>2286</v>
      </c>
      <c r="P285" t="s">
        <v>2276</v>
      </c>
      <c r="Q285" t="s">
        <v>2287</v>
      </c>
      <c r="S285" t="s">
        <v>147</v>
      </c>
    </row>
    <row r="286" spans="1:19" x14ac:dyDescent="0.3">
      <c r="A286" t="s">
        <v>1545</v>
      </c>
      <c r="B286" t="s">
        <v>5</v>
      </c>
      <c r="C286">
        <v>0</v>
      </c>
      <c r="D286">
        <v>3</v>
      </c>
      <c r="E286">
        <v>0</v>
      </c>
      <c r="F286">
        <v>0</v>
      </c>
      <c r="G286">
        <v>8</v>
      </c>
      <c r="H286" t="s">
        <v>2275</v>
      </c>
      <c r="I286" t="s">
        <v>2283</v>
      </c>
      <c r="J286" t="s">
        <v>2284</v>
      </c>
      <c r="L286">
        <v>4</v>
      </c>
      <c r="M286">
        <v>4</v>
      </c>
      <c r="N286" t="s">
        <v>2285</v>
      </c>
      <c r="O286" t="s">
        <v>2286</v>
      </c>
      <c r="P286" t="s">
        <v>2276</v>
      </c>
      <c r="Q286" t="s">
        <v>2287</v>
      </c>
      <c r="S286" t="s">
        <v>147</v>
      </c>
    </row>
    <row r="287" spans="1:19" x14ac:dyDescent="0.3">
      <c r="A287" t="s">
        <v>1552</v>
      </c>
      <c r="B287" t="s">
        <v>5</v>
      </c>
      <c r="C287">
        <v>0</v>
      </c>
      <c r="D287">
        <v>4</v>
      </c>
      <c r="E287">
        <v>0</v>
      </c>
      <c r="F287">
        <v>0</v>
      </c>
      <c r="G287">
        <v>14</v>
      </c>
      <c r="H287" t="s">
        <v>2275</v>
      </c>
      <c r="I287" t="s">
        <v>2283</v>
      </c>
      <c r="J287" t="s">
        <v>2284</v>
      </c>
      <c r="K287" t="s">
        <v>2288</v>
      </c>
      <c r="L287">
        <v>7</v>
      </c>
      <c r="M287">
        <v>5</v>
      </c>
      <c r="N287" t="s">
        <v>2285</v>
      </c>
      <c r="O287" t="s">
        <v>2286</v>
      </c>
      <c r="P287" t="s">
        <v>2276</v>
      </c>
      <c r="Q287" t="s">
        <v>2287</v>
      </c>
      <c r="R287" t="s">
        <v>2289</v>
      </c>
      <c r="S287" t="s">
        <v>147</v>
      </c>
    </row>
    <row r="288" spans="1:19" x14ac:dyDescent="0.3">
      <c r="A288" t="s">
        <v>1559</v>
      </c>
      <c r="B288" t="s">
        <v>5</v>
      </c>
      <c r="C288">
        <v>0</v>
      </c>
      <c r="D288">
        <v>3</v>
      </c>
      <c r="E288">
        <v>0</v>
      </c>
      <c r="F288">
        <v>0</v>
      </c>
      <c r="G288">
        <v>8</v>
      </c>
      <c r="H288" t="s">
        <v>2275</v>
      </c>
      <c r="I288" t="s">
        <v>2283</v>
      </c>
      <c r="J288" t="s">
        <v>2284</v>
      </c>
      <c r="L288">
        <v>4</v>
      </c>
      <c r="M288">
        <v>4</v>
      </c>
      <c r="N288" t="s">
        <v>2285</v>
      </c>
      <c r="O288" t="s">
        <v>2286</v>
      </c>
      <c r="P288" t="s">
        <v>2276</v>
      </c>
      <c r="Q288" t="s">
        <v>2287</v>
      </c>
      <c r="S288" t="s">
        <v>147</v>
      </c>
    </row>
    <row r="289" spans="1:19" x14ac:dyDescent="0.3">
      <c r="A289" t="s">
        <v>1566</v>
      </c>
      <c r="B289" t="s">
        <v>5</v>
      </c>
      <c r="C289">
        <v>0</v>
      </c>
      <c r="D289">
        <v>4</v>
      </c>
      <c r="E289">
        <v>0</v>
      </c>
      <c r="F289">
        <v>0</v>
      </c>
      <c r="G289">
        <v>14</v>
      </c>
      <c r="H289" t="s">
        <v>2275</v>
      </c>
      <c r="I289" t="s">
        <v>2283</v>
      </c>
      <c r="J289" t="s">
        <v>2284</v>
      </c>
      <c r="K289" t="s">
        <v>2288</v>
      </c>
      <c r="L289">
        <v>7</v>
      </c>
      <c r="M289">
        <v>5</v>
      </c>
      <c r="N289" t="s">
        <v>2285</v>
      </c>
      <c r="O289" t="s">
        <v>2286</v>
      </c>
      <c r="P289" t="s">
        <v>2276</v>
      </c>
      <c r="Q289" t="s">
        <v>2287</v>
      </c>
      <c r="R289" t="s">
        <v>2289</v>
      </c>
      <c r="S289" t="s">
        <v>147</v>
      </c>
    </row>
    <row r="290" spans="1:19" x14ac:dyDescent="0.3">
      <c r="A290" t="s">
        <v>1573</v>
      </c>
      <c r="B290" t="s">
        <v>5</v>
      </c>
      <c r="C290">
        <v>0</v>
      </c>
      <c r="D290">
        <v>4</v>
      </c>
      <c r="E290">
        <v>0</v>
      </c>
      <c r="F290">
        <v>0</v>
      </c>
      <c r="G290">
        <v>14</v>
      </c>
      <c r="H290" t="s">
        <v>2275</v>
      </c>
      <c r="I290" t="s">
        <v>2283</v>
      </c>
      <c r="J290" t="s">
        <v>2284</v>
      </c>
      <c r="K290" t="s">
        <v>2288</v>
      </c>
      <c r="L290">
        <v>7</v>
      </c>
      <c r="M290">
        <v>5</v>
      </c>
      <c r="N290" t="s">
        <v>2285</v>
      </c>
      <c r="O290" t="s">
        <v>2286</v>
      </c>
      <c r="P290" t="s">
        <v>2276</v>
      </c>
      <c r="Q290" t="s">
        <v>2287</v>
      </c>
      <c r="R290" t="s">
        <v>2289</v>
      </c>
      <c r="S290" t="s">
        <v>147</v>
      </c>
    </row>
    <row r="291" spans="1:19" x14ac:dyDescent="0.3">
      <c r="A291" t="s">
        <v>1580</v>
      </c>
      <c r="B291" t="s">
        <v>5</v>
      </c>
      <c r="C291">
        <v>0</v>
      </c>
      <c r="D291">
        <v>3</v>
      </c>
      <c r="E291">
        <v>0</v>
      </c>
      <c r="F291">
        <v>0</v>
      </c>
      <c r="G291">
        <v>8</v>
      </c>
      <c r="H291" t="s">
        <v>2275</v>
      </c>
      <c r="I291" t="s">
        <v>2283</v>
      </c>
      <c r="J291" t="s">
        <v>2284</v>
      </c>
      <c r="L291">
        <v>4</v>
      </c>
      <c r="M291">
        <v>4</v>
      </c>
      <c r="N291" t="s">
        <v>2285</v>
      </c>
      <c r="O291" t="s">
        <v>2286</v>
      </c>
      <c r="P291" t="s">
        <v>2276</v>
      </c>
      <c r="Q291" t="s">
        <v>2287</v>
      </c>
      <c r="S291" t="s">
        <v>147</v>
      </c>
    </row>
    <row r="292" spans="1:19" x14ac:dyDescent="0.3">
      <c r="A292" t="s">
        <v>1587</v>
      </c>
      <c r="B292" t="s">
        <v>5</v>
      </c>
      <c r="C292">
        <v>0</v>
      </c>
      <c r="D292">
        <v>3</v>
      </c>
      <c r="E292">
        <v>0</v>
      </c>
      <c r="F292">
        <v>0</v>
      </c>
      <c r="G292">
        <v>7</v>
      </c>
      <c r="H292" t="s">
        <v>2275</v>
      </c>
      <c r="I292" t="s">
        <v>2283</v>
      </c>
      <c r="J292" t="s">
        <v>2284</v>
      </c>
      <c r="L292">
        <v>4</v>
      </c>
      <c r="M292">
        <v>4</v>
      </c>
      <c r="N292" t="s">
        <v>2285</v>
      </c>
      <c r="O292" t="s">
        <v>2286</v>
      </c>
      <c r="P292" t="s">
        <v>2276</v>
      </c>
      <c r="Q292" t="s">
        <v>2287</v>
      </c>
      <c r="S292" t="s">
        <v>147</v>
      </c>
    </row>
    <row r="293" spans="1:19" x14ac:dyDescent="0.3">
      <c r="A293" t="s">
        <v>1595</v>
      </c>
      <c r="B293" t="s">
        <v>5</v>
      </c>
      <c r="C293">
        <v>0</v>
      </c>
      <c r="D293">
        <v>3</v>
      </c>
      <c r="E293">
        <v>0</v>
      </c>
      <c r="F293">
        <v>0</v>
      </c>
      <c r="G293">
        <v>8</v>
      </c>
      <c r="H293" t="s">
        <v>2275</v>
      </c>
      <c r="I293" t="s">
        <v>2283</v>
      </c>
      <c r="J293" t="s">
        <v>2284</v>
      </c>
      <c r="L293">
        <v>4</v>
      </c>
      <c r="M293">
        <v>4</v>
      </c>
      <c r="N293" t="s">
        <v>2285</v>
      </c>
      <c r="O293" t="s">
        <v>2286</v>
      </c>
      <c r="P293" t="s">
        <v>2276</v>
      </c>
      <c r="Q293" t="s">
        <v>2287</v>
      </c>
      <c r="S293" t="s">
        <v>147</v>
      </c>
    </row>
    <row r="294" spans="1:19" x14ac:dyDescent="0.3">
      <c r="A294" t="s">
        <v>1603</v>
      </c>
      <c r="B294" t="s">
        <v>5</v>
      </c>
      <c r="C294">
        <v>0</v>
      </c>
      <c r="D294">
        <v>3</v>
      </c>
      <c r="E294">
        <v>0</v>
      </c>
      <c r="F294">
        <v>0</v>
      </c>
      <c r="G294">
        <v>8</v>
      </c>
      <c r="H294" t="s">
        <v>2275</v>
      </c>
      <c r="I294" t="s">
        <v>2283</v>
      </c>
      <c r="J294" t="s">
        <v>2284</v>
      </c>
      <c r="L294">
        <v>4</v>
      </c>
      <c r="M294">
        <v>4</v>
      </c>
      <c r="N294" t="s">
        <v>2285</v>
      </c>
      <c r="O294" t="s">
        <v>2286</v>
      </c>
      <c r="P294" t="s">
        <v>2276</v>
      </c>
      <c r="Q294" t="s">
        <v>2287</v>
      </c>
      <c r="S294" t="s">
        <v>147</v>
      </c>
    </row>
    <row r="295" spans="1:19" x14ac:dyDescent="0.3">
      <c r="A295" t="s">
        <v>1611</v>
      </c>
      <c r="B295" t="s">
        <v>5</v>
      </c>
      <c r="C295">
        <v>0</v>
      </c>
      <c r="D295">
        <v>3</v>
      </c>
      <c r="E295">
        <v>0</v>
      </c>
      <c r="F295">
        <v>0</v>
      </c>
      <c r="G295">
        <v>8</v>
      </c>
      <c r="H295" t="s">
        <v>2275</v>
      </c>
      <c r="I295" t="s">
        <v>2283</v>
      </c>
      <c r="J295" t="s">
        <v>2284</v>
      </c>
      <c r="L295">
        <v>4</v>
      </c>
      <c r="M295">
        <v>4</v>
      </c>
      <c r="N295" t="s">
        <v>2285</v>
      </c>
      <c r="O295" t="s">
        <v>2286</v>
      </c>
      <c r="P295" t="s">
        <v>2276</v>
      </c>
      <c r="Q295" t="s">
        <v>2287</v>
      </c>
      <c r="S295" t="s">
        <v>147</v>
      </c>
    </row>
    <row r="296" spans="1:19" x14ac:dyDescent="0.3">
      <c r="A296" t="s">
        <v>1618</v>
      </c>
      <c r="B296" t="s">
        <v>5</v>
      </c>
      <c r="C296">
        <v>0</v>
      </c>
      <c r="D296">
        <v>3</v>
      </c>
      <c r="E296">
        <v>0</v>
      </c>
      <c r="F296">
        <v>0</v>
      </c>
      <c r="G296">
        <v>8</v>
      </c>
      <c r="H296" t="s">
        <v>2275</v>
      </c>
      <c r="I296" t="s">
        <v>2283</v>
      </c>
      <c r="J296" t="s">
        <v>2284</v>
      </c>
      <c r="L296">
        <v>4</v>
      </c>
      <c r="M296">
        <v>4</v>
      </c>
      <c r="N296" t="s">
        <v>2285</v>
      </c>
      <c r="O296" t="s">
        <v>2286</v>
      </c>
      <c r="P296" t="s">
        <v>2276</v>
      </c>
      <c r="Q296" t="s">
        <v>2287</v>
      </c>
      <c r="S296" t="s">
        <v>147</v>
      </c>
    </row>
    <row r="297" spans="1:19" x14ac:dyDescent="0.3">
      <c r="A297" t="s">
        <v>1625</v>
      </c>
      <c r="B297" t="s">
        <v>5</v>
      </c>
      <c r="C297">
        <v>0</v>
      </c>
      <c r="D297">
        <v>4</v>
      </c>
      <c r="E297">
        <v>0</v>
      </c>
      <c r="F297">
        <v>0</v>
      </c>
      <c r="G297">
        <v>14</v>
      </c>
      <c r="H297" t="s">
        <v>2275</v>
      </c>
      <c r="I297" t="s">
        <v>2283</v>
      </c>
      <c r="J297" t="s">
        <v>2284</v>
      </c>
      <c r="K297" t="s">
        <v>2288</v>
      </c>
      <c r="L297">
        <v>7</v>
      </c>
      <c r="M297">
        <v>5</v>
      </c>
      <c r="N297" t="s">
        <v>2285</v>
      </c>
      <c r="O297" t="s">
        <v>2286</v>
      </c>
      <c r="P297" t="s">
        <v>2276</v>
      </c>
      <c r="Q297" t="s">
        <v>2287</v>
      </c>
      <c r="R297" t="s">
        <v>2289</v>
      </c>
      <c r="S297" t="s">
        <v>147</v>
      </c>
    </row>
    <row r="298" spans="1:19" x14ac:dyDescent="0.3">
      <c r="A298" t="s">
        <v>1632</v>
      </c>
      <c r="B298" t="s">
        <v>5</v>
      </c>
      <c r="C298">
        <v>0</v>
      </c>
      <c r="D298">
        <v>4</v>
      </c>
      <c r="E298">
        <v>0</v>
      </c>
      <c r="F298">
        <v>0</v>
      </c>
      <c r="G298">
        <v>26</v>
      </c>
      <c r="H298" t="s">
        <v>2275</v>
      </c>
      <c r="I298" t="s">
        <v>2283</v>
      </c>
      <c r="J298" t="s">
        <v>2284</v>
      </c>
      <c r="K298" t="s">
        <v>2288</v>
      </c>
      <c r="L298">
        <v>11</v>
      </c>
      <c r="M298">
        <v>5</v>
      </c>
      <c r="N298" t="s">
        <v>2285</v>
      </c>
      <c r="O298" t="s">
        <v>2286</v>
      </c>
      <c r="P298" t="s">
        <v>2276</v>
      </c>
      <c r="Q298" t="s">
        <v>2287</v>
      </c>
      <c r="R298" t="s">
        <v>2289</v>
      </c>
      <c r="S298" t="s">
        <v>147</v>
      </c>
    </row>
    <row r="299" spans="1:19" x14ac:dyDescent="0.3">
      <c r="A299" t="s">
        <v>1639</v>
      </c>
      <c r="B299" t="s">
        <v>5</v>
      </c>
      <c r="C299">
        <v>0</v>
      </c>
      <c r="D299">
        <v>4</v>
      </c>
      <c r="E299">
        <v>0</v>
      </c>
      <c r="F299">
        <v>0</v>
      </c>
      <c r="G299">
        <v>20</v>
      </c>
      <c r="H299" t="s">
        <v>2275</v>
      </c>
      <c r="I299" t="s">
        <v>2283</v>
      </c>
      <c r="J299" t="s">
        <v>2284</v>
      </c>
      <c r="K299" t="s">
        <v>2288</v>
      </c>
      <c r="L299">
        <v>9</v>
      </c>
      <c r="M299">
        <v>5</v>
      </c>
      <c r="N299" t="s">
        <v>2285</v>
      </c>
      <c r="O299" t="s">
        <v>2286</v>
      </c>
      <c r="P299" t="s">
        <v>2276</v>
      </c>
      <c r="Q299" t="s">
        <v>2287</v>
      </c>
      <c r="R299" t="s">
        <v>2289</v>
      </c>
      <c r="S299" t="s">
        <v>147</v>
      </c>
    </row>
    <row r="300" spans="1:19" x14ac:dyDescent="0.3">
      <c r="A300" t="s">
        <v>1647</v>
      </c>
      <c r="B300" t="s">
        <v>5</v>
      </c>
      <c r="C300">
        <v>0</v>
      </c>
      <c r="D300">
        <v>3</v>
      </c>
      <c r="E300">
        <v>0</v>
      </c>
      <c r="F300">
        <v>0</v>
      </c>
      <c r="G300">
        <v>8</v>
      </c>
      <c r="H300" t="s">
        <v>2275</v>
      </c>
      <c r="I300" t="s">
        <v>2283</v>
      </c>
      <c r="J300" t="s">
        <v>2284</v>
      </c>
      <c r="L300">
        <v>4</v>
      </c>
      <c r="M300">
        <v>4</v>
      </c>
      <c r="N300" t="s">
        <v>2285</v>
      </c>
      <c r="O300" t="s">
        <v>2286</v>
      </c>
      <c r="P300" t="s">
        <v>2276</v>
      </c>
      <c r="Q300" t="s">
        <v>2287</v>
      </c>
      <c r="S300" t="s">
        <v>147</v>
      </c>
    </row>
    <row r="301" spans="1:19" x14ac:dyDescent="0.3">
      <c r="A301" t="s">
        <v>1655</v>
      </c>
      <c r="B301" t="s">
        <v>5</v>
      </c>
      <c r="C301">
        <v>0</v>
      </c>
      <c r="D301">
        <v>3</v>
      </c>
      <c r="E301">
        <v>0</v>
      </c>
      <c r="F301">
        <v>0</v>
      </c>
      <c r="G301">
        <v>8</v>
      </c>
      <c r="H301" t="s">
        <v>2275</v>
      </c>
      <c r="I301" t="s">
        <v>2283</v>
      </c>
      <c r="J301" t="s">
        <v>2284</v>
      </c>
      <c r="L301">
        <v>4</v>
      </c>
      <c r="M301">
        <v>4</v>
      </c>
      <c r="N301" t="s">
        <v>2285</v>
      </c>
      <c r="O301" t="s">
        <v>2286</v>
      </c>
      <c r="P301" t="s">
        <v>2276</v>
      </c>
      <c r="Q301" t="s">
        <v>2287</v>
      </c>
      <c r="S301" t="s">
        <v>147</v>
      </c>
    </row>
    <row r="302" spans="1:19" x14ac:dyDescent="0.3">
      <c r="A302" t="s">
        <v>1662</v>
      </c>
      <c r="B302" t="s">
        <v>5</v>
      </c>
      <c r="C302">
        <v>0</v>
      </c>
      <c r="D302">
        <v>3</v>
      </c>
      <c r="E302">
        <v>0</v>
      </c>
      <c r="F302">
        <v>0</v>
      </c>
      <c r="G302">
        <v>7</v>
      </c>
      <c r="H302" t="s">
        <v>2275</v>
      </c>
      <c r="I302" t="s">
        <v>2283</v>
      </c>
      <c r="J302" t="s">
        <v>2284</v>
      </c>
      <c r="L302">
        <v>4</v>
      </c>
      <c r="M302">
        <v>4</v>
      </c>
      <c r="N302" t="s">
        <v>2285</v>
      </c>
      <c r="O302" t="s">
        <v>2286</v>
      </c>
      <c r="P302" t="s">
        <v>2276</v>
      </c>
      <c r="Q302" t="s">
        <v>2287</v>
      </c>
      <c r="S302" t="s">
        <v>147</v>
      </c>
    </row>
    <row r="303" spans="1:19" x14ac:dyDescent="0.3">
      <c r="A303" t="s">
        <v>1669</v>
      </c>
      <c r="B303" t="s">
        <v>5</v>
      </c>
      <c r="C303">
        <v>0</v>
      </c>
      <c r="D303">
        <v>3</v>
      </c>
      <c r="E303">
        <v>0</v>
      </c>
      <c r="F303">
        <v>0</v>
      </c>
      <c r="G303">
        <v>8</v>
      </c>
      <c r="H303" t="s">
        <v>2275</v>
      </c>
      <c r="I303" t="s">
        <v>2283</v>
      </c>
      <c r="J303" t="s">
        <v>2284</v>
      </c>
      <c r="L303">
        <v>4</v>
      </c>
      <c r="M303">
        <v>4</v>
      </c>
      <c r="N303" t="s">
        <v>2285</v>
      </c>
      <c r="O303" t="s">
        <v>2286</v>
      </c>
      <c r="P303" t="s">
        <v>2276</v>
      </c>
      <c r="Q303" t="s">
        <v>2287</v>
      </c>
      <c r="S303" t="s">
        <v>147</v>
      </c>
    </row>
    <row r="304" spans="1:19" x14ac:dyDescent="0.3">
      <c r="A304" t="s">
        <v>1676</v>
      </c>
      <c r="B304" t="s">
        <v>5</v>
      </c>
      <c r="C304">
        <v>0</v>
      </c>
      <c r="D304">
        <v>3</v>
      </c>
      <c r="E304">
        <v>0</v>
      </c>
      <c r="F304">
        <v>0</v>
      </c>
      <c r="G304">
        <v>7</v>
      </c>
      <c r="H304" t="s">
        <v>2275</v>
      </c>
      <c r="I304" t="s">
        <v>2283</v>
      </c>
      <c r="J304" t="s">
        <v>2284</v>
      </c>
      <c r="L304">
        <v>4</v>
      </c>
      <c r="M304">
        <v>4</v>
      </c>
      <c r="N304" t="s">
        <v>2285</v>
      </c>
      <c r="O304" t="s">
        <v>2286</v>
      </c>
      <c r="P304" t="s">
        <v>2276</v>
      </c>
      <c r="Q304" t="s">
        <v>2287</v>
      </c>
      <c r="S304" t="s">
        <v>147</v>
      </c>
    </row>
    <row r="305" spans="1:19" x14ac:dyDescent="0.3">
      <c r="A305" t="s">
        <v>1684</v>
      </c>
      <c r="B305" t="s">
        <v>5</v>
      </c>
      <c r="C305">
        <v>0</v>
      </c>
      <c r="D305">
        <v>3</v>
      </c>
      <c r="E305">
        <v>0</v>
      </c>
      <c r="F305">
        <v>0</v>
      </c>
      <c r="G305">
        <v>7</v>
      </c>
      <c r="H305" t="s">
        <v>2275</v>
      </c>
      <c r="I305" t="s">
        <v>2283</v>
      </c>
      <c r="J305" t="s">
        <v>2284</v>
      </c>
      <c r="L305">
        <v>4</v>
      </c>
      <c r="M305">
        <v>4</v>
      </c>
      <c r="N305" t="s">
        <v>2285</v>
      </c>
      <c r="O305" t="s">
        <v>2286</v>
      </c>
      <c r="P305" t="s">
        <v>2276</v>
      </c>
      <c r="Q305" t="s">
        <v>2287</v>
      </c>
      <c r="S305" t="s">
        <v>147</v>
      </c>
    </row>
    <row r="306" spans="1:19" x14ac:dyDescent="0.3">
      <c r="A306" t="s">
        <v>1691</v>
      </c>
      <c r="B306" t="s">
        <v>5</v>
      </c>
      <c r="C306">
        <v>0</v>
      </c>
      <c r="D306">
        <v>3</v>
      </c>
      <c r="E306">
        <v>0</v>
      </c>
      <c r="F306">
        <v>0</v>
      </c>
      <c r="G306">
        <v>8</v>
      </c>
      <c r="H306" t="s">
        <v>2275</v>
      </c>
      <c r="I306" t="s">
        <v>2283</v>
      </c>
      <c r="J306" t="s">
        <v>2284</v>
      </c>
      <c r="L306">
        <v>4</v>
      </c>
      <c r="M306">
        <v>4</v>
      </c>
      <c r="N306" t="s">
        <v>2285</v>
      </c>
      <c r="O306" t="s">
        <v>2286</v>
      </c>
      <c r="P306" t="s">
        <v>2276</v>
      </c>
      <c r="Q306" t="s">
        <v>2287</v>
      </c>
      <c r="S306" t="s">
        <v>147</v>
      </c>
    </row>
    <row r="307" spans="1:19" x14ac:dyDescent="0.3">
      <c r="A307" t="s">
        <v>1699</v>
      </c>
      <c r="B307" t="s">
        <v>5</v>
      </c>
      <c r="C307">
        <v>0</v>
      </c>
      <c r="D307">
        <v>4</v>
      </c>
      <c r="E307">
        <v>0</v>
      </c>
      <c r="F307">
        <v>0</v>
      </c>
      <c r="G307">
        <v>20</v>
      </c>
      <c r="H307" t="s">
        <v>2275</v>
      </c>
      <c r="I307" t="s">
        <v>2283</v>
      </c>
      <c r="J307" t="s">
        <v>2284</v>
      </c>
      <c r="K307" t="s">
        <v>2288</v>
      </c>
      <c r="L307">
        <v>9</v>
      </c>
      <c r="M307">
        <v>5</v>
      </c>
      <c r="N307" t="s">
        <v>2285</v>
      </c>
      <c r="O307" t="s">
        <v>2286</v>
      </c>
      <c r="P307" t="s">
        <v>2276</v>
      </c>
      <c r="Q307" t="s">
        <v>2287</v>
      </c>
      <c r="R307" t="s">
        <v>2289</v>
      </c>
      <c r="S307" t="s">
        <v>147</v>
      </c>
    </row>
    <row r="308" spans="1:19" x14ac:dyDescent="0.3">
      <c r="A308" t="s">
        <v>1706</v>
      </c>
      <c r="B308" t="s">
        <v>5</v>
      </c>
      <c r="C308">
        <v>0</v>
      </c>
      <c r="D308">
        <v>4</v>
      </c>
      <c r="E308">
        <v>0</v>
      </c>
      <c r="F308">
        <v>0</v>
      </c>
      <c r="G308">
        <v>20</v>
      </c>
      <c r="H308" t="s">
        <v>2275</v>
      </c>
      <c r="I308" t="s">
        <v>2283</v>
      </c>
      <c r="J308" t="s">
        <v>2284</v>
      </c>
      <c r="K308" t="s">
        <v>2288</v>
      </c>
      <c r="L308">
        <v>9</v>
      </c>
      <c r="M308">
        <v>5</v>
      </c>
      <c r="N308" t="s">
        <v>2285</v>
      </c>
      <c r="O308" t="s">
        <v>2286</v>
      </c>
      <c r="P308" t="s">
        <v>2276</v>
      </c>
      <c r="Q308" t="s">
        <v>2287</v>
      </c>
      <c r="R308" t="s">
        <v>2289</v>
      </c>
      <c r="S308" t="s">
        <v>147</v>
      </c>
    </row>
    <row r="309" spans="1:19" x14ac:dyDescent="0.3">
      <c r="A309" t="s">
        <v>1713</v>
      </c>
      <c r="B309" t="s">
        <v>5</v>
      </c>
      <c r="C309">
        <v>0</v>
      </c>
      <c r="D309">
        <v>4</v>
      </c>
      <c r="E309">
        <v>0</v>
      </c>
      <c r="F309">
        <v>0</v>
      </c>
      <c r="G309">
        <v>20</v>
      </c>
      <c r="H309" t="s">
        <v>2275</v>
      </c>
      <c r="I309" t="s">
        <v>2283</v>
      </c>
      <c r="J309" t="s">
        <v>2284</v>
      </c>
      <c r="K309" t="s">
        <v>2288</v>
      </c>
      <c r="L309">
        <v>9</v>
      </c>
      <c r="M309">
        <v>5</v>
      </c>
      <c r="N309" t="s">
        <v>2285</v>
      </c>
      <c r="O309" t="s">
        <v>2286</v>
      </c>
      <c r="P309" t="s">
        <v>2276</v>
      </c>
      <c r="Q309" t="s">
        <v>2287</v>
      </c>
      <c r="R309" t="s">
        <v>2289</v>
      </c>
      <c r="S309" t="s">
        <v>147</v>
      </c>
    </row>
    <row r="310" spans="1:19" x14ac:dyDescent="0.3">
      <c r="A310" t="s">
        <v>1720</v>
      </c>
      <c r="B310" t="s">
        <v>5</v>
      </c>
      <c r="C310">
        <v>0</v>
      </c>
      <c r="D310">
        <v>4</v>
      </c>
      <c r="E310">
        <v>0</v>
      </c>
      <c r="F310">
        <v>0</v>
      </c>
      <c r="G310">
        <v>44</v>
      </c>
      <c r="H310" t="s">
        <v>2275</v>
      </c>
      <c r="I310" t="s">
        <v>2283</v>
      </c>
      <c r="J310" t="s">
        <v>2284</v>
      </c>
      <c r="K310" t="s">
        <v>2288</v>
      </c>
      <c r="L310">
        <v>17</v>
      </c>
      <c r="M310">
        <v>5</v>
      </c>
      <c r="N310" t="s">
        <v>2285</v>
      </c>
      <c r="O310" t="s">
        <v>2286</v>
      </c>
      <c r="P310" t="s">
        <v>2276</v>
      </c>
      <c r="Q310" t="s">
        <v>2287</v>
      </c>
      <c r="R310" t="s">
        <v>2289</v>
      </c>
      <c r="S310" t="s">
        <v>147</v>
      </c>
    </row>
    <row r="311" spans="1:19" x14ac:dyDescent="0.3">
      <c r="A311" t="s">
        <v>1727</v>
      </c>
      <c r="B311" t="s">
        <v>5</v>
      </c>
      <c r="C311">
        <v>0</v>
      </c>
      <c r="D311">
        <v>3</v>
      </c>
      <c r="E311">
        <v>0</v>
      </c>
      <c r="F311">
        <v>0</v>
      </c>
      <c r="G311">
        <v>7</v>
      </c>
      <c r="H311" t="s">
        <v>2275</v>
      </c>
      <c r="I311" t="s">
        <v>2283</v>
      </c>
      <c r="J311" t="s">
        <v>2284</v>
      </c>
      <c r="L311">
        <v>4</v>
      </c>
      <c r="M311">
        <v>4</v>
      </c>
      <c r="N311" t="s">
        <v>2285</v>
      </c>
      <c r="O311" t="s">
        <v>2286</v>
      </c>
      <c r="P311" t="s">
        <v>2276</v>
      </c>
      <c r="Q311" t="s">
        <v>2287</v>
      </c>
      <c r="S311" t="s">
        <v>147</v>
      </c>
    </row>
    <row r="312" spans="1:19" x14ac:dyDescent="0.3">
      <c r="A312" t="s">
        <v>1735</v>
      </c>
      <c r="B312" t="s">
        <v>5</v>
      </c>
      <c r="C312">
        <v>0</v>
      </c>
      <c r="D312">
        <v>3</v>
      </c>
      <c r="E312">
        <v>0</v>
      </c>
      <c r="F312">
        <v>0</v>
      </c>
      <c r="G312">
        <v>7</v>
      </c>
      <c r="H312" t="s">
        <v>2275</v>
      </c>
      <c r="I312" t="s">
        <v>2283</v>
      </c>
      <c r="J312" t="s">
        <v>2284</v>
      </c>
      <c r="L312">
        <v>4</v>
      </c>
      <c r="M312">
        <v>4</v>
      </c>
      <c r="N312" t="s">
        <v>2285</v>
      </c>
      <c r="O312" t="s">
        <v>2286</v>
      </c>
      <c r="P312" t="s">
        <v>2276</v>
      </c>
      <c r="Q312" t="s">
        <v>2287</v>
      </c>
      <c r="S312" t="s">
        <v>147</v>
      </c>
    </row>
    <row r="313" spans="1:19" x14ac:dyDescent="0.3">
      <c r="A313" t="s">
        <v>1742</v>
      </c>
      <c r="B313" t="s">
        <v>5</v>
      </c>
      <c r="C313">
        <v>0</v>
      </c>
      <c r="D313">
        <v>4</v>
      </c>
      <c r="E313">
        <v>0</v>
      </c>
      <c r="F313">
        <v>0</v>
      </c>
      <c r="G313">
        <v>20</v>
      </c>
      <c r="H313" t="s">
        <v>2275</v>
      </c>
      <c r="I313" t="s">
        <v>2283</v>
      </c>
      <c r="J313" t="s">
        <v>2284</v>
      </c>
      <c r="K313" t="s">
        <v>2288</v>
      </c>
      <c r="L313">
        <v>9</v>
      </c>
      <c r="M313">
        <v>5</v>
      </c>
      <c r="N313" t="s">
        <v>2285</v>
      </c>
      <c r="O313" t="s">
        <v>2286</v>
      </c>
      <c r="P313" t="s">
        <v>2276</v>
      </c>
      <c r="Q313" t="s">
        <v>2287</v>
      </c>
      <c r="R313" t="s">
        <v>2289</v>
      </c>
      <c r="S313" t="s">
        <v>147</v>
      </c>
    </row>
    <row r="314" spans="1:19" x14ac:dyDescent="0.3">
      <c r="A314" t="s">
        <v>1750</v>
      </c>
      <c r="B314" t="s">
        <v>5</v>
      </c>
      <c r="C314">
        <v>0</v>
      </c>
      <c r="D314">
        <v>3</v>
      </c>
      <c r="E314">
        <v>0</v>
      </c>
      <c r="F314">
        <v>0</v>
      </c>
      <c r="G314">
        <v>7</v>
      </c>
      <c r="H314" t="s">
        <v>2275</v>
      </c>
      <c r="I314" t="s">
        <v>2283</v>
      </c>
      <c r="J314" t="s">
        <v>2284</v>
      </c>
      <c r="L314">
        <v>4</v>
      </c>
      <c r="M314">
        <v>4</v>
      </c>
      <c r="N314" t="s">
        <v>2285</v>
      </c>
      <c r="O314" t="s">
        <v>2286</v>
      </c>
      <c r="P314" t="s">
        <v>2276</v>
      </c>
      <c r="Q314" t="s">
        <v>2287</v>
      </c>
      <c r="S314" t="s">
        <v>147</v>
      </c>
    </row>
    <row r="315" spans="1:19" x14ac:dyDescent="0.3">
      <c r="A315" t="s">
        <v>1757</v>
      </c>
      <c r="B315" t="s">
        <v>5</v>
      </c>
      <c r="C315">
        <v>0</v>
      </c>
      <c r="D315">
        <v>3</v>
      </c>
      <c r="E315">
        <v>0</v>
      </c>
      <c r="F315">
        <v>0</v>
      </c>
      <c r="G315">
        <v>8</v>
      </c>
      <c r="H315" t="s">
        <v>2275</v>
      </c>
      <c r="I315" t="s">
        <v>2283</v>
      </c>
      <c r="J315" t="s">
        <v>2284</v>
      </c>
      <c r="L315">
        <v>4</v>
      </c>
      <c r="M315">
        <v>4</v>
      </c>
      <c r="N315" t="s">
        <v>2285</v>
      </c>
      <c r="O315" t="s">
        <v>2286</v>
      </c>
      <c r="P315" t="s">
        <v>2276</v>
      </c>
      <c r="Q315" t="s">
        <v>2287</v>
      </c>
      <c r="S315" t="s">
        <v>147</v>
      </c>
    </row>
    <row r="316" spans="1:19" x14ac:dyDescent="0.3">
      <c r="A316" t="s">
        <v>1764</v>
      </c>
      <c r="B316" t="s">
        <v>5</v>
      </c>
      <c r="C316">
        <v>0</v>
      </c>
      <c r="D316">
        <v>3</v>
      </c>
      <c r="E316">
        <v>0</v>
      </c>
      <c r="F316">
        <v>0</v>
      </c>
      <c r="G316">
        <v>7</v>
      </c>
      <c r="H316" t="s">
        <v>2275</v>
      </c>
      <c r="I316" t="s">
        <v>2283</v>
      </c>
      <c r="J316" t="s">
        <v>2284</v>
      </c>
      <c r="L316">
        <v>4</v>
      </c>
      <c r="M316">
        <v>4</v>
      </c>
      <c r="N316" t="s">
        <v>2285</v>
      </c>
      <c r="O316" t="s">
        <v>2286</v>
      </c>
      <c r="P316" t="s">
        <v>2276</v>
      </c>
      <c r="Q316" t="s">
        <v>2287</v>
      </c>
      <c r="S316" t="s">
        <v>147</v>
      </c>
    </row>
    <row r="317" spans="1:19" x14ac:dyDescent="0.3">
      <c r="A317" t="s">
        <v>1771</v>
      </c>
      <c r="B317" t="s">
        <v>5</v>
      </c>
      <c r="C317">
        <v>0</v>
      </c>
      <c r="D317">
        <v>3</v>
      </c>
      <c r="E317">
        <v>0</v>
      </c>
      <c r="F317">
        <v>0</v>
      </c>
      <c r="G317">
        <v>8</v>
      </c>
      <c r="H317" t="s">
        <v>2275</v>
      </c>
      <c r="I317" t="s">
        <v>2283</v>
      </c>
      <c r="J317" t="s">
        <v>2284</v>
      </c>
      <c r="L317">
        <v>4</v>
      </c>
      <c r="M317">
        <v>4</v>
      </c>
      <c r="N317" t="s">
        <v>2285</v>
      </c>
      <c r="O317" t="s">
        <v>2286</v>
      </c>
      <c r="P317" t="s">
        <v>2276</v>
      </c>
      <c r="Q317" t="s">
        <v>2287</v>
      </c>
      <c r="S317" t="s">
        <v>147</v>
      </c>
    </row>
    <row r="318" spans="1:19" x14ac:dyDescent="0.3">
      <c r="A318" t="s">
        <v>1778</v>
      </c>
      <c r="B318" t="s">
        <v>5</v>
      </c>
      <c r="C318">
        <v>0</v>
      </c>
      <c r="D318">
        <v>3</v>
      </c>
      <c r="E318">
        <v>0</v>
      </c>
      <c r="F318">
        <v>0</v>
      </c>
      <c r="G318">
        <v>8</v>
      </c>
      <c r="H318" t="s">
        <v>2275</v>
      </c>
      <c r="I318" t="s">
        <v>2283</v>
      </c>
      <c r="J318" t="s">
        <v>2284</v>
      </c>
      <c r="L318">
        <v>4</v>
      </c>
      <c r="M318">
        <v>4</v>
      </c>
      <c r="N318" t="s">
        <v>2285</v>
      </c>
      <c r="O318" t="s">
        <v>2286</v>
      </c>
      <c r="P318" t="s">
        <v>2276</v>
      </c>
      <c r="Q318" t="s">
        <v>2287</v>
      </c>
      <c r="S318" t="s">
        <v>147</v>
      </c>
    </row>
    <row r="319" spans="1:19" x14ac:dyDescent="0.3">
      <c r="A319" t="s">
        <v>1785</v>
      </c>
      <c r="B319" t="s">
        <v>5</v>
      </c>
      <c r="C319">
        <v>0</v>
      </c>
      <c r="D319">
        <v>3</v>
      </c>
      <c r="E319">
        <v>0</v>
      </c>
      <c r="F319">
        <v>0</v>
      </c>
      <c r="G319">
        <v>8</v>
      </c>
      <c r="H319" t="s">
        <v>2275</v>
      </c>
      <c r="I319" t="s">
        <v>2283</v>
      </c>
      <c r="J319" t="s">
        <v>2284</v>
      </c>
      <c r="L319">
        <v>4</v>
      </c>
      <c r="M319">
        <v>4</v>
      </c>
      <c r="N319" t="s">
        <v>2285</v>
      </c>
      <c r="O319" t="s">
        <v>2286</v>
      </c>
      <c r="P319" t="s">
        <v>2276</v>
      </c>
      <c r="Q319" t="s">
        <v>2287</v>
      </c>
      <c r="S319" t="s">
        <v>147</v>
      </c>
    </row>
    <row r="320" spans="1:19" x14ac:dyDescent="0.3">
      <c r="A320" t="s">
        <v>1792</v>
      </c>
      <c r="B320" t="s">
        <v>5</v>
      </c>
      <c r="C320">
        <v>0</v>
      </c>
      <c r="D320">
        <v>3</v>
      </c>
      <c r="E320">
        <v>0</v>
      </c>
      <c r="F320">
        <v>0</v>
      </c>
      <c r="G320">
        <v>8</v>
      </c>
      <c r="H320" t="s">
        <v>2275</v>
      </c>
      <c r="I320" t="s">
        <v>2283</v>
      </c>
      <c r="J320" t="s">
        <v>2284</v>
      </c>
      <c r="L320">
        <v>4</v>
      </c>
      <c r="M320">
        <v>4</v>
      </c>
      <c r="N320" t="s">
        <v>2285</v>
      </c>
      <c r="O320" t="s">
        <v>2286</v>
      </c>
      <c r="P320" t="s">
        <v>2276</v>
      </c>
      <c r="Q320" t="s">
        <v>2287</v>
      </c>
      <c r="S320" t="s">
        <v>147</v>
      </c>
    </row>
    <row r="321" spans="1:19" x14ac:dyDescent="0.3">
      <c r="A321" t="s">
        <v>1799</v>
      </c>
      <c r="B321" t="s">
        <v>5</v>
      </c>
      <c r="C321">
        <v>0</v>
      </c>
      <c r="D321">
        <v>4</v>
      </c>
      <c r="E321">
        <v>0</v>
      </c>
      <c r="F321">
        <v>0</v>
      </c>
      <c r="G321">
        <v>14</v>
      </c>
      <c r="H321" t="s">
        <v>2275</v>
      </c>
      <c r="I321" t="s">
        <v>2283</v>
      </c>
      <c r="J321" t="s">
        <v>2284</v>
      </c>
      <c r="K321" t="s">
        <v>2288</v>
      </c>
      <c r="L321">
        <v>7</v>
      </c>
      <c r="M321">
        <v>5</v>
      </c>
      <c r="N321" t="s">
        <v>2285</v>
      </c>
      <c r="O321" t="s">
        <v>2286</v>
      </c>
      <c r="P321" t="s">
        <v>2276</v>
      </c>
      <c r="Q321" t="s">
        <v>2287</v>
      </c>
      <c r="R321" t="s">
        <v>2289</v>
      </c>
      <c r="S321" t="s">
        <v>147</v>
      </c>
    </row>
    <row r="322" spans="1:19" x14ac:dyDescent="0.3">
      <c r="A322" t="s">
        <v>1806</v>
      </c>
      <c r="B322" t="s">
        <v>5</v>
      </c>
      <c r="C322">
        <v>0</v>
      </c>
      <c r="D322">
        <v>4</v>
      </c>
      <c r="E322">
        <v>0</v>
      </c>
      <c r="F322">
        <v>0</v>
      </c>
      <c r="G322">
        <v>14</v>
      </c>
      <c r="H322" t="s">
        <v>2275</v>
      </c>
      <c r="I322" t="s">
        <v>2283</v>
      </c>
      <c r="J322" t="s">
        <v>2284</v>
      </c>
      <c r="K322" t="s">
        <v>2288</v>
      </c>
      <c r="L322">
        <v>7</v>
      </c>
      <c r="M322">
        <v>5</v>
      </c>
      <c r="N322" t="s">
        <v>2285</v>
      </c>
      <c r="O322" t="s">
        <v>2286</v>
      </c>
      <c r="P322" t="s">
        <v>2276</v>
      </c>
      <c r="Q322" t="s">
        <v>2287</v>
      </c>
      <c r="R322" t="s">
        <v>2289</v>
      </c>
      <c r="S322" t="s">
        <v>147</v>
      </c>
    </row>
    <row r="323" spans="1:19" x14ac:dyDescent="0.3">
      <c r="A323" t="s">
        <v>1814</v>
      </c>
      <c r="B323" t="s">
        <v>5</v>
      </c>
      <c r="C323">
        <v>0</v>
      </c>
      <c r="D323">
        <v>3</v>
      </c>
      <c r="E323">
        <v>0</v>
      </c>
      <c r="F323">
        <v>0</v>
      </c>
      <c r="G323">
        <v>8</v>
      </c>
      <c r="H323" t="s">
        <v>2275</v>
      </c>
      <c r="I323" t="s">
        <v>2283</v>
      </c>
      <c r="J323" t="s">
        <v>2284</v>
      </c>
      <c r="L323">
        <v>4</v>
      </c>
      <c r="M323">
        <v>4</v>
      </c>
      <c r="N323" t="s">
        <v>2285</v>
      </c>
      <c r="O323" t="s">
        <v>2286</v>
      </c>
      <c r="P323" t="s">
        <v>2276</v>
      </c>
      <c r="Q323" t="s">
        <v>2287</v>
      </c>
      <c r="S323" t="s">
        <v>147</v>
      </c>
    </row>
    <row r="324" spans="1:19" x14ac:dyDescent="0.3">
      <c r="A324" t="s">
        <v>1821</v>
      </c>
      <c r="B324" t="s">
        <v>5</v>
      </c>
      <c r="C324">
        <v>0</v>
      </c>
      <c r="D324">
        <v>3</v>
      </c>
      <c r="E324">
        <v>0</v>
      </c>
      <c r="F324">
        <v>0</v>
      </c>
      <c r="G324">
        <v>8</v>
      </c>
      <c r="H324" t="s">
        <v>2275</v>
      </c>
      <c r="I324" t="s">
        <v>2283</v>
      </c>
      <c r="J324" t="s">
        <v>2284</v>
      </c>
      <c r="L324">
        <v>4</v>
      </c>
      <c r="M324">
        <v>4</v>
      </c>
      <c r="N324" t="s">
        <v>2285</v>
      </c>
      <c r="O324" t="s">
        <v>2286</v>
      </c>
      <c r="P324" t="s">
        <v>2276</v>
      </c>
      <c r="Q324" t="s">
        <v>2287</v>
      </c>
      <c r="S324" t="s">
        <v>147</v>
      </c>
    </row>
    <row r="325" spans="1:19" x14ac:dyDescent="0.3">
      <c r="A325" t="s">
        <v>1828</v>
      </c>
      <c r="B325" t="s">
        <v>5</v>
      </c>
      <c r="C325">
        <v>0</v>
      </c>
      <c r="D325">
        <v>3</v>
      </c>
      <c r="E325">
        <v>0</v>
      </c>
      <c r="F325">
        <v>0</v>
      </c>
      <c r="G325">
        <v>7</v>
      </c>
      <c r="H325" t="s">
        <v>2275</v>
      </c>
      <c r="I325" t="s">
        <v>2283</v>
      </c>
      <c r="J325" t="s">
        <v>2284</v>
      </c>
      <c r="L325">
        <v>4</v>
      </c>
      <c r="M325">
        <v>4</v>
      </c>
      <c r="N325" t="s">
        <v>2285</v>
      </c>
      <c r="O325" t="s">
        <v>2286</v>
      </c>
      <c r="P325" t="s">
        <v>2276</v>
      </c>
      <c r="Q325" t="s">
        <v>2287</v>
      </c>
      <c r="S325" t="s">
        <v>147</v>
      </c>
    </row>
    <row r="326" spans="1:19" x14ac:dyDescent="0.3">
      <c r="A326" t="s">
        <v>1835</v>
      </c>
      <c r="B326" t="s">
        <v>5</v>
      </c>
      <c r="C326">
        <v>0</v>
      </c>
      <c r="D326">
        <v>3</v>
      </c>
      <c r="E326">
        <v>0</v>
      </c>
      <c r="F326">
        <v>0</v>
      </c>
      <c r="G326">
        <v>7</v>
      </c>
      <c r="H326" t="s">
        <v>2275</v>
      </c>
      <c r="I326" t="s">
        <v>2283</v>
      </c>
      <c r="J326" t="s">
        <v>2284</v>
      </c>
      <c r="L326">
        <v>4</v>
      </c>
      <c r="M326">
        <v>4</v>
      </c>
      <c r="N326" t="s">
        <v>2285</v>
      </c>
      <c r="O326" t="s">
        <v>2286</v>
      </c>
      <c r="P326" t="s">
        <v>2276</v>
      </c>
      <c r="Q326" t="s">
        <v>2287</v>
      </c>
      <c r="S326" t="s">
        <v>147</v>
      </c>
    </row>
    <row r="327" spans="1:19" x14ac:dyDescent="0.3">
      <c r="A327" t="s">
        <v>1842</v>
      </c>
      <c r="B327" t="s">
        <v>5</v>
      </c>
      <c r="C327">
        <v>0</v>
      </c>
      <c r="D327">
        <v>3</v>
      </c>
      <c r="E327">
        <v>0</v>
      </c>
      <c r="F327">
        <v>0</v>
      </c>
      <c r="G327">
        <v>7</v>
      </c>
      <c r="H327" t="s">
        <v>2275</v>
      </c>
      <c r="I327" t="s">
        <v>2283</v>
      </c>
      <c r="J327" t="s">
        <v>2284</v>
      </c>
      <c r="L327">
        <v>4</v>
      </c>
      <c r="M327">
        <v>4</v>
      </c>
      <c r="N327" t="s">
        <v>2285</v>
      </c>
      <c r="O327" t="s">
        <v>2286</v>
      </c>
      <c r="P327" t="s">
        <v>2276</v>
      </c>
      <c r="Q327" t="s">
        <v>2287</v>
      </c>
      <c r="S327" t="s">
        <v>147</v>
      </c>
    </row>
    <row r="328" spans="1:19" x14ac:dyDescent="0.3">
      <c r="A328" t="s">
        <v>1849</v>
      </c>
      <c r="B328" t="s">
        <v>5</v>
      </c>
      <c r="C328">
        <v>0</v>
      </c>
      <c r="D328">
        <v>4</v>
      </c>
      <c r="E328">
        <v>0</v>
      </c>
      <c r="F328">
        <v>0</v>
      </c>
      <c r="G328">
        <v>14</v>
      </c>
      <c r="H328" t="s">
        <v>2275</v>
      </c>
      <c r="I328" t="s">
        <v>2283</v>
      </c>
      <c r="J328" t="s">
        <v>2284</v>
      </c>
      <c r="K328" t="s">
        <v>2288</v>
      </c>
      <c r="L328">
        <v>7</v>
      </c>
      <c r="M328">
        <v>5</v>
      </c>
      <c r="N328" t="s">
        <v>2285</v>
      </c>
      <c r="O328" t="s">
        <v>2286</v>
      </c>
      <c r="P328" t="s">
        <v>2276</v>
      </c>
      <c r="Q328" t="s">
        <v>2287</v>
      </c>
      <c r="R328" t="s">
        <v>2289</v>
      </c>
      <c r="S328" t="s">
        <v>147</v>
      </c>
    </row>
    <row r="329" spans="1:19" x14ac:dyDescent="0.3">
      <c r="A329" t="s">
        <v>1856</v>
      </c>
      <c r="B329" t="s">
        <v>5</v>
      </c>
      <c r="C329">
        <v>0</v>
      </c>
      <c r="D329">
        <v>4</v>
      </c>
      <c r="E329">
        <v>0</v>
      </c>
      <c r="F329">
        <v>0</v>
      </c>
      <c r="G329">
        <v>14</v>
      </c>
      <c r="H329" t="s">
        <v>2275</v>
      </c>
      <c r="I329" t="s">
        <v>2283</v>
      </c>
      <c r="J329" t="s">
        <v>2284</v>
      </c>
      <c r="K329" t="s">
        <v>2288</v>
      </c>
      <c r="L329">
        <v>7</v>
      </c>
      <c r="M329">
        <v>5</v>
      </c>
      <c r="N329" t="s">
        <v>2285</v>
      </c>
      <c r="O329" t="s">
        <v>2286</v>
      </c>
      <c r="P329" t="s">
        <v>2276</v>
      </c>
      <c r="Q329" t="s">
        <v>2287</v>
      </c>
      <c r="R329" t="s">
        <v>2289</v>
      </c>
      <c r="S329" t="s">
        <v>147</v>
      </c>
    </row>
    <row r="330" spans="1:19" x14ac:dyDescent="0.3">
      <c r="A330" t="s">
        <v>1863</v>
      </c>
      <c r="B330" t="s">
        <v>5</v>
      </c>
      <c r="C330">
        <v>0</v>
      </c>
      <c r="D330">
        <v>3</v>
      </c>
      <c r="E330">
        <v>0</v>
      </c>
      <c r="F330">
        <v>0</v>
      </c>
      <c r="G330">
        <v>7</v>
      </c>
      <c r="H330" t="s">
        <v>2275</v>
      </c>
      <c r="I330" t="s">
        <v>2283</v>
      </c>
      <c r="J330" t="s">
        <v>2284</v>
      </c>
      <c r="L330">
        <v>4</v>
      </c>
      <c r="M330">
        <v>4</v>
      </c>
      <c r="N330" t="s">
        <v>2285</v>
      </c>
      <c r="O330" t="s">
        <v>2286</v>
      </c>
      <c r="P330" t="s">
        <v>2276</v>
      </c>
      <c r="Q330" t="s">
        <v>2287</v>
      </c>
      <c r="S330" t="s">
        <v>147</v>
      </c>
    </row>
    <row r="331" spans="1:19" x14ac:dyDescent="0.3">
      <c r="A331" t="s">
        <v>1870</v>
      </c>
      <c r="B331" t="s">
        <v>5</v>
      </c>
      <c r="C331">
        <v>0</v>
      </c>
      <c r="D331">
        <v>3</v>
      </c>
      <c r="E331">
        <v>0</v>
      </c>
      <c r="F331">
        <v>0</v>
      </c>
      <c r="G331">
        <v>7</v>
      </c>
      <c r="H331" t="s">
        <v>2275</v>
      </c>
      <c r="I331" t="s">
        <v>2283</v>
      </c>
      <c r="J331" t="s">
        <v>2284</v>
      </c>
      <c r="L331">
        <v>4</v>
      </c>
      <c r="M331">
        <v>4</v>
      </c>
      <c r="N331" t="s">
        <v>2285</v>
      </c>
      <c r="O331" t="s">
        <v>2286</v>
      </c>
      <c r="P331" t="s">
        <v>2276</v>
      </c>
      <c r="Q331" t="s">
        <v>2287</v>
      </c>
      <c r="S331" t="s">
        <v>147</v>
      </c>
    </row>
    <row r="332" spans="1:19" x14ac:dyDescent="0.3">
      <c r="A332" t="s">
        <v>1877</v>
      </c>
      <c r="B332" t="s">
        <v>5</v>
      </c>
      <c r="C332">
        <v>0</v>
      </c>
      <c r="D332">
        <v>3</v>
      </c>
      <c r="E332">
        <v>0</v>
      </c>
      <c r="F332">
        <v>0</v>
      </c>
      <c r="G332">
        <v>7</v>
      </c>
      <c r="H332" t="s">
        <v>2275</v>
      </c>
      <c r="I332" t="s">
        <v>2283</v>
      </c>
      <c r="J332" t="s">
        <v>2284</v>
      </c>
      <c r="L332">
        <v>4</v>
      </c>
      <c r="M332">
        <v>4</v>
      </c>
      <c r="N332" t="s">
        <v>2285</v>
      </c>
      <c r="O332" t="s">
        <v>2286</v>
      </c>
      <c r="P332" t="s">
        <v>2276</v>
      </c>
      <c r="Q332" t="s">
        <v>2287</v>
      </c>
      <c r="S332" t="s">
        <v>147</v>
      </c>
    </row>
    <row r="333" spans="1:19" x14ac:dyDescent="0.3">
      <c r="A333" t="s">
        <v>1884</v>
      </c>
      <c r="B333" t="s">
        <v>5</v>
      </c>
      <c r="C333">
        <v>0</v>
      </c>
      <c r="D333">
        <v>3</v>
      </c>
      <c r="E333">
        <v>0</v>
      </c>
      <c r="F333">
        <v>0</v>
      </c>
      <c r="G333">
        <v>8</v>
      </c>
      <c r="H333" t="s">
        <v>2275</v>
      </c>
      <c r="I333" t="s">
        <v>2283</v>
      </c>
      <c r="J333" t="s">
        <v>2284</v>
      </c>
      <c r="L333">
        <v>4</v>
      </c>
      <c r="M333">
        <v>4</v>
      </c>
      <c r="N333" t="s">
        <v>2285</v>
      </c>
      <c r="O333" t="s">
        <v>2286</v>
      </c>
      <c r="P333" t="s">
        <v>2276</v>
      </c>
      <c r="Q333" t="s">
        <v>2287</v>
      </c>
      <c r="S333" t="s">
        <v>147</v>
      </c>
    </row>
    <row r="334" spans="1:19" x14ac:dyDescent="0.3">
      <c r="A334" t="s">
        <v>1891</v>
      </c>
      <c r="B334" t="s">
        <v>5</v>
      </c>
      <c r="C334">
        <v>0</v>
      </c>
      <c r="D334">
        <v>3</v>
      </c>
      <c r="E334">
        <v>0</v>
      </c>
      <c r="F334">
        <v>0</v>
      </c>
      <c r="G334">
        <v>8</v>
      </c>
      <c r="H334" t="s">
        <v>2275</v>
      </c>
      <c r="I334" t="s">
        <v>2283</v>
      </c>
      <c r="J334" t="s">
        <v>2284</v>
      </c>
      <c r="L334">
        <v>4</v>
      </c>
      <c r="M334">
        <v>4</v>
      </c>
      <c r="N334" t="s">
        <v>2285</v>
      </c>
      <c r="O334" t="s">
        <v>2286</v>
      </c>
      <c r="P334" t="s">
        <v>2276</v>
      </c>
      <c r="Q334" t="s">
        <v>2287</v>
      </c>
      <c r="S334" t="s">
        <v>147</v>
      </c>
    </row>
    <row r="335" spans="1:19" x14ac:dyDescent="0.3">
      <c r="A335" t="s">
        <v>1898</v>
      </c>
      <c r="B335" t="s">
        <v>5</v>
      </c>
      <c r="C335">
        <v>0</v>
      </c>
      <c r="D335">
        <v>3</v>
      </c>
      <c r="E335">
        <v>0</v>
      </c>
      <c r="F335">
        <v>0</v>
      </c>
      <c r="G335">
        <v>8</v>
      </c>
      <c r="H335" t="s">
        <v>2275</v>
      </c>
      <c r="I335" t="s">
        <v>2283</v>
      </c>
      <c r="J335" t="s">
        <v>2284</v>
      </c>
      <c r="L335">
        <v>4</v>
      </c>
      <c r="M335">
        <v>4</v>
      </c>
      <c r="N335" t="s">
        <v>2285</v>
      </c>
      <c r="O335" t="s">
        <v>2286</v>
      </c>
      <c r="P335" t="s">
        <v>2276</v>
      </c>
      <c r="Q335" t="s">
        <v>2287</v>
      </c>
      <c r="S335" t="s">
        <v>147</v>
      </c>
    </row>
    <row r="336" spans="1:19" x14ac:dyDescent="0.3">
      <c r="A336" t="s">
        <v>1905</v>
      </c>
      <c r="B336" t="s">
        <v>5</v>
      </c>
      <c r="C336">
        <v>0</v>
      </c>
      <c r="D336">
        <v>3</v>
      </c>
      <c r="E336">
        <v>0</v>
      </c>
      <c r="F336">
        <v>0</v>
      </c>
      <c r="G336">
        <v>8</v>
      </c>
      <c r="H336" t="s">
        <v>2275</v>
      </c>
      <c r="I336" t="s">
        <v>2283</v>
      </c>
      <c r="J336" t="s">
        <v>2284</v>
      </c>
      <c r="L336">
        <v>4</v>
      </c>
      <c r="M336">
        <v>4</v>
      </c>
      <c r="N336" t="s">
        <v>2285</v>
      </c>
      <c r="O336" t="s">
        <v>2286</v>
      </c>
      <c r="P336" t="s">
        <v>2276</v>
      </c>
      <c r="Q336" t="s">
        <v>2287</v>
      </c>
      <c r="S336" t="s">
        <v>147</v>
      </c>
    </row>
    <row r="337" spans="1:19" x14ac:dyDescent="0.3">
      <c r="A337" t="s">
        <v>1912</v>
      </c>
      <c r="B337" t="s">
        <v>5</v>
      </c>
      <c r="C337">
        <v>0</v>
      </c>
      <c r="D337">
        <v>3</v>
      </c>
      <c r="E337">
        <v>0</v>
      </c>
      <c r="F337">
        <v>0</v>
      </c>
      <c r="G337">
        <v>8</v>
      </c>
      <c r="H337" t="s">
        <v>2275</v>
      </c>
      <c r="I337" t="s">
        <v>2283</v>
      </c>
      <c r="J337" t="s">
        <v>2284</v>
      </c>
      <c r="L337">
        <v>4</v>
      </c>
      <c r="M337">
        <v>4</v>
      </c>
      <c r="N337" t="s">
        <v>2285</v>
      </c>
      <c r="O337" t="s">
        <v>2286</v>
      </c>
      <c r="P337" t="s">
        <v>2276</v>
      </c>
      <c r="Q337" t="s">
        <v>2287</v>
      </c>
      <c r="S337" t="s">
        <v>147</v>
      </c>
    </row>
    <row r="338" spans="1:19" x14ac:dyDescent="0.3">
      <c r="A338" t="s">
        <v>1919</v>
      </c>
      <c r="B338" t="s">
        <v>5</v>
      </c>
      <c r="C338">
        <v>0</v>
      </c>
      <c r="D338">
        <v>3</v>
      </c>
      <c r="E338">
        <v>0</v>
      </c>
      <c r="F338">
        <v>0</v>
      </c>
      <c r="G338">
        <v>7</v>
      </c>
      <c r="H338" t="s">
        <v>2275</v>
      </c>
      <c r="I338" t="s">
        <v>2283</v>
      </c>
      <c r="J338" t="s">
        <v>2284</v>
      </c>
      <c r="L338">
        <v>4</v>
      </c>
      <c r="M338">
        <v>4</v>
      </c>
      <c r="N338" t="s">
        <v>2285</v>
      </c>
      <c r="O338" t="s">
        <v>2286</v>
      </c>
      <c r="P338" t="s">
        <v>2276</v>
      </c>
      <c r="Q338" t="s">
        <v>2287</v>
      </c>
      <c r="S338" t="s">
        <v>147</v>
      </c>
    </row>
    <row r="339" spans="1:19" x14ac:dyDescent="0.3">
      <c r="A339" t="s">
        <v>1927</v>
      </c>
      <c r="B339" t="s">
        <v>5</v>
      </c>
      <c r="C339">
        <v>0</v>
      </c>
      <c r="D339">
        <v>3</v>
      </c>
      <c r="E339">
        <v>0</v>
      </c>
      <c r="F339">
        <v>0</v>
      </c>
      <c r="G339">
        <v>7</v>
      </c>
      <c r="H339" t="s">
        <v>2275</v>
      </c>
      <c r="I339" t="s">
        <v>2283</v>
      </c>
      <c r="J339" t="s">
        <v>2284</v>
      </c>
      <c r="L339">
        <v>4</v>
      </c>
      <c r="M339">
        <v>4</v>
      </c>
      <c r="N339" t="s">
        <v>2285</v>
      </c>
      <c r="O339" t="s">
        <v>2286</v>
      </c>
      <c r="P339" t="s">
        <v>2276</v>
      </c>
      <c r="Q339" t="s">
        <v>2287</v>
      </c>
      <c r="S339" t="s">
        <v>147</v>
      </c>
    </row>
    <row r="340" spans="1:19" x14ac:dyDescent="0.3">
      <c r="A340" t="s">
        <v>1933</v>
      </c>
      <c r="B340" t="s">
        <v>5</v>
      </c>
      <c r="C340">
        <v>0</v>
      </c>
      <c r="D340">
        <v>3</v>
      </c>
      <c r="E340">
        <v>0</v>
      </c>
      <c r="F340">
        <v>0</v>
      </c>
      <c r="G340">
        <v>8</v>
      </c>
      <c r="H340" t="s">
        <v>2275</v>
      </c>
      <c r="I340" t="s">
        <v>2283</v>
      </c>
      <c r="J340" t="s">
        <v>2284</v>
      </c>
      <c r="L340">
        <v>4</v>
      </c>
      <c r="M340">
        <v>4</v>
      </c>
      <c r="N340" t="s">
        <v>2285</v>
      </c>
      <c r="O340" t="s">
        <v>2286</v>
      </c>
      <c r="P340" t="s">
        <v>2276</v>
      </c>
      <c r="Q340" t="s">
        <v>2287</v>
      </c>
      <c r="S340" t="s">
        <v>147</v>
      </c>
    </row>
    <row r="341" spans="1:19" x14ac:dyDescent="0.3">
      <c r="A341" t="s">
        <v>1940</v>
      </c>
      <c r="B341" t="s">
        <v>5</v>
      </c>
      <c r="C341">
        <v>0</v>
      </c>
      <c r="D341">
        <v>3</v>
      </c>
      <c r="E341">
        <v>0</v>
      </c>
      <c r="F341">
        <v>0</v>
      </c>
      <c r="G341">
        <v>8</v>
      </c>
      <c r="H341" t="s">
        <v>2275</v>
      </c>
      <c r="I341" t="s">
        <v>2283</v>
      </c>
      <c r="J341" t="s">
        <v>2284</v>
      </c>
      <c r="L341">
        <v>4</v>
      </c>
      <c r="M341">
        <v>4</v>
      </c>
      <c r="N341" t="s">
        <v>2285</v>
      </c>
      <c r="O341" t="s">
        <v>2286</v>
      </c>
      <c r="P341" t="s">
        <v>2276</v>
      </c>
      <c r="Q341" t="s">
        <v>2287</v>
      </c>
      <c r="S341" t="s">
        <v>147</v>
      </c>
    </row>
    <row r="342" spans="1:19" x14ac:dyDescent="0.3">
      <c r="A342" t="s">
        <v>1947</v>
      </c>
      <c r="B342" t="s">
        <v>5</v>
      </c>
      <c r="C342">
        <v>0</v>
      </c>
      <c r="D342">
        <v>3</v>
      </c>
      <c r="E342">
        <v>0</v>
      </c>
      <c r="F342">
        <v>0</v>
      </c>
      <c r="G342">
        <v>8</v>
      </c>
      <c r="H342" t="s">
        <v>2275</v>
      </c>
      <c r="I342" t="s">
        <v>2283</v>
      </c>
      <c r="J342" t="s">
        <v>2284</v>
      </c>
      <c r="L342">
        <v>4</v>
      </c>
      <c r="M342">
        <v>4</v>
      </c>
      <c r="N342" t="s">
        <v>2285</v>
      </c>
      <c r="O342" t="s">
        <v>2286</v>
      </c>
      <c r="P342" t="s">
        <v>2276</v>
      </c>
      <c r="Q342" t="s">
        <v>2287</v>
      </c>
      <c r="S342" t="s">
        <v>147</v>
      </c>
    </row>
    <row r="343" spans="1:19" x14ac:dyDescent="0.3">
      <c r="A343" t="s">
        <v>1954</v>
      </c>
      <c r="B343" t="s">
        <v>5</v>
      </c>
      <c r="C343">
        <v>0</v>
      </c>
      <c r="D343">
        <v>3</v>
      </c>
      <c r="E343">
        <v>0</v>
      </c>
      <c r="F343">
        <v>0</v>
      </c>
      <c r="G343">
        <v>8</v>
      </c>
      <c r="H343" t="s">
        <v>2275</v>
      </c>
      <c r="I343" t="s">
        <v>2283</v>
      </c>
      <c r="J343" t="s">
        <v>2284</v>
      </c>
      <c r="L343">
        <v>4</v>
      </c>
      <c r="M343">
        <v>4</v>
      </c>
      <c r="N343" t="s">
        <v>2285</v>
      </c>
      <c r="O343" t="s">
        <v>2286</v>
      </c>
      <c r="P343" t="s">
        <v>2276</v>
      </c>
      <c r="Q343" t="s">
        <v>2287</v>
      </c>
      <c r="S343" t="s">
        <v>147</v>
      </c>
    </row>
    <row r="344" spans="1:19" x14ac:dyDescent="0.3">
      <c r="A344" t="s">
        <v>1961</v>
      </c>
      <c r="B344" t="s">
        <v>5</v>
      </c>
      <c r="C344">
        <v>0</v>
      </c>
      <c r="D344">
        <v>3</v>
      </c>
      <c r="E344">
        <v>0</v>
      </c>
      <c r="F344">
        <v>0</v>
      </c>
      <c r="G344">
        <v>8</v>
      </c>
      <c r="H344" t="s">
        <v>2275</v>
      </c>
      <c r="I344" t="s">
        <v>2283</v>
      </c>
      <c r="J344" t="s">
        <v>2284</v>
      </c>
      <c r="L344">
        <v>4</v>
      </c>
      <c r="M344">
        <v>4</v>
      </c>
      <c r="N344" t="s">
        <v>2285</v>
      </c>
      <c r="O344" t="s">
        <v>2286</v>
      </c>
      <c r="P344" t="s">
        <v>2276</v>
      </c>
      <c r="Q344" t="s">
        <v>2287</v>
      </c>
      <c r="S344" t="s">
        <v>147</v>
      </c>
    </row>
    <row r="345" spans="1:19" x14ac:dyDescent="0.3">
      <c r="A345" t="s">
        <v>1968</v>
      </c>
      <c r="B345" t="s">
        <v>5</v>
      </c>
      <c r="C345">
        <v>0</v>
      </c>
      <c r="D345">
        <v>3</v>
      </c>
      <c r="E345">
        <v>0</v>
      </c>
      <c r="F345">
        <v>0</v>
      </c>
      <c r="G345">
        <v>8</v>
      </c>
      <c r="H345" t="s">
        <v>2275</v>
      </c>
      <c r="I345" t="s">
        <v>2283</v>
      </c>
      <c r="J345" t="s">
        <v>2284</v>
      </c>
      <c r="L345">
        <v>4</v>
      </c>
      <c r="M345">
        <v>4</v>
      </c>
      <c r="N345" t="s">
        <v>2285</v>
      </c>
      <c r="O345" t="s">
        <v>2286</v>
      </c>
      <c r="P345" t="s">
        <v>2276</v>
      </c>
      <c r="Q345" t="s">
        <v>2287</v>
      </c>
      <c r="S345" t="s">
        <v>147</v>
      </c>
    </row>
    <row r="346" spans="1:19" x14ac:dyDescent="0.3">
      <c r="A346" t="s">
        <v>1975</v>
      </c>
      <c r="B346" t="s">
        <v>5</v>
      </c>
      <c r="C346">
        <v>0</v>
      </c>
      <c r="D346">
        <v>3</v>
      </c>
      <c r="E346">
        <v>0</v>
      </c>
      <c r="F346">
        <v>0</v>
      </c>
      <c r="G346">
        <v>8</v>
      </c>
      <c r="H346" t="s">
        <v>2275</v>
      </c>
      <c r="I346" t="s">
        <v>2283</v>
      </c>
      <c r="J346" t="s">
        <v>2284</v>
      </c>
      <c r="L346">
        <v>4</v>
      </c>
      <c r="M346">
        <v>4</v>
      </c>
      <c r="N346" t="s">
        <v>2285</v>
      </c>
      <c r="O346" t="s">
        <v>2286</v>
      </c>
      <c r="P346" t="s">
        <v>2276</v>
      </c>
      <c r="Q346" t="s">
        <v>2287</v>
      </c>
      <c r="S346" t="s">
        <v>147</v>
      </c>
    </row>
    <row r="347" spans="1:19" x14ac:dyDescent="0.3">
      <c r="A347" t="s">
        <v>1983</v>
      </c>
      <c r="B347" t="s">
        <v>5</v>
      </c>
      <c r="C347">
        <v>0</v>
      </c>
      <c r="D347">
        <v>3</v>
      </c>
      <c r="E347">
        <v>0</v>
      </c>
      <c r="F347">
        <v>0</v>
      </c>
      <c r="G347">
        <v>8</v>
      </c>
      <c r="H347" t="s">
        <v>2275</v>
      </c>
      <c r="I347" t="s">
        <v>2283</v>
      </c>
      <c r="J347" t="s">
        <v>2284</v>
      </c>
      <c r="L347">
        <v>4</v>
      </c>
      <c r="M347">
        <v>4</v>
      </c>
      <c r="N347" t="s">
        <v>2285</v>
      </c>
      <c r="O347" t="s">
        <v>2286</v>
      </c>
      <c r="P347" t="s">
        <v>2276</v>
      </c>
      <c r="Q347" t="s">
        <v>2287</v>
      </c>
      <c r="S347" t="s">
        <v>147</v>
      </c>
    </row>
    <row r="348" spans="1:19" x14ac:dyDescent="0.3">
      <c r="A348" t="s">
        <v>1989</v>
      </c>
      <c r="B348" t="s">
        <v>5</v>
      </c>
      <c r="C348">
        <v>0</v>
      </c>
      <c r="D348">
        <v>4</v>
      </c>
      <c r="E348">
        <v>0</v>
      </c>
      <c r="F348">
        <v>0</v>
      </c>
      <c r="G348">
        <v>62</v>
      </c>
      <c r="H348" t="s">
        <v>2275</v>
      </c>
      <c r="I348" t="s">
        <v>2283</v>
      </c>
      <c r="J348" t="s">
        <v>2284</v>
      </c>
      <c r="K348" t="s">
        <v>2288</v>
      </c>
      <c r="L348">
        <v>23</v>
      </c>
      <c r="M348">
        <v>5</v>
      </c>
      <c r="N348" t="s">
        <v>2285</v>
      </c>
      <c r="O348" t="s">
        <v>2286</v>
      </c>
      <c r="P348" t="s">
        <v>2276</v>
      </c>
      <c r="Q348" t="s">
        <v>2287</v>
      </c>
      <c r="R348" t="s">
        <v>2289</v>
      </c>
      <c r="S348" t="s">
        <v>147</v>
      </c>
    </row>
    <row r="349" spans="1:19" x14ac:dyDescent="0.3">
      <c r="A349" t="s">
        <v>1996</v>
      </c>
      <c r="B349" t="s">
        <v>5</v>
      </c>
      <c r="C349">
        <v>0</v>
      </c>
      <c r="D349">
        <v>3</v>
      </c>
      <c r="E349">
        <v>0</v>
      </c>
      <c r="F349">
        <v>0</v>
      </c>
      <c r="G349">
        <v>7</v>
      </c>
      <c r="H349" t="s">
        <v>2275</v>
      </c>
      <c r="I349" t="s">
        <v>2283</v>
      </c>
      <c r="J349" t="s">
        <v>2284</v>
      </c>
      <c r="L349">
        <v>4</v>
      </c>
      <c r="M349">
        <v>4</v>
      </c>
      <c r="N349" t="s">
        <v>2285</v>
      </c>
      <c r="O349" t="s">
        <v>2286</v>
      </c>
      <c r="P349" t="s">
        <v>2276</v>
      </c>
      <c r="Q349" t="s">
        <v>2287</v>
      </c>
      <c r="S349" t="s">
        <v>147</v>
      </c>
    </row>
    <row r="350" spans="1:19" x14ac:dyDescent="0.3">
      <c r="A350" t="s">
        <v>2002</v>
      </c>
      <c r="B350" t="s">
        <v>5</v>
      </c>
      <c r="C350">
        <v>0</v>
      </c>
      <c r="D350">
        <v>4</v>
      </c>
      <c r="E350">
        <v>0</v>
      </c>
      <c r="F350">
        <v>0</v>
      </c>
      <c r="G350">
        <v>20</v>
      </c>
      <c r="H350" t="s">
        <v>2275</v>
      </c>
      <c r="I350" t="s">
        <v>2283</v>
      </c>
      <c r="J350" t="s">
        <v>2284</v>
      </c>
      <c r="K350" t="s">
        <v>2288</v>
      </c>
      <c r="L350">
        <v>9</v>
      </c>
      <c r="M350">
        <v>5</v>
      </c>
      <c r="N350" t="s">
        <v>2285</v>
      </c>
      <c r="O350" t="s">
        <v>2286</v>
      </c>
      <c r="P350" t="s">
        <v>2276</v>
      </c>
      <c r="Q350" t="s">
        <v>2287</v>
      </c>
      <c r="R350" t="s">
        <v>2289</v>
      </c>
      <c r="S350" t="s">
        <v>147</v>
      </c>
    </row>
    <row r="351" spans="1:19" x14ac:dyDescent="0.3">
      <c r="A351" t="s">
        <v>2008</v>
      </c>
      <c r="B351" t="s">
        <v>5</v>
      </c>
      <c r="C351">
        <v>0</v>
      </c>
      <c r="D351">
        <v>4</v>
      </c>
      <c r="E351">
        <v>0</v>
      </c>
      <c r="F351">
        <v>0</v>
      </c>
      <c r="G351">
        <v>26</v>
      </c>
      <c r="H351" t="s">
        <v>2275</v>
      </c>
      <c r="I351" t="s">
        <v>2283</v>
      </c>
      <c r="J351" t="s">
        <v>2284</v>
      </c>
      <c r="K351" t="s">
        <v>2288</v>
      </c>
      <c r="L351">
        <v>11</v>
      </c>
      <c r="M351">
        <v>5</v>
      </c>
      <c r="N351" t="s">
        <v>2285</v>
      </c>
      <c r="O351" t="s">
        <v>2286</v>
      </c>
      <c r="P351" t="s">
        <v>2276</v>
      </c>
      <c r="Q351" t="s">
        <v>2287</v>
      </c>
      <c r="R351" t="s">
        <v>2289</v>
      </c>
      <c r="S351" t="s">
        <v>147</v>
      </c>
    </row>
    <row r="352" spans="1:19" x14ac:dyDescent="0.3">
      <c r="A352" t="s">
        <v>2015</v>
      </c>
      <c r="B352" t="s">
        <v>5</v>
      </c>
      <c r="C352">
        <v>0</v>
      </c>
      <c r="D352">
        <v>4</v>
      </c>
      <c r="E352">
        <v>0</v>
      </c>
      <c r="F352">
        <v>0</v>
      </c>
      <c r="G352">
        <v>26</v>
      </c>
      <c r="H352" t="s">
        <v>2275</v>
      </c>
      <c r="I352" t="s">
        <v>2283</v>
      </c>
      <c r="J352" t="s">
        <v>2284</v>
      </c>
      <c r="K352" t="s">
        <v>2288</v>
      </c>
      <c r="L352">
        <v>11</v>
      </c>
      <c r="M352">
        <v>5</v>
      </c>
      <c r="N352" t="s">
        <v>2285</v>
      </c>
      <c r="O352" t="s">
        <v>2286</v>
      </c>
      <c r="P352" t="s">
        <v>2276</v>
      </c>
      <c r="Q352" t="s">
        <v>2287</v>
      </c>
      <c r="R352" t="s">
        <v>2289</v>
      </c>
      <c r="S352" t="s">
        <v>147</v>
      </c>
    </row>
    <row r="353" spans="1:19" x14ac:dyDescent="0.3">
      <c r="A353" t="s">
        <v>2022</v>
      </c>
      <c r="B353" t="s">
        <v>5</v>
      </c>
      <c r="C353">
        <v>0</v>
      </c>
      <c r="D353">
        <v>3</v>
      </c>
      <c r="E353">
        <v>0</v>
      </c>
      <c r="F353">
        <v>0</v>
      </c>
      <c r="G353">
        <v>8</v>
      </c>
      <c r="H353" t="s">
        <v>2275</v>
      </c>
      <c r="I353" t="s">
        <v>2283</v>
      </c>
      <c r="J353" t="s">
        <v>2284</v>
      </c>
      <c r="L353">
        <v>4</v>
      </c>
      <c r="M353">
        <v>4</v>
      </c>
      <c r="N353" t="s">
        <v>2285</v>
      </c>
      <c r="O353" t="s">
        <v>2286</v>
      </c>
      <c r="P353" t="s">
        <v>2276</v>
      </c>
      <c r="Q353" t="s">
        <v>2287</v>
      </c>
      <c r="S353" t="s">
        <v>147</v>
      </c>
    </row>
    <row r="354" spans="1:19" x14ac:dyDescent="0.3">
      <c r="A354" t="s">
        <v>2029</v>
      </c>
      <c r="B354" t="s">
        <v>5</v>
      </c>
      <c r="C354">
        <v>0</v>
      </c>
      <c r="D354">
        <v>3</v>
      </c>
      <c r="E354">
        <v>0</v>
      </c>
      <c r="F354">
        <v>0</v>
      </c>
      <c r="G354">
        <v>8</v>
      </c>
      <c r="H354" t="s">
        <v>2275</v>
      </c>
      <c r="I354" t="s">
        <v>2283</v>
      </c>
      <c r="J354" t="s">
        <v>2284</v>
      </c>
      <c r="L354">
        <v>4</v>
      </c>
      <c r="M354">
        <v>4</v>
      </c>
      <c r="N354" t="s">
        <v>2285</v>
      </c>
      <c r="O354" t="s">
        <v>2286</v>
      </c>
      <c r="P354" t="s">
        <v>2276</v>
      </c>
      <c r="Q354" t="s">
        <v>2287</v>
      </c>
      <c r="S354" t="s">
        <v>147</v>
      </c>
    </row>
    <row r="355" spans="1:19" x14ac:dyDescent="0.3">
      <c r="A355" t="s">
        <v>2036</v>
      </c>
      <c r="B355" t="s">
        <v>5</v>
      </c>
      <c r="C355">
        <v>0</v>
      </c>
      <c r="D355">
        <v>3</v>
      </c>
      <c r="E355">
        <v>0</v>
      </c>
      <c r="F355">
        <v>0</v>
      </c>
      <c r="G355">
        <v>8</v>
      </c>
      <c r="H355" t="s">
        <v>2275</v>
      </c>
      <c r="I355" t="s">
        <v>2283</v>
      </c>
      <c r="J355" t="s">
        <v>2284</v>
      </c>
      <c r="L355">
        <v>4</v>
      </c>
      <c r="M355">
        <v>4</v>
      </c>
      <c r="N355" t="s">
        <v>2285</v>
      </c>
      <c r="O355" t="s">
        <v>2286</v>
      </c>
      <c r="P355" t="s">
        <v>2276</v>
      </c>
      <c r="Q355" t="s">
        <v>2287</v>
      </c>
      <c r="S355" t="s">
        <v>147</v>
      </c>
    </row>
    <row r="356" spans="1:19" x14ac:dyDescent="0.3">
      <c r="A356" t="s">
        <v>2043</v>
      </c>
      <c r="B356" t="s">
        <v>5</v>
      </c>
      <c r="C356">
        <v>0</v>
      </c>
      <c r="D356">
        <v>3</v>
      </c>
      <c r="E356">
        <v>0</v>
      </c>
      <c r="F356">
        <v>0</v>
      </c>
      <c r="G356">
        <v>7</v>
      </c>
      <c r="H356" t="s">
        <v>2275</v>
      </c>
      <c r="I356" t="s">
        <v>2283</v>
      </c>
      <c r="J356" t="s">
        <v>2284</v>
      </c>
      <c r="L356">
        <v>4</v>
      </c>
      <c r="M356">
        <v>4</v>
      </c>
      <c r="N356" t="s">
        <v>2285</v>
      </c>
      <c r="O356" t="s">
        <v>2286</v>
      </c>
      <c r="P356" t="s">
        <v>2276</v>
      </c>
      <c r="Q356" t="s">
        <v>2287</v>
      </c>
      <c r="S356" t="s">
        <v>147</v>
      </c>
    </row>
    <row r="357" spans="1:19" x14ac:dyDescent="0.3">
      <c r="A357" t="s">
        <v>2050</v>
      </c>
      <c r="B357" t="s">
        <v>5</v>
      </c>
      <c r="C357">
        <v>0</v>
      </c>
      <c r="D357">
        <v>3</v>
      </c>
      <c r="E357">
        <v>0</v>
      </c>
      <c r="F357">
        <v>0</v>
      </c>
      <c r="G357">
        <v>7</v>
      </c>
      <c r="H357" t="s">
        <v>2275</v>
      </c>
      <c r="I357" t="s">
        <v>2283</v>
      </c>
      <c r="J357" t="s">
        <v>2284</v>
      </c>
      <c r="L357">
        <v>4</v>
      </c>
      <c r="M357">
        <v>4</v>
      </c>
      <c r="N357" t="s">
        <v>2285</v>
      </c>
      <c r="O357" t="s">
        <v>2286</v>
      </c>
      <c r="P357" t="s">
        <v>2276</v>
      </c>
      <c r="Q357" t="s">
        <v>2287</v>
      </c>
      <c r="S357" t="s">
        <v>147</v>
      </c>
    </row>
    <row r="358" spans="1:19" x14ac:dyDescent="0.3">
      <c r="A358" t="s">
        <v>2057</v>
      </c>
      <c r="B358" t="s">
        <v>5</v>
      </c>
      <c r="C358">
        <v>0</v>
      </c>
      <c r="D358">
        <v>3</v>
      </c>
      <c r="E358">
        <v>0</v>
      </c>
      <c r="F358">
        <v>0</v>
      </c>
      <c r="G358">
        <v>7</v>
      </c>
      <c r="H358" t="s">
        <v>2275</v>
      </c>
      <c r="I358" t="s">
        <v>2283</v>
      </c>
      <c r="J358" t="s">
        <v>2284</v>
      </c>
      <c r="L358">
        <v>4</v>
      </c>
      <c r="M358">
        <v>4</v>
      </c>
      <c r="N358" t="s">
        <v>2285</v>
      </c>
      <c r="O358" t="s">
        <v>2286</v>
      </c>
      <c r="P358" t="s">
        <v>2276</v>
      </c>
      <c r="Q358" t="s">
        <v>2287</v>
      </c>
      <c r="S358" t="s">
        <v>147</v>
      </c>
    </row>
    <row r="359" spans="1:19" x14ac:dyDescent="0.3">
      <c r="A359" t="s">
        <v>2064</v>
      </c>
      <c r="B359" t="s">
        <v>5</v>
      </c>
      <c r="C359">
        <v>0</v>
      </c>
      <c r="D359">
        <v>3</v>
      </c>
      <c r="E359">
        <v>0</v>
      </c>
      <c r="F359">
        <v>0</v>
      </c>
      <c r="G359">
        <v>7</v>
      </c>
      <c r="H359" t="s">
        <v>2275</v>
      </c>
      <c r="I359" t="s">
        <v>2283</v>
      </c>
      <c r="J359" t="s">
        <v>2284</v>
      </c>
      <c r="L359">
        <v>4</v>
      </c>
      <c r="M359">
        <v>4</v>
      </c>
      <c r="N359" t="s">
        <v>2285</v>
      </c>
      <c r="O359" t="s">
        <v>2286</v>
      </c>
      <c r="P359" t="s">
        <v>2276</v>
      </c>
      <c r="Q359" t="s">
        <v>2287</v>
      </c>
      <c r="S359" t="s">
        <v>147</v>
      </c>
    </row>
    <row r="360" spans="1:19" x14ac:dyDescent="0.3">
      <c r="A360" t="s">
        <v>2071</v>
      </c>
      <c r="B360" t="s">
        <v>5</v>
      </c>
      <c r="C360">
        <v>0</v>
      </c>
      <c r="D360">
        <v>3</v>
      </c>
      <c r="E360">
        <v>0</v>
      </c>
      <c r="F360">
        <v>0</v>
      </c>
      <c r="G360">
        <v>7</v>
      </c>
      <c r="H360" t="s">
        <v>2275</v>
      </c>
      <c r="I360" t="s">
        <v>2283</v>
      </c>
      <c r="J360" t="s">
        <v>2284</v>
      </c>
      <c r="L360">
        <v>4</v>
      </c>
      <c r="M360">
        <v>4</v>
      </c>
      <c r="N360" t="s">
        <v>2285</v>
      </c>
      <c r="O360" t="s">
        <v>2286</v>
      </c>
      <c r="P360" t="s">
        <v>2276</v>
      </c>
      <c r="Q360" t="s">
        <v>2287</v>
      </c>
      <c r="S360" t="s">
        <v>147</v>
      </c>
    </row>
    <row r="361" spans="1:19" x14ac:dyDescent="0.3">
      <c r="A361" t="s">
        <v>2078</v>
      </c>
      <c r="B361" t="s">
        <v>5</v>
      </c>
      <c r="C361">
        <v>0</v>
      </c>
      <c r="D361">
        <v>3</v>
      </c>
      <c r="E361">
        <v>0</v>
      </c>
      <c r="F361">
        <v>0</v>
      </c>
      <c r="G361">
        <v>7</v>
      </c>
      <c r="H361" t="s">
        <v>2275</v>
      </c>
      <c r="I361" t="s">
        <v>2283</v>
      </c>
      <c r="J361" t="s">
        <v>2284</v>
      </c>
      <c r="L361">
        <v>4</v>
      </c>
      <c r="M361">
        <v>4</v>
      </c>
      <c r="N361" t="s">
        <v>2285</v>
      </c>
      <c r="O361" t="s">
        <v>2286</v>
      </c>
      <c r="P361" t="s">
        <v>2276</v>
      </c>
      <c r="Q361" t="s">
        <v>2287</v>
      </c>
      <c r="S361" t="s">
        <v>147</v>
      </c>
    </row>
    <row r="362" spans="1:19" x14ac:dyDescent="0.3">
      <c r="A362" t="s">
        <v>2085</v>
      </c>
      <c r="B362" t="s">
        <v>5</v>
      </c>
      <c r="C362">
        <v>0</v>
      </c>
      <c r="D362">
        <v>3</v>
      </c>
      <c r="E362">
        <v>0</v>
      </c>
      <c r="F362">
        <v>0</v>
      </c>
      <c r="G362">
        <v>7</v>
      </c>
      <c r="H362" t="s">
        <v>2275</v>
      </c>
      <c r="I362" t="s">
        <v>2283</v>
      </c>
      <c r="J362" t="s">
        <v>2284</v>
      </c>
      <c r="L362">
        <v>4</v>
      </c>
      <c r="M362">
        <v>4</v>
      </c>
      <c r="N362" t="s">
        <v>2285</v>
      </c>
      <c r="O362" t="s">
        <v>2286</v>
      </c>
      <c r="P362" t="s">
        <v>2276</v>
      </c>
      <c r="Q362" t="s">
        <v>2287</v>
      </c>
      <c r="S362" t="s">
        <v>147</v>
      </c>
    </row>
    <row r="363" spans="1:19" x14ac:dyDescent="0.3">
      <c r="A363" t="s">
        <v>2092</v>
      </c>
      <c r="B363" t="s">
        <v>5</v>
      </c>
      <c r="C363">
        <v>0</v>
      </c>
      <c r="D363">
        <v>3</v>
      </c>
      <c r="E363">
        <v>0</v>
      </c>
      <c r="F363">
        <v>0</v>
      </c>
      <c r="G363">
        <v>7</v>
      </c>
      <c r="H363" t="s">
        <v>2275</v>
      </c>
      <c r="I363" t="s">
        <v>2283</v>
      </c>
      <c r="J363" t="s">
        <v>2284</v>
      </c>
      <c r="L363">
        <v>4</v>
      </c>
      <c r="M363">
        <v>4</v>
      </c>
      <c r="N363" t="s">
        <v>2285</v>
      </c>
      <c r="O363" t="s">
        <v>2286</v>
      </c>
      <c r="P363" t="s">
        <v>2276</v>
      </c>
      <c r="Q363" t="s">
        <v>2287</v>
      </c>
      <c r="S363" t="s">
        <v>147</v>
      </c>
    </row>
    <row r="364" spans="1:19" x14ac:dyDescent="0.3">
      <c r="A364" t="s">
        <v>2099</v>
      </c>
      <c r="B364" t="s">
        <v>5</v>
      </c>
      <c r="C364">
        <v>0</v>
      </c>
      <c r="D364">
        <v>3</v>
      </c>
      <c r="E364">
        <v>0</v>
      </c>
      <c r="F364">
        <v>0</v>
      </c>
      <c r="G364">
        <v>7</v>
      </c>
      <c r="H364" t="s">
        <v>2275</v>
      </c>
      <c r="I364" t="s">
        <v>2283</v>
      </c>
      <c r="J364" t="s">
        <v>2284</v>
      </c>
      <c r="L364">
        <v>4</v>
      </c>
      <c r="M364">
        <v>4</v>
      </c>
      <c r="N364" t="s">
        <v>2285</v>
      </c>
      <c r="O364" t="s">
        <v>2286</v>
      </c>
      <c r="P364" t="s">
        <v>2276</v>
      </c>
      <c r="Q364" t="s">
        <v>2287</v>
      </c>
      <c r="S364" t="s">
        <v>147</v>
      </c>
    </row>
    <row r="365" spans="1:19" x14ac:dyDescent="0.3">
      <c r="A365" t="s">
        <v>2105</v>
      </c>
      <c r="B365" t="s">
        <v>5</v>
      </c>
      <c r="C365">
        <v>0</v>
      </c>
      <c r="D365">
        <v>3</v>
      </c>
      <c r="E365">
        <v>0</v>
      </c>
      <c r="F365">
        <v>0</v>
      </c>
      <c r="G365">
        <v>8</v>
      </c>
      <c r="H365" t="s">
        <v>2275</v>
      </c>
      <c r="I365" t="s">
        <v>2283</v>
      </c>
      <c r="J365" t="s">
        <v>2284</v>
      </c>
      <c r="L365">
        <v>4</v>
      </c>
      <c r="M365">
        <v>4</v>
      </c>
      <c r="N365" t="s">
        <v>2285</v>
      </c>
      <c r="O365" t="s">
        <v>2286</v>
      </c>
      <c r="P365" t="s">
        <v>2276</v>
      </c>
      <c r="Q365" t="s">
        <v>2287</v>
      </c>
      <c r="S365" t="s">
        <v>147</v>
      </c>
    </row>
    <row r="366" spans="1:19" x14ac:dyDescent="0.3">
      <c r="A366" t="s">
        <v>2113</v>
      </c>
      <c r="B366" t="s">
        <v>5</v>
      </c>
      <c r="C366">
        <v>0</v>
      </c>
      <c r="D366">
        <v>3</v>
      </c>
      <c r="E366">
        <v>0</v>
      </c>
      <c r="F366">
        <v>0</v>
      </c>
      <c r="G366">
        <v>8</v>
      </c>
      <c r="H366" t="s">
        <v>2275</v>
      </c>
      <c r="I366" t="s">
        <v>2283</v>
      </c>
      <c r="J366" t="s">
        <v>2284</v>
      </c>
      <c r="L366">
        <v>4</v>
      </c>
      <c r="M366">
        <v>4</v>
      </c>
      <c r="N366" t="s">
        <v>2285</v>
      </c>
      <c r="O366" t="s">
        <v>2286</v>
      </c>
      <c r="P366" t="s">
        <v>2276</v>
      </c>
      <c r="Q366" t="s">
        <v>2287</v>
      </c>
      <c r="S366" t="s">
        <v>147</v>
      </c>
    </row>
    <row r="367" spans="1:19" x14ac:dyDescent="0.3">
      <c r="A367" t="s">
        <v>2120</v>
      </c>
      <c r="B367" t="s">
        <v>5</v>
      </c>
      <c r="C367">
        <v>0</v>
      </c>
      <c r="D367">
        <v>3</v>
      </c>
      <c r="E367">
        <v>0</v>
      </c>
      <c r="F367">
        <v>0</v>
      </c>
      <c r="G367">
        <v>8</v>
      </c>
      <c r="H367" t="s">
        <v>2275</v>
      </c>
      <c r="I367" t="s">
        <v>2283</v>
      </c>
      <c r="J367" t="s">
        <v>2284</v>
      </c>
      <c r="L367">
        <v>4</v>
      </c>
      <c r="M367">
        <v>4</v>
      </c>
      <c r="N367" t="s">
        <v>2285</v>
      </c>
      <c r="O367" t="s">
        <v>2286</v>
      </c>
      <c r="P367" t="s">
        <v>2276</v>
      </c>
      <c r="Q367" t="s">
        <v>2287</v>
      </c>
      <c r="S367" t="s">
        <v>147</v>
      </c>
    </row>
    <row r="368" spans="1:19" x14ac:dyDescent="0.3">
      <c r="A368" t="s">
        <v>2126</v>
      </c>
      <c r="B368" t="s">
        <v>5</v>
      </c>
      <c r="C368">
        <v>0</v>
      </c>
      <c r="D368">
        <v>3</v>
      </c>
      <c r="E368">
        <v>0</v>
      </c>
      <c r="F368">
        <v>0</v>
      </c>
      <c r="G368">
        <v>8</v>
      </c>
      <c r="H368" t="s">
        <v>2275</v>
      </c>
      <c r="I368" t="s">
        <v>2283</v>
      </c>
      <c r="J368" t="s">
        <v>2284</v>
      </c>
      <c r="L368">
        <v>4</v>
      </c>
      <c r="M368">
        <v>4</v>
      </c>
      <c r="N368" t="s">
        <v>2285</v>
      </c>
      <c r="O368" t="s">
        <v>2286</v>
      </c>
      <c r="P368" t="s">
        <v>2276</v>
      </c>
      <c r="Q368" t="s">
        <v>2287</v>
      </c>
      <c r="S368" t="s">
        <v>147</v>
      </c>
    </row>
    <row r="369" spans="1:19" x14ac:dyDescent="0.3">
      <c r="A369" t="s">
        <v>2133</v>
      </c>
      <c r="B369" t="s">
        <v>5</v>
      </c>
      <c r="C369">
        <v>0</v>
      </c>
      <c r="D369">
        <v>3</v>
      </c>
      <c r="E369">
        <v>0</v>
      </c>
      <c r="F369">
        <v>0</v>
      </c>
      <c r="G369">
        <v>8</v>
      </c>
      <c r="H369" t="s">
        <v>2275</v>
      </c>
      <c r="I369" t="s">
        <v>2283</v>
      </c>
      <c r="J369" t="s">
        <v>2284</v>
      </c>
      <c r="L369">
        <v>4</v>
      </c>
      <c r="M369">
        <v>4</v>
      </c>
      <c r="N369" t="s">
        <v>2285</v>
      </c>
      <c r="O369" t="s">
        <v>2286</v>
      </c>
      <c r="P369" t="s">
        <v>2276</v>
      </c>
      <c r="Q369" t="s">
        <v>2287</v>
      </c>
      <c r="S369" t="s">
        <v>147</v>
      </c>
    </row>
    <row r="370" spans="1:19" x14ac:dyDescent="0.3">
      <c r="A370" t="s">
        <v>2140</v>
      </c>
      <c r="B370" t="s">
        <v>5</v>
      </c>
      <c r="C370">
        <v>0</v>
      </c>
      <c r="D370">
        <v>3</v>
      </c>
      <c r="E370">
        <v>0</v>
      </c>
      <c r="F370">
        <v>0</v>
      </c>
      <c r="G370">
        <v>8</v>
      </c>
      <c r="H370" t="s">
        <v>2275</v>
      </c>
      <c r="I370" t="s">
        <v>2283</v>
      </c>
      <c r="J370" t="s">
        <v>2284</v>
      </c>
      <c r="L370">
        <v>4</v>
      </c>
      <c r="M370">
        <v>4</v>
      </c>
      <c r="N370" t="s">
        <v>2285</v>
      </c>
      <c r="O370" t="s">
        <v>2286</v>
      </c>
      <c r="P370" t="s">
        <v>2276</v>
      </c>
      <c r="Q370" t="s">
        <v>2287</v>
      </c>
      <c r="S370" t="s">
        <v>147</v>
      </c>
    </row>
    <row r="371" spans="1:19" x14ac:dyDescent="0.3">
      <c r="A371" t="s">
        <v>2147</v>
      </c>
      <c r="B371" t="s">
        <v>5</v>
      </c>
      <c r="C371">
        <v>0</v>
      </c>
      <c r="D371">
        <v>4</v>
      </c>
      <c r="E371">
        <v>0</v>
      </c>
      <c r="F371">
        <v>0</v>
      </c>
      <c r="G371">
        <v>14</v>
      </c>
      <c r="H371" t="s">
        <v>2275</v>
      </c>
      <c r="I371" t="s">
        <v>2283</v>
      </c>
      <c r="J371" t="s">
        <v>2284</v>
      </c>
      <c r="K371" t="s">
        <v>2288</v>
      </c>
      <c r="L371">
        <v>7</v>
      </c>
      <c r="M371">
        <v>5</v>
      </c>
      <c r="N371" t="s">
        <v>2285</v>
      </c>
      <c r="O371" t="s">
        <v>2286</v>
      </c>
      <c r="P371" t="s">
        <v>2276</v>
      </c>
      <c r="Q371" t="s">
        <v>2287</v>
      </c>
      <c r="R371" t="s">
        <v>2289</v>
      </c>
      <c r="S371" t="s">
        <v>147</v>
      </c>
    </row>
    <row r="372" spans="1:19" x14ac:dyDescent="0.3">
      <c r="A372" t="s">
        <v>2155</v>
      </c>
      <c r="B372" t="s">
        <v>5</v>
      </c>
      <c r="C372">
        <v>0</v>
      </c>
      <c r="D372">
        <v>4</v>
      </c>
      <c r="E372">
        <v>0</v>
      </c>
      <c r="F372">
        <v>0</v>
      </c>
      <c r="G372">
        <v>14</v>
      </c>
      <c r="H372" t="s">
        <v>2275</v>
      </c>
      <c r="I372" t="s">
        <v>2283</v>
      </c>
      <c r="J372" t="s">
        <v>2284</v>
      </c>
      <c r="K372" t="s">
        <v>2288</v>
      </c>
      <c r="L372">
        <v>7</v>
      </c>
      <c r="M372">
        <v>5</v>
      </c>
      <c r="N372" t="s">
        <v>2285</v>
      </c>
      <c r="O372" t="s">
        <v>2286</v>
      </c>
      <c r="P372" t="s">
        <v>2276</v>
      </c>
      <c r="Q372" t="s">
        <v>2287</v>
      </c>
      <c r="R372" t="s">
        <v>2289</v>
      </c>
      <c r="S372" t="s">
        <v>147</v>
      </c>
    </row>
    <row r="373" spans="1:19" x14ac:dyDescent="0.3">
      <c r="A373" t="s">
        <v>2162</v>
      </c>
      <c r="B373" t="s">
        <v>5</v>
      </c>
      <c r="C373">
        <v>0</v>
      </c>
      <c r="D373">
        <v>4</v>
      </c>
      <c r="E373">
        <v>0</v>
      </c>
      <c r="F373">
        <v>0</v>
      </c>
      <c r="G373">
        <v>20</v>
      </c>
      <c r="H373" t="s">
        <v>2275</v>
      </c>
      <c r="I373" t="s">
        <v>2283</v>
      </c>
      <c r="J373" t="s">
        <v>2284</v>
      </c>
      <c r="K373" t="s">
        <v>2288</v>
      </c>
      <c r="L373">
        <v>9</v>
      </c>
      <c r="M373">
        <v>5</v>
      </c>
      <c r="N373" t="s">
        <v>2285</v>
      </c>
      <c r="O373" t="s">
        <v>2286</v>
      </c>
      <c r="P373" t="s">
        <v>2276</v>
      </c>
      <c r="Q373" t="s">
        <v>2287</v>
      </c>
      <c r="R373" t="s">
        <v>2289</v>
      </c>
      <c r="S373" t="s">
        <v>147</v>
      </c>
    </row>
    <row r="374" spans="1:19" x14ac:dyDescent="0.3">
      <c r="A374" t="s">
        <v>2169</v>
      </c>
      <c r="B374" t="s">
        <v>5</v>
      </c>
      <c r="C374">
        <v>0</v>
      </c>
      <c r="D374">
        <v>3</v>
      </c>
      <c r="E374">
        <v>0</v>
      </c>
      <c r="F374">
        <v>0</v>
      </c>
      <c r="G374">
        <v>8</v>
      </c>
      <c r="H374" t="s">
        <v>2275</v>
      </c>
      <c r="I374" t="s">
        <v>2283</v>
      </c>
      <c r="J374" t="s">
        <v>2284</v>
      </c>
      <c r="L374">
        <v>4</v>
      </c>
      <c r="M374">
        <v>4</v>
      </c>
      <c r="N374" t="s">
        <v>2285</v>
      </c>
      <c r="O374" t="s">
        <v>2286</v>
      </c>
      <c r="P374" t="s">
        <v>2276</v>
      </c>
      <c r="Q374" t="s">
        <v>2287</v>
      </c>
      <c r="S374" t="s">
        <v>147</v>
      </c>
    </row>
    <row r="375" spans="1:19" x14ac:dyDescent="0.3">
      <c r="A375" t="s">
        <v>2173</v>
      </c>
      <c r="B375" t="s">
        <v>5</v>
      </c>
      <c r="C375">
        <v>0</v>
      </c>
      <c r="D375">
        <v>3</v>
      </c>
      <c r="E375">
        <v>0</v>
      </c>
      <c r="F375">
        <v>0</v>
      </c>
      <c r="G375">
        <v>7</v>
      </c>
      <c r="H375" t="s">
        <v>2275</v>
      </c>
      <c r="I375" t="s">
        <v>2283</v>
      </c>
      <c r="J375" t="s">
        <v>2284</v>
      </c>
      <c r="L375">
        <v>4</v>
      </c>
      <c r="M375">
        <v>4</v>
      </c>
      <c r="N375" t="s">
        <v>2285</v>
      </c>
      <c r="O375" t="s">
        <v>2286</v>
      </c>
      <c r="P375" t="s">
        <v>2276</v>
      </c>
      <c r="Q375" t="s">
        <v>2287</v>
      </c>
      <c r="S375" t="s">
        <v>147</v>
      </c>
    </row>
    <row r="376" spans="1:19" x14ac:dyDescent="0.3">
      <c r="A376" t="s">
        <v>2180</v>
      </c>
      <c r="B376" t="s">
        <v>5</v>
      </c>
      <c r="C376">
        <v>0</v>
      </c>
      <c r="D376">
        <v>3</v>
      </c>
      <c r="E376">
        <v>0</v>
      </c>
      <c r="F376">
        <v>1</v>
      </c>
      <c r="G376">
        <v>8</v>
      </c>
      <c r="H376" t="s">
        <v>2275</v>
      </c>
      <c r="I376" t="s">
        <v>2283</v>
      </c>
      <c r="J376" t="s">
        <v>2284</v>
      </c>
      <c r="L376">
        <v>4</v>
      </c>
      <c r="M376">
        <v>4</v>
      </c>
      <c r="N376" t="s">
        <v>2285</v>
      </c>
      <c r="O376" t="s">
        <v>2286</v>
      </c>
      <c r="P376" t="s">
        <v>2276</v>
      </c>
      <c r="Q376" t="s">
        <v>2287</v>
      </c>
      <c r="S376" t="s">
        <v>147</v>
      </c>
    </row>
    <row r="377" spans="1:19" x14ac:dyDescent="0.3">
      <c r="A377" t="s">
        <v>2184</v>
      </c>
      <c r="B377" t="s">
        <v>5</v>
      </c>
      <c r="C377">
        <v>0</v>
      </c>
      <c r="D377">
        <v>4</v>
      </c>
      <c r="E377">
        <v>0</v>
      </c>
      <c r="F377">
        <v>0</v>
      </c>
      <c r="G377">
        <v>218</v>
      </c>
      <c r="H377" t="s">
        <v>2275</v>
      </c>
      <c r="I377" t="s">
        <v>2283</v>
      </c>
      <c r="J377" t="s">
        <v>2284</v>
      </c>
      <c r="K377" t="s">
        <v>2288</v>
      </c>
      <c r="L377">
        <v>75</v>
      </c>
      <c r="M377">
        <v>5</v>
      </c>
      <c r="N377" t="s">
        <v>2285</v>
      </c>
      <c r="O377" t="s">
        <v>2286</v>
      </c>
      <c r="P377" t="s">
        <v>2276</v>
      </c>
      <c r="Q377" t="s">
        <v>2287</v>
      </c>
      <c r="R377" t="s">
        <v>2289</v>
      </c>
      <c r="S377" t="s">
        <v>147</v>
      </c>
    </row>
    <row r="378" spans="1:19" x14ac:dyDescent="0.3">
      <c r="A378" t="s">
        <v>2191</v>
      </c>
      <c r="B378" t="s">
        <v>5</v>
      </c>
      <c r="C378">
        <v>0</v>
      </c>
      <c r="D378">
        <v>3</v>
      </c>
      <c r="E378">
        <v>0</v>
      </c>
      <c r="F378">
        <v>0</v>
      </c>
      <c r="G378">
        <v>8</v>
      </c>
      <c r="H378" t="s">
        <v>2275</v>
      </c>
      <c r="I378" t="s">
        <v>2283</v>
      </c>
      <c r="J378" t="s">
        <v>2284</v>
      </c>
      <c r="L378">
        <v>4</v>
      </c>
      <c r="M378">
        <v>4</v>
      </c>
      <c r="N378" t="s">
        <v>2285</v>
      </c>
      <c r="O378" t="s">
        <v>2286</v>
      </c>
      <c r="P378" t="s">
        <v>2276</v>
      </c>
      <c r="Q378" t="s">
        <v>2287</v>
      </c>
      <c r="S378" t="s">
        <v>147</v>
      </c>
    </row>
    <row r="379" spans="1:19" x14ac:dyDescent="0.3">
      <c r="A379" t="s">
        <v>2197</v>
      </c>
      <c r="B379" t="s">
        <v>5</v>
      </c>
      <c r="C379">
        <v>0</v>
      </c>
      <c r="D379">
        <v>3</v>
      </c>
      <c r="E379">
        <v>0</v>
      </c>
      <c r="F379">
        <v>0</v>
      </c>
      <c r="G379">
        <v>8</v>
      </c>
      <c r="H379" t="s">
        <v>2275</v>
      </c>
      <c r="I379" t="s">
        <v>2283</v>
      </c>
      <c r="J379" t="s">
        <v>2284</v>
      </c>
      <c r="L379">
        <v>4</v>
      </c>
      <c r="M379">
        <v>4</v>
      </c>
      <c r="N379" t="s">
        <v>2285</v>
      </c>
      <c r="O379" t="s">
        <v>2286</v>
      </c>
      <c r="P379" t="s">
        <v>2276</v>
      </c>
      <c r="Q379" t="s">
        <v>2287</v>
      </c>
      <c r="S379" t="s">
        <v>147</v>
      </c>
    </row>
    <row r="380" spans="1:19" x14ac:dyDescent="0.3">
      <c r="A380" t="s">
        <v>2204</v>
      </c>
      <c r="B380" t="s">
        <v>5</v>
      </c>
      <c r="C380">
        <v>0</v>
      </c>
      <c r="D380">
        <v>3</v>
      </c>
      <c r="E380">
        <v>0</v>
      </c>
      <c r="F380">
        <v>0</v>
      </c>
      <c r="G380">
        <v>8</v>
      </c>
      <c r="H380" t="s">
        <v>2275</v>
      </c>
      <c r="I380" t="s">
        <v>2283</v>
      </c>
      <c r="J380" t="s">
        <v>2284</v>
      </c>
      <c r="L380">
        <v>4</v>
      </c>
      <c r="M380">
        <v>4</v>
      </c>
      <c r="N380" t="s">
        <v>2285</v>
      </c>
      <c r="O380" t="s">
        <v>2286</v>
      </c>
      <c r="P380" t="s">
        <v>2276</v>
      </c>
      <c r="Q380" t="s">
        <v>2287</v>
      </c>
      <c r="S380" t="s">
        <v>147</v>
      </c>
    </row>
    <row r="381" spans="1:19" x14ac:dyDescent="0.3">
      <c r="A381" t="s">
        <v>2210</v>
      </c>
      <c r="B381" t="s">
        <v>5</v>
      </c>
      <c r="C381">
        <v>0</v>
      </c>
      <c r="D381">
        <v>3</v>
      </c>
      <c r="E381">
        <v>0</v>
      </c>
      <c r="F381">
        <v>0</v>
      </c>
      <c r="G381">
        <v>7</v>
      </c>
      <c r="H381" t="s">
        <v>2275</v>
      </c>
      <c r="I381" t="s">
        <v>2283</v>
      </c>
      <c r="J381" t="s">
        <v>2284</v>
      </c>
      <c r="L381">
        <v>4</v>
      </c>
      <c r="M381">
        <v>4</v>
      </c>
      <c r="N381" t="s">
        <v>2285</v>
      </c>
      <c r="O381" t="s">
        <v>2286</v>
      </c>
      <c r="P381" t="s">
        <v>2276</v>
      </c>
      <c r="Q381" t="s">
        <v>2287</v>
      </c>
      <c r="S381" t="s">
        <v>147</v>
      </c>
    </row>
    <row r="382" spans="1:19" x14ac:dyDescent="0.3">
      <c r="A382" t="s">
        <v>2217</v>
      </c>
      <c r="B382" t="s">
        <v>5</v>
      </c>
      <c r="C382">
        <v>0</v>
      </c>
      <c r="D382">
        <v>3</v>
      </c>
      <c r="E382">
        <v>0</v>
      </c>
      <c r="F382">
        <v>0</v>
      </c>
      <c r="G382">
        <v>7</v>
      </c>
      <c r="H382" t="s">
        <v>2275</v>
      </c>
      <c r="I382" t="s">
        <v>2283</v>
      </c>
      <c r="J382" t="s">
        <v>2284</v>
      </c>
      <c r="L382">
        <v>4</v>
      </c>
      <c r="M382">
        <v>4</v>
      </c>
      <c r="N382" t="s">
        <v>2285</v>
      </c>
      <c r="O382" t="s">
        <v>2286</v>
      </c>
      <c r="P382" t="s">
        <v>2276</v>
      </c>
      <c r="Q382" t="s">
        <v>2287</v>
      </c>
      <c r="S382" t="s">
        <v>147</v>
      </c>
    </row>
    <row r="383" spans="1:19" x14ac:dyDescent="0.3">
      <c r="A383" t="s">
        <v>2223</v>
      </c>
      <c r="B383" t="s">
        <v>5</v>
      </c>
      <c r="C383">
        <v>0</v>
      </c>
      <c r="D383">
        <v>3</v>
      </c>
      <c r="E383">
        <v>0</v>
      </c>
      <c r="F383">
        <v>0</v>
      </c>
      <c r="G383">
        <v>8</v>
      </c>
      <c r="H383" t="s">
        <v>2275</v>
      </c>
      <c r="I383" t="s">
        <v>2283</v>
      </c>
      <c r="J383" t="s">
        <v>2284</v>
      </c>
      <c r="L383">
        <v>4</v>
      </c>
      <c r="M383">
        <v>4</v>
      </c>
      <c r="N383" t="s">
        <v>2285</v>
      </c>
      <c r="O383" t="s">
        <v>2286</v>
      </c>
      <c r="P383" t="s">
        <v>2276</v>
      </c>
      <c r="Q383" t="s">
        <v>2287</v>
      </c>
      <c r="S383" t="s">
        <v>147</v>
      </c>
    </row>
    <row r="384" spans="1:19" x14ac:dyDescent="0.3">
      <c r="A384" t="s">
        <v>2230</v>
      </c>
      <c r="B384" t="s">
        <v>5</v>
      </c>
      <c r="C384">
        <v>0</v>
      </c>
      <c r="D384">
        <v>3</v>
      </c>
      <c r="E384">
        <v>0</v>
      </c>
      <c r="F384">
        <v>0</v>
      </c>
      <c r="G384">
        <v>8</v>
      </c>
      <c r="H384" t="s">
        <v>2275</v>
      </c>
      <c r="I384" t="s">
        <v>2283</v>
      </c>
      <c r="J384" t="s">
        <v>2284</v>
      </c>
      <c r="L384">
        <v>4</v>
      </c>
      <c r="M384">
        <v>4</v>
      </c>
      <c r="N384" t="s">
        <v>2285</v>
      </c>
      <c r="O384" t="s">
        <v>2286</v>
      </c>
      <c r="P384" t="s">
        <v>2276</v>
      </c>
      <c r="Q384" t="s">
        <v>2287</v>
      </c>
      <c r="S384" t="s">
        <v>147</v>
      </c>
    </row>
    <row r="385" spans="1:20" x14ac:dyDescent="0.3">
      <c r="A385" t="s">
        <v>2237</v>
      </c>
      <c r="B385" t="s">
        <v>5</v>
      </c>
      <c r="C385">
        <v>0</v>
      </c>
      <c r="D385">
        <v>3</v>
      </c>
      <c r="E385">
        <v>0</v>
      </c>
      <c r="F385">
        <v>0</v>
      </c>
      <c r="G385">
        <v>8</v>
      </c>
      <c r="H385" t="s">
        <v>2275</v>
      </c>
      <c r="I385" t="s">
        <v>2283</v>
      </c>
      <c r="J385" t="s">
        <v>2284</v>
      </c>
      <c r="L385">
        <v>4</v>
      </c>
      <c r="M385">
        <v>4</v>
      </c>
      <c r="N385" t="s">
        <v>2285</v>
      </c>
      <c r="O385" t="s">
        <v>2286</v>
      </c>
      <c r="P385" t="s">
        <v>2276</v>
      </c>
      <c r="Q385" t="s">
        <v>2287</v>
      </c>
      <c r="S385" t="s">
        <v>147</v>
      </c>
    </row>
    <row r="386" spans="1:20" x14ac:dyDescent="0.3">
      <c r="A386" t="s">
        <v>2244</v>
      </c>
      <c r="B386" t="s">
        <v>5</v>
      </c>
      <c r="C386">
        <v>0</v>
      </c>
      <c r="D386">
        <v>3</v>
      </c>
      <c r="E386">
        <v>0</v>
      </c>
      <c r="F386">
        <v>0</v>
      </c>
      <c r="G386">
        <v>8</v>
      </c>
      <c r="H386" t="s">
        <v>2275</v>
      </c>
      <c r="I386" t="s">
        <v>2283</v>
      </c>
      <c r="J386" t="s">
        <v>2284</v>
      </c>
      <c r="L386">
        <v>4</v>
      </c>
      <c r="M386">
        <v>4</v>
      </c>
      <c r="N386" t="s">
        <v>2285</v>
      </c>
      <c r="O386" t="s">
        <v>2286</v>
      </c>
      <c r="P386" t="s">
        <v>2276</v>
      </c>
      <c r="Q386" t="s">
        <v>2287</v>
      </c>
      <c r="S386" t="s">
        <v>147</v>
      </c>
    </row>
    <row r="387" spans="1:20" x14ac:dyDescent="0.3">
      <c r="A387" t="s">
        <v>2251</v>
      </c>
      <c r="B387" t="s">
        <v>5</v>
      </c>
      <c r="C387">
        <v>0</v>
      </c>
      <c r="D387">
        <v>3</v>
      </c>
      <c r="E387">
        <v>0</v>
      </c>
      <c r="F387">
        <v>0</v>
      </c>
      <c r="G387">
        <v>8</v>
      </c>
      <c r="H387" t="s">
        <v>2275</v>
      </c>
      <c r="I387" t="s">
        <v>2283</v>
      </c>
      <c r="J387" t="s">
        <v>2284</v>
      </c>
      <c r="L387">
        <v>4</v>
      </c>
      <c r="M387">
        <v>4</v>
      </c>
      <c r="N387" t="s">
        <v>2285</v>
      </c>
      <c r="O387" t="s">
        <v>2286</v>
      </c>
      <c r="P387" t="s">
        <v>2276</v>
      </c>
      <c r="Q387" t="s">
        <v>2287</v>
      </c>
      <c r="S387" t="s">
        <v>147</v>
      </c>
    </row>
    <row r="388" spans="1:20" x14ac:dyDescent="0.3">
      <c r="A388" t="s">
        <v>2258</v>
      </c>
      <c r="B388" t="s">
        <v>5</v>
      </c>
      <c r="C388">
        <v>0</v>
      </c>
      <c r="D388">
        <v>3</v>
      </c>
      <c r="E388">
        <v>0</v>
      </c>
      <c r="F388">
        <v>0</v>
      </c>
      <c r="G388">
        <v>8</v>
      </c>
      <c r="H388" t="s">
        <v>2275</v>
      </c>
      <c r="I388" t="s">
        <v>2283</v>
      </c>
      <c r="J388" t="s">
        <v>2284</v>
      </c>
      <c r="L388">
        <v>4</v>
      </c>
      <c r="M388">
        <v>4</v>
      </c>
      <c r="N388" t="s">
        <v>2285</v>
      </c>
      <c r="O388" t="s">
        <v>2286</v>
      </c>
      <c r="P388" t="s">
        <v>2276</v>
      </c>
      <c r="Q388" t="s">
        <v>2287</v>
      </c>
      <c r="S388" t="s">
        <v>147</v>
      </c>
    </row>
    <row r="389" spans="1:20" x14ac:dyDescent="0.3">
      <c r="A389" t="s">
        <v>2428</v>
      </c>
      <c r="C389">
        <v>0</v>
      </c>
      <c r="D389">
        <v>0</v>
      </c>
      <c r="E389">
        <v>0</v>
      </c>
      <c r="F389">
        <v>0</v>
      </c>
      <c r="G389">
        <v>0</v>
      </c>
      <c r="L389">
        <v>0</v>
      </c>
      <c r="M389">
        <v>0</v>
      </c>
      <c r="S389" t="s">
        <v>147</v>
      </c>
    </row>
    <row r="390" spans="1:20" x14ac:dyDescent="0.3">
      <c r="A390" t="s">
        <v>2445</v>
      </c>
      <c r="B390" t="s">
        <v>6</v>
      </c>
      <c r="C390">
        <v>0</v>
      </c>
      <c r="D390">
        <v>1</v>
      </c>
      <c r="E390">
        <v>0</v>
      </c>
      <c r="F390">
        <v>0</v>
      </c>
      <c r="G390">
        <v>2</v>
      </c>
      <c r="H390" t="s">
        <v>2275</v>
      </c>
      <c r="L390">
        <v>1</v>
      </c>
      <c r="M390">
        <v>1</v>
      </c>
      <c r="N390" t="s">
        <v>2276</v>
      </c>
      <c r="S390" t="s">
        <v>147</v>
      </c>
    </row>
    <row r="391" spans="1:20" x14ac:dyDescent="0.3">
      <c r="A391" t="s">
        <v>2411</v>
      </c>
      <c r="B391" t="s">
        <v>6</v>
      </c>
      <c r="C391">
        <v>0</v>
      </c>
      <c r="D391">
        <v>1</v>
      </c>
      <c r="E391">
        <v>0</v>
      </c>
      <c r="F391">
        <v>0</v>
      </c>
      <c r="G391">
        <v>2</v>
      </c>
      <c r="H391" t="s">
        <v>2275</v>
      </c>
      <c r="L391">
        <v>1</v>
      </c>
      <c r="M391">
        <v>1</v>
      </c>
      <c r="N391" t="s">
        <v>2276</v>
      </c>
      <c r="S391" t="s">
        <v>147</v>
      </c>
    </row>
    <row r="392" spans="1:20" x14ac:dyDescent="0.3">
      <c r="A392" t="s">
        <v>589</v>
      </c>
      <c r="B392" t="s">
        <v>6</v>
      </c>
      <c r="C392">
        <v>0</v>
      </c>
      <c r="D392">
        <v>1</v>
      </c>
      <c r="E392">
        <v>0</v>
      </c>
      <c r="F392">
        <v>0</v>
      </c>
      <c r="G392">
        <v>2</v>
      </c>
      <c r="H392" t="s">
        <v>2275</v>
      </c>
      <c r="L392">
        <v>1</v>
      </c>
      <c r="M392">
        <v>1</v>
      </c>
      <c r="N392" t="s">
        <v>2276</v>
      </c>
      <c r="S392" t="s">
        <v>147</v>
      </c>
    </row>
    <row r="393" spans="1:20" x14ac:dyDescent="0.3">
      <c r="A393" t="s">
        <v>2462</v>
      </c>
      <c r="B393" t="s">
        <v>7</v>
      </c>
      <c r="C393">
        <v>0</v>
      </c>
      <c r="D393">
        <v>1</v>
      </c>
      <c r="E393">
        <v>0</v>
      </c>
      <c r="F393">
        <v>0</v>
      </c>
      <c r="G393">
        <v>2</v>
      </c>
      <c r="H393" t="s">
        <v>2275</v>
      </c>
      <c r="L393">
        <v>1</v>
      </c>
      <c r="M393">
        <v>1</v>
      </c>
      <c r="N393" t="s">
        <v>2276</v>
      </c>
      <c r="S393" t="s">
        <v>147</v>
      </c>
    </row>
    <row r="394" spans="1:20" x14ac:dyDescent="0.3">
      <c r="A394" t="s">
        <v>2464</v>
      </c>
      <c r="B394" t="s">
        <v>7</v>
      </c>
      <c r="C394">
        <v>0</v>
      </c>
      <c r="D394">
        <v>1</v>
      </c>
      <c r="E394">
        <v>0</v>
      </c>
      <c r="F394">
        <v>0</v>
      </c>
      <c r="G394">
        <v>2</v>
      </c>
      <c r="H394" t="s">
        <v>2275</v>
      </c>
      <c r="L394">
        <v>1</v>
      </c>
      <c r="M394">
        <v>1</v>
      </c>
      <c r="N394" t="s">
        <v>2276</v>
      </c>
      <c r="S394" t="s">
        <v>161</v>
      </c>
      <c r="T394" t="s">
        <v>226</v>
      </c>
    </row>
    <row r="395" spans="1:20" x14ac:dyDescent="0.3">
      <c r="A395" t="s">
        <v>2465</v>
      </c>
      <c r="B395" t="s">
        <v>7</v>
      </c>
      <c r="C395">
        <v>0</v>
      </c>
      <c r="D395">
        <v>2</v>
      </c>
      <c r="E395">
        <v>0</v>
      </c>
      <c r="F395">
        <v>0</v>
      </c>
      <c r="G395">
        <v>4</v>
      </c>
      <c r="H395" t="s">
        <v>2279</v>
      </c>
      <c r="I395" t="s">
        <v>2275</v>
      </c>
      <c r="L395">
        <v>5</v>
      </c>
      <c r="M395">
        <v>4</v>
      </c>
      <c r="N395" t="s">
        <v>2280</v>
      </c>
      <c r="O395" t="s">
        <v>2276</v>
      </c>
      <c r="P395" t="s">
        <v>2281</v>
      </c>
      <c r="Q395" t="s">
        <v>2282</v>
      </c>
      <c r="S395" t="s">
        <v>147</v>
      </c>
    </row>
    <row r="396" spans="1:20" x14ac:dyDescent="0.3">
      <c r="A396" t="s">
        <v>2470</v>
      </c>
      <c r="B396" t="s">
        <v>7</v>
      </c>
      <c r="C396">
        <v>0</v>
      </c>
      <c r="D396">
        <v>2</v>
      </c>
      <c r="E396">
        <v>0</v>
      </c>
      <c r="F396">
        <v>0</v>
      </c>
      <c r="G396">
        <v>4</v>
      </c>
      <c r="H396" t="s">
        <v>2279</v>
      </c>
      <c r="I396" t="s">
        <v>2275</v>
      </c>
      <c r="L396">
        <v>5</v>
      </c>
      <c r="M396">
        <v>4</v>
      </c>
      <c r="N396" t="s">
        <v>2280</v>
      </c>
      <c r="O396" t="s">
        <v>2276</v>
      </c>
      <c r="P396" t="s">
        <v>2281</v>
      </c>
      <c r="Q396" t="s">
        <v>2282</v>
      </c>
      <c r="S396" t="s">
        <v>147</v>
      </c>
    </row>
    <row r="397" spans="1:20" x14ac:dyDescent="0.3">
      <c r="A397" t="s">
        <v>2447</v>
      </c>
      <c r="B397" t="s">
        <v>7</v>
      </c>
      <c r="C397">
        <v>0</v>
      </c>
      <c r="D397">
        <v>2</v>
      </c>
      <c r="E397">
        <v>0</v>
      </c>
      <c r="F397">
        <v>0</v>
      </c>
      <c r="G397">
        <v>4</v>
      </c>
      <c r="H397" t="s">
        <v>2279</v>
      </c>
      <c r="I397" t="s">
        <v>2275</v>
      </c>
      <c r="L397">
        <v>5</v>
      </c>
      <c r="M397">
        <v>4</v>
      </c>
      <c r="N397" t="s">
        <v>2280</v>
      </c>
      <c r="O397" t="s">
        <v>2276</v>
      </c>
      <c r="P397" t="s">
        <v>2281</v>
      </c>
      <c r="Q397" t="s">
        <v>2282</v>
      </c>
      <c r="S397" t="s">
        <v>147</v>
      </c>
    </row>
    <row r="398" spans="1:20" x14ac:dyDescent="0.3">
      <c r="A398" t="s">
        <v>2453</v>
      </c>
      <c r="B398" t="s">
        <v>7</v>
      </c>
      <c r="C398">
        <v>0</v>
      </c>
      <c r="D398">
        <v>2</v>
      </c>
      <c r="E398">
        <v>0</v>
      </c>
      <c r="F398">
        <v>0</v>
      </c>
      <c r="G398">
        <v>4</v>
      </c>
      <c r="H398" t="s">
        <v>2279</v>
      </c>
      <c r="I398" t="s">
        <v>2275</v>
      </c>
      <c r="L398">
        <v>5</v>
      </c>
      <c r="M398">
        <v>4</v>
      </c>
      <c r="N398" t="s">
        <v>2280</v>
      </c>
      <c r="O398" t="s">
        <v>2276</v>
      </c>
      <c r="P398" t="s">
        <v>2281</v>
      </c>
      <c r="Q398" t="s">
        <v>2282</v>
      </c>
      <c r="S398" t="s">
        <v>147</v>
      </c>
    </row>
    <row r="399" spans="1:20" x14ac:dyDescent="0.3">
      <c r="A399" t="s">
        <v>2458</v>
      </c>
      <c r="B399" t="s">
        <v>7</v>
      </c>
      <c r="C399">
        <v>0</v>
      </c>
      <c r="D399">
        <v>2</v>
      </c>
      <c r="E399">
        <v>0</v>
      </c>
      <c r="F399">
        <v>0</v>
      </c>
      <c r="G399">
        <v>4</v>
      </c>
      <c r="H399" t="s">
        <v>2279</v>
      </c>
      <c r="I399" t="s">
        <v>2275</v>
      </c>
      <c r="L399">
        <v>5</v>
      </c>
      <c r="M399">
        <v>4</v>
      </c>
      <c r="N399" t="s">
        <v>2280</v>
      </c>
      <c r="O399" t="s">
        <v>2276</v>
      </c>
      <c r="P399" t="s">
        <v>2281</v>
      </c>
      <c r="Q399" t="s">
        <v>2282</v>
      </c>
      <c r="S399" t="s">
        <v>147</v>
      </c>
    </row>
    <row r="400" spans="1:20" x14ac:dyDescent="0.3">
      <c r="A400" t="s">
        <v>2423</v>
      </c>
      <c r="B400" t="s">
        <v>7</v>
      </c>
      <c r="C400">
        <v>0</v>
      </c>
      <c r="D400">
        <v>2</v>
      </c>
      <c r="E400">
        <v>0</v>
      </c>
      <c r="F400">
        <v>0</v>
      </c>
      <c r="G400">
        <v>4</v>
      </c>
      <c r="H400" t="s">
        <v>2279</v>
      </c>
      <c r="I400" t="s">
        <v>2275</v>
      </c>
      <c r="L400">
        <v>5</v>
      </c>
      <c r="M400">
        <v>4</v>
      </c>
      <c r="N400" t="s">
        <v>2280</v>
      </c>
      <c r="O400" t="s">
        <v>2276</v>
      </c>
      <c r="P400" t="s">
        <v>2281</v>
      </c>
      <c r="Q400" t="s">
        <v>2282</v>
      </c>
      <c r="S400" t="s">
        <v>147</v>
      </c>
    </row>
    <row r="401" spans="1:19" x14ac:dyDescent="0.3">
      <c r="A401" t="s">
        <v>2430</v>
      </c>
      <c r="B401" t="s">
        <v>7</v>
      </c>
      <c r="C401">
        <v>0</v>
      </c>
      <c r="D401">
        <v>2</v>
      </c>
      <c r="E401">
        <v>0</v>
      </c>
      <c r="F401">
        <v>0</v>
      </c>
      <c r="G401">
        <v>4</v>
      </c>
      <c r="H401" t="s">
        <v>2279</v>
      </c>
      <c r="I401" t="s">
        <v>2275</v>
      </c>
      <c r="L401">
        <v>5</v>
      </c>
      <c r="M401">
        <v>4</v>
      </c>
      <c r="N401" t="s">
        <v>2280</v>
      </c>
      <c r="O401" t="s">
        <v>2276</v>
      </c>
      <c r="P401" t="s">
        <v>2281</v>
      </c>
      <c r="Q401" t="s">
        <v>2282</v>
      </c>
      <c r="S401" t="s">
        <v>147</v>
      </c>
    </row>
    <row r="402" spans="1:19" x14ac:dyDescent="0.3">
      <c r="A402" t="s">
        <v>2435</v>
      </c>
      <c r="B402" t="s">
        <v>7</v>
      </c>
      <c r="C402">
        <v>0</v>
      </c>
      <c r="D402">
        <v>2</v>
      </c>
      <c r="E402">
        <v>0</v>
      </c>
      <c r="F402">
        <v>0</v>
      </c>
      <c r="G402">
        <v>4</v>
      </c>
      <c r="H402" t="s">
        <v>2279</v>
      </c>
      <c r="I402" t="s">
        <v>2275</v>
      </c>
      <c r="L402">
        <v>5</v>
      </c>
      <c r="M402">
        <v>4</v>
      </c>
      <c r="N402" t="s">
        <v>2280</v>
      </c>
      <c r="O402" t="s">
        <v>2276</v>
      </c>
      <c r="P402" t="s">
        <v>2281</v>
      </c>
      <c r="Q402" t="s">
        <v>2282</v>
      </c>
      <c r="S402" t="s">
        <v>147</v>
      </c>
    </row>
    <row r="403" spans="1:19" x14ac:dyDescent="0.3">
      <c r="A403" t="s">
        <v>2440</v>
      </c>
      <c r="B403" t="s">
        <v>7</v>
      </c>
      <c r="C403">
        <v>0</v>
      </c>
      <c r="D403">
        <v>2</v>
      </c>
      <c r="E403">
        <v>0</v>
      </c>
      <c r="F403">
        <v>0</v>
      </c>
      <c r="G403">
        <v>4</v>
      </c>
      <c r="H403" t="s">
        <v>2279</v>
      </c>
      <c r="I403" t="s">
        <v>2275</v>
      </c>
      <c r="L403">
        <v>5</v>
      </c>
      <c r="M403">
        <v>4</v>
      </c>
      <c r="N403" t="s">
        <v>2280</v>
      </c>
      <c r="O403" t="s">
        <v>2276</v>
      </c>
      <c r="P403" t="s">
        <v>2281</v>
      </c>
      <c r="Q403" t="s">
        <v>2282</v>
      </c>
      <c r="S403" t="s">
        <v>147</v>
      </c>
    </row>
    <row r="404" spans="1:19" x14ac:dyDescent="0.3">
      <c r="A404" t="s">
        <v>2413</v>
      </c>
      <c r="B404" t="s">
        <v>7</v>
      </c>
      <c r="C404">
        <v>0</v>
      </c>
      <c r="D404">
        <v>2</v>
      </c>
      <c r="E404">
        <v>0</v>
      </c>
      <c r="F404">
        <v>0</v>
      </c>
      <c r="G404">
        <v>4</v>
      </c>
      <c r="H404" t="s">
        <v>2279</v>
      </c>
      <c r="I404" t="s">
        <v>2275</v>
      </c>
      <c r="L404">
        <v>5</v>
      </c>
      <c r="M404">
        <v>4</v>
      </c>
      <c r="N404" t="s">
        <v>2280</v>
      </c>
      <c r="O404" t="s">
        <v>2276</v>
      </c>
      <c r="P404" t="s">
        <v>2281</v>
      </c>
      <c r="Q404" t="s">
        <v>2282</v>
      </c>
      <c r="S404" t="s">
        <v>147</v>
      </c>
    </row>
    <row r="405" spans="1:19" x14ac:dyDescent="0.3">
      <c r="A405" t="s">
        <v>2418</v>
      </c>
      <c r="B405" t="s">
        <v>7</v>
      </c>
      <c r="C405">
        <v>0</v>
      </c>
      <c r="D405">
        <v>2</v>
      </c>
      <c r="E405">
        <v>0</v>
      </c>
      <c r="F405">
        <v>0</v>
      </c>
      <c r="G405">
        <v>4</v>
      </c>
      <c r="H405" t="s">
        <v>2279</v>
      </c>
      <c r="I405" t="s">
        <v>2275</v>
      </c>
      <c r="L405">
        <v>5</v>
      </c>
      <c r="M405">
        <v>4</v>
      </c>
      <c r="N405" t="s">
        <v>2280</v>
      </c>
      <c r="O405" t="s">
        <v>2276</v>
      </c>
      <c r="P405" t="s">
        <v>2281</v>
      </c>
      <c r="Q405" t="s">
        <v>2282</v>
      </c>
      <c r="S405" t="s">
        <v>147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299"/>
  <sheetViews>
    <sheetView topLeftCell="A16" workbookViewId="0">
      <selection activeCell="L10" sqref="L10"/>
    </sheetView>
  </sheetViews>
  <sheetFormatPr defaultRowHeight="16.5" x14ac:dyDescent="0.3"/>
  <cols>
    <col min="1" max="1" width="7.5" bestFit="1" customWidth="1"/>
    <col min="2" max="2" width="74.625" bestFit="1" customWidth="1"/>
    <col min="3" max="3" width="85.25" bestFit="1" customWidth="1"/>
    <col min="4" max="4" width="50.375" bestFit="1" customWidth="1"/>
    <col min="5" max="5" width="6.625" bestFit="1" customWidth="1"/>
    <col min="6" max="6" width="5.875" bestFit="1" customWidth="1"/>
    <col min="7" max="7" width="5.625" bestFit="1" customWidth="1"/>
    <col min="8" max="8" width="3.5" bestFit="1" customWidth="1"/>
    <col min="9" max="9" width="9.375" bestFit="1" customWidth="1"/>
    <col min="10" max="10" width="8.25" bestFit="1" customWidth="1"/>
    <col min="11" max="11" width="10.25" bestFit="1" customWidth="1"/>
    <col min="12" max="12" width="152.125" bestFit="1" customWidth="1"/>
    <col min="13" max="13" width="10.125" bestFit="1" customWidth="1"/>
    <col min="14" max="14" width="8.875" bestFit="1" customWidth="1"/>
    <col min="15" max="15" width="4" bestFit="1" customWidth="1"/>
    <col min="16" max="16" width="8.875" bestFit="1" customWidth="1"/>
  </cols>
  <sheetData>
    <row r="1" spans="1:16" x14ac:dyDescent="0.3">
      <c r="A1" s="40" t="s">
        <v>2290</v>
      </c>
      <c r="B1" s="40" t="s">
        <v>2291</v>
      </c>
      <c r="C1" s="40" t="s">
        <v>2292</v>
      </c>
      <c r="D1" s="40" t="s">
        <v>2293</v>
      </c>
      <c r="E1" s="40" t="s">
        <v>2294</v>
      </c>
      <c r="F1" s="40" t="s">
        <v>2295</v>
      </c>
      <c r="G1" s="40" t="s">
        <v>2296</v>
      </c>
      <c r="H1" s="40" t="s">
        <v>2297</v>
      </c>
      <c r="I1" s="40" t="s">
        <v>13</v>
      </c>
      <c r="J1" s="40" t="s">
        <v>74</v>
      </c>
      <c r="K1" s="40" t="s">
        <v>2298</v>
      </c>
      <c r="L1" s="40" t="s">
        <v>2299</v>
      </c>
      <c r="M1" s="40" t="s">
        <v>2300</v>
      </c>
      <c r="N1" s="40" t="s">
        <v>2301</v>
      </c>
      <c r="O1" s="40" t="s">
        <v>2302</v>
      </c>
      <c r="P1" s="40" t="s">
        <v>2303</v>
      </c>
    </row>
    <row r="2" spans="1:16" x14ac:dyDescent="0.3">
      <c r="A2" s="41" t="s">
        <v>2304</v>
      </c>
      <c r="B2" s="41" t="s">
        <v>312</v>
      </c>
      <c r="C2" s="41" t="s">
        <v>420</v>
      </c>
      <c r="D2" s="41" t="s">
        <v>2384</v>
      </c>
      <c r="E2" s="41"/>
      <c r="F2" s="41" t="b">
        <v>1</v>
      </c>
      <c r="G2" s="41" t="s">
        <v>2305</v>
      </c>
      <c r="H2" s="41"/>
      <c r="I2" s="41">
        <v>404</v>
      </c>
      <c r="J2" s="41" t="s">
        <v>160</v>
      </c>
      <c r="K2" s="41" t="s">
        <v>2306</v>
      </c>
      <c r="L2" s="41" t="s">
        <v>2307</v>
      </c>
      <c r="M2" s="41" t="s">
        <v>2308</v>
      </c>
      <c r="N2" s="41" t="s">
        <v>2309</v>
      </c>
      <c r="O2" s="41">
        <v>0</v>
      </c>
      <c r="P2" s="41">
        <v>0</v>
      </c>
    </row>
    <row r="3" spans="1:16" x14ac:dyDescent="0.3">
      <c r="A3" s="41" t="s">
        <v>2304</v>
      </c>
      <c r="B3" s="41" t="s">
        <v>312</v>
      </c>
      <c r="C3" s="41" t="s">
        <v>420</v>
      </c>
      <c r="D3" s="41"/>
      <c r="E3" s="41"/>
      <c r="F3" s="41" t="b">
        <v>1</v>
      </c>
      <c r="G3" s="41" t="s">
        <v>2305</v>
      </c>
      <c r="H3" s="41"/>
      <c r="I3" s="41">
        <v>404</v>
      </c>
      <c r="J3" s="41" t="s">
        <v>160</v>
      </c>
      <c r="K3" s="41" t="s">
        <v>2306</v>
      </c>
      <c r="L3" s="41" t="s">
        <v>2310</v>
      </c>
      <c r="M3" s="41" t="s">
        <v>2308</v>
      </c>
      <c r="N3" s="41" t="s">
        <v>2309</v>
      </c>
      <c r="O3" s="41">
        <v>0</v>
      </c>
      <c r="P3" s="41">
        <v>0</v>
      </c>
    </row>
    <row r="4" spans="1:16" x14ac:dyDescent="0.3">
      <c r="A4" s="41" t="s">
        <v>2304</v>
      </c>
      <c r="B4" s="41" t="s">
        <v>312</v>
      </c>
      <c r="C4" s="41" t="s">
        <v>420</v>
      </c>
      <c r="D4" s="41"/>
      <c r="E4" s="41"/>
      <c r="F4" s="41" t="b">
        <v>1</v>
      </c>
      <c r="G4" s="41" t="s">
        <v>2305</v>
      </c>
      <c r="H4" s="41"/>
      <c r="I4" s="41">
        <v>404</v>
      </c>
      <c r="J4" s="41" t="s">
        <v>160</v>
      </c>
      <c r="K4" s="41" t="s">
        <v>2306</v>
      </c>
      <c r="L4" s="41" t="s">
        <v>2311</v>
      </c>
      <c r="M4" s="41" t="s">
        <v>2308</v>
      </c>
      <c r="N4" s="41" t="s">
        <v>2309</v>
      </c>
      <c r="O4" s="41">
        <v>0</v>
      </c>
      <c r="P4" s="41">
        <v>0</v>
      </c>
    </row>
    <row r="5" spans="1:16" x14ac:dyDescent="0.3">
      <c r="A5" s="41" t="s">
        <v>2304</v>
      </c>
      <c r="B5" s="41" t="s">
        <v>312</v>
      </c>
      <c r="C5" s="41" t="s">
        <v>420</v>
      </c>
      <c r="D5" s="41"/>
      <c r="E5" s="41"/>
      <c r="F5" s="41" t="b">
        <v>1</v>
      </c>
      <c r="G5" s="41" t="s">
        <v>2305</v>
      </c>
      <c r="H5" s="41"/>
      <c r="I5" s="41">
        <v>404</v>
      </c>
      <c r="J5" s="41" t="s">
        <v>160</v>
      </c>
      <c r="K5" s="41" t="s">
        <v>2306</v>
      </c>
      <c r="L5" s="41" t="s">
        <v>2312</v>
      </c>
      <c r="M5" s="41" t="s">
        <v>2308</v>
      </c>
      <c r="N5" s="41" t="s">
        <v>2309</v>
      </c>
      <c r="O5" s="41">
        <v>0</v>
      </c>
      <c r="P5" s="41">
        <v>0</v>
      </c>
    </row>
    <row r="6" spans="1:16" x14ac:dyDescent="0.3">
      <c r="A6" s="41" t="s">
        <v>2304</v>
      </c>
      <c r="B6" s="41" t="s">
        <v>307</v>
      </c>
      <c r="C6" s="41" t="s">
        <v>420</v>
      </c>
      <c r="D6" s="41" t="s">
        <v>2385</v>
      </c>
      <c r="E6" s="41"/>
      <c r="F6" s="41" t="b">
        <v>1</v>
      </c>
      <c r="G6" s="41" t="s">
        <v>2305</v>
      </c>
      <c r="H6" s="41"/>
      <c r="I6" s="41">
        <v>404</v>
      </c>
      <c r="J6" s="41" t="s">
        <v>160</v>
      </c>
      <c r="K6" s="41" t="s">
        <v>2306</v>
      </c>
      <c r="L6" s="41" t="s">
        <v>2313</v>
      </c>
      <c r="M6" s="41" t="s">
        <v>2308</v>
      </c>
      <c r="N6" s="41" t="s">
        <v>2309</v>
      </c>
      <c r="O6" s="41">
        <v>0</v>
      </c>
      <c r="P6" s="41">
        <v>0</v>
      </c>
    </row>
    <row r="7" spans="1:16" x14ac:dyDescent="0.3">
      <c r="A7" s="41" t="s">
        <v>2304</v>
      </c>
      <c r="B7" s="41" t="s">
        <v>283</v>
      </c>
      <c r="C7" s="41" t="s">
        <v>420</v>
      </c>
      <c r="D7" s="41" t="s">
        <v>2384</v>
      </c>
      <c r="E7" s="41"/>
      <c r="F7" s="41" t="b">
        <v>1</v>
      </c>
      <c r="G7" s="41" t="s">
        <v>2305</v>
      </c>
      <c r="H7" s="41"/>
      <c r="I7" s="41">
        <v>404</v>
      </c>
      <c r="J7" s="41" t="s">
        <v>160</v>
      </c>
      <c r="K7" s="41" t="s">
        <v>2306</v>
      </c>
      <c r="L7" s="41" t="s">
        <v>2314</v>
      </c>
      <c r="M7" s="41" t="s">
        <v>2308</v>
      </c>
      <c r="N7" s="41" t="s">
        <v>2309</v>
      </c>
      <c r="O7" s="41">
        <v>0</v>
      </c>
      <c r="P7" s="41">
        <v>0</v>
      </c>
    </row>
    <row r="8" spans="1:16" x14ac:dyDescent="0.3">
      <c r="A8" s="41" t="s">
        <v>2304</v>
      </c>
      <c r="B8" s="41" t="s">
        <v>299</v>
      </c>
      <c r="C8" s="41" t="s">
        <v>420</v>
      </c>
      <c r="D8" s="41" t="s">
        <v>2384</v>
      </c>
      <c r="E8" s="41"/>
      <c r="F8" s="41" t="b">
        <v>1</v>
      </c>
      <c r="G8" s="41" t="s">
        <v>2305</v>
      </c>
      <c r="H8" s="41"/>
      <c r="I8" s="41">
        <v>404</v>
      </c>
      <c r="J8" s="41" t="s">
        <v>160</v>
      </c>
      <c r="K8" s="41" t="s">
        <v>2306</v>
      </c>
      <c r="L8" s="41" t="s">
        <v>2315</v>
      </c>
      <c r="M8" s="41" t="s">
        <v>2308</v>
      </c>
      <c r="N8" s="41" t="s">
        <v>2309</v>
      </c>
      <c r="O8" s="41">
        <v>0</v>
      </c>
      <c r="P8" s="41">
        <v>0</v>
      </c>
    </row>
    <row r="9" spans="1:16" x14ac:dyDescent="0.3">
      <c r="A9" s="41" t="s">
        <v>2304</v>
      </c>
      <c r="B9" s="41" t="s">
        <v>342</v>
      </c>
      <c r="C9" s="41" t="s">
        <v>413</v>
      </c>
      <c r="D9" s="41" t="s">
        <v>2316</v>
      </c>
      <c r="E9" s="41"/>
      <c r="F9" s="41" t="b">
        <v>1</v>
      </c>
      <c r="G9" s="41" t="s">
        <v>2305</v>
      </c>
      <c r="H9" s="41"/>
      <c r="I9" s="41">
        <v>404</v>
      </c>
      <c r="J9" s="41" t="s">
        <v>160</v>
      </c>
      <c r="K9" s="41" t="s">
        <v>2306</v>
      </c>
      <c r="L9" s="41" t="s">
        <v>2317</v>
      </c>
      <c r="M9" s="41" t="s">
        <v>2308</v>
      </c>
      <c r="N9" s="41" t="s">
        <v>2309</v>
      </c>
      <c r="O9" s="41">
        <v>0</v>
      </c>
      <c r="P9" s="41">
        <v>0</v>
      </c>
    </row>
    <row r="10" spans="1:16" x14ac:dyDescent="0.3">
      <c r="A10" s="41" t="s">
        <v>2304</v>
      </c>
      <c r="B10" s="41" t="s">
        <v>378</v>
      </c>
      <c r="C10" s="41" t="s">
        <v>413</v>
      </c>
      <c r="D10" s="41" t="s">
        <v>264</v>
      </c>
      <c r="E10" s="41"/>
      <c r="F10" s="41" t="b">
        <v>1</v>
      </c>
      <c r="G10" s="41" t="s">
        <v>2305</v>
      </c>
      <c r="H10" s="41"/>
      <c r="I10" s="41">
        <v>404</v>
      </c>
      <c r="J10" s="41" t="s">
        <v>160</v>
      </c>
      <c r="K10" s="41" t="s">
        <v>2306</v>
      </c>
      <c r="L10" s="41" t="s">
        <v>2318</v>
      </c>
      <c r="M10" s="41" t="s">
        <v>2308</v>
      </c>
      <c r="N10" s="41" t="s">
        <v>2309</v>
      </c>
      <c r="O10" s="41">
        <v>0</v>
      </c>
      <c r="P10" s="41">
        <v>0</v>
      </c>
    </row>
    <row r="11" spans="1:16" x14ac:dyDescent="0.3">
      <c r="A11" s="41" t="s">
        <v>2304</v>
      </c>
      <c r="B11" s="41" t="s">
        <v>307</v>
      </c>
      <c r="C11" s="41" t="s">
        <v>413</v>
      </c>
      <c r="D11" s="41"/>
      <c r="E11" s="41"/>
      <c r="F11" s="41" t="b">
        <v>1</v>
      </c>
      <c r="G11" s="41"/>
      <c r="H11" s="41"/>
      <c r="I11" s="41">
        <v>404</v>
      </c>
      <c r="J11" s="41" t="s">
        <v>160</v>
      </c>
      <c r="K11" s="41" t="s">
        <v>2306</v>
      </c>
      <c r="L11" s="41" t="s">
        <v>2319</v>
      </c>
      <c r="M11" s="41" t="s">
        <v>2308</v>
      </c>
      <c r="N11" s="41" t="s">
        <v>2309</v>
      </c>
      <c r="O11" s="41">
        <v>0</v>
      </c>
      <c r="P11" s="41">
        <v>0</v>
      </c>
    </row>
    <row r="12" spans="1:16" x14ac:dyDescent="0.3">
      <c r="A12" s="41" t="s">
        <v>2304</v>
      </c>
      <c r="B12" s="41" t="s">
        <v>307</v>
      </c>
      <c r="C12" s="41" t="s">
        <v>413</v>
      </c>
      <c r="D12" s="41" t="s">
        <v>2320</v>
      </c>
      <c r="E12" s="41"/>
      <c r="F12" s="41" t="b">
        <v>1</v>
      </c>
      <c r="G12" s="41" t="s">
        <v>2305</v>
      </c>
      <c r="H12" s="41"/>
      <c r="I12" s="41">
        <v>404</v>
      </c>
      <c r="J12" s="41" t="s">
        <v>160</v>
      </c>
      <c r="K12" s="41" t="s">
        <v>2306</v>
      </c>
      <c r="L12" s="41" t="s">
        <v>2321</v>
      </c>
      <c r="M12" s="41" t="s">
        <v>2308</v>
      </c>
      <c r="N12" s="41" t="s">
        <v>2309</v>
      </c>
      <c r="O12" s="41">
        <v>0</v>
      </c>
      <c r="P12" s="41">
        <v>0</v>
      </c>
    </row>
    <row r="13" spans="1:16" x14ac:dyDescent="0.3">
      <c r="A13" s="41" t="s">
        <v>2304</v>
      </c>
      <c r="B13" s="41" t="s">
        <v>283</v>
      </c>
      <c r="C13" s="41" t="s">
        <v>413</v>
      </c>
      <c r="D13" s="41" t="s">
        <v>264</v>
      </c>
      <c r="E13" s="41"/>
      <c r="F13" s="41" t="b">
        <v>1</v>
      </c>
      <c r="G13" s="41" t="s">
        <v>2305</v>
      </c>
      <c r="H13" s="41"/>
      <c r="I13" s="41">
        <v>404</v>
      </c>
      <c r="J13" s="41" t="s">
        <v>160</v>
      </c>
      <c r="K13" s="41" t="s">
        <v>2306</v>
      </c>
      <c r="L13" s="41" t="s">
        <v>2322</v>
      </c>
      <c r="M13" s="41" t="s">
        <v>2308</v>
      </c>
      <c r="N13" s="41" t="s">
        <v>2309</v>
      </c>
      <c r="O13" s="41">
        <v>0</v>
      </c>
      <c r="P13" s="41">
        <v>0</v>
      </c>
    </row>
    <row r="14" spans="1:16" x14ac:dyDescent="0.3">
      <c r="A14" s="41" t="s">
        <v>2304</v>
      </c>
      <c r="B14" s="41" t="s">
        <v>283</v>
      </c>
      <c r="C14" s="41" t="s">
        <v>413</v>
      </c>
      <c r="D14" s="41" t="s">
        <v>2316</v>
      </c>
      <c r="E14" s="41"/>
      <c r="F14" s="41" t="b">
        <v>1</v>
      </c>
      <c r="G14" s="41" t="s">
        <v>2305</v>
      </c>
      <c r="H14" s="41"/>
      <c r="I14" s="41">
        <v>404</v>
      </c>
      <c r="J14" s="41" t="s">
        <v>160</v>
      </c>
      <c r="K14" s="41" t="s">
        <v>2306</v>
      </c>
      <c r="L14" s="41" t="s">
        <v>2323</v>
      </c>
      <c r="M14" s="41" t="s">
        <v>2308</v>
      </c>
      <c r="N14" s="41" t="s">
        <v>2309</v>
      </c>
      <c r="O14" s="41">
        <v>0</v>
      </c>
      <c r="P14" s="41">
        <v>0</v>
      </c>
    </row>
    <row r="15" spans="1:16" x14ac:dyDescent="0.3">
      <c r="A15" s="41" t="s">
        <v>2304</v>
      </c>
      <c r="B15" s="41" t="s">
        <v>334</v>
      </c>
      <c r="C15" s="41" t="s">
        <v>413</v>
      </c>
      <c r="D15" s="41" t="s">
        <v>264</v>
      </c>
      <c r="E15" s="41"/>
      <c r="F15" s="41" t="b">
        <v>1</v>
      </c>
      <c r="G15" s="41" t="s">
        <v>2305</v>
      </c>
      <c r="H15" s="41"/>
      <c r="I15" s="41">
        <v>404</v>
      </c>
      <c r="J15" s="41" t="s">
        <v>160</v>
      </c>
      <c r="K15" s="41" t="s">
        <v>2306</v>
      </c>
      <c r="L15" s="41" t="s">
        <v>2324</v>
      </c>
      <c r="M15" s="41" t="s">
        <v>2308</v>
      </c>
      <c r="N15" s="41" t="s">
        <v>2309</v>
      </c>
      <c r="O15" s="41">
        <v>0</v>
      </c>
      <c r="P15" s="41">
        <v>0</v>
      </c>
    </row>
    <row r="16" spans="1:16" x14ac:dyDescent="0.3">
      <c r="A16" s="41" t="s">
        <v>2304</v>
      </c>
      <c r="B16" s="41" t="s">
        <v>363</v>
      </c>
      <c r="C16" s="41" t="s">
        <v>413</v>
      </c>
      <c r="D16" s="41" t="s">
        <v>264</v>
      </c>
      <c r="E16" s="41"/>
      <c r="F16" s="41" t="b">
        <v>1</v>
      </c>
      <c r="G16" s="41" t="s">
        <v>2305</v>
      </c>
      <c r="H16" s="41"/>
      <c r="I16" s="41">
        <v>404</v>
      </c>
      <c r="J16" s="41" t="s">
        <v>160</v>
      </c>
      <c r="K16" s="41" t="s">
        <v>2306</v>
      </c>
      <c r="L16" s="41" t="s">
        <v>2325</v>
      </c>
      <c r="M16" s="41" t="s">
        <v>2308</v>
      </c>
      <c r="N16" s="41" t="s">
        <v>2309</v>
      </c>
      <c r="O16" s="41">
        <v>0</v>
      </c>
      <c r="P16" s="41">
        <v>0</v>
      </c>
    </row>
    <row r="17" spans="1:16" x14ac:dyDescent="0.3">
      <c r="A17" s="41" t="s">
        <v>2304</v>
      </c>
      <c r="B17" s="41" t="s">
        <v>363</v>
      </c>
      <c r="C17" s="41" t="s">
        <v>413</v>
      </c>
      <c r="D17" s="41" t="s">
        <v>2316</v>
      </c>
      <c r="E17" s="41"/>
      <c r="F17" s="41" t="b">
        <v>1</v>
      </c>
      <c r="G17" s="41" t="s">
        <v>2305</v>
      </c>
      <c r="H17" s="41"/>
      <c r="I17" s="41">
        <v>404</v>
      </c>
      <c r="J17" s="41" t="s">
        <v>160</v>
      </c>
      <c r="K17" s="41" t="s">
        <v>2306</v>
      </c>
      <c r="L17" s="41" t="s">
        <v>2326</v>
      </c>
      <c r="M17" s="41" t="s">
        <v>2308</v>
      </c>
      <c r="N17" s="41" t="s">
        <v>2309</v>
      </c>
      <c r="O17" s="41">
        <v>0</v>
      </c>
      <c r="P17" s="41">
        <v>0</v>
      </c>
    </row>
    <row r="18" spans="1:16" x14ac:dyDescent="0.3">
      <c r="A18" s="41" t="s">
        <v>2304</v>
      </c>
      <c r="B18" s="41" t="s">
        <v>334</v>
      </c>
      <c r="C18" s="41" t="s">
        <v>417</v>
      </c>
      <c r="D18" s="41" t="s">
        <v>2386</v>
      </c>
      <c r="E18" s="41"/>
      <c r="F18" s="41" t="b">
        <v>1</v>
      </c>
      <c r="G18" s="41" t="s">
        <v>2305</v>
      </c>
      <c r="H18" s="41"/>
      <c r="I18" s="41">
        <v>404</v>
      </c>
      <c r="J18" s="41" t="s">
        <v>160</v>
      </c>
      <c r="K18" s="41" t="s">
        <v>2306</v>
      </c>
      <c r="L18" s="41" t="s">
        <v>2327</v>
      </c>
      <c r="M18" s="41" t="s">
        <v>2308</v>
      </c>
      <c r="N18" s="41" t="s">
        <v>2309</v>
      </c>
      <c r="O18" s="41">
        <v>0</v>
      </c>
      <c r="P18" s="41">
        <v>0</v>
      </c>
    </row>
    <row r="19" spans="1:16" x14ac:dyDescent="0.3">
      <c r="A19" s="41" t="s">
        <v>2304</v>
      </c>
      <c r="B19" s="41" t="s">
        <v>342</v>
      </c>
      <c r="C19" s="41" t="s">
        <v>436</v>
      </c>
      <c r="D19" s="41" t="s">
        <v>2387</v>
      </c>
      <c r="E19" s="41"/>
      <c r="F19" s="41" t="b">
        <v>1</v>
      </c>
      <c r="G19" s="41" t="s">
        <v>2305</v>
      </c>
      <c r="H19" s="41"/>
      <c r="I19" s="41">
        <v>404</v>
      </c>
      <c r="J19" s="41" t="s">
        <v>160</v>
      </c>
      <c r="K19" s="41" t="s">
        <v>2306</v>
      </c>
      <c r="L19" s="41" t="s">
        <v>2328</v>
      </c>
      <c r="M19" s="41" t="s">
        <v>2308</v>
      </c>
      <c r="N19" s="41" t="s">
        <v>2309</v>
      </c>
      <c r="O19" s="41">
        <v>0</v>
      </c>
      <c r="P19" s="41">
        <v>0</v>
      </c>
    </row>
    <row r="20" spans="1:16" x14ac:dyDescent="0.3">
      <c r="A20" s="41" t="s">
        <v>2304</v>
      </c>
      <c r="B20" s="41" t="s">
        <v>299</v>
      </c>
      <c r="C20" s="41" t="s">
        <v>436</v>
      </c>
      <c r="D20" s="41" t="s">
        <v>2387</v>
      </c>
      <c r="E20" s="41"/>
      <c r="F20" s="41" t="b">
        <v>1</v>
      </c>
      <c r="G20" s="41" t="s">
        <v>2305</v>
      </c>
      <c r="H20" s="41"/>
      <c r="I20" s="41">
        <v>404</v>
      </c>
      <c r="J20" s="41" t="s">
        <v>160</v>
      </c>
      <c r="K20" s="41" t="s">
        <v>2306</v>
      </c>
      <c r="L20" s="41" t="s">
        <v>2329</v>
      </c>
      <c r="M20" s="41" t="s">
        <v>2308</v>
      </c>
      <c r="N20" s="41" t="s">
        <v>2309</v>
      </c>
      <c r="O20" s="41">
        <v>0</v>
      </c>
      <c r="P20" s="41">
        <v>0</v>
      </c>
    </row>
    <row r="21" spans="1:16" x14ac:dyDescent="0.3">
      <c r="A21" s="41" t="s">
        <v>2304</v>
      </c>
      <c r="B21" s="41" t="s">
        <v>356</v>
      </c>
      <c r="C21" s="41" t="s">
        <v>436</v>
      </c>
      <c r="D21" s="41" t="s">
        <v>2330</v>
      </c>
      <c r="E21" s="41"/>
      <c r="F21" s="41" t="b">
        <v>1</v>
      </c>
      <c r="G21" s="41" t="s">
        <v>2305</v>
      </c>
      <c r="H21" s="41"/>
      <c r="I21" s="41">
        <v>404</v>
      </c>
      <c r="J21" s="41" t="s">
        <v>160</v>
      </c>
      <c r="K21" s="41" t="s">
        <v>2306</v>
      </c>
      <c r="L21" s="41" t="s">
        <v>2331</v>
      </c>
      <c r="M21" s="41" t="s">
        <v>2308</v>
      </c>
      <c r="N21" s="41" t="s">
        <v>2309</v>
      </c>
      <c r="O21" s="41">
        <v>0</v>
      </c>
      <c r="P21" s="41">
        <v>0</v>
      </c>
    </row>
    <row r="22" spans="1:16" x14ac:dyDescent="0.3">
      <c r="A22" s="41" t="s">
        <v>2304</v>
      </c>
      <c r="B22" s="41" t="s">
        <v>299</v>
      </c>
      <c r="C22" s="41" t="s">
        <v>440</v>
      </c>
      <c r="D22" s="41" t="s">
        <v>2388</v>
      </c>
      <c r="E22" s="41"/>
      <c r="F22" s="41" t="b">
        <v>1</v>
      </c>
      <c r="G22" s="41" t="s">
        <v>2305</v>
      </c>
      <c r="H22" s="41"/>
      <c r="I22" s="41">
        <v>404</v>
      </c>
      <c r="J22" s="41" t="s">
        <v>160</v>
      </c>
      <c r="K22" s="41" t="s">
        <v>2306</v>
      </c>
      <c r="L22" s="41" t="s">
        <v>2332</v>
      </c>
      <c r="M22" s="41" t="s">
        <v>2308</v>
      </c>
      <c r="N22" s="41" t="s">
        <v>2309</v>
      </c>
      <c r="O22" s="41">
        <v>0</v>
      </c>
      <c r="P22" s="41">
        <v>0</v>
      </c>
    </row>
    <row r="23" spans="1:16" x14ac:dyDescent="0.3">
      <c r="A23" s="41" t="s">
        <v>2304</v>
      </c>
      <c r="B23" s="41" t="s">
        <v>312</v>
      </c>
      <c r="C23" s="41" t="s">
        <v>442</v>
      </c>
      <c r="D23" s="41" t="s">
        <v>2389</v>
      </c>
      <c r="E23" s="41"/>
      <c r="F23" s="41" t="b">
        <v>1</v>
      </c>
      <c r="G23" s="41" t="s">
        <v>2305</v>
      </c>
      <c r="H23" s="41"/>
      <c r="I23" s="41">
        <v>404</v>
      </c>
      <c r="J23" s="41" t="s">
        <v>160</v>
      </c>
      <c r="K23" s="41" t="s">
        <v>2306</v>
      </c>
      <c r="L23" s="41" t="s">
        <v>2333</v>
      </c>
      <c r="M23" s="41" t="s">
        <v>2308</v>
      </c>
      <c r="N23" s="41" t="s">
        <v>2309</v>
      </c>
      <c r="O23" s="41">
        <v>0</v>
      </c>
      <c r="P23" s="41">
        <v>0</v>
      </c>
    </row>
    <row r="24" spans="1:16" x14ac:dyDescent="0.3">
      <c r="A24" s="41" t="s">
        <v>2304</v>
      </c>
      <c r="B24" s="41" t="s">
        <v>283</v>
      </c>
      <c r="C24" s="41" t="s">
        <v>442</v>
      </c>
      <c r="D24" s="41" t="s">
        <v>2389</v>
      </c>
      <c r="E24" s="41"/>
      <c r="F24" s="41" t="b">
        <v>1</v>
      </c>
      <c r="G24" s="41" t="s">
        <v>2305</v>
      </c>
      <c r="H24" s="41"/>
      <c r="I24" s="41">
        <v>404</v>
      </c>
      <c r="J24" s="41" t="s">
        <v>160</v>
      </c>
      <c r="K24" s="41" t="s">
        <v>2306</v>
      </c>
      <c r="L24" s="41" t="s">
        <v>2334</v>
      </c>
      <c r="M24" s="41" t="s">
        <v>2308</v>
      </c>
      <c r="N24" s="41" t="s">
        <v>2309</v>
      </c>
      <c r="O24" s="41">
        <v>0</v>
      </c>
      <c r="P24" s="41">
        <v>0</v>
      </c>
    </row>
    <row r="25" spans="1:16" x14ac:dyDescent="0.3">
      <c r="A25" s="41" t="s">
        <v>2304</v>
      </c>
      <c r="B25" s="41" t="s">
        <v>363</v>
      </c>
      <c r="C25" s="41" t="s">
        <v>442</v>
      </c>
      <c r="D25" s="41" t="s">
        <v>2389</v>
      </c>
      <c r="E25" s="41"/>
      <c r="F25" s="41" t="b">
        <v>1</v>
      </c>
      <c r="G25" s="41" t="s">
        <v>2305</v>
      </c>
      <c r="H25" s="41"/>
      <c r="I25" s="41">
        <v>404</v>
      </c>
      <c r="J25" s="41" t="s">
        <v>160</v>
      </c>
      <c r="K25" s="41" t="s">
        <v>2306</v>
      </c>
      <c r="L25" s="41" t="s">
        <v>2335</v>
      </c>
      <c r="M25" s="41" t="s">
        <v>2308</v>
      </c>
      <c r="N25" s="41" t="s">
        <v>2309</v>
      </c>
      <c r="O25" s="41">
        <v>0</v>
      </c>
      <c r="P25" s="41">
        <v>0</v>
      </c>
    </row>
    <row r="26" spans="1:16" x14ac:dyDescent="0.3">
      <c r="A26" s="41" t="s">
        <v>2304</v>
      </c>
      <c r="B26" s="41" t="s">
        <v>386</v>
      </c>
      <c r="C26" s="41" t="s">
        <v>426</v>
      </c>
      <c r="D26" s="41" t="s">
        <v>2390</v>
      </c>
      <c r="E26" s="41"/>
      <c r="F26" s="41" t="b">
        <v>1</v>
      </c>
      <c r="G26" s="41" t="s">
        <v>2305</v>
      </c>
      <c r="H26" s="41"/>
      <c r="I26" s="41">
        <v>404</v>
      </c>
      <c r="J26" s="41" t="s">
        <v>160</v>
      </c>
      <c r="K26" s="41" t="s">
        <v>2306</v>
      </c>
      <c r="L26" s="41" t="s">
        <v>2336</v>
      </c>
      <c r="M26" s="41" t="s">
        <v>2308</v>
      </c>
      <c r="N26" s="41" t="s">
        <v>2309</v>
      </c>
      <c r="O26" s="41">
        <v>0</v>
      </c>
      <c r="P26" s="41">
        <v>0</v>
      </c>
    </row>
    <row r="27" spans="1:16" x14ac:dyDescent="0.3">
      <c r="A27" s="41" t="s">
        <v>2304</v>
      </c>
      <c r="B27" s="41" t="s">
        <v>342</v>
      </c>
      <c r="C27" s="41" t="s">
        <v>429</v>
      </c>
      <c r="D27" s="41" t="s">
        <v>2391</v>
      </c>
      <c r="E27" s="41"/>
      <c r="F27" s="41" t="b">
        <v>1</v>
      </c>
      <c r="G27" s="41" t="s">
        <v>2305</v>
      </c>
      <c r="H27" s="41"/>
      <c r="I27" s="41">
        <v>404</v>
      </c>
      <c r="J27" s="41" t="s">
        <v>160</v>
      </c>
      <c r="K27" s="41" t="s">
        <v>2306</v>
      </c>
      <c r="L27" s="41" t="s">
        <v>2337</v>
      </c>
      <c r="M27" s="41" t="s">
        <v>2308</v>
      </c>
      <c r="N27" s="41" t="s">
        <v>2309</v>
      </c>
      <c r="O27" s="41">
        <v>0</v>
      </c>
      <c r="P27" s="41">
        <v>0</v>
      </c>
    </row>
    <row r="28" spans="1:16" x14ac:dyDescent="0.3">
      <c r="A28" s="41" t="s">
        <v>2304</v>
      </c>
      <c r="B28" s="41" t="s">
        <v>307</v>
      </c>
      <c r="C28" s="41" t="s">
        <v>429</v>
      </c>
      <c r="D28" s="41" t="s">
        <v>2391</v>
      </c>
      <c r="E28" s="41"/>
      <c r="F28" s="41" t="b">
        <v>1</v>
      </c>
      <c r="G28" s="41" t="s">
        <v>2305</v>
      </c>
      <c r="H28" s="41"/>
      <c r="I28" s="41">
        <v>404</v>
      </c>
      <c r="J28" s="41" t="s">
        <v>160</v>
      </c>
      <c r="K28" s="41" t="s">
        <v>2306</v>
      </c>
      <c r="L28" s="41" t="s">
        <v>2338</v>
      </c>
      <c r="M28" s="41" t="s">
        <v>2308</v>
      </c>
      <c r="N28" s="41" t="s">
        <v>2309</v>
      </c>
      <c r="O28" s="41">
        <v>0</v>
      </c>
      <c r="P28" s="41">
        <v>0</v>
      </c>
    </row>
    <row r="29" spans="1:16" x14ac:dyDescent="0.3">
      <c r="A29" s="41" t="s">
        <v>2304</v>
      </c>
      <c r="B29" s="41" t="s">
        <v>307</v>
      </c>
      <c r="C29" s="41" t="s">
        <v>429</v>
      </c>
      <c r="D29" s="41"/>
      <c r="E29" s="41"/>
      <c r="F29" s="41" t="b">
        <v>1</v>
      </c>
      <c r="G29" s="41"/>
      <c r="H29" s="41"/>
      <c r="I29" s="41">
        <v>404</v>
      </c>
      <c r="J29" s="41" t="s">
        <v>160</v>
      </c>
      <c r="K29" s="41" t="s">
        <v>2306</v>
      </c>
      <c r="L29" s="41" t="s">
        <v>2339</v>
      </c>
      <c r="M29" s="41" t="s">
        <v>2308</v>
      </c>
      <c r="N29" s="41" t="s">
        <v>2309</v>
      </c>
      <c r="O29" s="41">
        <v>0</v>
      </c>
      <c r="P29" s="41">
        <v>0</v>
      </c>
    </row>
    <row r="30" spans="1:16" x14ac:dyDescent="0.3">
      <c r="A30" s="41" t="s">
        <v>2304</v>
      </c>
      <c r="B30" s="41" t="s">
        <v>307</v>
      </c>
      <c r="C30" s="41" t="s">
        <v>429</v>
      </c>
      <c r="D30" s="41"/>
      <c r="E30" s="41"/>
      <c r="F30" s="41" t="b">
        <v>1</v>
      </c>
      <c r="G30" s="41"/>
      <c r="H30" s="41"/>
      <c r="I30" s="41">
        <v>404</v>
      </c>
      <c r="J30" s="41" t="s">
        <v>160</v>
      </c>
      <c r="K30" s="41" t="s">
        <v>2306</v>
      </c>
      <c r="L30" s="41" t="s">
        <v>2340</v>
      </c>
      <c r="M30" s="41" t="s">
        <v>2308</v>
      </c>
      <c r="N30" s="41" t="s">
        <v>2309</v>
      </c>
      <c r="O30" s="41">
        <v>0</v>
      </c>
      <c r="P30" s="41">
        <v>0</v>
      </c>
    </row>
    <row r="31" spans="1:16" x14ac:dyDescent="0.3">
      <c r="A31" s="41" t="s">
        <v>2304</v>
      </c>
      <c r="B31" s="41" t="s">
        <v>334</v>
      </c>
      <c r="C31" s="41" t="s">
        <v>429</v>
      </c>
      <c r="D31" s="41" t="s">
        <v>2391</v>
      </c>
      <c r="E31" s="41"/>
      <c r="F31" s="41" t="b">
        <v>1</v>
      </c>
      <c r="G31" s="41" t="s">
        <v>2305</v>
      </c>
      <c r="H31" s="41"/>
      <c r="I31" s="41">
        <v>404</v>
      </c>
      <c r="J31" s="41" t="s">
        <v>160</v>
      </c>
      <c r="K31" s="41" t="s">
        <v>2306</v>
      </c>
      <c r="L31" s="41" t="s">
        <v>2341</v>
      </c>
      <c r="M31" s="41" t="s">
        <v>2308</v>
      </c>
      <c r="N31" s="41" t="s">
        <v>2309</v>
      </c>
      <c r="O31" s="41">
        <v>0</v>
      </c>
      <c r="P31" s="41">
        <v>0</v>
      </c>
    </row>
    <row r="32" spans="1:16" x14ac:dyDescent="0.3">
      <c r="A32" s="41" t="s">
        <v>2304</v>
      </c>
      <c r="B32" s="41" t="s">
        <v>356</v>
      </c>
      <c r="C32" s="41" t="s">
        <v>429</v>
      </c>
      <c r="D32" s="41" t="s">
        <v>2391</v>
      </c>
      <c r="E32" s="41"/>
      <c r="F32" s="41" t="b">
        <v>1</v>
      </c>
      <c r="G32" s="41" t="s">
        <v>2305</v>
      </c>
      <c r="H32" s="41"/>
      <c r="I32" s="41">
        <v>404</v>
      </c>
      <c r="J32" s="41" t="s">
        <v>160</v>
      </c>
      <c r="K32" s="41" t="s">
        <v>2306</v>
      </c>
      <c r="L32" s="41" t="s">
        <v>2342</v>
      </c>
      <c r="M32" s="41" t="s">
        <v>2308</v>
      </c>
      <c r="N32" s="41" t="s">
        <v>2309</v>
      </c>
      <c r="O32" s="41">
        <v>0</v>
      </c>
      <c r="P32" s="41">
        <v>0</v>
      </c>
    </row>
    <row r="33" spans="1:16" x14ac:dyDescent="0.3">
      <c r="A33" s="41" t="s">
        <v>2304</v>
      </c>
      <c r="B33" s="41" t="s">
        <v>312</v>
      </c>
      <c r="C33" s="41" t="s">
        <v>445</v>
      </c>
      <c r="D33" s="41" t="s">
        <v>2392</v>
      </c>
      <c r="E33" s="41"/>
      <c r="F33" s="41" t="b">
        <v>1</v>
      </c>
      <c r="G33" s="41" t="s">
        <v>2305</v>
      </c>
      <c r="H33" s="41"/>
      <c r="I33" s="41">
        <v>404</v>
      </c>
      <c r="J33" s="41" t="s">
        <v>160</v>
      </c>
      <c r="K33" s="41" t="s">
        <v>2306</v>
      </c>
      <c r="L33" s="41" t="s">
        <v>2343</v>
      </c>
      <c r="M33" s="41" t="s">
        <v>2308</v>
      </c>
      <c r="N33" s="41" t="s">
        <v>2309</v>
      </c>
      <c r="O33" s="41">
        <v>0</v>
      </c>
      <c r="P33" s="41">
        <v>0</v>
      </c>
    </row>
    <row r="34" spans="1:16" x14ac:dyDescent="0.3">
      <c r="A34" s="41" t="s">
        <v>2304</v>
      </c>
      <c r="B34" s="41" t="s">
        <v>334</v>
      </c>
      <c r="C34" s="41" t="s">
        <v>445</v>
      </c>
      <c r="D34" s="41" t="s">
        <v>2344</v>
      </c>
      <c r="E34" s="41"/>
      <c r="F34" s="41" t="b">
        <v>1</v>
      </c>
      <c r="G34" s="41" t="s">
        <v>2305</v>
      </c>
      <c r="H34" s="41"/>
      <c r="I34" s="41">
        <v>404</v>
      </c>
      <c r="J34" s="41" t="s">
        <v>160</v>
      </c>
      <c r="K34" s="41" t="s">
        <v>2306</v>
      </c>
      <c r="L34" s="41" t="s">
        <v>2345</v>
      </c>
      <c r="M34" s="41" t="s">
        <v>2308</v>
      </c>
      <c r="N34" s="41" t="s">
        <v>2309</v>
      </c>
      <c r="O34" s="41">
        <v>0</v>
      </c>
      <c r="P34" s="41">
        <v>0</v>
      </c>
    </row>
    <row r="35" spans="1:16" x14ac:dyDescent="0.3">
      <c r="A35" s="41" t="s">
        <v>2304</v>
      </c>
      <c r="B35" s="41" t="s">
        <v>342</v>
      </c>
      <c r="C35" s="41" t="s">
        <v>438</v>
      </c>
      <c r="D35" s="41" t="s">
        <v>2393</v>
      </c>
      <c r="E35" s="41"/>
      <c r="F35" s="41" t="b">
        <v>1</v>
      </c>
      <c r="G35" s="41" t="s">
        <v>2305</v>
      </c>
      <c r="H35" s="41"/>
      <c r="I35" s="41">
        <v>404</v>
      </c>
      <c r="J35" s="41" t="s">
        <v>160</v>
      </c>
      <c r="K35" s="41" t="s">
        <v>2306</v>
      </c>
      <c r="L35" s="41" t="s">
        <v>2346</v>
      </c>
      <c r="M35" s="41" t="s">
        <v>2308</v>
      </c>
      <c r="N35" s="41" t="s">
        <v>2309</v>
      </c>
      <c r="O35" s="41">
        <v>0</v>
      </c>
      <c r="P35" s="41">
        <v>0</v>
      </c>
    </row>
    <row r="36" spans="1:16" x14ac:dyDescent="0.3">
      <c r="A36" s="41" t="s">
        <v>2304</v>
      </c>
      <c r="B36" s="41" t="s">
        <v>849</v>
      </c>
      <c r="C36" s="41" t="s">
        <v>589</v>
      </c>
      <c r="D36" s="41" t="s">
        <v>851</v>
      </c>
      <c r="E36" s="41"/>
      <c r="F36" s="41" t="b">
        <v>1</v>
      </c>
      <c r="G36" s="41"/>
      <c r="H36" s="41"/>
      <c r="I36" s="41">
        <v>404</v>
      </c>
      <c r="J36" s="41" t="s">
        <v>160</v>
      </c>
      <c r="K36" s="41" t="s">
        <v>2347</v>
      </c>
      <c r="L36" s="41" t="s">
        <v>2348</v>
      </c>
      <c r="M36" s="41" t="s">
        <v>2308</v>
      </c>
      <c r="N36" s="41" t="s">
        <v>2309</v>
      </c>
      <c r="O36" s="41">
        <v>0</v>
      </c>
      <c r="P36" s="41">
        <v>0</v>
      </c>
    </row>
    <row r="37" spans="1:16" x14ac:dyDescent="0.3">
      <c r="A37" s="41" t="s">
        <v>2304</v>
      </c>
      <c r="B37" s="41" t="s">
        <v>849</v>
      </c>
      <c r="C37" s="41" t="s">
        <v>589</v>
      </c>
      <c r="D37" s="41" t="s">
        <v>851</v>
      </c>
      <c r="E37" s="41"/>
      <c r="F37" s="41" t="b">
        <v>1</v>
      </c>
      <c r="G37" s="41"/>
      <c r="H37" s="41"/>
      <c r="I37" s="41">
        <v>404</v>
      </c>
      <c r="J37" s="41" t="s">
        <v>160</v>
      </c>
      <c r="K37" s="41" t="s">
        <v>2347</v>
      </c>
      <c r="L37" s="41" t="s">
        <v>2349</v>
      </c>
      <c r="M37" s="41" t="s">
        <v>2350</v>
      </c>
      <c r="N37" s="41" t="s">
        <v>2309</v>
      </c>
      <c r="O37" s="41">
        <v>0</v>
      </c>
      <c r="P37" s="41">
        <v>0</v>
      </c>
    </row>
    <row r="38" spans="1:16" x14ac:dyDescent="0.3">
      <c r="A38" s="41" t="s">
        <v>2304</v>
      </c>
      <c r="B38" s="41" t="s">
        <v>747</v>
      </c>
      <c r="C38" s="41" t="s">
        <v>589</v>
      </c>
      <c r="D38" s="41" t="s">
        <v>851</v>
      </c>
      <c r="E38" s="41"/>
      <c r="F38" s="41" t="b">
        <v>1</v>
      </c>
      <c r="G38" s="41"/>
      <c r="H38" s="41"/>
      <c r="I38" s="41">
        <v>404</v>
      </c>
      <c r="J38" s="41" t="s">
        <v>160</v>
      </c>
      <c r="K38" s="41" t="s">
        <v>2347</v>
      </c>
      <c r="L38" s="41" t="s">
        <v>2348</v>
      </c>
      <c r="M38" s="41" t="s">
        <v>2308</v>
      </c>
      <c r="N38" s="41" t="s">
        <v>2309</v>
      </c>
      <c r="O38" s="41">
        <v>0</v>
      </c>
      <c r="P38" s="41">
        <v>0</v>
      </c>
    </row>
    <row r="39" spans="1:16" x14ac:dyDescent="0.3">
      <c r="A39" s="41" t="s">
        <v>2304</v>
      </c>
      <c r="B39" s="41" t="s">
        <v>747</v>
      </c>
      <c r="C39" s="41" t="s">
        <v>589</v>
      </c>
      <c r="D39" s="41" t="s">
        <v>851</v>
      </c>
      <c r="E39" s="41"/>
      <c r="F39" s="41" t="b">
        <v>1</v>
      </c>
      <c r="G39" s="41"/>
      <c r="H39" s="41"/>
      <c r="I39" s="41">
        <v>404</v>
      </c>
      <c r="J39" s="41" t="s">
        <v>160</v>
      </c>
      <c r="K39" s="41" t="s">
        <v>2347</v>
      </c>
      <c r="L39" s="41" t="s">
        <v>2349</v>
      </c>
      <c r="M39" s="41" t="s">
        <v>2350</v>
      </c>
      <c r="N39" s="41" t="s">
        <v>2309</v>
      </c>
      <c r="O39" s="41">
        <v>0</v>
      </c>
      <c r="P39" s="41">
        <v>0</v>
      </c>
    </row>
    <row r="40" spans="1:16" x14ac:dyDescent="0.3">
      <c r="A40" s="41" t="s">
        <v>2304</v>
      </c>
      <c r="B40" s="41" t="s">
        <v>819</v>
      </c>
      <c r="C40" s="41" t="s">
        <v>589</v>
      </c>
      <c r="D40" s="41" t="s">
        <v>851</v>
      </c>
      <c r="E40" s="41"/>
      <c r="F40" s="41" t="b">
        <v>1</v>
      </c>
      <c r="G40" s="41"/>
      <c r="H40" s="41"/>
      <c r="I40" s="41">
        <v>404</v>
      </c>
      <c r="J40" s="41" t="s">
        <v>160</v>
      </c>
      <c r="K40" s="41" t="s">
        <v>2347</v>
      </c>
      <c r="L40" s="41" t="s">
        <v>2348</v>
      </c>
      <c r="M40" s="41" t="s">
        <v>2308</v>
      </c>
      <c r="N40" s="41" t="s">
        <v>2309</v>
      </c>
      <c r="O40" s="41">
        <v>0</v>
      </c>
      <c r="P40" s="41">
        <v>0</v>
      </c>
    </row>
    <row r="41" spans="1:16" x14ac:dyDescent="0.3">
      <c r="A41" s="41" t="s">
        <v>2304</v>
      </c>
      <c r="B41" s="41" t="s">
        <v>819</v>
      </c>
      <c r="C41" s="41" t="s">
        <v>589</v>
      </c>
      <c r="D41" s="41" t="s">
        <v>851</v>
      </c>
      <c r="E41" s="41"/>
      <c r="F41" s="41" t="b">
        <v>1</v>
      </c>
      <c r="G41" s="41"/>
      <c r="H41" s="41"/>
      <c r="I41" s="41">
        <v>404</v>
      </c>
      <c r="J41" s="41" t="s">
        <v>160</v>
      </c>
      <c r="K41" s="41" t="s">
        <v>2347</v>
      </c>
      <c r="L41" s="41" t="s">
        <v>2349</v>
      </c>
      <c r="M41" s="41" t="s">
        <v>2350</v>
      </c>
      <c r="N41" s="41" t="s">
        <v>2309</v>
      </c>
      <c r="O41" s="41">
        <v>0</v>
      </c>
      <c r="P41" s="41">
        <v>0</v>
      </c>
    </row>
    <row r="42" spans="1:16" x14ac:dyDescent="0.3">
      <c r="A42" s="41" t="s">
        <v>2304</v>
      </c>
      <c r="B42" s="41" t="s">
        <v>591</v>
      </c>
      <c r="C42" s="41" t="s">
        <v>589</v>
      </c>
      <c r="D42" s="41" t="s">
        <v>851</v>
      </c>
      <c r="E42" s="41"/>
      <c r="F42" s="41" t="b">
        <v>1</v>
      </c>
      <c r="G42" s="41"/>
      <c r="H42" s="41"/>
      <c r="I42" s="41">
        <v>404</v>
      </c>
      <c r="J42" s="41" t="s">
        <v>160</v>
      </c>
      <c r="K42" s="41" t="s">
        <v>2347</v>
      </c>
      <c r="L42" s="41" t="s">
        <v>2348</v>
      </c>
      <c r="M42" s="41" t="s">
        <v>2308</v>
      </c>
      <c r="N42" s="41" t="s">
        <v>2309</v>
      </c>
      <c r="O42" s="41">
        <v>0</v>
      </c>
      <c r="P42" s="41">
        <v>0</v>
      </c>
    </row>
    <row r="43" spans="1:16" x14ac:dyDescent="0.3">
      <c r="A43" s="41" t="s">
        <v>2304</v>
      </c>
      <c r="B43" s="41" t="s">
        <v>591</v>
      </c>
      <c r="C43" s="41" t="s">
        <v>589</v>
      </c>
      <c r="D43" s="41" t="s">
        <v>851</v>
      </c>
      <c r="E43" s="41"/>
      <c r="F43" s="41" t="b">
        <v>1</v>
      </c>
      <c r="G43" s="41"/>
      <c r="H43" s="41"/>
      <c r="I43" s="41">
        <v>404</v>
      </c>
      <c r="J43" s="41" t="s">
        <v>160</v>
      </c>
      <c r="K43" s="41" t="s">
        <v>2347</v>
      </c>
      <c r="L43" s="41" t="s">
        <v>2349</v>
      </c>
      <c r="M43" s="41" t="s">
        <v>2350</v>
      </c>
      <c r="N43" s="41" t="s">
        <v>2309</v>
      </c>
      <c r="O43" s="41">
        <v>0</v>
      </c>
      <c r="P43" s="41">
        <v>0</v>
      </c>
    </row>
    <row r="44" spans="1:16" x14ac:dyDescent="0.3">
      <c r="A44" s="41" t="s">
        <v>2304</v>
      </c>
      <c r="B44" s="41" t="s">
        <v>527</v>
      </c>
      <c r="C44" s="41" t="s">
        <v>589</v>
      </c>
      <c r="D44" s="41" t="s">
        <v>851</v>
      </c>
      <c r="E44" s="41"/>
      <c r="F44" s="41" t="b">
        <v>1</v>
      </c>
      <c r="G44" s="41"/>
      <c r="H44" s="41"/>
      <c r="I44" s="41">
        <v>404</v>
      </c>
      <c r="J44" s="41" t="s">
        <v>160</v>
      </c>
      <c r="K44" s="41" t="s">
        <v>2347</v>
      </c>
      <c r="L44" s="41" t="s">
        <v>2348</v>
      </c>
      <c r="M44" s="41" t="s">
        <v>2308</v>
      </c>
      <c r="N44" s="41" t="s">
        <v>2309</v>
      </c>
      <c r="O44" s="41">
        <v>0</v>
      </c>
      <c r="P44" s="41">
        <v>0</v>
      </c>
    </row>
    <row r="45" spans="1:16" x14ac:dyDescent="0.3">
      <c r="A45" s="41" t="s">
        <v>2304</v>
      </c>
      <c r="B45" s="41" t="s">
        <v>527</v>
      </c>
      <c r="C45" s="41" t="s">
        <v>589</v>
      </c>
      <c r="D45" s="41" t="s">
        <v>851</v>
      </c>
      <c r="E45" s="41"/>
      <c r="F45" s="41" t="b">
        <v>1</v>
      </c>
      <c r="G45" s="41"/>
      <c r="H45" s="41"/>
      <c r="I45" s="41">
        <v>404</v>
      </c>
      <c r="J45" s="41" t="s">
        <v>160</v>
      </c>
      <c r="K45" s="41" t="s">
        <v>2347</v>
      </c>
      <c r="L45" s="41" t="s">
        <v>2349</v>
      </c>
      <c r="M45" s="41" t="s">
        <v>2350</v>
      </c>
      <c r="N45" s="41" t="s">
        <v>2309</v>
      </c>
      <c r="O45" s="41">
        <v>0</v>
      </c>
      <c r="P45" s="41">
        <v>0</v>
      </c>
    </row>
    <row r="46" spans="1:16" x14ac:dyDescent="0.3">
      <c r="A46" s="41" t="s">
        <v>2304</v>
      </c>
      <c r="B46" s="41" t="s">
        <v>827</v>
      </c>
      <c r="C46" s="41" t="s">
        <v>589</v>
      </c>
      <c r="D46" s="41" t="s">
        <v>851</v>
      </c>
      <c r="E46" s="41"/>
      <c r="F46" s="41" t="b">
        <v>1</v>
      </c>
      <c r="G46" s="41"/>
      <c r="H46" s="41"/>
      <c r="I46" s="41">
        <v>404</v>
      </c>
      <c r="J46" s="41" t="s">
        <v>160</v>
      </c>
      <c r="K46" s="41" t="s">
        <v>2347</v>
      </c>
      <c r="L46" s="41" t="s">
        <v>2348</v>
      </c>
      <c r="M46" s="41" t="s">
        <v>2308</v>
      </c>
      <c r="N46" s="41" t="s">
        <v>2309</v>
      </c>
      <c r="O46" s="41">
        <v>0</v>
      </c>
      <c r="P46" s="41">
        <v>0</v>
      </c>
    </row>
    <row r="47" spans="1:16" x14ac:dyDescent="0.3">
      <c r="A47" s="41" t="s">
        <v>2304</v>
      </c>
      <c r="B47" s="41" t="s">
        <v>827</v>
      </c>
      <c r="C47" s="41" t="s">
        <v>589</v>
      </c>
      <c r="D47" s="41" t="s">
        <v>851</v>
      </c>
      <c r="E47" s="41"/>
      <c r="F47" s="41" t="b">
        <v>1</v>
      </c>
      <c r="G47" s="41"/>
      <c r="H47" s="41"/>
      <c r="I47" s="41">
        <v>404</v>
      </c>
      <c r="J47" s="41" t="s">
        <v>160</v>
      </c>
      <c r="K47" s="41" t="s">
        <v>2347</v>
      </c>
      <c r="L47" s="41" t="s">
        <v>2349</v>
      </c>
      <c r="M47" s="41" t="s">
        <v>2350</v>
      </c>
      <c r="N47" s="41" t="s">
        <v>2309</v>
      </c>
      <c r="O47" s="41">
        <v>0</v>
      </c>
      <c r="P47" s="41">
        <v>0</v>
      </c>
    </row>
    <row r="48" spans="1:16" x14ac:dyDescent="0.3">
      <c r="A48" s="41" t="s">
        <v>2304</v>
      </c>
      <c r="B48" s="41" t="s">
        <v>556</v>
      </c>
      <c r="C48" s="41" t="s">
        <v>589</v>
      </c>
      <c r="D48" s="41" t="s">
        <v>851</v>
      </c>
      <c r="E48" s="41"/>
      <c r="F48" s="41" t="b">
        <v>1</v>
      </c>
      <c r="G48" s="41"/>
      <c r="H48" s="41"/>
      <c r="I48" s="41">
        <v>404</v>
      </c>
      <c r="J48" s="41" t="s">
        <v>160</v>
      </c>
      <c r="K48" s="41" t="s">
        <v>2347</v>
      </c>
      <c r="L48" s="41" t="s">
        <v>2348</v>
      </c>
      <c r="M48" s="41" t="s">
        <v>2308</v>
      </c>
      <c r="N48" s="41" t="s">
        <v>2309</v>
      </c>
      <c r="O48" s="41">
        <v>0</v>
      </c>
      <c r="P48" s="41">
        <v>0</v>
      </c>
    </row>
    <row r="49" spans="1:16" x14ac:dyDescent="0.3">
      <c r="A49" s="41" t="s">
        <v>2304</v>
      </c>
      <c r="B49" s="41" t="s">
        <v>556</v>
      </c>
      <c r="C49" s="41" t="s">
        <v>589</v>
      </c>
      <c r="D49" s="41" t="s">
        <v>851</v>
      </c>
      <c r="E49" s="41"/>
      <c r="F49" s="41" t="b">
        <v>1</v>
      </c>
      <c r="G49" s="41"/>
      <c r="H49" s="41"/>
      <c r="I49" s="41">
        <v>404</v>
      </c>
      <c r="J49" s="41" t="s">
        <v>160</v>
      </c>
      <c r="K49" s="41" t="s">
        <v>2347</v>
      </c>
      <c r="L49" s="41" t="s">
        <v>2349</v>
      </c>
      <c r="M49" s="41" t="s">
        <v>2350</v>
      </c>
      <c r="N49" s="41" t="s">
        <v>2309</v>
      </c>
      <c r="O49" s="41">
        <v>0</v>
      </c>
      <c r="P49" s="41">
        <v>0</v>
      </c>
    </row>
    <row r="50" spans="1:16" x14ac:dyDescent="0.3">
      <c r="A50" s="41" t="s">
        <v>2304</v>
      </c>
      <c r="B50" s="41" t="s">
        <v>654</v>
      </c>
      <c r="C50" s="41" t="s">
        <v>589</v>
      </c>
      <c r="D50" s="41" t="s">
        <v>851</v>
      </c>
      <c r="E50" s="41"/>
      <c r="F50" s="41" t="b">
        <v>1</v>
      </c>
      <c r="G50" s="41"/>
      <c r="H50" s="41"/>
      <c r="I50" s="41">
        <v>404</v>
      </c>
      <c r="J50" s="41" t="s">
        <v>160</v>
      </c>
      <c r="K50" s="41" t="s">
        <v>2347</v>
      </c>
      <c r="L50" s="41" t="s">
        <v>2348</v>
      </c>
      <c r="M50" s="41" t="s">
        <v>2308</v>
      </c>
      <c r="N50" s="41" t="s">
        <v>2309</v>
      </c>
      <c r="O50" s="41">
        <v>0</v>
      </c>
      <c r="P50" s="41">
        <v>0</v>
      </c>
    </row>
    <row r="51" spans="1:16" x14ac:dyDescent="0.3">
      <c r="A51" s="41" t="s">
        <v>2304</v>
      </c>
      <c r="B51" s="41" t="s">
        <v>654</v>
      </c>
      <c r="C51" s="41" t="s">
        <v>589</v>
      </c>
      <c r="D51" s="41" t="s">
        <v>851</v>
      </c>
      <c r="E51" s="41"/>
      <c r="F51" s="41" t="b">
        <v>1</v>
      </c>
      <c r="G51" s="41"/>
      <c r="H51" s="41"/>
      <c r="I51" s="41">
        <v>404</v>
      </c>
      <c r="J51" s="41" t="s">
        <v>160</v>
      </c>
      <c r="K51" s="41" t="s">
        <v>2347</v>
      </c>
      <c r="L51" s="41" t="s">
        <v>2349</v>
      </c>
      <c r="M51" s="41" t="s">
        <v>2350</v>
      </c>
      <c r="N51" s="41" t="s">
        <v>2309</v>
      </c>
      <c r="O51" s="41">
        <v>0</v>
      </c>
      <c r="P51" s="41">
        <v>0</v>
      </c>
    </row>
    <row r="52" spans="1:16" x14ac:dyDescent="0.3">
      <c r="A52" s="41" t="s">
        <v>2304</v>
      </c>
      <c r="B52" s="41" t="s">
        <v>522</v>
      </c>
      <c r="C52" s="41" t="s">
        <v>589</v>
      </c>
      <c r="D52" s="41" t="s">
        <v>851</v>
      </c>
      <c r="E52" s="41"/>
      <c r="F52" s="41" t="b">
        <v>1</v>
      </c>
      <c r="G52" s="41"/>
      <c r="H52" s="41"/>
      <c r="I52" s="41">
        <v>404</v>
      </c>
      <c r="J52" s="41" t="s">
        <v>160</v>
      </c>
      <c r="K52" s="41" t="s">
        <v>2347</v>
      </c>
      <c r="L52" s="41" t="s">
        <v>2348</v>
      </c>
      <c r="M52" s="41" t="s">
        <v>2308</v>
      </c>
      <c r="N52" s="41" t="s">
        <v>2309</v>
      </c>
      <c r="O52" s="41">
        <v>0</v>
      </c>
      <c r="P52" s="41">
        <v>0</v>
      </c>
    </row>
    <row r="53" spans="1:16" x14ac:dyDescent="0.3">
      <c r="A53" s="41" t="s">
        <v>2304</v>
      </c>
      <c r="B53" s="41" t="s">
        <v>522</v>
      </c>
      <c r="C53" s="41" t="s">
        <v>589</v>
      </c>
      <c r="D53" s="41" t="s">
        <v>851</v>
      </c>
      <c r="E53" s="41"/>
      <c r="F53" s="41" t="b">
        <v>1</v>
      </c>
      <c r="G53" s="41"/>
      <c r="H53" s="41"/>
      <c r="I53" s="41">
        <v>404</v>
      </c>
      <c r="J53" s="41" t="s">
        <v>160</v>
      </c>
      <c r="K53" s="41" t="s">
        <v>2347</v>
      </c>
      <c r="L53" s="41" t="s">
        <v>2349</v>
      </c>
      <c r="M53" s="41" t="s">
        <v>2350</v>
      </c>
      <c r="N53" s="41" t="s">
        <v>2309</v>
      </c>
      <c r="O53" s="41">
        <v>0</v>
      </c>
      <c r="P53" s="41">
        <v>0</v>
      </c>
    </row>
    <row r="54" spans="1:16" x14ac:dyDescent="0.3">
      <c r="A54" s="41" t="s">
        <v>2304</v>
      </c>
      <c r="B54" s="41" t="s">
        <v>547</v>
      </c>
      <c r="C54" s="41" t="s">
        <v>589</v>
      </c>
      <c r="D54" s="41" t="s">
        <v>851</v>
      </c>
      <c r="E54" s="41"/>
      <c r="F54" s="41" t="b">
        <v>1</v>
      </c>
      <c r="G54" s="41"/>
      <c r="H54" s="41"/>
      <c r="I54" s="41">
        <v>404</v>
      </c>
      <c r="J54" s="41" t="s">
        <v>160</v>
      </c>
      <c r="K54" s="41" t="s">
        <v>2347</v>
      </c>
      <c r="L54" s="41" t="s">
        <v>2348</v>
      </c>
      <c r="M54" s="41" t="s">
        <v>2308</v>
      </c>
      <c r="N54" s="41" t="s">
        <v>2309</v>
      </c>
      <c r="O54" s="41">
        <v>0</v>
      </c>
      <c r="P54" s="41">
        <v>0</v>
      </c>
    </row>
    <row r="55" spans="1:16" x14ac:dyDescent="0.3">
      <c r="A55" s="41" t="s">
        <v>2304</v>
      </c>
      <c r="B55" s="41" t="s">
        <v>547</v>
      </c>
      <c r="C55" s="41" t="s">
        <v>589</v>
      </c>
      <c r="D55" s="41" t="s">
        <v>851</v>
      </c>
      <c r="E55" s="41"/>
      <c r="F55" s="41" t="b">
        <v>1</v>
      </c>
      <c r="G55" s="41"/>
      <c r="H55" s="41"/>
      <c r="I55" s="41">
        <v>404</v>
      </c>
      <c r="J55" s="41" t="s">
        <v>160</v>
      </c>
      <c r="K55" s="41" t="s">
        <v>2347</v>
      </c>
      <c r="L55" s="41" t="s">
        <v>2349</v>
      </c>
      <c r="M55" s="41" t="s">
        <v>2350</v>
      </c>
      <c r="N55" s="41" t="s">
        <v>2309</v>
      </c>
      <c r="O55" s="41">
        <v>0</v>
      </c>
      <c r="P55" s="41">
        <v>0</v>
      </c>
    </row>
    <row r="56" spans="1:16" x14ac:dyDescent="0.3">
      <c r="A56" s="41" t="s">
        <v>2304</v>
      </c>
      <c r="B56" s="41" t="s">
        <v>668</v>
      </c>
      <c r="C56" s="41" t="s">
        <v>589</v>
      </c>
      <c r="D56" s="41" t="s">
        <v>851</v>
      </c>
      <c r="E56" s="41"/>
      <c r="F56" s="41" t="b">
        <v>1</v>
      </c>
      <c r="G56" s="41"/>
      <c r="H56" s="41"/>
      <c r="I56" s="41">
        <v>404</v>
      </c>
      <c r="J56" s="41" t="s">
        <v>160</v>
      </c>
      <c r="K56" s="41" t="s">
        <v>2347</v>
      </c>
      <c r="L56" s="41" t="s">
        <v>2348</v>
      </c>
      <c r="M56" s="41" t="s">
        <v>2308</v>
      </c>
      <c r="N56" s="41" t="s">
        <v>2309</v>
      </c>
      <c r="O56" s="41">
        <v>0</v>
      </c>
      <c r="P56" s="41">
        <v>0</v>
      </c>
    </row>
    <row r="57" spans="1:16" x14ac:dyDescent="0.3">
      <c r="A57" s="41" t="s">
        <v>2304</v>
      </c>
      <c r="B57" s="41" t="s">
        <v>668</v>
      </c>
      <c r="C57" s="41" t="s">
        <v>589</v>
      </c>
      <c r="D57" s="41" t="s">
        <v>851</v>
      </c>
      <c r="E57" s="41"/>
      <c r="F57" s="41" t="b">
        <v>1</v>
      </c>
      <c r="G57" s="41"/>
      <c r="H57" s="41"/>
      <c r="I57" s="41">
        <v>404</v>
      </c>
      <c r="J57" s="41" t="s">
        <v>160</v>
      </c>
      <c r="K57" s="41" t="s">
        <v>2347</v>
      </c>
      <c r="L57" s="41" t="s">
        <v>2349</v>
      </c>
      <c r="M57" s="41" t="s">
        <v>2350</v>
      </c>
      <c r="N57" s="41" t="s">
        <v>2309</v>
      </c>
      <c r="O57" s="41">
        <v>0</v>
      </c>
      <c r="P57" s="41">
        <v>0</v>
      </c>
    </row>
    <row r="58" spans="1:16" x14ac:dyDescent="0.3">
      <c r="A58" s="41" t="s">
        <v>2304</v>
      </c>
      <c r="B58" s="41" t="s">
        <v>579</v>
      </c>
      <c r="C58" s="41" t="s">
        <v>589</v>
      </c>
      <c r="D58" s="41" t="s">
        <v>851</v>
      </c>
      <c r="E58" s="41"/>
      <c r="F58" s="41" t="b">
        <v>1</v>
      </c>
      <c r="G58" s="41"/>
      <c r="H58" s="41"/>
      <c r="I58" s="41">
        <v>404</v>
      </c>
      <c r="J58" s="41" t="s">
        <v>160</v>
      </c>
      <c r="K58" s="41" t="s">
        <v>2347</v>
      </c>
      <c r="L58" s="41" t="s">
        <v>2348</v>
      </c>
      <c r="M58" s="41" t="s">
        <v>2308</v>
      </c>
      <c r="N58" s="41" t="s">
        <v>2309</v>
      </c>
      <c r="O58" s="41">
        <v>0</v>
      </c>
      <c r="P58" s="41">
        <v>0</v>
      </c>
    </row>
    <row r="59" spans="1:16" x14ac:dyDescent="0.3">
      <c r="A59" s="41" t="s">
        <v>2304</v>
      </c>
      <c r="B59" s="41" t="s">
        <v>579</v>
      </c>
      <c r="C59" s="41" t="s">
        <v>589</v>
      </c>
      <c r="D59" s="41" t="s">
        <v>851</v>
      </c>
      <c r="E59" s="41"/>
      <c r="F59" s="41" t="b">
        <v>1</v>
      </c>
      <c r="G59" s="41"/>
      <c r="H59" s="41"/>
      <c r="I59" s="41">
        <v>404</v>
      </c>
      <c r="J59" s="41" t="s">
        <v>160</v>
      </c>
      <c r="K59" s="41" t="s">
        <v>2347</v>
      </c>
      <c r="L59" s="41" t="s">
        <v>2349</v>
      </c>
      <c r="M59" s="41" t="s">
        <v>2350</v>
      </c>
      <c r="N59" s="41" t="s">
        <v>2309</v>
      </c>
      <c r="O59" s="41">
        <v>0</v>
      </c>
      <c r="P59" s="41">
        <v>0</v>
      </c>
    </row>
    <row r="60" spans="1:16" x14ac:dyDescent="0.3">
      <c r="A60" s="41" t="s">
        <v>2304</v>
      </c>
      <c r="B60" s="41" t="s">
        <v>463</v>
      </c>
      <c r="C60" s="41" t="s">
        <v>589</v>
      </c>
      <c r="D60" s="41" t="s">
        <v>851</v>
      </c>
      <c r="E60" s="41"/>
      <c r="F60" s="41" t="b">
        <v>1</v>
      </c>
      <c r="G60" s="41"/>
      <c r="H60" s="41"/>
      <c r="I60" s="41">
        <v>404</v>
      </c>
      <c r="J60" s="41" t="s">
        <v>160</v>
      </c>
      <c r="K60" s="41" t="s">
        <v>2347</v>
      </c>
      <c r="L60" s="41" t="s">
        <v>2348</v>
      </c>
      <c r="M60" s="41" t="s">
        <v>2308</v>
      </c>
      <c r="N60" s="41" t="s">
        <v>2309</v>
      </c>
      <c r="O60" s="41">
        <v>0</v>
      </c>
      <c r="P60" s="41">
        <v>0</v>
      </c>
    </row>
    <row r="61" spans="1:16" x14ac:dyDescent="0.3">
      <c r="A61" s="41" t="s">
        <v>2304</v>
      </c>
      <c r="B61" s="41" t="s">
        <v>463</v>
      </c>
      <c r="C61" s="41" t="s">
        <v>589</v>
      </c>
      <c r="D61" s="41" t="s">
        <v>851</v>
      </c>
      <c r="E61" s="41"/>
      <c r="F61" s="41" t="b">
        <v>1</v>
      </c>
      <c r="G61" s="41"/>
      <c r="H61" s="41"/>
      <c r="I61" s="41">
        <v>404</v>
      </c>
      <c r="J61" s="41" t="s">
        <v>160</v>
      </c>
      <c r="K61" s="41" t="s">
        <v>2347</v>
      </c>
      <c r="L61" s="41" t="s">
        <v>2349</v>
      </c>
      <c r="M61" s="41" t="s">
        <v>2350</v>
      </c>
      <c r="N61" s="41" t="s">
        <v>2309</v>
      </c>
      <c r="O61" s="41">
        <v>0</v>
      </c>
      <c r="P61" s="41">
        <v>0</v>
      </c>
    </row>
    <row r="62" spans="1:16" x14ac:dyDescent="0.3">
      <c r="A62" s="41" t="s">
        <v>2304</v>
      </c>
      <c r="B62" s="41" t="s">
        <v>679</v>
      </c>
      <c r="C62" s="41" t="s">
        <v>589</v>
      </c>
      <c r="D62" s="41" t="s">
        <v>851</v>
      </c>
      <c r="E62" s="41"/>
      <c r="F62" s="41" t="b">
        <v>1</v>
      </c>
      <c r="G62" s="41"/>
      <c r="H62" s="41"/>
      <c r="I62" s="41">
        <v>404</v>
      </c>
      <c r="J62" s="41" t="s">
        <v>160</v>
      </c>
      <c r="K62" s="41" t="s">
        <v>2347</v>
      </c>
      <c r="L62" s="41" t="s">
        <v>2348</v>
      </c>
      <c r="M62" s="41" t="s">
        <v>2308</v>
      </c>
      <c r="N62" s="41" t="s">
        <v>2309</v>
      </c>
      <c r="O62" s="41">
        <v>0</v>
      </c>
      <c r="P62" s="41">
        <v>0</v>
      </c>
    </row>
    <row r="63" spans="1:16" x14ac:dyDescent="0.3">
      <c r="A63" s="41" t="s">
        <v>2304</v>
      </c>
      <c r="B63" s="41" t="s">
        <v>679</v>
      </c>
      <c r="C63" s="41" t="s">
        <v>589</v>
      </c>
      <c r="D63" s="41" t="s">
        <v>851</v>
      </c>
      <c r="E63" s="41"/>
      <c r="F63" s="41" t="b">
        <v>1</v>
      </c>
      <c r="G63" s="41"/>
      <c r="H63" s="41"/>
      <c r="I63" s="41">
        <v>404</v>
      </c>
      <c r="J63" s="41" t="s">
        <v>160</v>
      </c>
      <c r="K63" s="41" t="s">
        <v>2347</v>
      </c>
      <c r="L63" s="41" t="s">
        <v>2349</v>
      </c>
      <c r="M63" s="41" t="s">
        <v>2350</v>
      </c>
      <c r="N63" s="41" t="s">
        <v>2309</v>
      </c>
      <c r="O63" s="41">
        <v>0</v>
      </c>
      <c r="P63" s="41">
        <v>0</v>
      </c>
    </row>
    <row r="64" spans="1:16" x14ac:dyDescent="0.3">
      <c r="A64" s="41" t="s">
        <v>2304</v>
      </c>
      <c r="B64" s="41" t="s">
        <v>715</v>
      </c>
      <c r="C64" s="41" t="s">
        <v>589</v>
      </c>
      <c r="D64" s="41" t="s">
        <v>851</v>
      </c>
      <c r="E64" s="41"/>
      <c r="F64" s="41" t="b">
        <v>1</v>
      </c>
      <c r="G64" s="41"/>
      <c r="H64" s="41"/>
      <c r="I64" s="41">
        <v>404</v>
      </c>
      <c r="J64" s="41" t="s">
        <v>160</v>
      </c>
      <c r="K64" s="41" t="s">
        <v>2347</v>
      </c>
      <c r="L64" s="41" t="s">
        <v>2348</v>
      </c>
      <c r="M64" s="41" t="s">
        <v>2308</v>
      </c>
      <c r="N64" s="41" t="s">
        <v>2309</v>
      </c>
      <c r="O64" s="41">
        <v>0</v>
      </c>
      <c r="P64" s="41">
        <v>0</v>
      </c>
    </row>
    <row r="65" spans="1:16" x14ac:dyDescent="0.3">
      <c r="A65" s="41" t="s">
        <v>2304</v>
      </c>
      <c r="B65" s="41" t="s">
        <v>715</v>
      </c>
      <c r="C65" s="41" t="s">
        <v>589</v>
      </c>
      <c r="D65" s="41" t="s">
        <v>851</v>
      </c>
      <c r="E65" s="41"/>
      <c r="F65" s="41" t="b">
        <v>1</v>
      </c>
      <c r="G65" s="41"/>
      <c r="H65" s="41"/>
      <c r="I65" s="41">
        <v>404</v>
      </c>
      <c r="J65" s="41" t="s">
        <v>160</v>
      </c>
      <c r="K65" s="41" t="s">
        <v>2347</v>
      </c>
      <c r="L65" s="41" t="s">
        <v>2349</v>
      </c>
      <c r="M65" s="41" t="s">
        <v>2350</v>
      </c>
      <c r="N65" s="41" t="s">
        <v>2309</v>
      </c>
      <c r="O65" s="41">
        <v>0</v>
      </c>
      <c r="P65" s="41">
        <v>0</v>
      </c>
    </row>
    <row r="66" spans="1:16" x14ac:dyDescent="0.3">
      <c r="A66" s="41" t="s">
        <v>2304</v>
      </c>
      <c r="B66" s="41" t="s">
        <v>698</v>
      </c>
      <c r="C66" s="41" t="s">
        <v>589</v>
      </c>
      <c r="D66" s="41" t="s">
        <v>851</v>
      </c>
      <c r="E66" s="41"/>
      <c r="F66" s="41" t="b">
        <v>1</v>
      </c>
      <c r="G66" s="41"/>
      <c r="H66" s="41"/>
      <c r="I66" s="41">
        <v>404</v>
      </c>
      <c r="J66" s="41" t="s">
        <v>160</v>
      </c>
      <c r="K66" s="41" t="s">
        <v>2347</v>
      </c>
      <c r="L66" s="41" t="s">
        <v>2348</v>
      </c>
      <c r="M66" s="41" t="s">
        <v>2308</v>
      </c>
      <c r="N66" s="41" t="s">
        <v>2309</v>
      </c>
      <c r="O66" s="41">
        <v>0</v>
      </c>
      <c r="P66" s="41">
        <v>0</v>
      </c>
    </row>
    <row r="67" spans="1:16" x14ac:dyDescent="0.3">
      <c r="A67" s="41" t="s">
        <v>2304</v>
      </c>
      <c r="B67" s="41" t="s">
        <v>698</v>
      </c>
      <c r="C67" s="41" t="s">
        <v>589</v>
      </c>
      <c r="D67" s="41" t="s">
        <v>851</v>
      </c>
      <c r="E67" s="41"/>
      <c r="F67" s="41" t="b">
        <v>1</v>
      </c>
      <c r="G67" s="41"/>
      <c r="H67" s="41"/>
      <c r="I67" s="41">
        <v>404</v>
      </c>
      <c r="J67" s="41" t="s">
        <v>160</v>
      </c>
      <c r="K67" s="41" t="s">
        <v>2347</v>
      </c>
      <c r="L67" s="41" t="s">
        <v>2349</v>
      </c>
      <c r="M67" s="41" t="s">
        <v>2350</v>
      </c>
      <c r="N67" s="41" t="s">
        <v>2309</v>
      </c>
      <c r="O67" s="41">
        <v>0</v>
      </c>
      <c r="P67" s="41">
        <v>0</v>
      </c>
    </row>
    <row r="68" spans="1:16" x14ac:dyDescent="0.3">
      <c r="A68" s="41" t="s">
        <v>2304</v>
      </c>
      <c r="B68" s="41" t="s">
        <v>542</v>
      </c>
      <c r="C68" s="41" t="s">
        <v>589</v>
      </c>
      <c r="D68" s="41" t="s">
        <v>851</v>
      </c>
      <c r="E68" s="41"/>
      <c r="F68" s="41" t="b">
        <v>1</v>
      </c>
      <c r="G68" s="41"/>
      <c r="H68" s="41"/>
      <c r="I68" s="41">
        <v>404</v>
      </c>
      <c r="J68" s="41" t="s">
        <v>160</v>
      </c>
      <c r="K68" s="41" t="s">
        <v>2347</v>
      </c>
      <c r="L68" s="41" t="s">
        <v>2348</v>
      </c>
      <c r="M68" s="41" t="s">
        <v>2308</v>
      </c>
      <c r="N68" s="41" t="s">
        <v>2309</v>
      </c>
      <c r="O68" s="41">
        <v>0</v>
      </c>
      <c r="P68" s="41">
        <v>0</v>
      </c>
    </row>
    <row r="69" spans="1:16" x14ac:dyDescent="0.3">
      <c r="A69" s="41" t="s">
        <v>2304</v>
      </c>
      <c r="B69" s="41" t="s">
        <v>542</v>
      </c>
      <c r="C69" s="41" t="s">
        <v>589</v>
      </c>
      <c r="D69" s="41" t="s">
        <v>851</v>
      </c>
      <c r="E69" s="41"/>
      <c r="F69" s="41" t="b">
        <v>1</v>
      </c>
      <c r="G69" s="41"/>
      <c r="H69" s="41"/>
      <c r="I69" s="41">
        <v>404</v>
      </c>
      <c r="J69" s="41" t="s">
        <v>160</v>
      </c>
      <c r="K69" s="41" t="s">
        <v>2347</v>
      </c>
      <c r="L69" s="41" t="s">
        <v>2349</v>
      </c>
      <c r="M69" s="41" t="s">
        <v>2350</v>
      </c>
      <c r="N69" s="41" t="s">
        <v>2309</v>
      </c>
      <c r="O69" s="41">
        <v>0</v>
      </c>
      <c r="P69" s="41">
        <v>0</v>
      </c>
    </row>
    <row r="70" spans="1:16" x14ac:dyDescent="0.3">
      <c r="A70" s="41" t="s">
        <v>2304</v>
      </c>
      <c r="B70" s="41" t="s">
        <v>831</v>
      </c>
      <c r="C70" s="41" t="s">
        <v>589</v>
      </c>
      <c r="D70" s="41" t="s">
        <v>851</v>
      </c>
      <c r="E70" s="41"/>
      <c r="F70" s="41" t="b">
        <v>1</v>
      </c>
      <c r="G70" s="41"/>
      <c r="H70" s="41"/>
      <c r="I70" s="41">
        <v>404</v>
      </c>
      <c r="J70" s="41" t="s">
        <v>160</v>
      </c>
      <c r="K70" s="41" t="s">
        <v>2347</v>
      </c>
      <c r="L70" s="41" t="s">
        <v>2348</v>
      </c>
      <c r="M70" s="41" t="s">
        <v>2308</v>
      </c>
      <c r="N70" s="41" t="s">
        <v>2309</v>
      </c>
      <c r="O70" s="41">
        <v>0</v>
      </c>
      <c r="P70" s="41">
        <v>0</v>
      </c>
    </row>
    <row r="71" spans="1:16" x14ac:dyDescent="0.3">
      <c r="A71" s="41" t="s">
        <v>2304</v>
      </c>
      <c r="B71" s="41" t="s">
        <v>831</v>
      </c>
      <c r="C71" s="41" t="s">
        <v>589</v>
      </c>
      <c r="D71" s="41" t="s">
        <v>851</v>
      </c>
      <c r="E71" s="41"/>
      <c r="F71" s="41" t="b">
        <v>1</v>
      </c>
      <c r="G71" s="41"/>
      <c r="H71" s="41"/>
      <c r="I71" s="41">
        <v>404</v>
      </c>
      <c r="J71" s="41" t="s">
        <v>160</v>
      </c>
      <c r="K71" s="41" t="s">
        <v>2347</v>
      </c>
      <c r="L71" s="41" t="s">
        <v>2349</v>
      </c>
      <c r="M71" s="41" t="s">
        <v>2350</v>
      </c>
      <c r="N71" s="41" t="s">
        <v>2309</v>
      </c>
      <c r="O71" s="41">
        <v>0</v>
      </c>
      <c r="P71" s="41">
        <v>0</v>
      </c>
    </row>
    <row r="72" spans="1:16" x14ac:dyDescent="0.3">
      <c r="A72" s="41" t="s">
        <v>2304</v>
      </c>
      <c r="B72" s="41" t="s">
        <v>738</v>
      </c>
      <c r="C72" s="41" t="s">
        <v>589</v>
      </c>
      <c r="D72" s="41" t="s">
        <v>851</v>
      </c>
      <c r="E72" s="41"/>
      <c r="F72" s="41" t="b">
        <v>1</v>
      </c>
      <c r="G72" s="41"/>
      <c r="H72" s="41"/>
      <c r="I72" s="41">
        <v>404</v>
      </c>
      <c r="J72" s="41" t="s">
        <v>160</v>
      </c>
      <c r="K72" s="41" t="s">
        <v>2347</v>
      </c>
      <c r="L72" s="41" t="s">
        <v>2348</v>
      </c>
      <c r="M72" s="41" t="s">
        <v>2308</v>
      </c>
      <c r="N72" s="41" t="s">
        <v>2309</v>
      </c>
      <c r="O72" s="41">
        <v>0</v>
      </c>
      <c r="P72" s="41">
        <v>0</v>
      </c>
    </row>
    <row r="73" spans="1:16" x14ac:dyDescent="0.3">
      <c r="A73" s="41" t="s">
        <v>2304</v>
      </c>
      <c r="B73" s="41" t="s">
        <v>738</v>
      </c>
      <c r="C73" s="41" t="s">
        <v>589</v>
      </c>
      <c r="D73" s="41" t="s">
        <v>851</v>
      </c>
      <c r="E73" s="41"/>
      <c r="F73" s="41" t="b">
        <v>1</v>
      </c>
      <c r="G73" s="41"/>
      <c r="H73" s="41"/>
      <c r="I73" s="41">
        <v>404</v>
      </c>
      <c r="J73" s="41" t="s">
        <v>160</v>
      </c>
      <c r="K73" s="41" t="s">
        <v>2347</v>
      </c>
      <c r="L73" s="41" t="s">
        <v>2349</v>
      </c>
      <c r="M73" s="41" t="s">
        <v>2350</v>
      </c>
      <c r="N73" s="41" t="s">
        <v>2309</v>
      </c>
      <c r="O73" s="41">
        <v>0</v>
      </c>
      <c r="P73" s="41">
        <v>0</v>
      </c>
    </row>
    <row r="74" spans="1:16" x14ac:dyDescent="0.3">
      <c r="A74" s="41" t="s">
        <v>2304</v>
      </c>
      <c r="B74" s="41" t="s">
        <v>574</v>
      </c>
      <c r="C74" s="41" t="s">
        <v>589</v>
      </c>
      <c r="D74" s="41" t="s">
        <v>851</v>
      </c>
      <c r="E74" s="41"/>
      <c r="F74" s="41" t="b">
        <v>1</v>
      </c>
      <c r="G74" s="41"/>
      <c r="H74" s="41"/>
      <c r="I74" s="41">
        <v>404</v>
      </c>
      <c r="J74" s="41" t="s">
        <v>160</v>
      </c>
      <c r="K74" s="41" t="s">
        <v>2347</v>
      </c>
      <c r="L74" s="41" t="s">
        <v>2348</v>
      </c>
      <c r="M74" s="41" t="s">
        <v>2308</v>
      </c>
      <c r="N74" s="41" t="s">
        <v>2309</v>
      </c>
      <c r="O74" s="41">
        <v>0</v>
      </c>
      <c r="P74" s="41">
        <v>0</v>
      </c>
    </row>
    <row r="75" spans="1:16" x14ac:dyDescent="0.3">
      <c r="A75" s="41" t="s">
        <v>2304</v>
      </c>
      <c r="B75" s="41" t="s">
        <v>574</v>
      </c>
      <c r="C75" s="41" t="s">
        <v>589</v>
      </c>
      <c r="D75" s="41" t="s">
        <v>851</v>
      </c>
      <c r="E75" s="41"/>
      <c r="F75" s="41" t="b">
        <v>1</v>
      </c>
      <c r="G75" s="41"/>
      <c r="H75" s="41"/>
      <c r="I75" s="41">
        <v>404</v>
      </c>
      <c r="J75" s="41" t="s">
        <v>160</v>
      </c>
      <c r="K75" s="41" t="s">
        <v>2347</v>
      </c>
      <c r="L75" s="41" t="s">
        <v>2349</v>
      </c>
      <c r="M75" s="41" t="s">
        <v>2350</v>
      </c>
      <c r="N75" s="41" t="s">
        <v>2309</v>
      </c>
      <c r="O75" s="41">
        <v>0</v>
      </c>
      <c r="P75" s="41">
        <v>0</v>
      </c>
    </row>
    <row r="76" spans="1:16" x14ac:dyDescent="0.3">
      <c r="A76" s="41" t="s">
        <v>2304</v>
      </c>
      <c r="B76" s="41" t="s">
        <v>774</v>
      </c>
      <c r="C76" s="41" t="s">
        <v>589</v>
      </c>
      <c r="D76" s="41" t="s">
        <v>851</v>
      </c>
      <c r="E76" s="41"/>
      <c r="F76" s="41" t="b">
        <v>1</v>
      </c>
      <c r="G76" s="41"/>
      <c r="H76" s="41"/>
      <c r="I76" s="41">
        <v>404</v>
      </c>
      <c r="J76" s="41" t="s">
        <v>160</v>
      </c>
      <c r="K76" s="41" t="s">
        <v>2347</v>
      </c>
      <c r="L76" s="41" t="s">
        <v>2348</v>
      </c>
      <c r="M76" s="41" t="s">
        <v>2308</v>
      </c>
      <c r="N76" s="41" t="s">
        <v>2309</v>
      </c>
      <c r="O76" s="41">
        <v>0</v>
      </c>
      <c r="P76" s="41">
        <v>0</v>
      </c>
    </row>
    <row r="77" spans="1:16" x14ac:dyDescent="0.3">
      <c r="A77" s="41" t="s">
        <v>2304</v>
      </c>
      <c r="B77" s="41" t="s">
        <v>774</v>
      </c>
      <c r="C77" s="41" t="s">
        <v>589</v>
      </c>
      <c r="D77" s="41" t="s">
        <v>851</v>
      </c>
      <c r="E77" s="41"/>
      <c r="F77" s="41" t="b">
        <v>1</v>
      </c>
      <c r="G77" s="41"/>
      <c r="H77" s="41"/>
      <c r="I77" s="41">
        <v>404</v>
      </c>
      <c r="J77" s="41" t="s">
        <v>160</v>
      </c>
      <c r="K77" s="41" t="s">
        <v>2347</v>
      </c>
      <c r="L77" s="41" t="s">
        <v>2349</v>
      </c>
      <c r="M77" s="41" t="s">
        <v>2350</v>
      </c>
      <c r="N77" s="41" t="s">
        <v>2309</v>
      </c>
      <c r="O77" s="41">
        <v>0</v>
      </c>
      <c r="P77" s="41">
        <v>0</v>
      </c>
    </row>
    <row r="78" spans="1:16" x14ac:dyDescent="0.3">
      <c r="A78" s="41" t="s">
        <v>2304</v>
      </c>
      <c r="B78" s="41" t="s">
        <v>649</v>
      </c>
      <c r="C78" s="41" t="s">
        <v>589</v>
      </c>
      <c r="D78" s="41" t="s">
        <v>851</v>
      </c>
      <c r="E78" s="41"/>
      <c r="F78" s="41" t="b">
        <v>1</v>
      </c>
      <c r="G78" s="41"/>
      <c r="H78" s="41"/>
      <c r="I78" s="41">
        <v>404</v>
      </c>
      <c r="J78" s="41" t="s">
        <v>160</v>
      </c>
      <c r="K78" s="41" t="s">
        <v>2347</v>
      </c>
      <c r="L78" s="41" t="s">
        <v>2348</v>
      </c>
      <c r="M78" s="41" t="s">
        <v>2308</v>
      </c>
      <c r="N78" s="41" t="s">
        <v>2309</v>
      </c>
      <c r="O78" s="41">
        <v>0</v>
      </c>
      <c r="P78" s="41">
        <v>0</v>
      </c>
    </row>
    <row r="79" spans="1:16" x14ac:dyDescent="0.3">
      <c r="A79" s="41" t="s">
        <v>2304</v>
      </c>
      <c r="B79" s="41" t="s">
        <v>649</v>
      </c>
      <c r="C79" s="41" t="s">
        <v>589</v>
      </c>
      <c r="D79" s="41" t="s">
        <v>851</v>
      </c>
      <c r="E79" s="41"/>
      <c r="F79" s="41" t="b">
        <v>1</v>
      </c>
      <c r="G79" s="41"/>
      <c r="H79" s="41"/>
      <c r="I79" s="41">
        <v>404</v>
      </c>
      <c r="J79" s="41" t="s">
        <v>160</v>
      </c>
      <c r="K79" s="41" t="s">
        <v>2347</v>
      </c>
      <c r="L79" s="41" t="s">
        <v>2349</v>
      </c>
      <c r="M79" s="41" t="s">
        <v>2350</v>
      </c>
      <c r="N79" s="41" t="s">
        <v>2309</v>
      </c>
      <c r="O79" s="41">
        <v>0</v>
      </c>
      <c r="P79" s="41">
        <v>0</v>
      </c>
    </row>
    <row r="80" spans="1:16" x14ac:dyDescent="0.3">
      <c r="A80" s="41" t="s">
        <v>2304</v>
      </c>
      <c r="B80" s="41" t="s">
        <v>694</v>
      </c>
      <c r="C80" s="41" t="s">
        <v>589</v>
      </c>
      <c r="D80" s="41" t="s">
        <v>851</v>
      </c>
      <c r="E80" s="41"/>
      <c r="F80" s="41" t="b">
        <v>1</v>
      </c>
      <c r="G80" s="41"/>
      <c r="H80" s="41"/>
      <c r="I80" s="41">
        <v>404</v>
      </c>
      <c r="J80" s="41" t="s">
        <v>160</v>
      </c>
      <c r="K80" s="41" t="s">
        <v>2347</v>
      </c>
      <c r="L80" s="41" t="s">
        <v>2348</v>
      </c>
      <c r="M80" s="41" t="s">
        <v>2308</v>
      </c>
      <c r="N80" s="41" t="s">
        <v>2309</v>
      </c>
      <c r="O80" s="41">
        <v>0</v>
      </c>
      <c r="P80" s="41">
        <v>0</v>
      </c>
    </row>
    <row r="81" spans="1:16" x14ac:dyDescent="0.3">
      <c r="A81" s="41" t="s">
        <v>2304</v>
      </c>
      <c r="B81" s="41" t="s">
        <v>694</v>
      </c>
      <c r="C81" s="41" t="s">
        <v>589</v>
      </c>
      <c r="D81" s="41" t="s">
        <v>851</v>
      </c>
      <c r="E81" s="41"/>
      <c r="F81" s="41" t="b">
        <v>1</v>
      </c>
      <c r="G81" s="41"/>
      <c r="H81" s="41"/>
      <c r="I81" s="41">
        <v>404</v>
      </c>
      <c r="J81" s="41" t="s">
        <v>160</v>
      </c>
      <c r="K81" s="41" t="s">
        <v>2347</v>
      </c>
      <c r="L81" s="41" t="s">
        <v>2349</v>
      </c>
      <c r="M81" s="41" t="s">
        <v>2350</v>
      </c>
      <c r="N81" s="41" t="s">
        <v>2309</v>
      </c>
      <c r="O81" s="41">
        <v>0</v>
      </c>
      <c r="P81" s="41">
        <v>0</v>
      </c>
    </row>
    <row r="82" spans="1:16" x14ac:dyDescent="0.3">
      <c r="A82" s="41" t="s">
        <v>2304</v>
      </c>
      <c r="B82" s="41" t="s">
        <v>683</v>
      </c>
      <c r="C82" s="41" t="s">
        <v>589</v>
      </c>
      <c r="D82" s="41" t="s">
        <v>851</v>
      </c>
      <c r="E82" s="41"/>
      <c r="F82" s="41" t="b">
        <v>1</v>
      </c>
      <c r="G82" s="41"/>
      <c r="H82" s="41"/>
      <c r="I82" s="41">
        <v>404</v>
      </c>
      <c r="J82" s="41" t="s">
        <v>160</v>
      </c>
      <c r="K82" s="41" t="s">
        <v>2347</v>
      </c>
      <c r="L82" s="41" t="s">
        <v>2348</v>
      </c>
      <c r="M82" s="41" t="s">
        <v>2308</v>
      </c>
      <c r="N82" s="41" t="s">
        <v>2309</v>
      </c>
      <c r="O82" s="41">
        <v>0</v>
      </c>
      <c r="P82" s="41">
        <v>0</v>
      </c>
    </row>
    <row r="83" spans="1:16" x14ac:dyDescent="0.3">
      <c r="A83" s="41" t="s">
        <v>2304</v>
      </c>
      <c r="B83" s="41" t="s">
        <v>683</v>
      </c>
      <c r="C83" s="41" t="s">
        <v>589</v>
      </c>
      <c r="D83" s="41" t="s">
        <v>851</v>
      </c>
      <c r="E83" s="41"/>
      <c r="F83" s="41" t="b">
        <v>1</v>
      </c>
      <c r="G83" s="41"/>
      <c r="H83" s="41"/>
      <c r="I83" s="41">
        <v>404</v>
      </c>
      <c r="J83" s="41" t="s">
        <v>160</v>
      </c>
      <c r="K83" s="41" t="s">
        <v>2347</v>
      </c>
      <c r="L83" s="41" t="s">
        <v>2349</v>
      </c>
      <c r="M83" s="41" t="s">
        <v>2350</v>
      </c>
      <c r="N83" s="41" t="s">
        <v>2309</v>
      </c>
      <c r="O83" s="41">
        <v>0</v>
      </c>
      <c r="P83" s="41">
        <v>0</v>
      </c>
    </row>
    <row r="84" spans="1:16" x14ac:dyDescent="0.3">
      <c r="A84" s="41" t="s">
        <v>2304</v>
      </c>
      <c r="B84" s="41" t="s">
        <v>596</v>
      </c>
      <c r="C84" s="41" t="s">
        <v>589</v>
      </c>
      <c r="D84" s="41" t="s">
        <v>851</v>
      </c>
      <c r="E84" s="41"/>
      <c r="F84" s="41" t="b">
        <v>1</v>
      </c>
      <c r="G84" s="41"/>
      <c r="H84" s="41"/>
      <c r="I84" s="41">
        <v>404</v>
      </c>
      <c r="J84" s="41" t="s">
        <v>160</v>
      </c>
      <c r="K84" s="41" t="s">
        <v>2347</v>
      </c>
      <c r="L84" s="41" t="s">
        <v>2348</v>
      </c>
      <c r="M84" s="41" t="s">
        <v>2308</v>
      </c>
      <c r="N84" s="41" t="s">
        <v>2309</v>
      </c>
      <c r="O84" s="41">
        <v>0</v>
      </c>
      <c r="P84" s="41">
        <v>0</v>
      </c>
    </row>
    <row r="85" spans="1:16" x14ac:dyDescent="0.3">
      <c r="A85" s="41" t="s">
        <v>2304</v>
      </c>
      <c r="B85" s="41" t="s">
        <v>596</v>
      </c>
      <c r="C85" s="41" t="s">
        <v>589</v>
      </c>
      <c r="D85" s="41" t="s">
        <v>851</v>
      </c>
      <c r="E85" s="41"/>
      <c r="F85" s="41" t="b">
        <v>1</v>
      </c>
      <c r="G85" s="41"/>
      <c r="H85" s="41"/>
      <c r="I85" s="41">
        <v>404</v>
      </c>
      <c r="J85" s="41" t="s">
        <v>160</v>
      </c>
      <c r="K85" s="41" t="s">
        <v>2347</v>
      </c>
      <c r="L85" s="41" t="s">
        <v>2349</v>
      </c>
      <c r="M85" s="41" t="s">
        <v>2350</v>
      </c>
      <c r="N85" s="41" t="s">
        <v>2309</v>
      </c>
      <c r="O85" s="41">
        <v>0</v>
      </c>
      <c r="P85" s="41">
        <v>0</v>
      </c>
    </row>
    <row r="86" spans="1:16" x14ac:dyDescent="0.3">
      <c r="A86" s="41" t="s">
        <v>2304</v>
      </c>
      <c r="B86" s="41" t="s">
        <v>742</v>
      </c>
      <c r="C86" s="41" t="s">
        <v>589</v>
      </c>
      <c r="D86" s="41" t="s">
        <v>851</v>
      </c>
      <c r="E86" s="41"/>
      <c r="F86" s="41" t="b">
        <v>1</v>
      </c>
      <c r="G86" s="41"/>
      <c r="H86" s="41"/>
      <c r="I86" s="41">
        <v>404</v>
      </c>
      <c r="J86" s="41" t="s">
        <v>160</v>
      </c>
      <c r="K86" s="41" t="s">
        <v>2347</v>
      </c>
      <c r="L86" s="41" t="s">
        <v>2348</v>
      </c>
      <c r="M86" s="41" t="s">
        <v>2308</v>
      </c>
      <c r="N86" s="41" t="s">
        <v>2309</v>
      </c>
      <c r="O86" s="41">
        <v>0</v>
      </c>
      <c r="P86" s="41">
        <v>0</v>
      </c>
    </row>
    <row r="87" spans="1:16" x14ac:dyDescent="0.3">
      <c r="A87" s="41" t="s">
        <v>2304</v>
      </c>
      <c r="B87" s="41" t="s">
        <v>742</v>
      </c>
      <c r="C87" s="41" t="s">
        <v>589</v>
      </c>
      <c r="D87" s="41" t="s">
        <v>851</v>
      </c>
      <c r="E87" s="41"/>
      <c r="F87" s="41" t="b">
        <v>1</v>
      </c>
      <c r="G87" s="41"/>
      <c r="H87" s="41"/>
      <c r="I87" s="41">
        <v>404</v>
      </c>
      <c r="J87" s="41" t="s">
        <v>160</v>
      </c>
      <c r="K87" s="41" t="s">
        <v>2347</v>
      </c>
      <c r="L87" s="41" t="s">
        <v>2349</v>
      </c>
      <c r="M87" s="41" t="s">
        <v>2350</v>
      </c>
      <c r="N87" s="41" t="s">
        <v>2309</v>
      </c>
      <c r="O87" s="41">
        <v>0</v>
      </c>
      <c r="P87" s="41">
        <v>0</v>
      </c>
    </row>
    <row r="88" spans="1:16" x14ac:dyDescent="0.3">
      <c r="A88" s="41" t="s">
        <v>2304</v>
      </c>
      <c r="B88" s="41" t="s">
        <v>762</v>
      </c>
      <c r="C88" s="41" t="s">
        <v>589</v>
      </c>
      <c r="D88" s="41" t="s">
        <v>851</v>
      </c>
      <c r="E88" s="41"/>
      <c r="F88" s="41" t="b">
        <v>1</v>
      </c>
      <c r="G88" s="41"/>
      <c r="H88" s="41"/>
      <c r="I88" s="41">
        <v>404</v>
      </c>
      <c r="J88" s="41" t="s">
        <v>160</v>
      </c>
      <c r="K88" s="41" t="s">
        <v>2347</v>
      </c>
      <c r="L88" s="41" t="s">
        <v>2348</v>
      </c>
      <c r="M88" s="41" t="s">
        <v>2308</v>
      </c>
      <c r="N88" s="41" t="s">
        <v>2309</v>
      </c>
      <c r="O88" s="41">
        <v>0</v>
      </c>
      <c r="P88" s="41">
        <v>0</v>
      </c>
    </row>
    <row r="89" spans="1:16" x14ac:dyDescent="0.3">
      <c r="A89" s="41" t="s">
        <v>2304</v>
      </c>
      <c r="B89" s="41" t="s">
        <v>762</v>
      </c>
      <c r="C89" s="41" t="s">
        <v>589</v>
      </c>
      <c r="D89" s="41" t="s">
        <v>851</v>
      </c>
      <c r="E89" s="41"/>
      <c r="F89" s="41" t="b">
        <v>1</v>
      </c>
      <c r="G89" s="41"/>
      <c r="H89" s="41"/>
      <c r="I89" s="41">
        <v>404</v>
      </c>
      <c r="J89" s="41" t="s">
        <v>160</v>
      </c>
      <c r="K89" s="41" t="s">
        <v>2347</v>
      </c>
      <c r="L89" s="41" t="s">
        <v>2349</v>
      </c>
      <c r="M89" s="41" t="s">
        <v>2350</v>
      </c>
      <c r="N89" s="41" t="s">
        <v>2309</v>
      </c>
      <c r="O89" s="41">
        <v>0</v>
      </c>
      <c r="P89" s="41">
        <v>0</v>
      </c>
    </row>
    <row r="90" spans="1:16" x14ac:dyDescent="0.3">
      <c r="A90" s="41" t="s">
        <v>2304</v>
      </c>
      <c r="B90" s="41" t="s">
        <v>474</v>
      </c>
      <c r="C90" s="41" t="s">
        <v>589</v>
      </c>
      <c r="D90" s="41" t="s">
        <v>851</v>
      </c>
      <c r="E90" s="41"/>
      <c r="F90" s="41" t="b">
        <v>1</v>
      </c>
      <c r="G90" s="41"/>
      <c r="H90" s="41"/>
      <c r="I90" s="41">
        <v>404</v>
      </c>
      <c r="J90" s="41" t="s">
        <v>160</v>
      </c>
      <c r="K90" s="41" t="s">
        <v>2347</v>
      </c>
      <c r="L90" s="41" t="s">
        <v>2348</v>
      </c>
      <c r="M90" s="41" t="s">
        <v>2308</v>
      </c>
      <c r="N90" s="41" t="s">
        <v>2309</v>
      </c>
      <c r="O90" s="41">
        <v>0</v>
      </c>
      <c r="P90" s="41">
        <v>0</v>
      </c>
    </row>
    <row r="91" spans="1:16" x14ac:dyDescent="0.3">
      <c r="A91" s="41" t="s">
        <v>2304</v>
      </c>
      <c r="B91" s="41" t="s">
        <v>474</v>
      </c>
      <c r="C91" s="41" t="s">
        <v>589</v>
      </c>
      <c r="D91" s="41" t="s">
        <v>851</v>
      </c>
      <c r="E91" s="41"/>
      <c r="F91" s="41" t="b">
        <v>1</v>
      </c>
      <c r="G91" s="41"/>
      <c r="H91" s="41"/>
      <c r="I91" s="41">
        <v>404</v>
      </c>
      <c r="J91" s="41" t="s">
        <v>160</v>
      </c>
      <c r="K91" s="41" t="s">
        <v>2347</v>
      </c>
      <c r="L91" s="41" t="s">
        <v>2349</v>
      </c>
      <c r="M91" s="41" t="s">
        <v>2350</v>
      </c>
      <c r="N91" s="41" t="s">
        <v>2309</v>
      </c>
      <c r="O91" s="41">
        <v>0</v>
      </c>
      <c r="P91" s="41">
        <v>0</v>
      </c>
    </row>
    <row r="92" spans="1:16" x14ac:dyDescent="0.3">
      <c r="A92" s="41" t="s">
        <v>2304</v>
      </c>
      <c r="B92" s="41" t="s">
        <v>841</v>
      </c>
      <c r="C92" s="41" t="s">
        <v>589</v>
      </c>
      <c r="D92" s="41" t="s">
        <v>851</v>
      </c>
      <c r="E92" s="41"/>
      <c r="F92" s="41" t="b">
        <v>1</v>
      </c>
      <c r="G92" s="41"/>
      <c r="H92" s="41"/>
      <c r="I92" s="41">
        <v>404</v>
      </c>
      <c r="J92" s="41" t="s">
        <v>160</v>
      </c>
      <c r="K92" s="41" t="s">
        <v>2347</v>
      </c>
      <c r="L92" s="41" t="s">
        <v>2348</v>
      </c>
      <c r="M92" s="41" t="s">
        <v>2308</v>
      </c>
      <c r="N92" s="41" t="s">
        <v>2309</v>
      </c>
      <c r="O92" s="41">
        <v>0</v>
      </c>
      <c r="P92" s="41">
        <v>0</v>
      </c>
    </row>
    <row r="93" spans="1:16" x14ac:dyDescent="0.3">
      <c r="A93" s="41" t="s">
        <v>2304</v>
      </c>
      <c r="B93" s="41" t="s">
        <v>841</v>
      </c>
      <c r="C93" s="41" t="s">
        <v>589</v>
      </c>
      <c r="D93" s="41" t="s">
        <v>851</v>
      </c>
      <c r="E93" s="41"/>
      <c r="F93" s="41" t="b">
        <v>1</v>
      </c>
      <c r="G93" s="41"/>
      <c r="H93" s="41"/>
      <c r="I93" s="41">
        <v>404</v>
      </c>
      <c r="J93" s="41" t="s">
        <v>160</v>
      </c>
      <c r="K93" s="41" t="s">
        <v>2347</v>
      </c>
      <c r="L93" s="41" t="s">
        <v>2349</v>
      </c>
      <c r="M93" s="41" t="s">
        <v>2350</v>
      </c>
      <c r="N93" s="41" t="s">
        <v>2309</v>
      </c>
      <c r="O93" s="41">
        <v>0</v>
      </c>
      <c r="P93" s="41">
        <v>0</v>
      </c>
    </row>
    <row r="94" spans="1:16" x14ac:dyDescent="0.3">
      <c r="A94" s="41" t="s">
        <v>2304</v>
      </c>
      <c r="B94" s="41" t="s">
        <v>569</v>
      </c>
      <c r="C94" s="41" t="s">
        <v>589</v>
      </c>
      <c r="D94" s="41" t="s">
        <v>851</v>
      </c>
      <c r="E94" s="41"/>
      <c r="F94" s="41" t="b">
        <v>1</v>
      </c>
      <c r="G94" s="41"/>
      <c r="H94" s="41"/>
      <c r="I94" s="41">
        <v>404</v>
      </c>
      <c r="J94" s="41" t="s">
        <v>160</v>
      </c>
      <c r="K94" s="41" t="s">
        <v>2347</v>
      </c>
      <c r="L94" s="41" t="s">
        <v>2348</v>
      </c>
      <c r="M94" s="41" t="s">
        <v>2308</v>
      </c>
      <c r="N94" s="41" t="s">
        <v>2309</v>
      </c>
      <c r="O94" s="41">
        <v>0</v>
      </c>
      <c r="P94" s="41">
        <v>0</v>
      </c>
    </row>
    <row r="95" spans="1:16" x14ac:dyDescent="0.3">
      <c r="A95" s="41" t="s">
        <v>2304</v>
      </c>
      <c r="B95" s="41" t="s">
        <v>569</v>
      </c>
      <c r="C95" s="41" t="s">
        <v>589</v>
      </c>
      <c r="D95" s="41" t="s">
        <v>851</v>
      </c>
      <c r="E95" s="41"/>
      <c r="F95" s="41" t="b">
        <v>1</v>
      </c>
      <c r="G95" s="41"/>
      <c r="H95" s="41"/>
      <c r="I95" s="41">
        <v>404</v>
      </c>
      <c r="J95" s="41" t="s">
        <v>160</v>
      </c>
      <c r="K95" s="41" t="s">
        <v>2347</v>
      </c>
      <c r="L95" s="41" t="s">
        <v>2349</v>
      </c>
      <c r="M95" s="41" t="s">
        <v>2350</v>
      </c>
      <c r="N95" s="41" t="s">
        <v>2309</v>
      </c>
      <c r="O95" s="41">
        <v>0</v>
      </c>
      <c r="P95" s="41">
        <v>0</v>
      </c>
    </row>
    <row r="96" spans="1:16" x14ac:dyDescent="0.3">
      <c r="A96" s="41" t="s">
        <v>2304</v>
      </c>
      <c r="B96" s="41" t="s">
        <v>706</v>
      </c>
      <c r="C96" s="41" t="s">
        <v>589</v>
      </c>
      <c r="D96" s="41" t="s">
        <v>851</v>
      </c>
      <c r="E96" s="41"/>
      <c r="F96" s="41" t="b">
        <v>1</v>
      </c>
      <c r="G96" s="41"/>
      <c r="H96" s="41"/>
      <c r="I96" s="41">
        <v>404</v>
      </c>
      <c r="J96" s="41" t="s">
        <v>160</v>
      </c>
      <c r="K96" s="41" t="s">
        <v>2347</v>
      </c>
      <c r="L96" s="41" t="s">
        <v>2348</v>
      </c>
      <c r="M96" s="41" t="s">
        <v>2308</v>
      </c>
      <c r="N96" s="41" t="s">
        <v>2309</v>
      </c>
      <c r="O96" s="41">
        <v>0</v>
      </c>
      <c r="P96" s="41">
        <v>0</v>
      </c>
    </row>
    <row r="97" spans="1:16" x14ac:dyDescent="0.3">
      <c r="A97" s="41" t="s">
        <v>2304</v>
      </c>
      <c r="B97" s="41" t="s">
        <v>706</v>
      </c>
      <c r="C97" s="41" t="s">
        <v>589</v>
      </c>
      <c r="D97" s="41" t="s">
        <v>851</v>
      </c>
      <c r="E97" s="41"/>
      <c r="F97" s="41" t="b">
        <v>1</v>
      </c>
      <c r="G97" s="41"/>
      <c r="H97" s="41"/>
      <c r="I97" s="41">
        <v>404</v>
      </c>
      <c r="J97" s="41" t="s">
        <v>160</v>
      </c>
      <c r="K97" s="41" t="s">
        <v>2347</v>
      </c>
      <c r="L97" s="41" t="s">
        <v>2349</v>
      </c>
      <c r="M97" s="41" t="s">
        <v>2350</v>
      </c>
      <c r="N97" s="41" t="s">
        <v>2309</v>
      </c>
      <c r="O97" s="41">
        <v>0</v>
      </c>
      <c r="P97" s="41">
        <v>0</v>
      </c>
    </row>
    <row r="98" spans="1:16" x14ac:dyDescent="0.3">
      <c r="A98" s="41" t="s">
        <v>2304</v>
      </c>
      <c r="B98" s="41" t="s">
        <v>766</v>
      </c>
      <c r="C98" s="41" t="s">
        <v>589</v>
      </c>
      <c r="D98" s="41" t="s">
        <v>851</v>
      </c>
      <c r="E98" s="41"/>
      <c r="F98" s="41" t="b">
        <v>1</v>
      </c>
      <c r="G98" s="41"/>
      <c r="H98" s="41"/>
      <c r="I98" s="41">
        <v>404</v>
      </c>
      <c r="J98" s="41" t="s">
        <v>160</v>
      </c>
      <c r="K98" s="41" t="s">
        <v>2347</v>
      </c>
      <c r="L98" s="41" t="s">
        <v>2348</v>
      </c>
      <c r="M98" s="41" t="s">
        <v>2308</v>
      </c>
      <c r="N98" s="41" t="s">
        <v>2309</v>
      </c>
      <c r="O98" s="41">
        <v>0</v>
      </c>
      <c r="P98" s="41">
        <v>0</v>
      </c>
    </row>
    <row r="99" spans="1:16" x14ac:dyDescent="0.3">
      <c r="A99" s="41" t="s">
        <v>2304</v>
      </c>
      <c r="B99" s="41" t="s">
        <v>766</v>
      </c>
      <c r="C99" s="41" t="s">
        <v>589</v>
      </c>
      <c r="D99" s="41" t="s">
        <v>851</v>
      </c>
      <c r="E99" s="41"/>
      <c r="F99" s="41" t="b">
        <v>1</v>
      </c>
      <c r="G99" s="41"/>
      <c r="H99" s="41"/>
      <c r="I99" s="41">
        <v>404</v>
      </c>
      <c r="J99" s="41" t="s">
        <v>160</v>
      </c>
      <c r="K99" s="41" t="s">
        <v>2347</v>
      </c>
      <c r="L99" s="41" t="s">
        <v>2349</v>
      </c>
      <c r="M99" s="41" t="s">
        <v>2350</v>
      </c>
      <c r="N99" s="41" t="s">
        <v>2309</v>
      </c>
      <c r="O99" s="41">
        <v>0</v>
      </c>
      <c r="P99" s="41">
        <v>0</v>
      </c>
    </row>
    <row r="100" spans="1:16" x14ac:dyDescent="0.3">
      <c r="A100" s="41" t="s">
        <v>2304</v>
      </c>
      <c r="B100" s="41" t="s">
        <v>823</v>
      </c>
      <c r="C100" s="41" t="s">
        <v>589</v>
      </c>
      <c r="D100" s="41" t="s">
        <v>851</v>
      </c>
      <c r="E100" s="41"/>
      <c r="F100" s="41" t="b">
        <v>1</v>
      </c>
      <c r="G100" s="41"/>
      <c r="H100" s="41"/>
      <c r="I100" s="41">
        <v>404</v>
      </c>
      <c r="J100" s="41" t="s">
        <v>160</v>
      </c>
      <c r="K100" s="41" t="s">
        <v>2347</v>
      </c>
      <c r="L100" s="41" t="s">
        <v>2348</v>
      </c>
      <c r="M100" s="41" t="s">
        <v>2308</v>
      </c>
      <c r="N100" s="41" t="s">
        <v>2309</v>
      </c>
      <c r="O100" s="41">
        <v>0</v>
      </c>
      <c r="P100" s="41">
        <v>0</v>
      </c>
    </row>
    <row r="101" spans="1:16" x14ac:dyDescent="0.3">
      <c r="A101" s="41" t="s">
        <v>2304</v>
      </c>
      <c r="B101" s="41" t="s">
        <v>823</v>
      </c>
      <c r="C101" s="41" t="s">
        <v>589</v>
      </c>
      <c r="D101" s="41" t="s">
        <v>851</v>
      </c>
      <c r="E101" s="41"/>
      <c r="F101" s="41" t="b">
        <v>1</v>
      </c>
      <c r="G101" s="41"/>
      <c r="H101" s="41"/>
      <c r="I101" s="41">
        <v>404</v>
      </c>
      <c r="J101" s="41" t="s">
        <v>160</v>
      </c>
      <c r="K101" s="41" t="s">
        <v>2347</v>
      </c>
      <c r="L101" s="41" t="s">
        <v>2349</v>
      </c>
      <c r="M101" s="41" t="s">
        <v>2350</v>
      </c>
      <c r="N101" s="41" t="s">
        <v>2309</v>
      </c>
      <c r="O101" s="41">
        <v>0</v>
      </c>
      <c r="P101" s="41">
        <v>0</v>
      </c>
    </row>
    <row r="102" spans="1:16" x14ac:dyDescent="0.3">
      <c r="A102" s="41" t="s">
        <v>2304</v>
      </c>
      <c r="B102" s="41" t="s">
        <v>712</v>
      </c>
      <c r="C102" s="41" t="s">
        <v>589</v>
      </c>
      <c r="D102" s="41" t="s">
        <v>851</v>
      </c>
      <c r="E102" s="41"/>
      <c r="F102" s="41" t="b">
        <v>1</v>
      </c>
      <c r="G102" s="41"/>
      <c r="H102" s="41"/>
      <c r="I102" s="41">
        <v>404</v>
      </c>
      <c r="J102" s="41" t="s">
        <v>160</v>
      </c>
      <c r="K102" s="41" t="s">
        <v>2347</v>
      </c>
      <c r="L102" s="41" t="s">
        <v>2348</v>
      </c>
      <c r="M102" s="41" t="s">
        <v>2308</v>
      </c>
      <c r="N102" s="41" t="s">
        <v>2309</v>
      </c>
      <c r="O102" s="41">
        <v>0</v>
      </c>
      <c r="P102" s="41">
        <v>0</v>
      </c>
    </row>
    <row r="103" spans="1:16" x14ac:dyDescent="0.3">
      <c r="A103" s="41" t="s">
        <v>2304</v>
      </c>
      <c r="B103" s="41" t="s">
        <v>712</v>
      </c>
      <c r="C103" s="41" t="s">
        <v>589</v>
      </c>
      <c r="D103" s="41" t="s">
        <v>851</v>
      </c>
      <c r="E103" s="41"/>
      <c r="F103" s="41" t="b">
        <v>1</v>
      </c>
      <c r="G103" s="41"/>
      <c r="H103" s="41"/>
      <c r="I103" s="41">
        <v>404</v>
      </c>
      <c r="J103" s="41" t="s">
        <v>160</v>
      </c>
      <c r="K103" s="41" t="s">
        <v>2347</v>
      </c>
      <c r="L103" s="41" t="s">
        <v>2349</v>
      </c>
      <c r="M103" s="41" t="s">
        <v>2350</v>
      </c>
      <c r="N103" s="41" t="s">
        <v>2309</v>
      </c>
      <c r="O103" s="41">
        <v>0</v>
      </c>
      <c r="P103" s="41">
        <v>0</v>
      </c>
    </row>
    <row r="104" spans="1:16" x14ac:dyDescent="0.3">
      <c r="A104" s="41" t="s">
        <v>2304</v>
      </c>
      <c r="B104" s="41" t="s">
        <v>503</v>
      </c>
      <c r="C104" s="41" t="s">
        <v>589</v>
      </c>
      <c r="D104" s="41" t="s">
        <v>851</v>
      </c>
      <c r="E104" s="41"/>
      <c r="F104" s="41" t="b">
        <v>1</v>
      </c>
      <c r="G104" s="41"/>
      <c r="H104" s="41"/>
      <c r="I104" s="41">
        <v>404</v>
      </c>
      <c r="J104" s="41" t="s">
        <v>160</v>
      </c>
      <c r="K104" s="41" t="s">
        <v>2347</v>
      </c>
      <c r="L104" s="41" t="s">
        <v>2348</v>
      </c>
      <c r="M104" s="41" t="s">
        <v>2308</v>
      </c>
      <c r="N104" s="41" t="s">
        <v>2309</v>
      </c>
      <c r="O104" s="41">
        <v>0</v>
      </c>
      <c r="P104" s="41">
        <v>0</v>
      </c>
    </row>
    <row r="105" spans="1:16" x14ac:dyDescent="0.3">
      <c r="A105" s="41" t="s">
        <v>2304</v>
      </c>
      <c r="B105" s="41" t="s">
        <v>503</v>
      </c>
      <c r="C105" s="41" t="s">
        <v>589</v>
      </c>
      <c r="D105" s="41" t="s">
        <v>851</v>
      </c>
      <c r="E105" s="41"/>
      <c r="F105" s="41" t="b">
        <v>1</v>
      </c>
      <c r="G105" s="41"/>
      <c r="H105" s="41"/>
      <c r="I105" s="41">
        <v>404</v>
      </c>
      <c r="J105" s="41" t="s">
        <v>160</v>
      </c>
      <c r="K105" s="41" t="s">
        <v>2347</v>
      </c>
      <c r="L105" s="41" t="s">
        <v>2349</v>
      </c>
      <c r="M105" s="41" t="s">
        <v>2350</v>
      </c>
      <c r="N105" s="41" t="s">
        <v>2309</v>
      </c>
      <c r="O105" s="41">
        <v>0</v>
      </c>
      <c r="P105" s="41">
        <v>0</v>
      </c>
    </row>
    <row r="106" spans="1:16" x14ac:dyDescent="0.3">
      <c r="A106" s="41" t="s">
        <v>2304</v>
      </c>
      <c r="B106" s="41" t="s">
        <v>497</v>
      </c>
      <c r="C106" s="41" t="s">
        <v>589</v>
      </c>
      <c r="D106" s="41" t="s">
        <v>851</v>
      </c>
      <c r="E106" s="41"/>
      <c r="F106" s="41" t="b">
        <v>1</v>
      </c>
      <c r="G106" s="41"/>
      <c r="H106" s="41"/>
      <c r="I106" s="41">
        <v>404</v>
      </c>
      <c r="J106" s="41" t="s">
        <v>160</v>
      </c>
      <c r="K106" s="41" t="s">
        <v>2347</v>
      </c>
      <c r="L106" s="41" t="s">
        <v>2348</v>
      </c>
      <c r="M106" s="41" t="s">
        <v>2308</v>
      </c>
      <c r="N106" s="41" t="s">
        <v>2309</v>
      </c>
      <c r="O106" s="41">
        <v>0</v>
      </c>
      <c r="P106" s="41">
        <v>0</v>
      </c>
    </row>
    <row r="107" spans="1:16" x14ac:dyDescent="0.3">
      <c r="A107" s="41" t="s">
        <v>2304</v>
      </c>
      <c r="B107" s="41" t="s">
        <v>497</v>
      </c>
      <c r="C107" s="41" t="s">
        <v>589</v>
      </c>
      <c r="D107" s="41" t="s">
        <v>851</v>
      </c>
      <c r="E107" s="41"/>
      <c r="F107" s="41" t="b">
        <v>1</v>
      </c>
      <c r="G107" s="41"/>
      <c r="H107" s="41"/>
      <c r="I107" s="41">
        <v>404</v>
      </c>
      <c r="J107" s="41" t="s">
        <v>160</v>
      </c>
      <c r="K107" s="41" t="s">
        <v>2347</v>
      </c>
      <c r="L107" s="41" t="s">
        <v>2349</v>
      </c>
      <c r="M107" s="41" t="s">
        <v>2350</v>
      </c>
      <c r="N107" s="41" t="s">
        <v>2309</v>
      </c>
      <c r="O107" s="41">
        <v>0</v>
      </c>
      <c r="P107" s="41">
        <v>0</v>
      </c>
    </row>
    <row r="108" spans="1:16" x14ac:dyDescent="0.3">
      <c r="A108" s="41" t="s">
        <v>2304</v>
      </c>
      <c r="B108" s="41" t="s">
        <v>500</v>
      </c>
      <c r="C108" s="41" t="s">
        <v>589</v>
      </c>
      <c r="D108" s="41" t="s">
        <v>851</v>
      </c>
      <c r="E108" s="41"/>
      <c r="F108" s="41" t="b">
        <v>1</v>
      </c>
      <c r="G108" s="41"/>
      <c r="H108" s="41"/>
      <c r="I108" s="41">
        <v>404</v>
      </c>
      <c r="J108" s="41" t="s">
        <v>160</v>
      </c>
      <c r="K108" s="41" t="s">
        <v>2347</v>
      </c>
      <c r="L108" s="41" t="s">
        <v>2348</v>
      </c>
      <c r="M108" s="41" t="s">
        <v>2308</v>
      </c>
      <c r="N108" s="41" t="s">
        <v>2309</v>
      </c>
      <c r="O108" s="41">
        <v>0</v>
      </c>
      <c r="P108" s="41">
        <v>0</v>
      </c>
    </row>
    <row r="109" spans="1:16" x14ac:dyDescent="0.3">
      <c r="A109" s="41" t="s">
        <v>2304</v>
      </c>
      <c r="B109" s="41" t="s">
        <v>500</v>
      </c>
      <c r="C109" s="41" t="s">
        <v>589</v>
      </c>
      <c r="D109" s="41" t="s">
        <v>851</v>
      </c>
      <c r="E109" s="41"/>
      <c r="F109" s="41" t="b">
        <v>1</v>
      </c>
      <c r="G109" s="41"/>
      <c r="H109" s="41"/>
      <c r="I109" s="41">
        <v>404</v>
      </c>
      <c r="J109" s="41" t="s">
        <v>160</v>
      </c>
      <c r="K109" s="41" t="s">
        <v>2347</v>
      </c>
      <c r="L109" s="41" t="s">
        <v>2349</v>
      </c>
      <c r="M109" s="41" t="s">
        <v>2350</v>
      </c>
      <c r="N109" s="41" t="s">
        <v>2309</v>
      </c>
      <c r="O109" s="41">
        <v>0</v>
      </c>
      <c r="P109" s="41">
        <v>0</v>
      </c>
    </row>
    <row r="110" spans="1:16" x14ac:dyDescent="0.3">
      <c r="A110" s="41" t="s">
        <v>2304</v>
      </c>
      <c r="B110" s="41" t="s">
        <v>780</v>
      </c>
      <c r="C110" s="41" t="s">
        <v>589</v>
      </c>
      <c r="D110" s="41" t="s">
        <v>851</v>
      </c>
      <c r="E110" s="41"/>
      <c r="F110" s="41" t="b">
        <v>1</v>
      </c>
      <c r="G110" s="41"/>
      <c r="H110" s="41"/>
      <c r="I110" s="41">
        <v>404</v>
      </c>
      <c r="J110" s="41" t="s">
        <v>160</v>
      </c>
      <c r="K110" s="41" t="s">
        <v>2347</v>
      </c>
      <c r="L110" s="41" t="s">
        <v>2348</v>
      </c>
      <c r="M110" s="41" t="s">
        <v>2308</v>
      </c>
      <c r="N110" s="41" t="s">
        <v>2309</v>
      </c>
      <c r="O110" s="41">
        <v>0</v>
      </c>
      <c r="P110" s="41">
        <v>0</v>
      </c>
    </row>
    <row r="111" spans="1:16" x14ac:dyDescent="0.3">
      <c r="A111" s="41" t="s">
        <v>2304</v>
      </c>
      <c r="B111" s="41" t="s">
        <v>780</v>
      </c>
      <c r="C111" s="41" t="s">
        <v>589</v>
      </c>
      <c r="D111" s="41" t="s">
        <v>851</v>
      </c>
      <c r="E111" s="41"/>
      <c r="F111" s="41" t="b">
        <v>1</v>
      </c>
      <c r="G111" s="41"/>
      <c r="H111" s="41"/>
      <c r="I111" s="41">
        <v>404</v>
      </c>
      <c r="J111" s="41" t="s">
        <v>160</v>
      </c>
      <c r="K111" s="41" t="s">
        <v>2347</v>
      </c>
      <c r="L111" s="41" t="s">
        <v>2349</v>
      </c>
      <c r="M111" s="41" t="s">
        <v>2350</v>
      </c>
      <c r="N111" s="41" t="s">
        <v>2309</v>
      </c>
      <c r="O111" s="41">
        <v>0</v>
      </c>
      <c r="P111" s="41">
        <v>0</v>
      </c>
    </row>
    <row r="112" spans="1:16" x14ac:dyDescent="0.3">
      <c r="A112" s="41" t="s">
        <v>2304</v>
      </c>
      <c r="B112" s="41" t="s">
        <v>783</v>
      </c>
      <c r="C112" s="41" t="s">
        <v>589</v>
      </c>
      <c r="D112" s="41" t="s">
        <v>851</v>
      </c>
      <c r="E112" s="41"/>
      <c r="F112" s="41" t="b">
        <v>1</v>
      </c>
      <c r="G112" s="41"/>
      <c r="H112" s="41"/>
      <c r="I112" s="41">
        <v>404</v>
      </c>
      <c r="J112" s="41" t="s">
        <v>160</v>
      </c>
      <c r="K112" s="41" t="s">
        <v>2347</v>
      </c>
      <c r="L112" s="41" t="s">
        <v>2348</v>
      </c>
      <c r="M112" s="41" t="s">
        <v>2308</v>
      </c>
      <c r="N112" s="41" t="s">
        <v>2309</v>
      </c>
      <c r="O112" s="41">
        <v>0</v>
      </c>
      <c r="P112" s="41">
        <v>0</v>
      </c>
    </row>
    <row r="113" spans="1:16" x14ac:dyDescent="0.3">
      <c r="A113" s="41" t="s">
        <v>2304</v>
      </c>
      <c r="B113" s="41" t="s">
        <v>783</v>
      </c>
      <c r="C113" s="41" t="s">
        <v>589</v>
      </c>
      <c r="D113" s="41" t="s">
        <v>851</v>
      </c>
      <c r="E113" s="41"/>
      <c r="F113" s="41" t="b">
        <v>1</v>
      </c>
      <c r="G113" s="41"/>
      <c r="H113" s="41"/>
      <c r="I113" s="41">
        <v>404</v>
      </c>
      <c r="J113" s="41" t="s">
        <v>160</v>
      </c>
      <c r="K113" s="41" t="s">
        <v>2347</v>
      </c>
      <c r="L113" s="41" t="s">
        <v>2349</v>
      </c>
      <c r="M113" s="41" t="s">
        <v>2350</v>
      </c>
      <c r="N113" s="41" t="s">
        <v>2309</v>
      </c>
      <c r="O113" s="41">
        <v>0</v>
      </c>
      <c r="P113" s="41">
        <v>0</v>
      </c>
    </row>
    <row r="114" spans="1:16" x14ac:dyDescent="0.3">
      <c r="A114" s="41" t="s">
        <v>2304</v>
      </c>
      <c r="B114" s="41" t="s">
        <v>795</v>
      </c>
      <c r="C114" s="41" t="s">
        <v>589</v>
      </c>
      <c r="D114" s="41" t="s">
        <v>851</v>
      </c>
      <c r="E114" s="41"/>
      <c r="F114" s="41" t="b">
        <v>1</v>
      </c>
      <c r="G114" s="41"/>
      <c r="H114" s="41"/>
      <c r="I114" s="41">
        <v>404</v>
      </c>
      <c r="J114" s="41" t="s">
        <v>160</v>
      </c>
      <c r="K114" s="41" t="s">
        <v>2347</v>
      </c>
      <c r="L114" s="41" t="s">
        <v>2348</v>
      </c>
      <c r="M114" s="41" t="s">
        <v>2308</v>
      </c>
      <c r="N114" s="41" t="s">
        <v>2309</v>
      </c>
      <c r="O114" s="41">
        <v>0</v>
      </c>
      <c r="P114" s="41">
        <v>0</v>
      </c>
    </row>
    <row r="115" spans="1:16" x14ac:dyDescent="0.3">
      <c r="A115" s="41" t="s">
        <v>2304</v>
      </c>
      <c r="B115" s="41" t="s">
        <v>795</v>
      </c>
      <c r="C115" s="41" t="s">
        <v>589</v>
      </c>
      <c r="D115" s="41" t="s">
        <v>851</v>
      </c>
      <c r="E115" s="41"/>
      <c r="F115" s="41" t="b">
        <v>1</v>
      </c>
      <c r="G115" s="41"/>
      <c r="H115" s="41"/>
      <c r="I115" s="41">
        <v>404</v>
      </c>
      <c r="J115" s="41" t="s">
        <v>160</v>
      </c>
      <c r="K115" s="41" t="s">
        <v>2347</v>
      </c>
      <c r="L115" s="41" t="s">
        <v>2349</v>
      </c>
      <c r="M115" s="41" t="s">
        <v>2350</v>
      </c>
      <c r="N115" s="41" t="s">
        <v>2309</v>
      </c>
      <c r="O115" s="41">
        <v>0</v>
      </c>
      <c r="P115" s="41">
        <v>0</v>
      </c>
    </row>
    <row r="116" spans="1:16" x14ac:dyDescent="0.3">
      <c r="A116" s="41" t="s">
        <v>2304</v>
      </c>
      <c r="B116" s="41" t="s">
        <v>756</v>
      </c>
      <c r="C116" s="41" t="s">
        <v>589</v>
      </c>
      <c r="D116" s="41" t="s">
        <v>851</v>
      </c>
      <c r="E116" s="41"/>
      <c r="F116" s="41" t="b">
        <v>1</v>
      </c>
      <c r="G116" s="41"/>
      <c r="H116" s="41"/>
      <c r="I116" s="41">
        <v>404</v>
      </c>
      <c r="J116" s="41" t="s">
        <v>160</v>
      </c>
      <c r="K116" s="41" t="s">
        <v>2347</v>
      </c>
      <c r="L116" s="41" t="s">
        <v>2348</v>
      </c>
      <c r="M116" s="41" t="s">
        <v>2308</v>
      </c>
      <c r="N116" s="41" t="s">
        <v>2309</v>
      </c>
      <c r="O116" s="41">
        <v>0</v>
      </c>
      <c r="P116" s="41">
        <v>0</v>
      </c>
    </row>
    <row r="117" spans="1:16" x14ac:dyDescent="0.3">
      <c r="A117" s="41" t="s">
        <v>2304</v>
      </c>
      <c r="B117" s="41" t="s">
        <v>756</v>
      </c>
      <c r="C117" s="41" t="s">
        <v>589</v>
      </c>
      <c r="D117" s="41" t="s">
        <v>851</v>
      </c>
      <c r="E117" s="41"/>
      <c r="F117" s="41" t="b">
        <v>1</v>
      </c>
      <c r="G117" s="41"/>
      <c r="H117" s="41"/>
      <c r="I117" s="41">
        <v>404</v>
      </c>
      <c r="J117" s="41" t="s">
        <v>160</v>
      </c>
      <c r="K117" s="41" t="s">
        <v>2347</v>
      </c>
      <c r="L117" s="41" t="s">
        <v>2349</v>
      </c>
      <c r="M117" s="41" t="s">
        <v>2350</v>
      </c>
      <c r="N117" s="41" t="s">
        <v>2309</v>
      </c>
      <c r="O117" s="41">
        <v>0</v>
      </c>
      <c r="P117" s="41">
        <v>0</v>
      </c>
    </row>
    <row r="118" spans="1:16" x14ac:dyDescent="0.3">
      <c r="A118" s="41" t="s">
        <v>2304</v>
      </c>
      <c r="B118" s="41" t="s">
        <v>753</v>
      </c>
      <c r="C118" s="41" t="s">
        <v>589</v>
      </c>
      <c r="D118" s="41" t="s">
        <v>851</v>
      </c>
      <c r="E118" s="41"/>
      <c r="F118" s="41" t="b">
        <v>1</v>
      </c>
      <c r="G118" s="41"/>
      <c r="H118" s="41"/>
      <c r="I118" s="41">
        <v>404</v>
      </c>
      <c r="J118" s="41" t="s">
        <v>160</v>
      </c>
      <c r="K118" s="41" t="s">
        <v>2347</v>
      </c>
      <c r="L118" s="41" t="s">
        <v>2348</v>
      </c>
      <c r="M118" s="41" t="s">
        <v>2308</v>
      </c>
      <c r="N118" s="41" t="s">
        <v>2309</v>
      </c>
      <c r="O118" s="41">
        <v>0</v>
      </c>
      <c r="P118" s="41">
        <v>0</v>
      </c>
    </row>
    <row r="119" spans="1:16" x14ac:dyDescent="0.3">
      <c r="A119" s="41" t="s">
        <v>2304</v>
      </c>
      <c r="B119" s="41" t="s">
        <v>753</v>
      </c>
      <c r="C119" s="41" t="s">
        <v>589</v>
      </c>
      <c r="D119" s="41" t="s">
        <v>851</v>
      </c>
      <c r="E119" s="41"/>
      <c r="F119" s="41" t="b">
        <v>1</v>
      </c>
      <c r="G119" s="41"/>
      <c r="H119" s="41"/>
      <c r="I119" s="41">
        <v>404</v>
      </c>
      <c r="J119" s="41" t="s">
        <v>160</v>
      </c>
      <c r="K119" s="41" t="s">
        <v>2347</v>
      </c>
      <c r="L119" s="41" t="s">
        <v>2349</v>
      </c>
      <c r="M119" s="41" t="s">
        <v>2350</v>
      </c>
      <c r="N119" s="41" t="s">
        <v>2309</v>
      </c>
      <c r="O119" s="41">
        <v>0</v>
      </c>
      <c r="P119" s="41">
        <v>0</v>
      </c>
    </row>
    <row r="120" spans="1:16" x14ac:dyDescent="0.3">
      <c r="A120" s="41" t="s">
        <v>2304</v>
      </c>
      <c r="B120" s="41" t="s">
        <v>838</v>
      </c>
      <c r="C120" s="41" t="s">
        <v>589</v>
      </c>
      <c r="D120" s="41" t="s">
        <v>851</v>
      </c>
      <c r="E120" s="41"/>
      <c r="F120" s="41" t="b">
        <v>1</v>
      </c>
      <c r="G120" s="41"/>
      <c r="H120" s="41"/>
      <c r="I120" s="41">
        <v>404</v>
      </c>
      <c r="J120" s="41" t="s">
        <v>160</v>
      </c>
      <c r="K120" s="41" t="s">
        <v>2347</v>
      </c>
      <c r="L120" s="41" t="s">
        <v>2348</v>
      </c>
      <c r="M120" s="41" t="s">
        <v>2308</v>
      </c>
      <c r="N120" s="41" t="s">
        <v>2309</v>
      </c>
      <c r="O120" s="41">
        <v>0</v>
      </c>
      <c r="P120" s="41">
        <v>0</v>
      </c>
    </row>
    <row r="121" spans="1:16" x14ac:dyDescent="0.3">
      <c r="A121" s="41" t="s">
        <v>2304</v>
      </c>
      <c r="B121" s="41" t="s">
        <v>838</v>
      </c>
      <c r="C121" s="41" t="s">
        <v>589</v>
      </c>
      <c r="D121" s="41" t="s">
        <v>851</v>
      </c>
      <c r="E121" s="41"/>
      <c r="F121" s="41" t="b">
        <v>1</v>
      </c>
      <c r="G121" s="41"/>
      <c r="H121" s="41"/>
      <c r="I121" s="41">
        <v>404</v>
      </c>
      <c r="J121" s="41" t="s">
        <v>160</v>
      </c>
      <c r="K121" s="41" t="s">
        <v>2347</v>
      </c>
      <c r="L121" s="41" t="s">
        <v>2349</v>
      </c>
      <c r="M121" s="41" t="s">
        <v>2350</v>
      </c>
      <c r="N121" s="41" t="s">
        <v>2309</v>
      </c>
      <c r="O121" s="41">
        <v>0</v>
      </c>
      <c r="P121" s="41">
        <v>0</v>
      </c>
    </row>
    <row r="122" spans="1:16" x14ac:dyDescent="0.3">
      <c r="A122" s="41" t="s">
        <v>2304</v>
      </c>
      <c r="B122" s="41" t="s">
        <v>735</v>
      </c>
      <c r="C122" s="41" t="s">
        <v>589</v>
      </c>
      <c r="D122" s="41" t="s">
        <v>851</v>
      </c>
      <c r="E122" s="41"/>
      <c r="F122" s="41" t="b">
        <v>1</v>
      </c>
      <c r="G122" s="41"/>
      <c r="H122" s="41"/>
      <c r="I122" s="41">
        <v>404</v>
      </c>
      <c r="J122" s="41" t="s">
        <v>160</v>
      </c>
      <c r="K122" s="41" t="s">
        <v>2347</v>
      </c>
      <c r="L122" s="41" t="s">
        <v>2348</v>
      </c>
      <c r="M122" s="41" t="s">
        <v>2308</v>
      </c>
      <c r="N122" s="41" t="s">
        <v>2309</v>
      </c>
      <c r="O122" s="41">
        <v>0</v>
      </c>
      <c r="P122" s="41">
        <v>0</v>
      </c>
    </row>
    <row r="123" spans="1:16" x14ac:dyDescent="0.3">
      <c r="A123" s="41" t="s">
        <v>2304</v>
      </c>
      <c r="B123" s="41" t="s">
        <v>735</v>
      </c>
      <c r="C123" s="41" t="s">
        <v>589</v>
      </c>
      <c r="D123" s="41" t="s">
        <v>851</v>
      </c>
      <c r="E123" s="41"/>
      <c r="F123" s="41" t="b">
        <v>1</v>
      </c>
      <c r="G123" s="41"/>
      <c r="H123" s="41"/>
      <c r="I123" s="41">
        <v>404</v>
      </c>
      <c r="J123" s="41" t="s">
        <v>160</v>
      </c>
      <c r="K123" s="41" t="s">
        <v>2347</v>
      </c>
      <c r="L123" s="41" t="s">
        <v>2349</v>
      </c>
      <c r="M123" s="41" t="s">
        <v>2350</v>
      </c>
      <c r="N123" s="41" t="s">
        <v>2309</v>
      </c>
      <c r="O123" s="41">
        <v>0</v>
      </c>
      <c r="P123" s="41">
        <v>0</v>
      </c>
    </row>
    <row r="124" spans="1:16" x14ac:dyDescent="0.3">
      <c r="A124" s="41" t="s">
        <v>2304</v>
      </c>
      <c r="B124" s="41" t="s">
        <v>724</v>
      </c>
      <c r="C124" s="41" t="s">
        <v>589</v>
      </c>
      <c r="D124" s="41" t="s">
        <v>851</v>
      </c>
      <c r="E124" s="41"/>
      <c r="F124" s="41" t="b">
        <v>1</v>
      </c>
      <c r="G124" s="41"/>
      <c r="H124" s="41"/>
      <c r="I124" s="41">
        <v>404</v>
      </c>
      <c r="J124" s="41" t="s">
        <v>160</v>
      </c>
      <c r="K124" s="41" t="s">
        <v>2347</v>
      </c>
      <c r="L124" s="41" t="s">
        <v>2348</v>
      </c>
      <c r="M124" s="41" t="s">
        <v>2308</v>
      </c>
      <c r="N124" s="41" t="s">
        <v>2309</v>
      </c>
      <c r="O124" s="41">
        <v>0</v>
      </c>
      <c r="P124" s="41">
        <v>0</v>
      </c>
    </row>
    <row r="125" spans="1:16" x14ac:dyDescent="0.3">
      <c r="A125" s="41" t="s">
        <v>2304</v>
      </c>
      <c r="B125" s="41" t="s">
        <v>724</v>
      </c>
      <c r="C125" s="41" t="s">
        <v>589</v>
      </c>
      <c r="D125" s="41" t="s">
        <v>851</v>
      </c>
      <c r="E125" s="41"/>
      <c r="F125" s="41" t="b">
        <v>1</v>
      </c>
      <c r="G125" s="41"/>
      <c r="H125" s="41"/>
      <c r="I125" s="41">
        <v>404</v>
      </c>
      <c r="J125" s="41" t="s">
        <v>160</v>
      </c>
      <c r="K125" s="41" t="s">
        <v>2347</v>
      </c>
      <c r="L125" s="41" t="s">
        <v>2349</v>
      </c>
      <c r="M125" s="41" t="s">
        <v>2350</v>
      </c>
      <c r="N125" s="41" t="s">
        <v>2309</v>
      </c>
      <c r="O125" s="41">
        <v>0</v>
      </c>
      <c r="P125" s="41">
        <v>0</v>
      </c>
    </row>
    <row r="126" spans="1:16" x14ac:dyDescent="0.3">
      <c r="A126" s="41" t="s">
        <v>2304</v>
      </c>
      <c r="B126" s="41" t="s">
        <v>721</v>
      </c>
      <c r="C126" s="41" t="s">
        <v>589</v>
      </c>
      <c r="D126" s="41" t="s">
        <v>851</v>
      </c>
      <c r="E126" s="41"/>
      <c r="F126" s="41" t="b">
        <v>1</v>
      </c>
      <c r="G126" s="41"/>
      <c r="H126" s="41"/>
      <c r="I126" s="41">
        <v>404</v>
      </c>
      <c r="J126" s="41" t="s">
        <v>160</v>
      </c>
      <c r="K126" s="41" t="s">
        <v>2347</v>
      </c>
      <c r="L126" s="41" t="s">
        <v>2348</v>
      </c>
      <c r="M126" s="41" t="s">
        <v>2308</v>
      </c>
      <c r="N126" s="41" t="s">
        <v>2309</v>
      </c>
      <c r="O126" s="41">
        <v>0</v>
      </c>
      <c r="P126" s="41">
        <v>0</v>
      </c>
    </row>
    <row r="127" spans="1:16" x14ac:dyDescent="0.3">
      <c r="A127" s="41" t="s">
        <v>2304</v>
      </c>
      <c r="B127" s="41" t="s">
        <v>721</v>
      </c>
      <c r="C127" s="41" t="s">
        <v>589</v>
      </c>
      <c r="D127" s="41" t="s">
        <v>851</v>
      </c>
      <c r="E127" s="41"/>
      <c r="F127" s="41" t="b">
        <v>1</v>
      </c>
      <c r="G127" s="41"/>
      <c r="H127" s="41"/>
      <c r="I127" s="41">
        <v>404</v>
      </c>
      <c r="J127" s="41" t="s">
        <v>160</v>
      </c>
      <c r="K127" s="41" t="s">
        <v>2347</v>
      </c>
      <c r="L127" s="41" t="s">
        <v>2349</v>
      </c>
      <c r="M127" s="41" t="s">
        <v>2350</v>
      </c>
      <c r="N127" s="41" t="s">
        <v>2309</v>
      </c>
      <c r="O127" s="41">
        <v>0</v>
      </c>
      <c r="P127" s="41">
        <v>0</v>
      </c>
    </row>
    <row r="128" spans="1:16" x14ac:dyDescent="0.3">
      <c r="A128" s="41" t="s">
        <v>2304</v>
      </c>
      <c r="B128" s="41" t="s">
        <v>472</v>
      </c>
      <c r="C128" s="41" t="s">
        <v>589</v>
      </c>
      <c r="D128" s="41" t="s">
        <v>851</v>
      </c>
      <c r="E128" s="41"/>
      <c r="F128" s="41" t="b">
        <v>1</v>
      </c>
      <c r="G128" s="41"/>
      <c r="H128" s="41"/>
      <c r="I128" s="41">
        <v>404</v>
      </c>
      <c r="J128" s="41" t="s">
        <v>160</v>
      </c>
      <c r="K128" s="41" t="s">
        <v>2347</v>
      </c>
      <c r="L128" s="41" t="s">
        <v>2348</v>
      </c>
      <c r="M128" s="41" t="s">
        <v>2308</v>
      </c>
      <c r="N128" s="41" t="s">
        <v>2309</v>
      </c>
      <c r="O128" s="41">
        <v>0</v>
      </c>
      <c r="P128" s="41">
        <v>0</v>
      </c>
    </row>
    <row r="129" spans="1:16" x14ac:dyDescent="0.3">
      <c r="A129" s="41" t="s">
        <v>2304</v>
      </c>
      <c r="B129" s="41" t="s">
        <v>472</v>
      </c>
      <c r="C129" s="41" t="s">
        <v>589</v>
      </c>
      <c r="D129" s="41" t="s">
        <v>851</v>
      </c>
      <c r="E129" s="41"/>
      <c r="F129" s="41" t="b">
        <v>1</v>
      </c>
      <c r="G129" s="41"/>
      <c r="H129" s="41"/>
      <c r="I129" s="41">
        <v>404</v>
      </c>
      <c r="J129" s="41" t="s">
        <v>160</v>
      </c>
      <c r="K129" s="41" t="s">
        <v>2347</v>
      </c>
      <c r="L129" s="41" t="s">
        <v>2349</v>
      </c>
      <c r="M129" s="41" t="s">
        <v>2350</v>
      </c>
      <c r="N129" s="41" t="s">
        <v>2309</v>
      </c>
      <c r="O129" s="41">
        <v>0</v>
      </c>
      <c r="P129" s="41">
        <v>0</v>
      </c>
    </row>
    <row r="130" spans="1:16" x14ac:dyDescent="0.3">
      <c r="A130" s="41" t="s">
        <v>2304</v>
      </c>
      <c r="B130" s="41" t="s">
        <v>469</v>
      </c>
      <c r="C130" s="41" t="s">
        <v>589</v>
      </c>
      <c r="D130" s="41" t="s">
        <v>851</v>
      </c>
      <c r="E130" s="41"/>
      <c r="F130" s="41" t="b">
        <v>1</v>
      </c>
      <c r="G130" s="41"/>
      <c r="H130" s="41"/>
      <c r="I130" s="41">
        <v>404</v>
      </c>
      <c r="J130" s="41" t="s">
        <v>160</v>
      </c>
      <c r="K130" s="41" t="s">
        <v>2347</v>
      </c>
      <c r="L130" s="41" t="s">
        <v>2348</v>
      </c>
      <c r="M130" s="41" t="s">
        <v>2308</v>
      </c>
      <c r="N130" s="41" t="s">
        <v>2309</v>
      </c>
      <c r="O130" s="41">
        <v>0</v>
      </c>
      <c r="P130" s="41">
        <v>0</v>
      </c>
    </row>
    <row r="131" spans="1:16" x14ac:dyDescent="0.3">
      <c r="A131" s="41" t="s">
        <v>2304</v>
      </c>
      <c r="B131" s="41" t="s">
        <v>469</v>
      </c>
      <c r="C131" s="41" t="s">
        <v>589</v>
      </c>
      <c r="D131" s="41" t="s">
        <v>851</v>
      </c>
      <c r="E131" s="41"/>
      <c r="F131" s="41" t="b">
        <v>1</v>
      </c>
      <c r="G131" s="41"/>
      <c r="H131" s="41"/>
      <c r="I131" s="41">
        <v>404</v>
      </c>
      <c r="J131" s="41" t="s">
        <v>160</v>
      </c>
      <c r="K131" s="41" t="s">
        <v>2347</v>
      </c>
      <c r="L131" s="41" t="s">
        <v>2349</v>
      </c>
      <c r="M131" s="41" t="s">
        <v>2350</v>
      </c>
      <c r="N131" s="41" t="s">
        <v>2309</v>
      </c>
      <c r="O131" s="41">
        <v>0</v>
      </c>
      <c r="P131" s="41">
        <v>0</v>
      </c>
    </row>
    <row r="132" spans="1:16" x14ac:dyDescent="0.3">
      <c r="A132" s="41" t="s">
        <v>2304</v>
      </c>
      <c r="B132" s="41" t="s">
        <v>584</v>
      </c>
      <c r="C132" s="41" t="s">
        <v>589</v>
      </c>
      <c r="D132" s="41" t="s">
        <v>851</v>
      </c>
      <c r="E132" s="41"/>
      <c r="F132" s="41" t="b">
        <v>1</v>
      </c>
      <c r="G132" s="41"/>
      <c r="H132" s="41"/>
      <c r="I132" s="41">
        <v>404</v>
      </c>
      <c r="J132" s="41" t="s">
        <v>160</v>
      </c>
      <c r="K132" s="41" t="s">
        <v>2347</v>
      </c>
      <c r="L132" s="41" t="s">
        <v>2348</v>
      </c>
      <c r="M132" s="41" t="s">
        <v>2308</v>
      </c>
      <c r="N132" s="41" t="s">
        <v>2309</v>
      </c>
      <c r="O132" s="41">
        <v>0</v>
      </c>
      <c r="P132" s="41">
        <v>0</v>
      </c>
    </row>
    <row r="133" spans="1:16" x14ac:dyDescent="0.3">
      <c r="A133" s="41" t="s">
        <v>2304</v>
      </c>
      <c r="B133" s="41" t="s">
        <v>584</v>
      </c>
      <c r="C133" s="41" t="s">
        <v>589</v>
      </c>
      <c r="D133" s="41" t="s">
        <v>851</v>
      </c>
      <c r="E133" s="41"/>
      <c r="F133" s="41" t="b">
        <v>1</v>
      </c>
      <c r="G133" s="41"/>
      <c r="H133" s="41"/>
      <c r="I133" s="41">
        <v>404</v>
      </c>
      <c r="J133" s="41" t="s">
        <v>160</v>
      </c>
      <c r="K133" s="41" t="s">
        <v>2347</v>
      </c>
      <c r="L133" s="41" t="s">
        <v>2349</v>
      </c>
      <c r="M133" s="41" t="s">
        <v>2350</v>
      </c>
      <c r="N133" s="41" t="s">
        <v>2309</v>
      </c>
      <c r="O133" s="41">
        <v>0</v>
      </c>
      <c r="P133" s="41">
        <v>0</v>
      </c>
    </row>
    <row r="134" spans="1:16" x14ac:dyDescent="0.3">
      <c r="A134" s="41" t="s">
        <v>2304</v>
      </c>
      <c r="B134" s="41" t="s">
        <v>587</v>
      </c>
      <c r="C134" s="41" t="s">
        <v>589</v>
      </c>
      <c r="D134" s="41" t="s">
        <v>851</v>
      </c>
      <c r="E134" s="41"/>
      <c r="F134" s="41" t="b">
        <v>1</v>
      </c>
      <c r="G134" s="41"/>
      <c r="H134" s="41"/>
      <c r="I134" s="41">
        <v>404</v>
      </c>
      <c r="J134" s="41" t="s">
        <v>160</v>
      </c>
      <c r="K134" s="41" t="s">
        <v>2347</v>
      </c>
      <c r="L134" s="41" t="s">
        <v>2348</v>
      </c>
      <c r="M134" s="41" t="s">
        <v>2308</v>
      </c>
      <c r="N134" s="41" t="s">
        <v>2309</v>
      </c>
      <c r="O134" s="41">
        <v>0</v>
      </c>
      <c r="P134" s="41">
        <v>0</v>
      </c>
    </row>
    <row r="135" spans="1:16" x14ac:dyDescent="0.3">
      <c r="A135" s="41" t="s">
        <v>2304</v>
      </c>
      <c r="B135" s="41" t="s">
        <v>587</v>
      </c>
      <c r="C135" s="41" t="s">
        <v>589</v>
      </c>
      <c r="D135" s="41" t="s">
        <v>851</v>
      </c>
      <c r="E135" s="41"/>
      <c r="F135" s="41" t="b">
        <v>1</v>
      </c>
      <c r="G135" s="41"/>
      <c r="H135" s="41"/>
      <c r="I135" s="41">
        <v>404</v>
      </c>
      <c r="J135" s="41" t="s">
        <v>160</v>
      </c>
      <c r="K135" s="41" t="s">
        <v>2347</v>
      </c>
      <c r="L135" s="41" t="s">
        <v>2349</v>
      </c>
      <c r="M135" s="41" t="s">
        <v>2350</v>
      </c>
      <c r="N135" s="41" t="s">
        <v>2309</v>
      </c>
      <c r="O135" s="41">
        <v>0</v>
      </c>
      <c r="P135" s="41">
        <v>0</v>
      </c>
    </row>
    <row r="136" spans="1:16" x14ac:dyDescent="0.3">
      <c r="A136" s="41" t="s">
        <v>2304</v>
      </c>
      <c r="B136" s="41" t="s">
        <v>677</v>
      </c>
      <c r="C136" s="41" t="s">
        <v>589</v>
      </c>
      <c r="D136" s="41" t="s">
        <v>851</v>
      </c>
      <c r="E136" s="41"/>
      <c r="F136" s="41" t="b">
        <v>1</v>
      </c>
      <c r="G136" s="41"/>
      <c r="H136" s="41"/>
      <c r="I136" s="41">
        <v>404</v>
      </c>
      <c r="J136" s="41" t="s">
        <v>160</v>
      </c>
      <c r="K136" s="41" t="s">
        <v>2347</v>
      </c>
      <c r="L136" s="41" t="s">
        <v>2348</v>
      </c>
      <c r="M136" s="41" t="s">
        <v>2308</v>
      </c>
      <c r="N136" s="41" t="s">
        <v>2309</v>
      </c>
      <c r="O136" s="41">
        <v>0</v>
      </c>
      <c r="P136" s="41">
        <v>0</v>
      </c>
    </row>
    <row r="137" spans="1:16" x14ac:dyDescent="0.3">
      <c r="A137" s="41" t="s">
        <v>2304</v>
      </c>
      <c r="B137" s="41" t="s">
        <v>677</v>
      </c>
      <c r="C137" s="41" t="s">
        <v>589</v>
      </c>
      <c r="D137" s="41" t="s">
        <v>851</v>
      </c>
      <c r="E137" s="41"/>
      <c r="F137" s="41" t="b">
        <v>1</v>
      </c>
      <c r="G137" s="41"/>
      <c r="H137" s="41"/>
      <c r="I137" s="41">
        <v>404</v>
      </c>
      <c r="J137" s="41" t="s">
        <v>160</v>
      </c>
      <c r="K137" s="41" t="s">
        <v>2347</v>
      </c>
      <c r="L137" s="41" t="s">
        <v>2349</v>
      </c>
      <c r="M137" s="41" t="s">
        <v>2350</v>
      </c>
      <c r="N137" s="41" t="s">
        <v>2309</v>
      </c>
      <c r="O137" s="41">
        <v>0</v>
      </c>
      <c r="P137" s="41">
        <v>0</v>
      </c>
    </row>
    <row r="138" spans="1:16" x14ac:dyDescent="0.3">
      <c r="A138" s="41" t="s">
        <v>2304</v>
      </c>
      <c r="B138" s="41" t="s">
        <v>674</v>
      </c>
      <c r="C138" s="41" t="s">
        <v>589</v>
      </c>
      <c r="D138" s="41" t="s">
        <v>851</v>
      </c>
      <c r="E138" s="41"/>
      <c r="F138" s="41" t="b">
        <v>1</v>
      </c>
      <c r="G138" s="41"/>
      <c r="H138" s="41"/>
      <c r="I138" s="41">
        <v>404</v>
      </c>
      <c r="J138" s="41" t="s">
        <v>160</v>
      </c>
      <c r="K138" s="41" t="s">
        <v>2347</v>
      </c>
      <c r="L138" s="41" t="s">
        <v>2348</v>
      </c>
      <c r="M138" s="41" t="s">
        <v>2308</v>
      </c>
      <c r="N138" s="41" t="s">
        <v>2309</v>
      </c>
      <c r="O138" s="41">
        <v>0</v>
      </c>
      <c r="P138" s="41">
        <v>0</v>
      </c>
    </row>
    <row r="139" spans="1:16" x14ac:dyDescent="0.3">
      <c r="A139" s="41" t="s">
        <v>2304</v>
      </c>
      <c r="B139" s="41" t="s">
        <v>674</v>
      </c>
      <c r="C139" s="41" t="s">
        <v>589</v>
      </c>
      <c r="D139" s="41" t="s">
        <v>851</v>
      </c>
      <c r="E139" s="41"/>
      <c r="F139" s="41" t="b">
        <v>1</v>
      </c>
      <c r="G139" s="41"/>
      <c r="H139" s="41"/>
      <c r="I139" s="41">
        <v>404</v>
      </c>
      <c r="J139" s="41" t="s">
        <v>160</v>
      </c>
      <c r="K139" s="41" t="s">
        <v>2347</v>
      </c>
      <c r="L139" s="41" t="s">
        <v>2349</v>
      </c>
      <c r="M139" s="41" t="s">
        <v>2350</v>
      </c>
      <c r="N139" s="41" t="s">
        <v>2309</v>
      </c>
      <c r="O139" s="41">
        <v>0</v>
      </c>
      <c r="P139" s="41">
        <v>0</v>
      </c>
    </row>
    <row r="140" spans="1:16" x14ac:dyDescent="0.3">
      <c r="A140" s="41" t="s">
        <v>2304</v>
      </c>
      <c r="B140" s="41" t="s">
        <v>553</v>
      </c>
      <c r="C140" s="41" t="s">
        <v>589</v>
      </c>
      <c r="D140" s="41" t="s">
        <v>851</v>
      </c>
      <c r="E140" s="41"/>
      <c r="F140" s="41" t="b">
        <v>1</v>
      </c>
      <c r="G140" s="41"/>
      <c r="H140" s="41"/>
      <c r="I140" s="41">
        <v>404</v>
      </c>
      <c r="J140" s="41" t="s">
        <v>160</v>
      </c>
      <c r="K140" s="41" t="s">
        <v>2347</v>
      </c>
      <c r="L140" s="41" t="s">
        <v>2348</v>
      </c>
      <c r="M140" s="41" t="s">
        <v>2308</v>
      </c>
      <c r="N140" s="41" t="s">
        <v>2309</v>
      </c>
      <c r="O140" s="41">
        <v>0</v>
      </c>
      <c r="P140" s="41">
        <v>0</v>
      </c>
    </row>
    <row r="141" spans="1:16" x14ac:dyDescent="0.3">
      <c r="A141" s="41" t="s">
        <v>2304</v>
      </c>
      <c r="B141" s="41" t="s">
        <v>553</v>
      </c>
      <c r="C141" s="41" t="s">
        <v>589</v>
      </c>
      <c r="D141" s="41" t="s">
        <v>851</v>
      </c>
      <c r="E141" s="41"/>
      <c r="F141" s="41" t="b">
        <v>1</v>
      </c>
      <c r="G141" s="41"/>
      <c r="H141" s="41"/>
      <c r="I141" s="41">
        <v>404</v>
      </c>
      <c r="J141" s="41" t="s">
        <v>160</v>
      </c>
      <c r="K141" s="41" t="s">
        <v>2347</v>
      </c>
      <c r="L141" s="41" t="s">
        <v>2349</v>
      </c>
      <c r="M141" s="41" t="s">
        <v>2350</v>
      </c>
      <c r="N141" s="41" t="s">
        <v>2309</v>
      </c>
      <c r="O141" s="41">
        <v>0</v>
      </c>
      <c r="P141" s="41">
        <v>0</v>
      </c>
    </row>
    <row r="142" spans="1:16" x14ac:dyDescent="0.3">
      <c r="A142" s="41" t="s">
        <v>2304</v>
      </c>
      <c r="B142" s="41" t="s">
        <v>561</v>
      </c>
      <c r="C142" s="41" t="s">
        <v>589</v>
      </c>
      <c r="D142" s="41" t="s">
        <v>851</v>
      </c>
      <c r="E142" s="41"/>
      <c r="F142" s="41" t="b">
        <v>1</v>
      </c>
      <c r="G142" s="41"/>
      <c r="H142" s="41"/>
      <c r="I142" s="41">
        <v>404</v>
      </c>
      <c r="J142" s="41" t="s">
        <v>160</v>
      </c>
      <c r="K142" s="41" t="s">
        <v>2347</v>
      </c>
      <c r="L142" s="41" t="s">
        <v>2348</v>
      </c>
      <c r="M142" s="41" t="s">
        <v>2308</v>
      </c>
      <c r="N142" s="41" t="s">
        <v>2309</v>
      </c>
      <c r="O142" s="41">
        <v>0</v>
      </c>
      <c r="P142" s="41">
        <v>0</v>
      </c>
    </row>
    <row r="143" spans="1:16" x14ac:dyDescent="0.3">
      <c r="A143" s="41" t="s">
        <v>2304</v>
      </c>
      <c r="B143" s="41" t="s">
        <v>561</v>
      </c>
      <c r="C143" s="41" t="s">
        <v>589</v>
      </c>
      <c r="D143" s="41" t="s">
        <v>851</v>
      </c>
      <c r="E143" s="41"/>
      <c r="F143" s="41" t="b">
        <v>1</v>
      </c>
      <c r="G143" s="41"/>
      <c r="H143" s="41"/>
      <c r="I143" s="41">
        <v>404</v>
      </c>
      <c r="J143" s="41" t="s">
        <v>160</v>
      </c>
      <c r="K143" s="41" t="s">
        <v>2347</v>
      </c>
      <c r="L143" s="41" t="s">
        <v>2349</v>
      </c>
      <c r="M143" s="41" t="s">
        <v>2350</v>
      </c>
      <c r="N143" s="41" t="s">
        <v>2309</v>
      </c>
      <c r="O143" s="41">
        <v>0</v>
      </c>
      <c r="P143" s="41">
        <v>0</v>
      </c>
    </row>
    <row r="144" spans="1:16" x14ac:dyDescent="0.3">
      <c r="A144" s="41" t="s">
        <v>2304</v>
      </c>
      <c r="B144" s="41" t="s">
        <v>534</v>
      </c>
      <c r="C144" s="41" t="s">
        <v>589</v>
      </c>
      <c r="D144" s="41" t="s">
        <v>851</v>
      </c>
      <c r="E144" s="41"/>
      <c r="F144" s="41" t="b">
        <v>1</v>
      </c>
      <c r="G144" s="41"/>
      <c r="H144" s="41"/>
      <c r="I144" s="41">
        <v>404</v>
      </c>
      <c r="J144" s="41" t="s">
        <v>160</v>
      </c>
      <c r="K144" s="41" t="s">
        <v>2347</v>
      </c>
      <c r="L144" s="41" t="s">
        <v>2348</v>
      </c>
      <c r="M144" s="41" t="s">
        <v>2308</v>
      </c>
      <c r="N144" s="41" t="s">
        <v>2309</v>
      </c>
      <c r="O144" s="41">
        <v>0</v>
      </c>
      <c r="P144" s="41">
        <v>0</v>
      </c>
    </row>
    <row r="145" spans="1:16" x14ac:dyDescent="0.3">
      <c r="A145" s="41" t="s">
        <v>2304</v>
      </c>
      <c r="B145" s="41" t="s">
        <v>534</v>
      </c>
      <c r="C145" s="41" t="s">
        <v>589</v>
      </c>
      <c r="D145" s="41" t="s">
        <v>851</v>
      </c>
      <c r="E145" s="41"/>
      <c r="F145" s="41" t="b">
        <v>1</v>
      </c>
      <c r="G145" s="41"/>
      <c r="H145" s="41"/>
      <c r="I145" s="41">
        <v>404</v>
      </c>
      <c r="J145" s="41" t="s">
        <v>160</v>
      </c>
      <c r="K145" s="41" t="s">
        <v>2347</v>
      </c>
      <c r="L145" s="41" t="s">
        <v>2349</v>
      </c>
      <c r="M145" s="41" t="s">
        <v>2350</v>
      </c>
      <c r="N145" s="41" t="s">
        <v>2309</v>
      </c>
      <c r="O145" s="41">
        <v>0</v>
      </c>
      <c r="P145" s="41">
        <v>0</v>
      </c>
    </row>
    <row r="146" spans="1:16" x14ac:dyDescent="0.3">
      <c r="A146" s="41" t="s">
        <v>2304</v>
      </c>
      <c r="B146" s="41" t="s">
        <v>664</v>
      </c>
      <c r="C146" s="41" t="s">
        <v>589</v>
      </c>
      <c r="D146" s="41" t="s">
        <v>851</v>
      </c>
      <c r="E146" s="41"/>
      <c r="F146" s="41" t="b">
        <v>1</v>
      </c>
      <c r="G146" s="41"/>
      <c r="H146" s="41"/>
      <c r="I146" s="41">
        <v>404</v>
      </c>
      <c r="J146" s="41" t="s">
        <v>160</v>
      </c>
      <c r="K146" s="41" t="s">
        <v>2347</v>
      </c>
      <c r="L146" s="41" t="s">
        <v>2348</v>
      </c>
      <c r="M146" s="41" t="s">
        <v>2308</v>
      </c>
      <c r="N146" s="41" t="s">
        <v>2309</v>
      </c>
      <c r="O146" s="41">
        <v>0</v>
      </c>
      <c r="P146" s="41">
        <v>0</v>
      </c>
    </row>
    <row r="147" spans="1:16" x14ac:dyDescent="0.3">
      <c r="A147" s="41" t="s">
        <v>2304</v>
      </c>
      <c r="B147" s="41" t="s">
        <v>664</v>
      </c>
      <c r="C147" s="41" t="s">
        <v>589</v>
      </c>
      <c r="D147" s="41" t="s">
        <v>851</v>
      </c>
      <c r="E147" s="41"/>
      <c r="F147" s="41" t="b">
        <v>1</v>
      </c>
      <c r="G147" s="41"/>
      <c r="H147" s="41"/>
      <c r="I147" s="41">
        <v>404</v>
      </c>
      <c r="J147" s="41" t="s">
        <v>160</v>
      </c>
      <c r="K147" s="41" t="s">
        <v>2347</v>
      </c>
      <c r="L147" s="41" t="s">
        <v>2349</v>
      </c>
      <c r="M147" s="41" t="s">
        <v>2350</v>
      </c>
      <c r="N147" s="41" t="s">
        <v>2309</v>
      </c>
      <c r="O147" s="41">
        <v>0</v>
      </c>
      <c r="P147" s="41">
        <v>0</v>
      </c>
    </row>
    <row r="148" spans="1:16" x14ac:dyDescent="0.3">
      <c r="A148" s="41" t="s">
        <v>2304</v>
      </c>
      <c r="B148" s="41" t="s">
        <v>758</v>
      </c>
      <c r="C148" s="41" t="s">
        <v>589</v>
      </c>
      <c r="D148" s="41" t="s">
        <v>851</v>
      </c>
      <c r="E148" s="41"/>
      <c r="F148" s="41" t="b">
        <v>1</v>
      </c>
      <c r="G148" s="41"/>
      <c r="H148" s="41"/>
      <c r="I148" s="41">
        <v>404</v>
      </c>
      <c r="J148" s="41" t="s">
        <v>160</v>
      </c>
      <c r="K148" s="41" t="s">
        <v>2347</v>
      </c>
      <c r="L148" s="41" t="s">
        <v>2348</v>
      </c>
      <c r="M148" s="41" t="s">
        <v>2308</v>
      </c>
      <c r="N148" s="41" t="s">
        <v>2309</v>
      </c>
      <c r="O148" s="41">
        <v>0</v>
      </c>
      <c r="P148" s="41">
        <v>0</v>
      </c>
    </row>
    <row r="149" spans="1:16" x14ac:dyDescent="0.3">
      <c r="A149" s="41" t="s">
        <v>2304</v>
      </c>
      <c r="B149" s="41" t="s">
        <v>758</v>
      </c>
      <c r="C149" s="41" t="s">
        <v>589</v>
      </c>
      <c r="D149" s="41" t="s">
        <v>851</v>
      </c>
      <c r="E149" s="41"/>
      <c r="F149" s="41" t="b">
        <v>1</v>
      </c>
      <c r="G149" s="41"/>
      <c r="H149" s="41"/>
      <c r="I149" s="41">
        <v>404</v>
      </c>
      <c r="J149" s="41" t="s">
        <v>160</v>
      </c>
      <c r="K149" s="41" t="s">
        <v>2347</v>
      </c>
      <c r="L149" s="41" t="s">
        <v>2349</v>
      </c>
      <c r="M149" s="41" t="s">
        <v>2350</v>
      </c>
      <c r="N149" s="41" t="s">
        <v>2309</v>
      </c>
      <c r="O149" s="41">
        <v>0</v>
      </c>
      <c r="P149" s="41">
        <v>0</v>
      </c>
    </row>
    <row r="150" spans="1:16" x14ac:dyDescent="0.3">
      <c r="A150" s="41" t="s">
        <v>2304</v>
      </c>
      <c r="B150" s="41" t="s">
        <v>659</v>
      </c>
      <c r="C150" s="41" t="s">
        <v>589</v>
      </c>
      <c r="D150" s="41" t="s">
        <v>851</v>
      </c>
      <c r="E150" s="41"/>
      <c r="F150" s="41" t="b">
        <v>1</v>
      </c>
      <c r="G150" s="41"/>
      <c r="H150" s="41"/>
      <c r="I150" s="41">
        <v>404</v>
      </c>
      <c r="J150" s="41" t="s">
        <v>160</v>
      </c>
      <c r="K150" s="41" t="s">
        <v>2347</v>
      </c>
      <c r="L150" s="41" t="s">
        <v>2348</v>
      </c>
      <c r="M150" s="41" t="s">
        <v>2308</v>
      </c>
      <c r="N150" s="41" t="s">
        <v>2309</v>
      </c>
      <c r="O150" s="41">
        <v>0</v>
      </c>
      <c r="P150" s="41">
        <v>0</v>
      </c>
    </row>
    <row r="151" spans="1:16" x14ac:dyDescent="0.3">
      <c r="A151" s="41" t="s">
        <v>2304</v>
      </c>
      <c r="B151" s="41" t="s">
        <v>659</v>
      </c>
      <c r="C151" s="41" t="s">
        <v>589</v>
      </c>
      <c r="D151" s="41" t="s">
        <v>851</v>
      </c>
      <c r="E151" s="41"/>
      <c r="F151" s="41" t="b">
        <v>1</v>
      </c>
      <c r="G151" s="41"/>
      <c r="H151" s="41"/>
      <c r="I151" s="41">
        <v>404</v>
      </c>
      <c r="J151" s="41" t="s">
        <v>160</v>
      </c>
      <c r="K151" s="41" t="s">
        <v>2347</v>
      </c>
      <c r="L151" s="41" t="s">
        <v>2349</v>
      </c>
      <c r="M151" s="41" t="s">
        <v>2350</v>
      </c>
      <c r="N151" s="41" t="s">
        <v>2309</v>
      </c>
      <c r="O151" s="41">
        <v>0</v>
      </c>
      <c r="P151" s="41">
        <v>0</v>
      </c>
    </row>
    <row r="152" spans="1:16" x14ac:dyDescent="0.3">
      <c r="A152" s="41" t="s">
        <v>2304</v>
      </c>
      <c r="B152" s="41" t="s">
        <v>845</v>
      </c>
      <c r="C152" s="41" t="s">
        <v>589</v>
      </c>
      <c r="D152" s="41" t="s">
        <v>851</v>
      </c>
      <c r="E152" s="41"/>
      <c r="F152" s="41" t="b">
        <v>1</v>
      </c>
      <c r="G152" s="41"/>
      <c r="H152" s="41"/>
      <c r="I152" s="41">
        <v>404</v>
      </c>
      <c r="J152" s="41" t="s">
        <v>160</v>
      </c>
      <c r="K152" s="41" t="s">
        <v>2347</v>
      </c>
      <c r="L152" s="41" t="s">
        <v>2348</v>
      </c>
      <c r="M152" s="41" t="s">
        <v>2308</v>
      </c>
      <c r="N152" s="41" t="s">
        <v>2309</v>
      </c>
      <c r="O152" s="41">
        <v>0</v>
      </c>
      <c r="P152" s="41">
        <v>0</v>
      </c>
    </row>
    <row r="153" spans="1:16" x14ac:dyDescent="0.3">
      <c r="A153" s="41" t="s">
        <v>2304</v>
      </c>
      <c r="B153" s="41" t="s">
        <v>845</v>
      </c>
      <c r="C153" s="41" t="s">
        <v>589</v>
      </c>
      <c r="D153" s="41" t="s">
        <v>851</v>
      </c>
      <c r="E153" s="41"/>
      <c r="F153" s="41" t="b">
        <v>1</v>
      </c>
      <c r="G153" s="41"/>
      <c r="H153" s="41"/>
      <c r="I153" s="41">
        <v>404</v>
      </c>
      <c r="J153" s="41" t="s">
        <v>160</v>
      </c>
      <c r="K153" s="41" t="s">
        <v>2347</v>
      </c>
      <c r="L153" s="41" t="s">
        <v>2349</v>
      </c>
      <c r="M153" s="41" t="s">
        <v>2350</v>
      </c>
      <c r="N153" s="41" t="s">
        <v>2309</v>
      </c>
      <c r="O153" s="41">
        <v>0</v>
      </c>
      <c r="P153" s="41">
        <v>0</v>
      </c>
    </row>
    <row r="154" spans="1:16" x14ac:dyDescent="0.3">
      <c r="A154" s="41" t="s">
        <v>2304</v>
      </c>
      <c r="B154" s="41" t="s">
        <v>798</v>
      </c>
      <c r="C154" s="41" t="s">
        <v>589</v>
      </c>
      <c r="D154" s="41" t="s">
        <v>851</v>
      </c>
      <c r="E154" s="41"/>
      <c r="F154" s="41" t="b">
        <v>1</v>
      </c>
      <c r="G154" s="41"/>
      <c r="H154" s="41"/>
      <c r="I154" s="41">
        <v>404</v>
      </c>
      <c r="J154" s="41" t="s">
        <v>160</v>
      </c>
      <c r="K154" s="41" t="s">
        <v>2347</v>
      </c>
      <c r="L154" s="41" t="s">
        <v>2348</v>
      </c>
      <c r="M154" s="41" t="s">
        <v>2308</v>
      </c>
      <c r="N154" s="41" t="s">
        <v>2309</v>
      </c>
      <c r="O154" s="41">
        <v>0</v>
      </c>
      <c r="P154" s="41">
        <v>0</v>
      </c>
    </row>
    <row r="155" spans="1:16" x14ac:dyDescent="0.3">
      <c r="A155" s="41" t="s">
        <v>2304</v>
      </c>
      <c r="B155" s="41" t="s">
        <v>798</v>
      </c>
      <c r="C155" s="41" t="s">
        <v>589</v>
      </c>
      <c r="D155" s="41" t="s">
        <v>851</v>
      </c>
      <c r="E155" s="41"/>
      <c r="F155" s="41" t="b">
        <v>1</v>
      </c>
      <c r="G155" s="41"/>
      <c r="H155" s="41"/>
      <c r="I155" s="41">
        <v>404</v>
      </c>
      <c r="J155" s="41" t="s">
        <v>160</v>
      </c>
      <c r="K155" s="41" t="s">
        <v>2347</v>
      </c>
      <c r="L155" s="41" t="s">
        <v>2349</v>
      </c>
      <c r="M155" s="41" t="s">
        <v>2350</v>
      </c>
      <c r="N155" s="41" t="s">
        <v>2309</v>
      </c>
      <c r="O155" s="41">
        <v>0</v>
      </c>
      <c r="P155" s="41">
        <v>0</v>
      </c>
    </row>
    <row r="156" spans="1:16" x14ac:dyDescent="0.3">
      <c r="A156" s="41" t="s">
        <v>2304</v>
      </c>
      <c r="B156" s="41" t="s">
        <v>564</v>
      </c>
      <c r="C156" s="41" t="s">
        <v>589</v>
      </c>
      <c r="D156" s="41" t="s">
        <v>851</v>
      </c>
      <c r="E156" s="41"/>
      <c r="F156" s="41" t="b">
        <v>1</v>
      </c>
      <c r="G156" s="41"/>
      <c r="H156" s="41"/>
      <c r="I156" s="41">
        <v>404</v>
      </c>
      <c r="J156" s="41" t="s">
        <v>160</v>
      </c>
      <c r="K156" s="41" t="s">
        <v>2347</v>
      </c>
      <c r="L156" s="41" t="s">
        <v>2348</v>
      </c>
      <c r="M156" s="41" t="s">
        <v>2308</v>
      </c>
      <c r="N156" s="41" t="s">
        <v>2309</v>
      </c>
      <c r="O156" s="41">
        <v>0</v>
      </c>
      <c r="P156" s="41">
        <v>0</v>
      </c>
    </row>
    <row r="157" spans="1:16" x14ac:dyDescent="0.3">
      <c r="A157" s="41" t="s">
        <v>2304</v>
      </c>
      <c r="B157" s="41" t="s">
        <v>564</v>
      </c>
      <c r="C157" s="41" t="s">
        <v>589</v>
      </c>
      <c r="D157" s="41" t="s">
        <v>851</v>
      </c>
      <c r="E157" s="41"/>
      <c r="F157" s="41" t="b">
        <v>1</v>
      </c>
      <c r="G157" s="41"/>
      <c r="H157" s="41"/>
      <c r="I157" s="41">
        <v>404</v>
      </c>
      <c r="J157" s="41" t="s">
        <v>160</v>
      </c>
      <c r="K157" s="41" t="s">
        <v>2347</v>
      </c>
      <c r="L157" s="41" t="s">
        <v>2349</v>
      </c>
      <c r="M157" s="41" t="s">
        <v>2350</v>
      </c>
      <c r="N157" s="41" t="s">
        <v>2309</v>
      </c>
      <c r="O157" s="41">
        <v>0</v>
      </c>
      <c r="P157" s="41">
        <v>0</v>
      </c>
    </row>
    <row r="158" spans="1:16" x14ac:dyDescent="0.3">
      <c r="A158" s="41" t="s">
        <v>2304</v>
      </c>
      <c r="B158" s="41" t="s">
        <v>687</v>
      </c>
      <c r="C158" s="41" t="s">
        <v>589</v>
      </c>
      <c r="D158" s="41" t="s">
        <v>851</v>
      </c>
      <c r="E158" s="41"/>
      <c r="F158" s="41" t="b">
        <v>1</v>
      </c>
      <c r="G158" s="41"/>
      <c r="H158" s="41"/>
      <c r="I158" s="41">
        <v>404</v>
      </c>
      <c r="J158" s="41" t="s">
        <v>160</v>
      </c>
      <c r="K158" s="41" t="s">
        <v>2347</v>
      </c>
      <c r="L158" s="41" t="s">
        <v>2348</v>
      </c>
      <c r="M158" s="41" t="s">
        <v>2308</v>
      </c>
      <c r="N158" s="41" t="s">
        <v>2309</v>
      </c>
      <c r="O158" s="41">
        <v>0</v>
      </c>
      <c r="P158" s="41">
        <v>0</v>
      </c>
    </row>
    <row r="159" spans="1:16" x14ac:dyDescent="0.3">
      <c r="A159" s="41" t="s">
        <v>2304</v>
      </c>
      <c r="B159" s="41" t="s">
        <v>687</v>
      </c>
      <c r="C159" s="41" t="s">
        <v>589</v>
      </c>
      <c r="D159" s="41" t="s">
        <v>851</v>
      </c>
      <c r="E159" s="41"/>
      <c r="F159" s="41" t="b">
        <v>1</v>
      </c>
      <c r="G159" s="41"/>
      <c r="H159" s="41"/>
      <c r="I159" s="41">
        <v>404</v>
      </c>
      <c r="J159" s="41" t="s">
        <v>160</v>
      </c>
      <c r="K159" s="41" t="s">
        <v>2347</v>
      </c>
      <c r="L159" s="41" t="s">
        <v>2349</v>
      </c>
      <c r="M159" s="41" t="s">
        <v>2350</v>
      </c>
      <c r="N159" s="41" t="s">
        <v>2309</v>
      </c>
      <c r="O159" s="41">
        <v>0</v>
      </c>
      <c r="P159" s="41">
        <v>0</v>
      </c>
    </row>
    <row r="160" spans="1:16" x14ac:dyDescent="0.3">
      <c r="A160" s="41" t="s">
        <v>2304</v>
      </c>
      <c r="B160" s="41" t="s">
        <v>770</v>
      </c>
      <c r="C160" s="41" t="s">
        <v>589</v>
      </c>
      <c r="D160" s="41" t="s">
        <v>851</v>
      </c>
      <c r="E160" s="41"/>
      <c r="F160" s="41" t="b">
        <v>1</v>
      </c>
      <c r="G160" s="41"/>
      <c r="H160" s="41"/>
      <c r="I160" s="41">
        <v>404</v>
      </c>
      <c r="J160" s="41" t="s">
        <v>160</v>
      </c>
      <c r="K160" s="41" t="s">
        <v>2347</v>
      </c>
      <c r="L160" s="41" t="s">
        <v>2348</v>
      </c>
      <c r="M160" s="41" t="s">
        <v>2308</v>
      </c>
      <c r="N160" s="41" t="s">
        <v>2309</v>
      </c>
      <c r="O160" s="41">
        <v>0</v>
      </c>
      <c r="P160" s="41">
        <v>0</v>
      </c>
    </row>
    <row r="161" spans="1:16" x14ac:dyDescent="0.3">
      <c r="A161" s="41" t="s">
        <v>2304</v>
      </c>
      <c r="B161" s="41" t="s">
        <v>770</v>
      </c>
      <c r="C161" s="41" t="s">
        <v>589</v>
      </c>
      <c r="D161" s="41" t="s">
        <v>851</v>
      </c>
      <c r="E161" s="41"/>
      <c r="F161" s="41" t="b">
        <v>1</v>
      </c>
      <c r="G161" s="41"/>
      <c r="H161" s="41"/>
      <c r="I161" s="41">
        <v>404</v>
      </c>
      <c r="J161" s="41" t="s">
        <v>160</v>
      </c>
      <c r="K161" s="41" t="s">
        <v>2347</v>
      </c>
      <c r="L161" s="41" t="s">
        <v>2349</v>
      </c>
      <c r="M161" s="41" t="s">
        <v>2350</v>
      </c>
      <c r="N161" s="41" t="s">
        <v>2309</v>
      </c>
      <c r="O161" s="41">
        <v>0</v>
      </c>
      <c r="P161" s="41">
        <v>0</v>
      </c>
    </row>
    <row r="162" spans="1:16" x14ac:dyDescent="0.3">
      <c r="A162" s="41" t="s">
        <v>2304</v>
      </c>
      <c r="B162" s="41" t="s">
        <v>645</v>
      </c>
      <c r="C162" s="41" t="s">
        <v>589</v>
      </c>
      <c r="D162" s="41" t="s">
        <v>851</v>
      </c>
      <c r="E162" s="41"/>
      <c r="F162" s="41" t="b">
        <v>1</v>
      </c>
      <c r="G162" s="41"/>
      <c r="H162" s="41"/>
      <c r="I162" s="41">
        <v>404</v>
      </c>
      <c r="J162" s="41" t="s">
        <v>160</v>
      </c>
      <c r="K162" s="41" t="s">
        <v>2347</v>
      </c>
      <c r="L162" s="41" t="s">
        <v>2348</v>
      </c>
      <c r="M162" s="41" t="s">
        <v>2308</v>
      </c>
      <c r="N162" s="41" t="s">
        <v>2309</v>
      </c>
      <c r="O162" s="41">
        <v>0</v>
      </c>
      <c r="P162" s="41">
        <v>0</v>
      </c>
    </row>
    <row r="163" spans="1:16" x14ac:dyDescent="0.3">
      <c r="A163" s="41" t="s">
        <v>2304</v>
      </c>
      <c r="B163" s="41" t="s">
        <v>645</v>
      </c>
      <c r="C163" s="41" t="s">
        <v>589</v>
      </c>
      <c r="D163" s="41" t="s">
        <v>851</v>
      </c>
      <c r="E163" s="41"/>
      <c r="F163" s="41" t="b">
        <v>1</v>
      </c>
      <c r="G163" s="41"/>
      <c r="H163" s="41"/>
      <c r="I163" s="41">
        <v>404</v>
      </c>
      <c r="J163" s="41" t="s">
        <v>160</v>
      </c>
      <c r="K163" s="41" t="s">
        <v>2347</v>
      </c>
      <c r="L163" s="41" t="s">
        <v>2349</v>
      </c>
      <c r="M163" s="41" t="s">
        <v>2350</v>
      </c>
      <c r="N163" s="41" t="s">
        <v>2309</v>
      </c>
      <c r="O163" s="41">
        <v>0</v>
      </c>
      <c r="P163" s="41">
        <v>0</v>
      </c>
    </row>
    <row r="164" spans="1:16" x14ac:dyDescent="0.3">
      <c r="A164" s="41" t="s">
        <v>2304</v>
      </c>
      <c r="B164" s="41" t="s">
        <v>802</v>
      </c>
      <c r="C164" s="41" t="s">
        <v>589</v>
      </c>
      <c r="D164" s="41" t="s">
        <v>851</v>
      </c>
      <c r="E164" s="41"/>
      <c r="F164" s="41" t="b">
        <v>1</v>
      </c>
      <c r="G164" s="41"/>
      <c r="H164" s="41"/>
      <c r="I164" s="41">
        <v>404</v>
      </c>
      <c r="J164" s="41" t="s">
        <v>160</v>
      </c>
      <c r="K164" s="41" t="s">
        <v>2347</v>
      </c>
      <c r="L164" s="41" t="s">
        <v>2348</v>
      </c>
      <c r="M164" s="41" t="s">
        <v>2308</v>
      </c>
      <c r="N164" s="41" t="s">
        <v>2309</v>
      </c>
      <c r="O164" s="41">
        <v>0</v>
      </c>
      <c r="P164" s="41">
        <v>0</v>
      </c>
    </row>
    <row r="165" spans="1:16" x14ac:dyDescent="0.3">
      <c r="A165" s="41" t="s">
        <v>2304</v>
      </c>
      <c r="B165" s="41" t="s">
        <v>802</v>
      </c>
      <c r="C165" s="41" t="s">
        <v>589</v>
      </c>
      <c r="D165" s="41" t="s">
        <v>851</v>
      </c>
      <c r="E165" s="41"/>
      <c r="F165" s="41" t="b">
        <v>1</v>
      </c>
      <c r="G165" s="41"/>
      <c r="H165" s="41"/>
      <c r="I165" s="41">
        <v>404</v>
      </c>
      <c r="J165" s="41" t="s">
        <v>160</v>
      </c>
      <c r="K165" s="41" t="s">
        <v>2347</v>
      </c>
      <c r="L165" s="41" t="s">
        <v>2349</v>
      </c>
      <c r="M165" s="41" t="s">
        <v>2350</v>
      </c>
      <c r="N165" s="41" t="s">
        <v>2309</v>
      </c>
      <c r="O165" s="41">
        <v>0</v>
      </c>
      <c r="P165" s="41">
        <v>0</v>
      </c>
    </row>
    <row r="166" spans="1:16" x14ac:dyDescent="0.3">
      <c r="A166" s="41" t="s">
        <v>2304</v>
      </c>
      <c r="B166" s="41" t="s">
        <v>601</v>
      </c>
      <c r="C166" s="41" t="s">
        <v>589</v>
      </c>
      <c r="D166" s="41" t="s">
        <v>851</v>
      </c>
      <c r="E166" s="41"/>
      <c r="F166" s="41" t="b">
        <v>1</v>
      </c>
      <c r="G166" s="41"/>
      <c r="H166" s="41"/>
      <c r="I166" s="41">
        <v>404</v>
      </c>
      <c r="J166" s="41" t="s">
        <v>160</v>
      </c>
      <c r="K166" s="41" t="s">
        <v>2347</v>
      </c>
      <c r="L166" s="41" t="s">
        <v>2348</v>
      </c>
      <c r="M166" s="41" t="s">
        <v>2308</v>
      </c>
      <c r="N166" s="41" t="s">
        <v>2309</v>
      </c>
      <c r="O166" s="41">
        <v>0</v>
      </c>
      <c r="P166" s="41">
        <v>0</v>
      </c>
    </row>
    <row r="167" spans="1:16" x14ac:dyDescent="0.3">
      <c r="A167" s="41" t="s">
        <v>2304</v>
      </c>
      <c r="B167" s="41" t="s">
        <v>601</v>
      </c>
      <c r="C167" s="41" t="s">
        <v>589</v>
      </c>
      <c r="D167" s="41" t="s">
        <v>851</v>
      </c>
      <c r="E167" s="41"/>
      <c r="F167" s="41" t="b">
        <v>1</v>
      </c>
      <c r="G167" s="41"/>
      <c r="H167" s="41"/>
      <c r="I167" s="41">
        <v>404</v>
      </c>
      <c r="J167" s="41" t="s">
        <v>160</v>
      </c>
      <c r="K167" s="41" t="s">
        <v>2347</v>
      </c>
      <c r="L167" s="41" t="s">
        <v>2349</v>
      </c>
      <c r="M167" s="41" t="s">
        <v>2350</v>
      </c>
      <c r="N167" s="41" t="s">
        <v>2309</v>
      </c>
      <c r="O167" s="41">
        <v>0</v>
      </c>
      <c r="P167" s="41">
        <v>0</v>
      </c>
    </row>
    <row r="168" spans="1:16" x14ac:dyDescent="0.3">
      <c r="A168" s="41" t="s">
        <v>2304</v>
      </c>
      <c r="B168" s="41" t="s">
        <v>620</v>
      </c>
      <c r="C168" s="41" t="s">
        <v>589</v>
      </c>
      <c r="D168" s="41" t="s">
        <v>851</v>
      </c>
      <c r="E168" s="41"/>
      <c r="F168" s="41" t="b">
        <v>1</v>
      </c>
      <c r="G168" s="41"/>
      <c r="H168" s="41"/>
      <c r="I168" s="41">
        <v>404</v>
      </c>
      <c r="J168" s="41" t="s">
        <v>160</v>
      </c>
      <c r="K168" s="41" t="s">
        <v>2347</v>
      </c>
      <c r="L168" s="41" t="s">
        <v>2348</v>
      </c>
      <c r="M168" s="41" t="s">
        <v>2308</v>
      </c>
      <c r="N168" s="41" t="s">
        <v>2309</v>
      </c>
      <c r="O168" s="41">
        <v>0</v>
      </c>
      <c r="P168" s="41">
        <v>0</v>
      </c>
    </row>
    <row r="169" spans="1:16" x14ac:dyDescent="0.3">
      <c r="A169" s="41" t="s">
        <v>2304</v>
      </c>
      <c r="B169" s="41" t="s">
        <v>620</v>
      </c>
      <c r="C169" s="41" t="s">
        <v>589</v>
      </c>
      <c r="D169" s="41" t="s">
        <v>851</v>
      </c>
      <c r="E169" s="41"/>
      <c r="F169" s="41" t="b">
        <v>1</v>
      </c>
      <c r="G169" s="41"/>
      <c r="H169" s="41"/>
      <c r="I169" s="41">
        <v>404</v>
      </c>
      <c r="J169" s="41" t="s">
        <v>160</v>
      </c>
      <c r="K169" s="41" t="s">
        <v>2347</v>
      </c>
      <c r="L169" s="41" t="s">
        <v>2349</v>
      </c>
      <c r="M169" s="41" t="s">
        <v>2350</v>
      </c>
      <c r="N169" s="41" t="s">
        <v>2309</v>
      </c>
      <c r="O169" s="41">
        <v>0</v>
      </c>
      <c r="P169" s="41">
        <v>0</v>
      </c>
    </row>
    <row r="170" spans="1:16" x14ac:dyDescent="0.3">
      <c r="A170" s="41" t="s">
        <v>2304</v>
      </c>
      <c r="B170" s="41" t="s">
        <v>692</v>
      </c>
      <c r="C170" s="41" t="s">
        <v>589</v>
      </c>
      <c r="D170" s="41" t="s">
        <v>851</v>
      </c>
      <c r="E170" s="41"/>
      <c r="F170" s="41" t="b">
        <v>1</v>
      </c>
      <c r="G170" s="41"/>
      <c r="H170" s="41"/>
      <c r="I170" s="41">
        <v>404</v>
      </c>
      <c r="J170" s="41" t="s">
        <v>160</v>
      </c>
      <c r="K170" s="41" t="s">
        <v>2347</v>
      </c>
      <c r="L170" s="41" t="s">
        <v>2348</v>
      </c>
      <c r="M170" s="41" t="s">
        <v>2308</v>
      </c>
      <c r="N170" s="41" t="s">
        <v>2309</v>
      </c>
      <c r="O170" s="41">
        <v>0</v>
      </c>
      <c r="P170" s="41">
        <v>0</v>
      </c>
    </row>
    <row r="171" spans="1:16" x14ac:dyDescent="0.3">
      <c r="A171" s="41" t="s">
        <v>2304</v>
      </c>
      <c r="B171" s="41" t="s">
        <v>692</v>
      </c>
      <c r="C171" s="41" t="s">
        <v>589</v>
      </c>
      <c r="D171" s="41" t="s">
        <v>851</v>
      </c>
      <c r="E171" s="41"/>
      <c r="F171" s="41" t="b">
        <v>1</v>
      </c>
      <c r="G171" s="41"/>
      <c r="H171" s="41"/>
      <c r="I171" s="41">
        <v>404</v>
      </c>
      <c r="J171" s="41" t="s">
        <v>160</v>
      </c>
      <c r="K171" s="41" t="s">
        <v>2347</v>
      </c>
      <c r="L171" s="41" t="s">
        <v>2349</v>
      </c>
      <c r="M171" s="41" t="s">
        <v>2350</v>
      </c>
      <c r="N171" s="41" t="s">
        <v>2309</v>
      </c>
      <c r="O171" s="41">
        <v>0</v>
      </c>
      <c r="P171" s="41">
        <v>0</v>
      </c>
    </row>
    <row r="172" spans="1:16" x14ac:dyDescent="0.3">
      <c r="A172" s="41" t="s">
        <v>2304</v>
      </c>
      <c r="B172" s="41" t="s">
        <v>560</v>
      </c>
      <c r="C172" s="41" t="s">
        <v>589</v>
      </c>
      <c r="D172" s="41" t="s">
        <v>851</v>
      </c>
      <c r="E172" s="41"/>
      <c r="F172" s="41" t="b">
        <v>1</v>
      </c>
      <c r="G172" s="41"/>
      <c r="H172" s="41"/>
      <c r="I172" s="41">
        <v>404</v>
      </c>
      <c r="J172" s="41" t="s">
        <v>160</v>
      </c>
      <c r="K172" s="41" t="s">
        <v>2347</v>
      </c>
      <c r="L172" s="41" t="s">
        <v>2348</v>
      </c>
      <c r="M172" s="41" t="s">
        <v>2308</v>
      </c>
      <c r="N172" s="41" t="s">
        <v>2309</v>
      </c>
      <c r="O172" s="41">
        <v>0</v>
      </c>
      <c r="P172" s="41">
        <v>0</v>
      </c>
    </row>
    <row r="173" spans="1:16" x14ac:dyDescent="0.3">
      <c r="A173" s="41" t="s">
        <v>2304</v>
      </c>
      <c r="B173" s="41" t="s">
        <v>560</v>
      </c>
      <c r="C173" s="41" t="s">
        <v>589</v>
      </c>
      <c r="D173" s="41" t="s">
        <v>851</v>
      </c>
      <c r="E173" s="41"/>
      <c r="F173" s="41" t="b">
        <v>1</v>
      </c>
      <c r="G173" s="41"/>
      <c r="H173" s="41"/>
      <c r="I173" s="41">
        <v>404</v>
      </c>
      <c r="J173" s="41" t="s">
        <v>160</v>
      </c>
      <c r="K173" s="41" t="s">
        <v>2347</v>
      </c>
      <c r="L173" s="41" t="s">
        <v>2349</v>
      </c>
      <c r="M173" s="41" t="s">
        <v>2350</v>
      </c>
      <c r="N173" s="41" t="s">
        <v>2309</v>
      </c>
      <c r="O173" s="41">
        <v>0</v>
      </c>
      <c r="P173" s="41">
        <v>0</v>
      </c>
    </row>
    <row r="174" spans="1:16" x14ac:dyDescent="0.3">
      <c r="A174" s="41" t="s">
        <v>2304</v>
      </c>
      <c r="B174" s="41" t="s">
        <v>532</v>
      </c>
      <c r="C174" s="41" t="s">
        <v>589</v>
      </c>
      <c r="D174" s="41" t="s">
        <v>851</v>
      </c>
      <c r="E174" s="41"/>
      <c r="F174" s="41" t="b">
        <v>1</v>
      </c>
      <c r="G174" s="41"/>
      <c r="H174" s="41"/>
      <c r="I174" s="41">
        <v>404</v>
      </c>
      <c r="J174" s="41" t="s">
        <v>160</v>
      </c>
      <c r="K174" s="41" t="s">
        <v>2347</v>
      </c>
      <c r="L174" s="41" t="s">
        <v>2348</v>
      </c>
      <c r="M174" s="41" t="s">
        <v>2308</v>
      </c>
      <c r="N174" s="41" t="s">
        <v>2309</v>
      </c>
      <c r="O174" s="41">
        <v>0</v>
      </c>
      <c r="P174" s="41">
        <v>0</v>
      </c>
    </row>
    <row r="175" spans="1:16" x14ac:dyDescent="0.3">
      <c r="A175" s="41" t="s">
        <v>2304</v>
      </c>
      <c r="B175" s="41" t="s">
        <v>532</v>
      </c>
      <c r="C175" s="41" t="s">
        <v>589</v>
      </c>
      <c r="D175" s="41" t="s">
        <v>851</v>
      </c>
      <c r="E175" s="41"/>
      <c r="F175" s="41" t="b">
        <v>1</v>
      </c>
      <c r="G175" s="41"/>
      <c r="H175" s="41"/>
      <c r="I175" s="41">
        <v>404</v>
      </c>
      <c r="J175" s="41" t="s">
        <v>160</v>
      </c>
      <c r="K175" s="41" t="s">
        <v>2347</v>
      </c>
      <c r="L175" s="41" t="s">
        <v>2349</v>
      </c>
      <c r="M175" s="41" t="s">
        <v>2350</v>
      </c>
      <c r="N175" s="41" t="s">
        <v>2309</v>
      </c>
      <c r="O175" s="41">
        <v>0</v>
      </c>
      <c r="P175" s="41">
        <v>0</v>
      </c>
    </row>
    <row r="176" spans="1:16" x14ac:dyDescent="0.3">
      <c r="A176" s="41" t="s">
        <v>2304</v>
      </c>
      <c r="B176" s="41" t="s">
        <v>551</v>
      </c>
      <c r="C176" s="41" t="s">
        <v>589</v>
      </c>
      <c r="D176" s="41" t="s">
        <v>851</v>
      </c>
      <c r="E176" s="41"/>
      <c r="F176" s="41" t="b">
        <v>1</v>
      </c>
      <c r="G176" s="41"/>
      <c r="H176" s="41"/>
      <c r="I176" s="41">
        <v>404</v>
      </c>
      <c r="J176" s="41" t="s">
        <v>160</v>
      </c>
      <c r="K176" s="41" t="s">
        <v>2347</v>
      </c>
      <c r="L176" s="41" t="s">
        <v>2348</v>
      </c>
      <c r="M176" s="41" t="s">
        <v>2308</v>
      </c>
      <c r="N176" s="41" t="s">
        <v>2309</v>
      </c>
      <c r="O176" s="41">
        <v>0</v>
      </c>
      <c r="P176" s="41">
        <v>0</v>
      </c>
    </row>
    <row r="177" spans="1:16" x14ac:dyDescent="0.3">
      <c r="A177" s="41" t="s">
        <v>2304</v>
      </c>
      <c r="B177" s="41" t="s">
        <v>551</v>
      </c>
      <c r="C177" s="41" t="s">
        <v>589</v>
      </c>
      <c r="D177" s="41" t="s">
        <v>851</v>
      </c>
      <c r="E177" s="41"/>
      <c r="F177" s="41" t="b">
        <v>1</v>
      </c>
      <c r="G177" s="41"/>
      <c r="H177" s="41"/>
      <c r="I177" s="41">
        <v>404</v>
      </c>
      <c r="J177" s="41" t="s">
        <v>160</v>
      </c>
      <c r="K177" s="41" t="s">
        <v>2347</v>
      </c>
      <c r="L177" s="41" t="s">
        <v>2349</v>
      </c>
      <c r="M177" s="41" t="s">
        <v>2350</v>
      </c>
      <c r="N177" s="41" t="s">
        <v>2309</v>
      </c>
      <c r="O177" s="41">
        <v>0</v>
      </c>
      <c r="P177" s="41">
        <v>0</v>
      </c>
    </row>
    <row r="178" spans="1:16" x14ac:dyDescent="0.3">
      <c r="A178" s="41" t="s">
        <v>2304</v>
      </c>
      <c r="B178" s="41" t="s">
        <v>672</v>
      </c>
      <c r="C178" s="41" t="s">
        <v>589</v>
      </c>
      <c r="D178" s="41" t="s">
        <v>851</v>
      </c>
      <c r="E178" s="41"/>
      <c r="F178" s="41" t="b">
        <v>1</v>
      </c>
      <c r="G178" s="41"/>
      <c r="H178" s="41"/>
      <c r="I178" s="41">
        <v>404</v>
      </c>
      <c r="J178" s="41" t="s">
        <v>160</v>
      </c>
      <c r="K178" s="41" t="s">
        <v>2347</v>
      </c>
      <c r="L178" s="41" t="s">
        <v>2348</v>
      </c>
      <c r="M178" s="41" t="s">
        <v>2308</v>
      </c>
      <c r="N178" s="41" t="s">
        <v>2309</v>
      </c>
      <c r="O178" s="41">
        <v>0</v>
      </c>
      <c r="P178" s="41">
        <v>0</v>
      </c>
    </row>
    <row r="179" spans="1:16" x14ac:dyDescent="0.3">
      <c r="A179" s="41" t="s">
        <v>2304</v>
      </c>
      <c r="B179" s="41" t="s">
        <v>672</v>
      </c>
      <c r="C179" s="41" t="s">
        <v>589</v>
      </c>
      <c r="D179" s="41" t="s">
        <v>851</v>
      </c>
      <c r="E179" s="41"/>
      <c r="F179" s="41" t="b">
        <v>1</v>
      </c>
      <c r="G179" s="41"/>
      <c r="H179" s="41"/>
      <c r="I179" s="41">
        <v>404</v>
      </c>
      <c r="J179" s="41" t="s">
        <v>160</v>
      </c>
      <c r="K179" s="41" t="s">
        <v>2347</v>
      </c>
      <c r="L179" s="41" t="s">
        <v>2349</v>
      </c>
      <c r="M179" s="41" t="s">
        <v>2350</v>
      </c>
      <c r="N179" s="41" t="s">
        <v>2309</v>
      </c>
      <c r="O179" s="41">
        <v>0</v>
      </c>
      <c r="P179" s="41">
        <v>0</v>
      </c>
    </row>
    <row r="180" spans="1:16" x14ac:dyDescent="0.3">
      <c r="A180" s="41" t="s">
        <v>2304</v>
      </c>
      <c r="B180" s="41" t="s">
        <v>583</v>
      </c>
      <c r="C180" s="41" t="s">
        <v>589</v>
      </c>
      <c r="D180" s="41" t="s">
        <v>851</v>
      </c>
      <c r="E180" s="41"/>
      <c r="F180" s="41" t="b">
        <v>1</v>
      </c>
      <c r="G180" s="41"/>
      <c r="H180" s="41"/>
      <c r="I180" s="41">
        <v>404</v>
      </c>
      <c r="J180" s="41" t="s">
        <v>160</v>
      </c>
      <c r="K180" s="41" t="s">
        <v>2347</v>
      </c>
      <c r="L180" s="41" t="s">
        <v>2348</v>
      </c>
      <c r="M180" s="41" t="s">
        <v>2308</v>
      </c>
      <c r="N180" s="41" t="s">
        <v>2309</v>
      </c>
      <c r="O180" s="41">
        <v>0</v>
      </c>
      <c r="P180" s="41">
        <v>0</v>
      </c>
    </row>
    <row r="181" spans="1:16" x14ac:dyDescent="0.3">
      <c r="A181" s="41" t="s">
        <v>2304</v>
      </c>
      <c r="B181" s="41" t="s">
        <v>583</v>
      </c>
      <c r="C181" s="41" t="s">
        <v>589</v>
      </c>
      <c r="D181" s="41" t="s">
        <v>851</v>
      </c>
      <c r="E181" s="41"/>
      <c r="F181" s="41" t="b">
        <v>1</v>
      </c>
      <c r="G181" s="41"/>
      <c r="H181" s="41"/>
      <c r="I181" s="41">
        <v>404</v>
      </c>
      <c r="J181" s="41" t="s">
        <v>160</v>
      </c>
      <c r="K181" s="41" t="s">
        <v>2347</v>
      </c>
      <c r="L181" s="41" t="s">
        <v>2349</v>
      </c>
      <c r="M181" s="41" t="s">
        <v>2350</v>
      </c>
      <c r="N181" s="41" t="s">
        <v>2309</v>
      </c>
      <c r="O181" s="41">
        <v>0</v>
      </c>
      <c r="P181" s="41">
        <v>0</v>
      </c>
    </row>
    <row r="182" spans="1:16" x14ac:dyDescent="0.3">
      <c r="A182" s="41" t="s">
        <v>2304</v>
      </c>
      <c r="B182" s="41" t="s">
        <v>468</v>
      </c>
      <c r="C182" s="41" t="s">
        <v>589</v>
      </c>
      <c r="D182" s="41" t="s">
        <v>851</v>
      </c>
      <c r="E182" s="41"/>
      <c r="F182" s="41" t="b">
        <v>1</v>
      </c>
      <c r="G182" s="41"/>
      <c r="H182" s="41"/>
      <c r="I182" s="41">
        <v>404</v>
      </c>
      <c r="J182" s="41" t="s">
        <v>160</v>
      </c>
      <c r="K182" s="41" t="s">
        <v>2347</v>
      </c>
      <c r="L182" s="41" t="s">
        <v>2348</v>
      </c>
      <c r="M182" s="41" t="s">
        <v>2308</v>
      </c>
      <c r="N182" s="41" t="s">
        <v>2309</v>
      </c>
      <c r="O182" s="41">
        <v>0</v>
      </c>
      <c r="P182" s="41">
        <v>0</v>
      </c>
    </row>
    <row r="183" spans="1:16" x14ac:dyDescent="0.3">
      <c r="A183" s="41" t="s">
        <v>2304</v>
      </c>
      <c r="B183" s="41" t="s">
        <v>468</v>
      </c>
      <c r="C183" s="41" t="s">
        <v>589</v>
      </c>
      <c r="D183" s="41" t="s">
        <v>851</v>
      </c>
      <c r="E183" s="41"/>
      <c r="F183" s="41" t="b">
        <v>1</v>
      </c>
      <c r="G183" s="41"/>
      <c r="H183" s="41"/>
      <c r="I183" s="41">
        <v>404</v>
      </c>
      <c r="J183" s="41" t="s">
        <v>160</v>
      </c>
      <c r="K183" s="41" t="s">
        <v>2347</v>
      </c>
      <c r="L183" s="41" t="s">
        <v>2349</v>
      </c>
      <c r="M183" s="41" t="s">
        <v>2350</v>
      </c>
      <c r="N183" s="41" t="s">
        <v>2309</v>
      </c>
      <c r="O183" s="41">
        <v>0</v>
      </c>
      <c r="P183" s="41">
        <v>0</v>
      </c>
    </row>
    <row r="184" spans="1:16" x14ac:dyDescent="0.3">
      <c r="A184" s="41" t="s">
        <v>2304</v>
      </c>
      <c r="B184" s="41" t="s">
        <v>726</v>
      </c>
      <c r="C184" s="41" t="s">
        <v>589</v>
      </c>
      <c r="D184" s="41" t="s">
        <v>851</v>
      </c>
      <c r="E184" s="41"/>
      <c r="F184" s="41" t="b">
        <v>1</v>
      </c>
      <c r="G184" s="41"/>
      <c r="H184" s="41"/>
      <c r="I184" s="41">
        <v>404</v>
      </c>
      <c r="J184" s="41" t="s">
        <v>160</v>
      </c>
      <c r="K184" s="41" t="s">
        <v>2347</v>
      </c>
      <c r="L184" s="41" t="s">
        <v>2348</v>
      </c>
      <c r="M184" s="41" t="s">
        <v>2308</v>
      </c>
      <c r="N184" s="41" t="s">
        <v>2309</v>
      </c>
      <c r="O184" s="41">
        <v>0</v>
      </c>
      <c r="P184" s="41">
        <v>0</v>
      </c>
    </row>
    <row r="185" spans="1:16" x14ac:dyDescent="0.3">
      <c r="A185" s="41" t="s">
        <v>2304</v>
      </c>
      <c r="B185" s="41" t="s">
        <v>726</v>
      </c>
      <c r="C185" s="41" t="s">
        <v>589</v>
      </c>
      <c r="D185" s="41" t="s">
        <v>851</v>
      </c>
      <c r="E185" s="41"/>
      <c r="F185" s="41" t="b">
        <v>1</v>
      </c>
      <c r="G185" s="41"/>
      <c r="H185" s="41"/>
      <c r="I185" s="41">
        <v>404</v>
      </c>
      <c r="J185" s="41" t="s">
        <v>160</v>
      </c>
      <c r="K185" s="41" t="s">
        <v>2347</v>
      </c>
      <c r="L185" s="41" t="s">
        <v>2349</v>
      </c>
      <c r="M185" s="41" t="s">
        <v>2350</v>
      </c>
      <c r="N185" s="41" t="s">
        <v>2309</v>
      </c>
      <c r="O185" s="41">
        <v>0</v>
      </c>
      <c r="P185" s="41">
        <v>0</v>
      </c>
    </row>
    <row r="186" spans="1:16" x14ac:dyDescent="0.3">
      <c r="A186" s="41" t="s">
        <v>2304</v>
      </c>
      <c r="B186" s="41" t="s">
        <v>731</v>
      </c>
      <c r="C186" s="41" t="s">
        <v>589</v>
      </c>
      <c r="D186" s="41" t="s">
        <v>851</v>
      </c>
      <c r="E186" s="41"/>
      <c r="F186" s="41" t="b">
        <v>1</v>
      </c>
      <c r="G186" s="41"/>
      <c r="H186" s="41"/>
      <c r="I186" s="41">
        <v>404</v>
      </c>
      <c r="J186" s="41" t="s">
        <v>160</v>
      </c>
      <c r="K186" s="41" t="s">
        <v>2347</v>
      </c>
      <c r="L186" s="41" t="s">
        <v>2348</v>
      </c>
      <c r="M186" s="41" t="s">
        <v>2308</v>
      </c>
      <c r="N186" s="41" t="s">
        <v>2309</v>
      </c>
      <c r="O186" s="41">
        <v>0</v>
      </c>
      <c r="P186" s="41">
        <v>0</v>
      </c>
    </row>
    <row r="187" spans="1:16" x14ac:dyDescent="0.3">
      <c r="A187" s="41" t="s">
        <v>2304</v>
      </c>
      <c r="B187" s="41" t="s">
        <v>731</v>
      </c>
      <c r="C187" s="41" t="s">
        <v>589</v>
      </c>
      <c r="D187" s="41" t="s">
        <v>851</v>
      </c>
      <c r="E187" s="41"/>
      <c r="F187" s="41" t="b">
        <v>1</v>
      </c>
      <c r="G187" s="41"/>
      <c r="H187" s="41"/>
      <c r="I187" s="41">
        <v>404</v>
      </c>
      <c r="J187" s="41" t="s">
        <v>160</v>
      </c>
      <c r="K187" s="41" t="s">
        <v>2347</v>
      </c>
      <c r="L187" s="41" t="s">
        <v>2349</v>
      </c>
      <c r="M187" s="41" t="s">
        <v>2350</v>
      </c>
      <c r="N187" s="41" t="s">
        <v>2309</v>
      </c>
      <c r="O187" s="41">
        <v>0</v>
      </c>
      <c r="P187" s="41">
        <v>0</v>
      </c>
    </row>
    <row r="188" spans="1:16" x14ac:dyDescent="0.3">
      <c r="A188" s="41" t="s">
        <v>2304</v>
      </c>
      <c r="B188" s="41" t="s">
        <v>728</v>
      </c>
      <c r="C188" s="41" t="s">
        <v>589</v>
      </c>
      <c r="D188" s="41" t="s">
        <v>851</v>
      </c>
      <c r="E188" s="41"/>
      <c r="F188" s="41" t="b">
        <v>1</v>
      </c>
      <c r="G188" s="41"/>
      <c r="H188" s="41"/>
      <c r="I188" s="41">
        <v>404</v>
      </c>
      <c r="J188" s="41" t="s">
        <v>160</v>
      </c>
      <c r="K188" s="41" t="s">
        <v>2347</v>
      </c>
      <c r="L188" s="41" t="s">
        <v>2348</v>
      </c>
      <c r="M188" s="41" t="s">
        <v>2308</v>
      </c>
      <c r="N188" s="41" t="s">
        <v>2309</v>
      </c>
      <c r="O188" s="41">
        <v>0</v>
      </c>
      <c r="P188" s="41">
        <v>0</v>
      </c>
    </row>
    <row r="189" spans="1:16" x14ac:dyDescent="0.3">
      <c r="A189" s="41" t="s">
        <v>2304</v>
      </c>
      <c r="B189" s="41" t="s">
        <v>728</v>
      </c>
      <c r="C189" s="41" t="s">
        <v>589</v>
      </c>
      <c r="D189" s="41" t="s">
        <v>851</v>
      </c>
      <c r="E189" s="41"/>
      <c r="F189" s="41" t="b">
        <v>1</v>
      </c>
      <c r="G189" s="41"/>
      <c r="H189" s="41"/>
      <c r="I189" s="41">
        <v>404</v>
      </c>
      <c r="J189" s="41" t="s">
        <v>160</v>
      </c>
      <c r="K189" s="41" t="s">
        <v>2347</v>
      </c>
      <c r="L189" s="41" t="s">
        <v>2349</v>
      </c>
      <c r="M189" s="41" t="s">
        <v>2350</v>
      </c>
      <c r="N189" s="41" t="s">
        <v>2309</v>
      </c>
      <c r="O189" s="41">
        <v>0</v>
      </c>
      <c r="P189" s="41">
        <v>0</v>
      </c>
    </row>
    <row r="190" spans="1:16" x14ac:dyDescent="0.3">
      <c r="A190" s="41" t="s">
        <v>2304</v>
      </c>
      <c r="B190" s="41" t="s">
        <v>719</v>
      </c>
      <c r="C190" s="41" t="s">
        <v>589</v>
      </c>
      <c r="D190" s="41" t="s">
        <v>851</v>
      </c>
      <c r="E190" s="41"/>
      <c r="F190" s="41" t="b">
        <v>1</v>
      </c>
      <c r="G190" s="41"/>
      <c r="H190" s="41"/>
      <c r="I190" s="41">
        <v>404</v>
      </c>
      <c r="J190" s="41" t="s">
        <v>160</v>
      </c>
      <c r="K190" s="41" t="s">
        <v>2347</v>
      </c>
      <c r="L190" s="41" t="s">
        <v>2348</v>
      </c>
      <c r="M190" s="41" t="s">
        <v>2308</v>
      </c>
      <c r="N190" s="41" t="s">
        <v>2309</v>
      </c>
      <c r="O190" s="41">
        <v>0</v>
      </c>
      <c r="P190" s="41">
        <v>0</v>
      </c>
    </row>
    <row r="191" spans="1:16" x14ac:dyDescent="0.3">
      <c r="A191" s="41" t="s">
        <v>2304</v>
      </c>
      <c r="B191" s="41" t="s">
        <v>719</v>
      </c>
      <c r="C191" s="41" t="s">
        <v>589</v>
      </c>
      <c r="D191" s="41" t="s">
        <v>851</v>
      </c>
      <c r="E191" s="41"/>
      <c r="F191" s="41" t="b">
        <v>1</v>
      </c>
      <c r="G191" s="41"/>
      <c r="H191" s="41"/>
      <c r="I191" s="41">
        <v>404</v>
      </c>
      <c r="J191" s="41" t="s">
        <v>160</v>
      </c>
      <c r="K191" s="41" t="s">
        <v>2347</v>
      </c>
      <c r="L191" s="41" t="s">
        <v>2349</v>
      </c>
      <c r="M191" s="41" t="s">
        <v>2350</v>
      </c>
      <c r="N191" s="41" t="s">
        <v>2309</v>
      </c>
      <c r="O191" s="41">
        <v>0</v>
      </c>
      <c r="P191" s="41">
        <v>0</v>
      </c>
    </row>
    <row r="192" spans="1:16" x14ac:dyDescent="0.3">
      <c r="A192" s="41" t="s">
        <v>2304</v>
      </c>
      <c r="B192" s="41" t="s">
        <v>733</v>
      </c>
      <c r="C192" s="41" t="s">
        <v>589</v>
      </c>
      <c r="D192" s="41" t="s">
        <v>851</v>
      </c>
      <c r="E192" s="41"/>
      <c r="F192" s="41" t="b">
        <v>1</v>
      </c>
      <c r="G192" s="41"/>
      <c r="H192" s="41"/>
      <c r="I192" s="41">
        <v>404</v>
      </c>
      <c r="J192" s="41" t="s">
        <v>160</v>
      </c>
      <c r="K192" s="41" t="s">
        <v>2347</v>
      </c>
      <c r="L192" s="41" t="s">
        <v>2348</v>
      </c>
      <c r="M192" s="41" t="s">
        <v>2308</v>
      </c>
      <c r="N192" s="41" t="s">
        <v>2309</v>
      </c>
      <c r="O192" s="41">
        <v>0</v>
      </c>
      <c r="P192" s="41">
        <v>0</v>
      </c>
    </row>
    <row r="193" spans="1:16" x14ac:dyDescent="0.3">
      <c r="A193" s="41" t="s">
        <v>2304</v>
      </c>
      <c r="B193" s="41" t="s">
        <v>733</v>
      </c>
      <c r="C193" s="41" t="s">
        <v>589</v>
      </c>
      <c r="D193" s="41" t="s">
        <v>851</v>
      </c>
      <c r="E193" s="41"/>
      <c r="F193" s="41" t="b">
        <v>1</v>
      </c>
      <c r="G193" s="41"/>
      <c r="H193" s="41"/>
      <c r="I193" s="41">
        <v>404</v>
      </c>
      <c r="J193" s="41" t="s">
        <v>160</v>
      </c>
      <c r="K193" s="41" t="s">
        <v>2347</v>
      </c>
      <c r="L193" s="41" t="s">
        <v>2349</v>
      </c>
      <c r="M193" s="41" t="s">
        <v>2350</v>
      </c>
      <c r="N193" s="41" t="s">
        <v>2309</v>
      </c>
      <c r="O193" s="41">
        <v>0</v>
      </c>
      <c r="P193" s="41">
        <v>0</v>
      </c>
    </row>
    <row r="194" spans="1:16" x14ac:dyDescent="0.3">
      <c r="A194" s="41" t="s">
        <v>2304</v>
      </c>
      <c r="B194" s="41" t="s">
        <v>836</v>
      </c>
      <c r="C194" s="41" t="s">
        <v>589</v>
      </c>
      <c r="D194" s="41" t="s">
        <v>851</v>
      </c>
      <c r="E194" s="41"/>
      <c r="F194" s="41" t="b">
        <v>1</v>
      </c>
      <c r="G194" s="41"/>
      <c r="H194" s="41"/>
      <c r="I194" s="41">
        <v>404</v>
      </c>
      <c r="J194" s="41" t="s">
        <v>160</v>
      </c>
      <c r="K194" s="41" t="s">
        <v>2347</v>
      </c>
      <c r="L194" s="41" t="s">
        <v>2348</v>
      </c>
      <c r="M194" s="41" t="s">
        <v>2308</v>
      </c>
      <c r="N194" s="41" t="s">
        <v>2309</v>
      </c>
      <c r="O194" s="41">
        <v>0</v>
      </c>
      <c r="P194" s="41">
        <v>0</v>
      </c>
    </row>
    <row r="195" spans="1:16" x14ac:dyDescent="0.3">
      <c r="A195" s="41" t="s">
        <v>2304</v>
      </c>
      <c r="B195" s="41" t="s">
        <v>836</v>
      </c>
      <c r="C195" s="41" t="s">
        <v>589</v>
      </c>
      <c r="D195" s="41" t="s">
        <v>851</v>
      </c>
      <c r="E195" s="41"/>
      <c r="F195" s="41" t="b">
        <v>1</v>
      </c>
      <c r="G195" s="41"/>
      <c r="H195" s="41"/>
      <c r="I195" s="41">
        <v>404</v>
      </c>
      <c r="J195" s="41" t="s">
        <v>160</v>
      </c>
      <c r="K195" s="41" t="s">
        <v>2347</v>
      </c>
      <c r="L195" s="41" t="s">
        <v>2349</v>
      </c>
      <c r="M195" s="41" t="s">
        <v>2350</v>
      </c>
      <c r="N195" s="41" t="s">
        <v>2309</v>
      </c>
      <c r="O195" s="41">
        <v>0</v>
      </c>
      <c r="P195" s="41">
        <v>0</v>
      </c>
    </row>
    <row r="196" spans="1:16" x14ac:dyDescent="0.3">
      <c r="A196" s="41" t="s">
        <v>2304</v>
      </c>
      <c r="B196" s="41" t="s">
        <v>751</v>
      </c>
      <c r="C196" s="41" t="s">
        <v>589</v>
      </c>
      <c r="D196" s="41" t="s">
        <v>851</v>
      </c>
      <c r="E196" s="41"/>
      <c r="F196" s="41" t="b">
        <v>1</v>
      </c>
      <c r="G196" s="41"/>
      <c r="H196" s="41"/>
      <c r="I196" s="41">
        <v>404</v>
      </c>
      <c r="J196" s="41" t="s">
        <v>160</v>
      </c>
      <c r="K196" s="41" t="s">
        <v>2347</v>
      </c>
      <c r="L196" s="41" t="s">
        <v>2348</v>
      </c>
      <c r="M196" s="41" t="s">
        <v>2308</v>
      </c>
      <c r="N196" s="41" t="s">
        <v>2309</v>
      </c>
      <c r="O196" s="41">
        <v>0</v>
      </c>
      <c r="P196" s="41">
        <v>0</v>
      </c>
    </row>
    <row r="197" spans="1:16" x14ac:dyDescent="0.3">
      <c r="A197" s="41" t="s">
        <v>2304</v>
      </c>
      <c r="B197" s="41" t="s">
        <v>751</v>
      </c>
      <c r="C197" s="41" t="s">
        <v>589</v>
      </c>
      <c r="D197" s="41" t="s">
        <v>851</v>
      </c>
      <c r="E197" s="41"/>
      <c r="F197" s="41" t="b">
        <v>1</v>
      </c>
      <c r="G197" s="41"/>
      <c r="H197" s="41"/>
      <c r="I197" s="41">
        <v>404</v>
      </c>
      <c r="J197" s="41" t="s">
        <v>160</v>
      </c>
      <c r="K197" s="41" t="s">
        <v>2347</v>
      </c>
      <c r="L197" s="41" t="s">
        <v>2349</v>
      </c>
      <c r="M197" s="41" t="s">
        <v>2350</v>
      </c>
      <c r="N197" s="41" t="s">
        <v>2309</v>
      </c>
      <c r="O197" s="41">
        <v>0</v>
      </c>
      <c r="P197" s="41">
        <v>0</v>
      </c>
    </row>
    <row r="198" spans="1:16" x14ac:dyDescent="0.3">
      <c r="A198" s="41" t="s">
        <v>2304</v>
      </c>
      <c r="B198" s="41" t="s">
        <v>790</v>
      </c>
      <c r="C198" s="41" t="s">
        <v>589</v>
      </c>
      <c r="D198" s="41" t="s">
        <v>851</v>
      </c>
      <c r="E198" s="41"/>
      <c r="F198" s="41" t="b">
        <v>1</v>
      </c>
      <c r="G198" s="41"/>
      <c r="H198" s="41"/>
      <c r="I198" s="41">
        <v>404</v>
      </c>
      <c r="J198" s="41" t="s">
        <v>160</v>
      </c>
      <c r="K198" s="41" t="s">
        <v>2347</v>
      </c>
      <c r="L198" s="41" t="s">
        <v>2348</v>
      </c>
      <c r="M198" s="41" t="s">
        <v>2308</v>
      </c>
      <c r="N198" s="41" t="s">
        <v>2309</v>
      </c>
      <c r="O198" s="41">
        <v>0</v>
      </c>
      <c r="P198" s="41">
        <v>0</v>
      </c>
    </row>
    <row r="199" spans="1:16" x14ac:dyDescent="0.3">
      <c r="A199" s="41" t="s">
        <v>2304</v>
      </c>
      <c r="B199" s="41" t="s">
        <v>790</v>
      </c>
      <c r="C199" s="41" t="s">
        <v>589</v>
      </c>
      <c r="D199" s="41" t="s">
        <v>851</v>
      </c>
      <c r="E199" s="41"/>
      <c r="F199" s="41" t="b">
        <v>1</v>
      </c>
      <c r="G199" s="41"/>
      <c r="H199" s="41"/>
      <c r="I199" s="41">
        <v>404</v>
      </c>
      <c r="J199" s="41" t="s">
        <v>160</v>
      </c>
      <c r="K199" s="41" t="s">
        <v>2347</v>
      </c>
      <c r="L199" s="41" t="s">
        <v>2349</v>
      </c>
      <c r="M199" s="41" t="s">
        <v>2350</v>
      </c>
      <c r="N199" s="41" t="s">
        <v>2309</v>
      </c>
      <c r="O199" s="41">
        <v>0</v>
      </c>
      <c r="P199" s="41">
        <v>0</v>
      </c>
    </row>
    <row r="200" spans="1:16" x14ac:dyDescent="0.3">
      <c r="A200" s="41" t="s">
        <v>2304</v>
      </c>
      <c r="B200" s="41" t="s">
        <v>793</v>
      </c>
      <c r="C200" s="41" t="s">
        <v>589</v>
      </c>
      <c r="D200" s="41" t="s">
        <v>851</v>
      </c>
      <c r="E200" s="41"/>
      <c r="F200" s="41" t="b">
        <v>1</v>
      </c>
      <c r="G200" s="41"/>
      <c r="H200" s="41"/>
      <c r="I200" s="41">
        <v>404</v>
      </c>
      <c r="J200" s="41" t="s">
        <v>160</v>
      </c>
      <c r="K200" s="41" t="s">
        <v>2347</v>
      </c>
      <c r="L200" s="41" t="s">
        <v>2348</v>
      </c>
      <c r="M200" s="41" t="s">
        <v>2308</v>
      </c>
      <c r="N200" s="41" t="s">
        <v>2309</v>
      </c>
      <c r="O200" s="41">
        <v>0</v>
      </c>
      <c r="P200" s="41">
        <v>0</v>
      </c>
    </row>
    <row r="201" spans="1:16" x14ac:dyDescent="0.3">
      <c r="A201" s="41" t="s">
        <v>2304</v>
      </c>
      <c r="B201" s="41" t="s">
        <v>793</v>
      </c>
      <c r="C201" s="41" t="s">
        <v>589</v>
      </c>
      <c r="D201" s="41" t="s">
        <v>851</v>
      </c>
      <c r="E201" s="41"/>
      <c r="F201" s="41" t="b">
        <v>1</v>
      </c>
      <c r="G201" s="41"/>
      <c r="H201" s="41"/>
      <c r="I201" s="41">
        <v>404</v>
      </c>
      <c r="J201" s="41" t="s">
        <v>160</v>
      </c>
      <c r="K201" s="41" t="s">
        <v>2347</v>
      </c>
      <c r="L201" s="41" t="s">
        <v>2349</v>
      </c>
      <c r="M201" s="41" t="s">
        <v>2350</v>
      </c>
      <c r="N201" s="41" t="s">
        <v>2309</v>
      </c>
      <c r="O201" s="41">
        <v>0</v>
      </c>
      <c r="P201" s="41">
        <v>0</v>
      </c>
    </row>
    <row r="202" spans="1:16" x14ac:dyDescent="0.3">
      <c r="A202" s="41" t="s">
        <v>2304</v>
      </c>
      <c r="B202" s="41" t="s">
        <v>778</v>
      </c>
      <c r="C202" s="41" t="s">
        <v>589</v>
      </c>
      <c r="D202" s="41" t="s">
        <v>851</v>
      </c>
      <c r="E202" s="41"/>
      <c r="F202" s="41" t="b">
        <v>1</v>
      </c>
      <c r="G202" s="41"/>
      <c r="H202" s="41"/>
      <c r="I202" s="41">
        <v>404</v>
      </c>
      <c r="J202" s="41" t="s">
        <v>160</v>
      </c>
      <c r="K202" s="41" t="s">
        <v>2347</v>
      </c>
      <c r="L202" s="41" t="s">
        <v>2348</v>
      </c>
      <c r="M202" s="41" t="s">
        <v>2308</v>
      </c>
      <c r="N202" s="41" t="s">
        <v>2309</v>
      </c>
      <c r="O202" s="41">
        <v>0</v>
      </c>
      <c r="P202" s="41">
        <v>0</v>
      </c>
    </row>
    <row r="203" spans="1:16" x14ac:dyDescent="0.3">
      <c r="A203" s="41" t="s">
        <v>2304</v>
      </c>
      <c r="B203" s="41" t="s">
        <v>778</v>
      </c>
      <c r="C203" s="41" t="s">
        <v>589</v>
      </c>
      <c r="D203" s="41" t="s">
        <v>851</v>
      </c>
      <c r="E203" s="41"/>
      <c r="F203" s="41" t="b">
        <v>1</v>
      </c>
      <c r="G203" s="41"/>
      <c r="H203" s="41"/>
      <c r="I203" s="41">
        <v>404</v>
      </c>
      <c r="J203" s="41" t="s">
        <v>160</v>
      </c>
      <c r="K203" s="41" t="s">
        <v>2347</v>
      </c>
      <c r="L203" s="41" t="s">
        <v>2349</v>
      </c>
      <c r="M203" s="41" t="s">
        <v>2350</v>
      </c>
      <c r="N203" s="41" t="s">
        <v>2309</v>
      </c>
      <c r="O203" s="41">
        <v>0</v>
      </c>
      <c r="P203" s="41">
        <v>0</v>
      </c>
    </row>
    <row r="204" spans="1:16" x14ac:dyDescent="0.3">
      <c r="A204" s="41" t="s">
        <v>2304</v>
      </c>
      <c r="B204" s="41" t="s">
        <v>788</v>
      </c>
      <c r="C204" s="41" t="s">
        <v>589</v>
      </c>
      <c r="D204" s="41" t="s">
        <v>851</v>
      </c>
      <c r="E204" s="41"/>
      <c r="F204" s="41" t="b">
        <v>1</v>
      </c>
      <c r="G204" s="41"/>
      <c r="H204" s="41"/>
      <c r="I204" s="41">
        <v>404</v>
      </c>
      <c r="J204" s="41" t="s">
        <v>160</v>
      </c>
      <c r="K204" s="41" t="s">
        <v>2347</v>
      </c>
      <c r="L204" s="41" t="s">
        <v>2348</v>
      </c>
      <c r="M204" s="41" t="s">
        <v>2308</v>
      </c>
      <c r="N204" s="41" t="s">
        <v>2309</v>
      </c>
      <c r="O204" s="41">
        <v>0</v>
      </c>
      <c r="P204" s="41">
        <v>0</v>
      </c>
    </row>
    <row r="205" spans="1:16" x14ac:dyDescent="0.3">
      <c r="A205" s="41" t="s">
        <v>2304</v>
      </c>
      <c r="B205" s="41" t="s">
        <v>788</v>
      </c>
      <c r="C205" s="41" t="s">
        <v>589</v>
      </c>
      <c r="D205" s="41" t="s">
        <v>851</v>
      </c>
      <c r="E205" s="41"/>
      <c r="F205" s="41" t="b">
        <v>1</v>
      </c>
      <c r="G205" s="41"/>
      <c r="H205" s="41"/>
      <c r="I205" s="41">
        <v>404</v>
      </c>
      <c r="J205" s="41" t="s">
        <v>160</v>
      </c>
      <c r="K205" s="41" t="s">
        <v>2347</v>
      </c>
      <c r="L205" s="41" t="s">
        <v>2349</v>
      </c>
      <c r="M205" s="41" t="s">
        <v>2350</v>
      </c>
      <c r="N205" s="41" t="s">
        <v>2309</v>
      </c>
      <c r="O205" s="41">
        <v>0</v>
      </c>
      <c r="P205" s="41">
        <v>0</v>
      </c>
    </row>
    <row r="206" spans="1:16" x14ac:dyDescent="0.3">
      <c r="A206" s="41" t="s">
        <v>2304</v>
      </c>
      <c r="B206" s="41" t="s">
        <v>785</v>
      </c>
      <c r="C206" s="41" t="s">
        <v>589</v>
      </c>
      <c r="D206" s="41" t="s">
        <v>851</v>
      </c>
      <c r="E206" s="41"/>
      <c r="F206" s="41" t="b">
        <v>1</v>
      </c>
      <c r="G206" s="41"/>
      <c r="H206" s="41"/>
      <c r="I206" s="41">
        <v>404</v>
      </c>
      <c r="J206" s="41" t="s">
        <v>160</v>
      </c>
      <c r="K206" s="41" t="s">
        <v>2347</v>
      </c>
      <c r="L206" s="41" t="s">
        <v>2348</v>
      </c>
      <c r="M206" s="41" t="s">
        <v>2308</v>
      </c>
      <c r="N206" s="41" t="s">
        <v>2309</v>
      </c>
      <c r="O206" s="41">
        <v>0</v>
      </c>
      <c r="P206" s="41">
        <v>0</v>
      </c>
    </row>
    <row r="207" spans="1:16" x14ac:dyDescent="0.3">
      <c r="A207" s="41" t="s">
        <v>2304</v>
      </c>
      <c r="B207" s="41" t="s">
        <v>785</v>
      </c>
      <c r="C207" s="41" t="s">
        <v>589</v>
      </c>
      <c r="D207" s="41" t="s">
        <v>851</v>
      </c>
      <c r="E207" s="41"/>
      <c r="F207" s="41" t="b">
        <v>1</v>
      </c>
      <c r="G207" s="41"/>
      <c r="H207" s="41"/>
      <c r="I207" s="41">
        <v>404</v>
      </c>
      <c r="J207" s="41" t="s">
        <v>160</v>
      </c>
      <c r="K207" s="41" t="s">
        <v>2347</v>
      </c>
      <c r="L207" s="41" t="s">
        <v>2349</v>
      </c>
      <c r="M207" s="41" t="s">
        <v>2350</v>
      </c>
      <c r="N207" s="41" t="s">
        <v>2309</v>
      </c>
      <c r="O207" s="41">
        <v>0</v>
      </c>
      <c r="P207" s="41">
        <v>0</v>
      </c>
    </row>
    <row r="208" spans="1:16" x14ac:dyDescent="0.3">
      <c r="A208" s="41" t="s">
        <v>2304</v>
      </c>
      <c r="B208" s="41" t="s">
        <v>491</v>
      </c>
      <c r="C208" s="41" t="s">
        <v>589</v>
      </c>
      <c r="D208" s="41" t="s">
        <v>851</v>
      </c>
      <c r="E208" s="41"/>
      <c r="F208" s="41" t="b">
        <v>1</v>
      </c>
      <c r="G208" s="41"/>
      <c r="H208" s="41"/>
      <c r="I208" s="41">
        <v>404</v>
      </c>
      <c r="J208" s="41" t="s">
        <v>160</v>
      </c>
      <c r="K208" s="41" t="s">
        <v>2347</v>
      </c>
      <c r="L208" s="41" t="s">
        <v>2348</v>
      </c>
      <c r="M208" s="41" t="s">
        <v>2308</v>
      </c>
      <c r="N208" s="41" t="s">
        <v>2309</v>
      </c>
      <c r="O208" s="41">
        <v>0</v>
      </c>
      <c r="P208" s="41">
        <v>0</v>
      </c>
    </row>
    <row r="209" spans="1:16" x14ac:dyDescent="0.3">
      <c r="A209" s="41" t="s">
        <v>2304</v>
      </c>
      <c r="B209" s="41" t="s">
        <v>491</v>
      </c>
      <c r="C209" s="41" t="s">
        <v>589</v>
      </c>
      <c r="D209" s="41" t="s">
        <v>851</v>
      </c>
      <c r="E209" s="41"/>
      <c r="F209" s="41" t="b">
        <v>1</v>
      </c>
      <c r="G209" s="41"/>
      <c r="H209" s="41"/>
      <c r="I209" s="41">
        <v>404</v>
      </c>
      <c r="J209" s="41" t="s">
        <v>160</v>
      </c>
      <c r="K209" s="41" t="s">
        <v>2347</v>
      </c>
      <c r="L209" s="41" t="s">
        <v>2349</v>
      </c>
      <c r="M209" s="41" t="s">
        <v>2350</v>
      </c>
      <c r="N209" s="41" t="s">
        <v>2309</v>
      </c>
      <c r="O209" s="41">
        <v>0</v>
      </c>
      <c r="P209" s="41">
        <v>0</v>
      </c>
    </row>
    <row r="210" spans="1:16" x14ac:dyDescent="0.3">
      <c r="A210" s="41" t="s">
        <v>2304</v>
      </c>
      <c r="B210" s="41" t="s">
        <v>494</v>
      </c>
      <c r="C210" s="41" t="s">
        <v>589</v>
      </c>
      <c r="D210" s="41" t="s">
        <v>851</v>
      </c>
      <c r="E210" s="41"/>
      <c r="F210" s="41" t="b">
        <v>1</v>
      </c>
      <c r="G210" s="41"/>
      <c r="H210" s="41"/>
      <c r="I210" s="41">
        <v>404</v>
      </c>
      <c r="J210" s="41" t="s">
        <v>160</v>
      </c>
      <c r="K210" s="41" t="s">
        <v>2347</v>
      </c>
      <c r="L210" s="41" t="s">
        <v>2348</v>
      </c>
      <c r="M210" s="41" t="s">
        <v>2308</v>
      </c>
      <c r="N210" s="41" t="s">
        <v>2309</v>
      </c>
      <c r="O210" s="41">
        <v>0</v>
      </c>
      <c r="P210" s="41">
        <v>0</v>
      </c>
    </row>
    <row r="211" spans="1:16" x14ac:dyDescent="0.3">
      <c r="A211" s="41" t="s">
        <v>2304</v>
      </c>
      <c r="B211" s="41" t="s">
        <v>494</v>
      </c>
      <c r="C211" s="41" t="s">
        <v>589</v>
      </c>
      <c r="D211" s="41" t="s">
        <v>851</v>
      </c>
      <c r="E211" s="41"/>
      <c r="F211" s="41" t="b">
        <v>1</v>
      </c>
      <c r="G211" s="41"/>
      <c r="H211" s="41"/>
      <c r="I211" s="41">
        <v>404</v>
      </c>
      <c r="J211" s="41" t="s">
        <v>160</v>
      </c>
      <c r="K211" s="41" t="s">
        <v>2347</v>
      </c>
      <c r="L211" s="41" t="s">
        <v>2349</v>
      </c>
      <c r="M211" s="41" t="s">
        <v>2350</v>
      </c>
      <c r="N211" s="41" t="s">
        <v>2309</v>
      </c>
      <c r="O211" s="41">
        <v>0</v>
      </c>
      <c r="P211" s="41">
        <v>0</v>
      </c>
    </row>
    <row r="212" spans="1:16" x14ac:dyDescent="0.3">
      <c r="A212" s="41" t="s">
        <v>2304</v>
      </c>
      <c r="B212" s="41" t="s">
        <v>505</v>
      </c>
      <c r="C212" s="41" t="s">
        <v>589</v>
      </c>
      <c r="D212" s="41" t="s">
        <v>851</v>
      </c>
      <c r="E212" s="41"/>
      <c r="F212" s="41" t="b">
        <v>1</v>
      </c>
      <c r="G212" s="41"/>
      <c r="H212" s="41"/>
      <c r="I212" s="41">
        <v>404</v>
      </c>
      <c r="J212" s="41" t="s">
        <v>160</v>
      </c>
      <c r="K212" s="41" t="s">
        <v>2347</v>
      </c>
      <c r="L212" s="41" t="s">
        <v>2348</v>
      </c>
      <c r="M212" s="41" t="s">
        <v>2308</v>
      </c>
      <c r="N212" s="41" t="s">
        <v>2309</v>
      </c>
      <c r="O212" s="41">
        <v>0</v>
      </c>
      <c r="P212" s="41">
        <v>0</v>
      </c>
    </row>
    <row r="213" spans="1:16" x14ac:dyDescent="0.3">
      <c r="A213" s="41" t="s">
        <v>2304</v>
      </c>
      <c r="B213" s="41" t="s">
        <v>505</v>
      </c>
      <c r="C213" s="41" t="s">
        <v>589</v>
      </c>
      <c r="D213" s="41" t="s">
        <v>851</v>
      </c>
      <c r="E213" s="41"/>
      <c r="F213" s="41" t="b">
        <v>1</v>
      </c>
      <c r="G213" s="41"/>
      <c r="H213" s="41"/>
      <c r="I213" s="41">
        <v>404</v>
      </c>
      <c r="J213" s="41" t="s">
        <v>160</v>
      </c>
      <c r="K213" s="41" t="s">
        <v>2347</v>
      </c>
      <c r="L213" s="41" t="s">
        <v>2349</v>
      </c>
      <c r="M213" s="41" t="s">
        <v>2350</v>
      </c>
      <c r="N213" s="41" t="s">
        <v>2309</v>
      </c>
      <c r="O213" s="41">
        <v>0</v>
      </c>
      <c r="P213" s="41">
        <v>0</v>
      </c>
    </row>
    <row r="214" spans="1:16" x14ac:dyDescent="0.3">
      <c r="A214" s="41" t="s">
        <v>2304</v>
      </c>
      <c r="B214" s="41" t="s">
        <v>507</v>
      </c>
      <c r="C214" s="41" t="s">
        <v>589</v>
      </c>
      <c r="D214" s="41" t="s">
        <v>851</v>
      </c>
      <c r="E214" s="41"/>
      <c r="F214" s="41" t="b">
        <v>1</v>
      </c>
      <c r="G214" s="41"/>
      <c r="H214" s="41"/>
      <c r="I214" s="41">
        <v>404</v>
      </c>
      <c r="J214" s="41" t="s">
        <v>160</v>
      </c>
      <c r="K214" s="41" t="s">
        <v>2347</v>
      </c>
      <c r="L214" s="41" t="s">
        <v>2348</v>
      </c>
      <c r="M214" s="41" t="s">
        <v>2308</v>
      </c>
      <c r="N214" s="41" t="s">
        <v>2309</v>
      </c>
      <c r="O214" s="41">
        <v>0</v>
      </c>
      <c r="P214" s="41">
        <v>0</v>
      </c>
    </row>
    <row r="215" spans="1:16" x14ac:dyDescent="0.3">
      <c r="A215" s="41" t="s">
        <v>2304</v>
      </c>
      <c r="B215" s="41" t="s">
        <v>507</v>
      </c>
      <c r="C215" s="41" t="s">
        <v>589</v>
      </c>
      <c r="D215" s="41" t="s">
        <v>851</v>
      </c>
      <c r="E215" s="41"/>
      <c r="F215" s="41" t="b">
        <v>1</v>
      </c>
      <c r="G215" s="41"/>
      <c r="H215" s="41"/>
      <c r="I215" s="41">
        <v>404</v>
      </c>
      <c r="J215" s="41" t="s">
        <v>160</v>
      </c>
      <c r="K215" s="41" t="s">
        <v>2347</v>
      </c>
      <c r="L215" s="41" t="s">
        <v>2349</v>
      </c>
      <c r="M215" s="41" t="s">
        <v>2350</v>
      </c>
      <c r="N215" s="41" t="s">
        <v>2309</v>
      </c>
      <c r="O215" s="41">
        <v>0</v>
      </c>
      <c r="P215" s="41">
        <v>0</v>
      </c>
    </row>
    <row r="216" spans="1:16" x14ac:dyDescent="0.3">
      <c r="A216" s="41" t="s">
        <v>2304</v>
      </c>
      <c r="B216" s="41" t="s">
        <v>479</v>
      </c>
      <c r="C216" s="41" t="s">
        <v>589</v>
      </c>
      <c r="D216" s="41" t="s">
        <v>851</v>
      </c>
      <c r="E216" s="41"/>
      <c r="F216" s="41" t="b">
        <v>1</v>
      </c>
      <c r="G216" s="41"/>
      <c r="H216" s="41"/>
      <c r="I216" s="41">
        <v>404</v>
      </c>
      <c r="J216" s="41" t="s">
        <v>160</v>
      </c>
      <c r="K216" s="41" t="s">
        <v>2347</v>
      </c>
      <c r="L216" s="41" t="s">
        <v>2348</v>
      </c>
      <c r="M216" s="41" t="s">
        <v>2308</v>
      </c>
      <c r="N216" s="41" t="s">
        <v>2309</v>
      </c>
      <c r="O216" s="41">
        <v>0</v>
      </c>
      <c r="P216" s="41">
        <v>0</v>
      </c>
    </row>
    <row r="217" spans="1:16" x14ac:dyDescent="0.3">
      <c r="A217" s="41" t="s">
        <v>2304</v>
      </c>
      <c r="B217" s="41" t="s">
        <v>479</v>
      </c>
      <c r="C217" s="41" t="s">
        <v>589</v>
      </c>
      <c r="D217" s="41" t="s">
        <v>851</v>
      </c>
      <c r="E217" s="41"/>
      <c r="F217" s="41" t="b">
        <v>1</v>
      </c>
      <c r="G217" s="41"/>
      <c r="H217" s="41"/>
      <c r="I217" s="41">
        <v>404</v>
      </c>
      <c r="J217" s="41" t="s">
        <v>160</v>
      </c>
      <c r="K217" s="41" t="s">
        <v>2347</v>
      </c>
      <c r="L217" s="41" t="s">
        <v>2349</v>
      </c>
      <c r="M217" s="41" t="s">
        <v>2350</v>
      </c>
      <c r="N217" s="41" t="s">
        <v>2309</v>
      </c>
      <c r="O217" s="41">
        <v>0</v>
      </c>
      <c r="P217" s="41">
        <v>0</v>
      </c>
    </row>
    <row r="218" spans="1:16" x14ac:dyDescent="0.3">
      <c r="A218" s="41" t="s">
        <v>2304</v>
      </c>
      <c r="B218" s="41" t="s">
        <v>711</v>
      </c>
      <c r="C218" s="41" t="s">
        <v>589</v>
      </c>
      <c r="D218" s="41" t="s">
        <v>851</v>
      </c>
      <c r="E218" s="41"/>
      <c r="F218" s="41" t="b">
        <v>1</v>
      </c>
      <c r="G218" s="41"/>
      <c r="H218" s="41"/>
      <c r="I218" s="41">
        <v>404</v>
      </c>
      <c r="J218" s="41" t="s">
        <v>160</v>
      </c>
      <c r="K218" s="41" t="s">
        <v>2347</v>
      </c>
      <c r="L218" s="41" t="s">
        <v>2348</v>
      </c>
      <c r="M218" s="41" t="s">
        <v>2308</v>
      </c>
      <c r="N218" s="41" t="s">
        <v>2309</v>
      </c>
      <c r="O218" s="41">
        <v>0</v>
      </c>
      <c r="P218" s="41">
        <v>0</v>
      </c>
    </row>
    <row r="219" spans="1:16" x14ac:dyDescent="0.3">
      <c r="A219" s="41" t="s">
        <v>2304</v>
      </c>
      <c r="B219" s="41" t="s">
        <v>711</v>
      </c>
      <c r="C219" s="41" t="s">
        <v>589</v>
      </c>
      <c r="D219" s="41" t="s">
        <v>851</v>
      </c>
      <c r="E219" s="41"/>
      <c r="F219" s="41" t="b">
        <v>1</v>
      </c>
      <c r="G219" s="41"/>
      <c r="H219" s="41"/>
      <c r="I219" s="41">
        <v>404</v>
      </c>
      <c r="J219" s="41" t="s">
        <v>160</v>
      </c>
      <c r="K219" s="41" t="s">
        <v>2347</v>
      </c>
      <c r="L219" s="41" t="s">
        <v>2349</v>
      </c>
      <c r="M219" s="41" t="s">
        <v>2350</v>
      </c>
      <c r="N219" s="41" t="s">
        <v>2309</v>
      </c>
      <c r="O219" s="41">
        <v>0</v>
      </c>
      <c r="P219" s="41">
        <v>0</v>
      </c>
    </row>
    <row r="220" spans="1:16" x14ac:dyDescent="0.3">
      <c r="A220" s="41" t="s">
        <v>2304</v>
      </c>
      <c r="B220" s="41" t="s">
        <v>513</v>
      </c>
      <c r="C220" s="41" t="s">
        <v>589</v>
      </c>
      <c r="D220" s="41" t="s">
        <v>851</v>
      </c>
      <c r="E220" s="41"/>
      <c r="F220" s="41" t="b">
        <v>1</v>
      </c>
      <c r="G220" s="41"/>
      <c r="H220" s="41"/>
      <c r="I220" s="41">
        <v>404</v>
      </c>
      <c r="J220" s="41" t="s">
        <v>160</v>
      </c>
      <c r="K220" s="41" t="s">
        <v>2347</v>
      </c>
      <c r="L220" s="41" t="s">
        <v>2348</v>
      </c>
      <c r="M220" s="41" t="s">
        <v>2308</v>
      </c>
      <c r="N220" s="41" t="s">
        <v>2309</v>
      </c>
      <c r="O220" s="41">
        <v>0</v>
      </c>
      <c r="P220" s="41">
        <v>0</v>
      </c>
    </row>
    <row r="221" spans="1:16" x14ac:dyDescent="0.3">
      <c r="A221" s="41" t="s">
        <v>2304</v>
      </c>
      <c r="B221" s="41" t="s">
        <v>513</v>
      </c>
      <c r="C221" s="41" t="s">
        <v>589</v>
      </c>
      <c r="D221" s="41" t="s">
        <v>851</v>
      </c>
      <c r="E221" s="41"/>
      <c r="F221" s="41" t="b">
        <v>1</v>
      </c>
      <c r="G221" s="41"/>
      <c r="H221" s="41"/>
      <c r="I221" s="41">
        <v>404</v>
      </c>
      <c r="J221" s="41" t="s">
        <v>160</v>
      </c>
      <c r="K221" s="41" t="s">
        <v>2347</v>
      </c>
      <c r="L221" s="41" t="s">
        <v>2349</v>
      </c>
      <c r="M221" s="41" t="s">
        <v>2350</v>
      </c>
      <c r="N221" s="41" t="s">
        <v>2309</v>
      </c>
      <c r="O221" s="41">
        <v>0</v>
      </c>
      <c r="P221" s="41">
        <v>0</v>
      </c>
    </row>
    <row r="222" spans="1:16" x14ac:dyDescent="0.3">
      <c r="A222" s="41" t="s">
        <v>2304</v>
      </c>
      <c r="B222" s="41" t="s">
        <v>510</v>
      </c>
      <c r="C222" s="41" t="s">
        <v>589</v>
      </c>
      <c r="D222" s="41" t="s">
        <v>851</v>
      </c>
      <c r="E222" s="41"/>
      <c r="F222" s="41" t="b">
        <v>1</v>
      </c>
      <c r="G222" s="41"/>
      <c r="H222" s="41"/>
      <c r="I222" s="41">
        <v>404</v>
      </c>
      <c r="J222" s="41" t="s">
        <v>160</v>
      </c>
      <c r="K222" s="41" t="s">
        <v>2347</v>
      </c>
      <c r="L222" s="41" t="s">
        <v>2348</v>
      </c>
      <c r="M222" s="41" t="s">
        <v>2308</v>
      </c>
      <c r="N222" s="41" t="s">
        <v>2309</v>
      </c>
      <c r="O222" s="41">
        <v>0</v>
      </c>
      <c r="P222" s="41">
        <v>0</v>
      </c>
    </row>
    <row r="223" spans="1:16" x14ac:dyDescent="0.3">
      <c r="A223" s="41" t="s">
        <v>2304</v>
      </c>
      <c r="B223" s="41" t="s">
        <v>510</v>
      </c>
      <c r="C223" s="41" t="s">
        <v>589</v>
      </c>
      <c r="D223" s="41" t="s">
        <v>851</v>
      </c>
      <c r="E223" s="41"/>
      <c r="F223" s="41" t="b">
        <v>1</v>
      </c>
      <c r="G223" s="41"/>
      <c r="H223" s="41"/>
      <c r="I223" s="41">
        <v>404</v>
      </c>
      <c r="J223" s="41" t="s">
        <v>160</v>
      </c>
      <c r="K223" s="41" t="s">
        <v>2347</v>
      </c>
      <c r="L223" s="41" t="s">
        <v>2349</v>
      </c>
      <c r="M223" s="41" t="s">
        <v>2350</v>
      </c>
      <c r="N223" s="41" t="s">
        <v>2309</v>
      </c>
      <c r="O223" s="41">
        <v>0</v>
      </c>
      <c r="P223" s="41">
        <v>0</v>
      </c>
    </row>
    <row r="224" spans="1:16" x14ac:dyDescent="0.3">
      <c r="A224" s="41" t="s">
        <v>2304</v>
      </c>
      <c r="B224" s="41" t="s">
        <v>486</v>
      </c>
      <c r="C224" s="41" t="s">
        <v>589</v>
      </c>
      <c r="D224" s="41" t="s">
        <v>851</v>
      </c>
      <c r="E224" s="41"/>
      <c r="F224" s="41" t="b">
        <v>1</v>
      </c>
      <c r="G224" s="41"/>
      <c r="H224" s="41"/>
      <c r="I224" s="41">
        <v>404</v>
      </c>
      <c r="J224" s="41" t="s">
        <v>160</v>
      </c>
      <c r="K224" s="41" t="s">
        <v>2347</v>
      </c>
      <c r="L224" s="41" t="s">
        <v>2348</v>
      </c>
      <c r="M224" s="41" t="s">
        <v>2308</v>
      </c>
      <c r="N224" s="41" t="s">
        <v>2309</v>
      </c>
      <c r="O224" s="41">
        <v>0</v>
      </c>
      <c r="P224" s="41">
        <v>0</v>
      </c>
    </row>
    <row r="225" spans="1:16" x14ac:dyDescent="0.3">
      <c r="A225" s="41" t="s">
        <v>2304</v>
      </c>
      <c r="B225" s="41" t="s">
        <v>486</v>
      </c>
      <c r="C225" s="41" t="s">
        <v>589</v>
      </c>
      <c r="D225" s="41" t="s">
        <v>851</v>
      </c>
      <c r="E225" s="41"/>
      <c r="F225" s="41" t="b">
        <v>1</v>
      </c>
      <c r="G225" s="41"/>
      <c r="H225" s="41"/>
      <c r="I225" s="41">
        <v>404</v>
      </c>
      <c r="J225" s="41" t="s">
        <v>160</v>
      </c>
      <c r="K225" s="41" t="s">
        <v>2347</v>
      </c>
      <c r="L225" s="41" t="s">
        <v>2349</v>
      </c>
      <c r="M225" s="41" t="s">
        <v>2350</v>
      </c>
      <c r="N225" s="41" t="s">
        <v>2309</v>
      </c>
      <c r="O225" s="41">
        <v>0</v>
      </c>
      <c r="P225" s="41">
        <v>0</v>
      </c>
    </row>
    <row r="226" spans="1:16" x14ac:dyDescent="0.3">
      <c r="A226" s="41" t="s">
        <v>2304</v>
      </c>
      <c r="B226" s="41" t="s">
        <v>489</v>
      </c>
      <c r="C226" s="41" t="s">
        <v>589</v>
      </c>
      <c r="D226" s="41" t="s">
        <v>851</v>
      </c>
      <c r="E226" s="41"/>
      <c r="F226" s="41" t="b">
        <v>1</v>
      </c>
      <c r="G226" s="41"/>
      <c r="H226" s="41"/>
      <c r="I226" s="41">
        <v>404</v>
      </c>
      <c r="J226" s="41" t="s">
        <v>160</v>
      </c>
      <c r="K226" s="41" t="s">
        <v>2347</v>
      </c>
      <c r="L226" s="41" t="s">
        <v>2348</v>
      </c>
      <c r="M226" s="41" t="s">
        <v>2308</v>
      </c>
      <c r="N226" s="41" t="s">
        <v>2309</v>
      </c>
      <c r="O226" s="41">
        <v>0</v>
      </c>
      <c r="P226" s="41">
        <v>0</v>
      </c>
    </row>
    <row r="227" spans="1:16" x14ac:dyDescent="0.3">
      <c r="A227" s="41" t="s">
        <v>2304</v>
      </c>
      <c r="B227" s="41" t="s">
        <v>489</v>
      </c>
      <c r="C227" s="41" t="s">
        <v>589</v>
      </c>
      <c r="D227" s="41" t="s">
        <v>851</v>
      </c>
      <c r="E227" s="41"/>
      <c r="F227" s="41" t="b">
        <v>1</v>
      </c>
      <c r="G227" s="41"/>
      <c r="H227" s="41"/>
      <c r="I227" s="41">
        <v>404</v>
      </c>
      <c r="J227" s="41" t="s">
        <v>160</v>
      </c>
      <c r="K227" s="41" t="s">
        <v>2347</v>
      </c>
      <c r="L227" s="41" t="s">
        <v>2349</v>
      </c>
      <c r="M227" s="41" t="s">
        <v>2350</v>
      </c>
      <c r="N227" s="41" t="s">
        <v>2309</v>
      </c>
      <c r="O227" s="41">
        <v>0</v>
      </c>
      <c r="P227" s="41">
        <v>0</v>
      </c>
    </row>
    <row r="228" spans="1:16" x14ac:dyDescent="0.3">
      <c r="A228" s="41" t="s">
        <v>2304</v>
      </c>
      <c r="B228" s="41" t="s">
        <v>537</v>
      </c>
      <c r="C228" s="41" t="s">
        <v>589</v>
      </c>
      <c r="D228" s="41" t="s">
        <v>851</v>
      </c>
      <c r="E228" s="41"/>
      <c r="F228" s="41" t="b">
        <v>1</v>
      </c>
      <c r="G228" s="41"/>
      <c r="H228" s="41"/>
      <c r="I228" s="41">
        <v>404</v>
      </c>
      <c r="J228" s="41" t="s">
        <v>160</v>
      </c>
      <c r="K228" s="41" t="s">
        <v>2347</v>
      </c>
      <c r="L228" s="41" t="s">
        <v>2348</v>
      </c>
      <c r="M228" s="41" t="s">
        <v>2308</v>
      </c>
      <c r="N228" s="41" t="s">
        <v>2309</v>
      </c>
      <c r="O228" s="41">
        <v>0</v>
      </c>
      <c r="P228" s="41">
        <v>0</v>
      </c>
    </row>
    <row r="229" spans="1:16" x14ac:dyDescent="0.3">
      <c r="A229" s="41" t="s">
        <v>2304</v>
      </c>
      <c r="B229" s="41" t="s">
        <v>537</v>
      </c>
      <c r="C229" s="41" t="s">
        <v>589</v>
      </c>
      <c r="D229" s="41" t="s">
        <v>851</v>
      </c>
      <c r="E229" s="41"/>
      <c r="F229" s="41" t="b">
        <v>1</v>
      </c>
      <c r="G229" s="41"/>
      <c r="H229" s="41"/>
      <c r="I229" s="41">
        <v>404</v>
      </c>
      <c r="J229" s="41" t="s">
        <v>160</v>
      </c>
      <c r="K229" s="41" t="s">
        <v>2347</v>
      </c>
      <c r="L229" s="41" t="s">
        <v>2349</v>
      </c>
      <c r="M229" s="41" t="s">
        <v>2350</v>
      </c>
      <c r="N229" s="41" t="s">
        <v>2309</v>
      </c>
      <c r="O229" s="41">
        <v>0</v>
      </c>
      <c r="P229" s="41">
        <v>0</v>
      </c>
    </row>
    <row r="230" spans="1:16" x14ac:dyDescent="0.3">
      <c r="A230" s="41" t="s">
        <v>2304</v>
      </c>
      <c r="B230" s="41" t="s">
        <v>691</v>
      </c>
      <c r="C230" s="41" t="s">
        <v>589</v>
      </c>
      <c r="D230" s="41" t="s">
        <v>851</v>
      </c>
      <c r="E230" s="41"/>
      <c r="F230" s="41" t="b">
        <v>1</v>
      </c>
      <c r="G230" s="41"/>
      <c r="H230" s="41"/>
      <c r="I230" s="41">
        <v>404</v>
      </c>
      <c r="J230" s="41" t="s">
        <v>160</v>
      </c>
      <c r="K230" s="41" t="s">
        <v>2347</v>
      </c>
      <c r="L230" s="41" t="s">
        <v>2348</v>
      </c>
      <c r="M230" s="41" t="s">
        <v>2308</v>
      </c>
      <c r="N230" s="41" t="s">
        <v>2309</v>
      </c>
      <c r="O230" s="41">
        <v>0</v>
      </c>
      <c r="P230" s="41">
        <v>0</v>
      </c>
    </row>
    <row r="231" spans="1:16" x14ac:dyDescent="0.3">
      <c r="A231" s="41" t="s">
        <v>2304</v>
      </c>
      <c r="B231" s="41" t="s">
        <v>691</v>
      </c>
      <c r="C231" s="41" t="s">
        <v>589</v>
      </c>
      <c r="D231" s="41" t="s">
        <v>851</v>
      </c>
      <c r="E231" s="41"/>
      <c r="F231" s="41" t="b">
        <v>1</v>
      </c>
      <c r="G231" s="41"/>
      <c r="H231" s="41"/>
      <c r="I231" s="41">
        <v>404</v>
      </c>
      <c r="J231" s="41" t="s">
        <v>160</v>
      </c>
      <c r="K231" s="41" t="s">
        <v>2347</v>
      </c>
      <c r="L231" s="41" t="s">
        <v>2349</v>
      </c>
      <c r="M231" s="41" t="s">
        <v>2350</v>
      </c>
      <c r="N231" s="41" t="s">
        <v>2309</v>
      </c>
      <c r="O231" s="41">
        <v>0</v>
      </c>
      <c r="P231" s="41">
        <v>0</v>
      </c>
    </row>
    <row r="232" spans="1:16" x14ac:dyDescent="0.3">
      <c r="A232" s="41" t="s">
        <v>2304</v>
      </c>
      <c r="B232" s="41" t="s">
        <v>628</v>
      </c>
      <c r="C232" s="41" t="s">
        <v>589</v>
      </c>
      <c r="D232" s="41" t="s">
        <v>851</v>
      </c>
      <c r="E232" s="41"/>
      <c r="F232" s="41" t="b">
        <v>1</v>
      </c>
      <c r="G232" s="41"/>
      <c r="H232" s="41"/>
      <c r="I232" s="41">
        <v>404</v>
      </c>
      <c r="J232" s="41" t="s">
        <v>160</v>
      </c>
      <c r="K232" s="41" t="s">
        <v>2347</v>
      </c>
      <c r="L232" s="41" t="s">
        <v>2348</v>
      </c>
      <c r="M232" s="41" t="s">
        <v>2308</v>
      </c>
      <c r="N232" s="41" t="s">
        <v>2309</v>
      </c>
      <c r="O232" s="41">
        <v>0</v>
      </c>
      <c r="P232" s="41">
        <v>0</v>
      </c>
    </row>
    <row r="233" spans="1:16" x14ac:dyDescent="0.3">
      <c r="A233" s="41" t="s">
        <v>2304</v>
      </c>
      <c r="B233" s="41" t="s">
        <v>628</v>
      </c>
      <c r="C233" s="41" t="s">
        <v>589</v>
      </c>
      <c r="D233" s="41" t="s">
        <v>851</v>
      </c>
      <c r="E233" s="41"/>
      <c r="F233" s="41" t="b">
        <v>1</v>
      </c>
      <c r="G233" s="41"/>
      <c r="H233" s="41"/>
      <c r="I233" s="41">
        <v>404</v>
      </c>
      <c r="J233" s="41" t="s">
        <v>160</v>
      </c>
      <c r="K233" s="41" t="s">
        <v>2347</v>
      </c>
      <c r="L233" s="41" t="s">
        <v>2349</v>
      </c>
      <c r="M233" s="41" t="s">
        <v>2350</v>
      </c>
      <c r="N233" s="41" t="s">
        <v>2309</v>
      </c>
      <c r="O233" s="41">
        <v>0</v>
      </c>
      <c r="P233" s="41">
        <v>0</v>
      </c>
    </row>
    <row r="234" spans="1:16" x14ac:dyDescent="0.3">
      <c r="A234" s="41" t="s">
        <v>2304</v>
      </c>
      <c r="B234" s="41" t="s">
        <v>630</v>
      </c>
      <c r="C234" s="41" t="s">
        <v>589</v>
      </c>
      <c r="D234" s="41" t="s">
        <v>851</v>
      </c>
      <c r="E234" s="41"/>
      <c r="F234" s="41" t="b">
        <v>1</v>
      </c>
      <c r="G234" s="41"/>
      <c r="H234" s="41"/>
      <c r="I234" s="41">
        <v>404</v>
      </c>
      <c r="J234" s="41" t="s">
        <v>160</v>
      </c>
      <c r="K234" s="41" t="s">
        <v>2347</v>
      </c>
      <c r="L234" s="41" t="s">
        <v>2348</v>
      </c>
      <c r="M234" s="41" t="s">
        <v>2308</v>
      </c>
      <c r="N234" s="41" t="s">
        <v>2309</v>
      </c>
      <c r="O234" s="41">
        <v>0</v>
      </c>
      <c r="P234" s="41">
        <v>0</v>
      </c>
    </row>
    <row r="235" spans="1:16" x14ac:dyDescent="0.3">
      <c r="A235" s="41" t="s">
        <v>2304</v>
      </c>
      <c r="B235" s="41" t="s">
        <v>630</v>
      </c>
      <c r="C235" s="41" t="s">
        <v>589</v>
      </c>
      <c r="D235" s="41" t="s">
        <v>851</v>
      </c>
      <c r="E235" s="41"/>
      <c r="F235" s="41" t="b">
        <v>1</v>
      </c>
      <c r="G235" s="41"/>
      <c r="H235" s="41"/>
      <c r="I235" s="41">
        <v>404</v>
      </c>
      <c r="J235" s="41" t="s">
        <v>160</v>
      </c>
      <c r="K235" s="41" t="s">
        <v>2347</v>
      </c>
      <c r="L235" s="41" t="s">
        <v>2349</v>
      </c>
      <c r="M235" s="41" t="s">
        <v>2350</v>
      </c>
      <c r="N235" s="41" t="s">
        <v>2309</v>
      </c>
      <c r="O235" s="41">
        <v>0</v>
      </c>
      <c r="P235" s="41">
        <v>0</v>
      </c>
    </row>
    <row r="236" spans="1:16" x14ac:dyDescent="0.3">
      <c r="A236" s="41" t="s">
        <v>2304</v>
      </c>
      <c r="B236" s="41" t="s">
        <v>607</v>
      </c>
      <c r="C236" s="41" t="s">
        <v>589</v>
      </c>
      <c r="D236" s="41" t="s">
        <v>851</v>
      </c>
      <c r="E236" s="41"/>
      <c r="F236" s="41" t="b">
        <v>1</v>
      </c>
      <c r="G236" s="41"/>
      <c r="H236" s="41"/>
      <c r="I236" s="41">
        <v>404</v>
      </c>
      <c r="J236" s="41" t="s">
        <v>160</v>
      </c>
      <c r="K236" s="41" t="s">
        <v>2347</v>
      </c>
      <c r="L236" s="41" t="s">
        <v>2348</v>
      </c>
      <c r="M236" s="41" t="s">
        <v>2308</v>
      </c>
      <c r="N236" s="41" t="s">
        <v>2309</v>
      </c>
      <c r="O236" s="41">
        <v>0</v>
      </c>
      <c r="P236" s="41">
        <v>0</v>
      </c>
    </row>
    <row r="237" spans="1:16" x14ac:dyDescent="0.3">
      <c r="A237" s="41" t="s">
        <v>2304</v>
      </c>
      <c r="B237" s="41" t="s">
        <v>607</v>
      </c>
      <c r="C237" s="41" t="s">
        <v>589</v>
      </c>
      <c r="D237" s="41" t="s">
        <v>851</v>
      </c>
      <c r="E237" s="41"/>
      <c r="F237" s="41" t="b">
        <v>1</v>
      </c>
      <c r="G237" s="41"/>
      <c r="H237" s="41"/>
      <c r="I237" s="41">
        <v>404</v>
      </c>
      <c r="J237" s="41" t="s">
        <v>160</v>
      </c>
      <c r="K237" s="41" t="s">
        <v>2347</v>
      </c>
      <c r="L237" s="41" t="s">
        <v>2349</v>
      </c>
      <c r="M237" s="41" t="s">
        <v>2350</v>
      </c>
      <c r="N237" s="41" t="s">
        <v>2309</v>
      </c>
      <c r="O237" s="41">
        <v>0</v>
      </c>
      <c r="P237" s="41">
        <v>0</v>
      </c>
    </row>
    <row r="238" spans="1:16" x14ac:dyDescent="0.3">
      <c r="A238" s="41" t="s">
        <v>2304</v>
      </c>
      <c r="B238" s="41" t="s">
        <v>626</v>
      </c>
      <c r="C238" s="41" t="s">
        <v>589</v>
      </c>
      <c r="D238" s="41" t="s">
        <v>851</v>
      </c>
      <c r="E238" s="41"/>
      <c r="F238" s="41" t="b">
        <v>1</v>
      </c>
      <c r="G238" s="41"/>
      <c r="H238" s="41"/>
      <c r="I238" s="41">
        <v>404</v>
      </c>
      <c r="J238" s="41" t="s">
        <v>160</v>
      </c>
      <c r="K238" s="41" t="s">
        <v>2347</v>
      </c>
      <c r="L238" s="41" t="s">
        <v>2348</v>
      </c>
      <c r="M238" s="41" t="s">
        <v>2308</v>
      </c>
      <c r="N238" s="41" t="s">
        <v>2309</v>
      </c>
      <c r="O238" s="41">
        <v>0</v>
      </c>
      <c r="P238" s="41">
        <v>0</v>
      </c>
    </row>
    <row r="239" spans="1:16" x14ac:dyDescent="0.3">
      <c r="A239" s="41" t="s">
        <v>2304</v>
      </c>
      <c r="B239" s="41" t="s">
        <v>626</v>
      </c>
      <c r="C239" s="41" t="s">
        <v>589</v>
      </c>
      <c r="D239" s="41" t="s">
        <v>851</v>
      </c>
      <c r="E239" s="41"/>
      <c r="F239" s="41" t="b">
        <v>1</v>
      </c>
      <c r="G239" s="41"/>
      <c r="H239" s="41"/>
      <c r="I239" s="41">
        <v>404</v>
      </c>
      <c r="J239" s="41" t="s">
        <v>160</v>
      </c>
      <c r="K239" s="41" t="s">
        <v>2347</v>
      </c>
      <c r="L239" s="41" t="s">
        <v>2349</v>
      </c>
      <c r="M239" s="41" t="s">
        <v>2350</v>
      </c>
      <c r="N239" s="41" t="s">
        <v>2309</v>
      </c>
      <c r="O239" s="41">
        <v>0</v>
      </c>
      <c r="P239" s="41">
        <v>0</v>
      </c>
    </row>
    <row r="240" spans="1:16" x14ac:dyDescent="0.3">
      <c r="A240" s="41" t="s">
        <v>2304</v>
      </c>
      <c r="B240" s="41" t="s">
        <v>812</v>
      </c>
      <c r="C240" s="41" t="s">
        <v>589</v>
      </c>
      <c r="D240" s="41" t="s">
        <v>851</v>
      </c>
      <c r="E240" s="41"/>
      <c r="F240" s="41" t="b">
        <v>1</v>
      </c>
      <c r="G240" s="41"/>
      <c r="H240" s="41"/>
      <c r="I240" s="41">
        <v>404</v>
      </c>
      <c r="J240" s="41" t="s">
        <v>160</v>
      </c>
      <c r="K240" s="41" t="s">
        <v>2347</v>
      </c>
      <c r="L240" s="41" t="s">
        <v>2348</v>
      </c>
      <c r="M240" s="41" t="s">
        <v>2308</v>
      </c>
      <c r="N240" s="41" t="s">
        <v>2309</v>
      </c>
      <c r="O240" s="41">
        <v>0</v>
      </c>
      <c r="P240" s="41">
        <v>0</v>
      </c>
    </row>
    <row r="241" spans="1:16" x14ac:dyDescent="0.3">
      <c r="A241" s="41" t="s">
        <v>2304</v>
      </c>
      <c r="B241" s="41" t="s">
        <v>812</v>
      </c>
      <c r="C241" s="41" t="s">
        <v>589</v>
      </c>
      <c r="D241" s="41" t="s">
        <v>851</v>
      </c>
      <c r="E241" s="41"/>
      <c r="F241" s="41" t="b">
        <v>1</v>
      </c>
      <c r="G241" s="41"/>
      <c r="H241" s="41"/>
      <c r="I241" s="41">
        <v>404</v>
      </c>
      <c r="J241" s="41" t="s">
        <v>160</v>
      </c>
      <c r="K241" s="41" t="s">
        <v>2347</v>
      </c>
      <c r="L241" s="41" t="s">
        <v>2349</v>
      </c>
      <c r="M241" s="41" t="s">
        <v>2350</v>
      </c>
      <c r="N241" s="41" t="s">
        <v>2309</v>
      </c>
      <c r="O241" s="41">
        <v>0</v>
      </c>
      <c r="P241" s="41">
        <v>0</v>
      </c>
    </row>
    <row r="242" spans="1:16" x14ac:dyDescent="0.3">
      <c r="A242" s="41" t="s">
        <v>2304</v>
      </c>
      <c r="B242" s="41" t="s">
        <v>807</v>
      </c>
      <c r="C242" s="41" t="s">
        <v>589</v>
      </c>
      <c r="D242" s="41" t="s">
        <v>851</v>
      </c>
      <c r="E242" s="41"/>
      <c r="F242" s="41" t="b">
        <v>1</v>
      </c>
      <c r="G242" s="41"/>
      <c r="H242" s="41"/>
      <c r="I242" s="41">
        <v>404</v>
      </c>
      <c r="J242" s="41" t="s">
        <v>160</v>
      </c>
      <c r="K242" s="41" t="s">
        <v>2347</v>
      </c>
      <c r="L242" s="41" t="s">
        <v>2348</v>
      </c>
      <c r="M242" s="41" t="s">
        <v>2308</v>
      </c>
      <c r="N242" s="41" t="s">
        <v>2309</v>
      </c>
      <c r="O242" s="41">
        <v>0</v>
      </c>
      <c r="P242" s="41">
        <v>0</v>
      </c>
    </row>
    <row r="243" spans="1:16" x14ac:dyDescent="0.3">
      <c r="A243" s="41" t="s">
        <v>2304</v>
      </c>
      <c r="B243" s="41" t="s">
        <v>807</v>
      </c>
      <c r="C243" s="41" t="s">
        <v>589</v>
      </c>
      <c r="D243" s="41" t="s">
        <v>851</v>
      </c>
      <c r="E243" s="41"/>
      <c r="F243" s="41" t="b">
        <v>1</v>
      </c>
      <c r="G243" s="41"/>
      <c r="H243" s="41"/>
      <c r="I243" s="41">
        <v>404</v>
      </c>
      <c r="J243" s="41" t="s">
        <v>160</v>
      </c>
      <c r="K243" s="41" t="s">
        <v>2347</v>
      </c>
      <c r="L243" s="41" t="s">
        <v>2349</v>
      </c>
      <c r="M243" s="41" t="s">
        <v>2350</v>
      </c>
      <c r="N243" s="41" t="s">
        <v>2309</v>
      </c>
      <c r="O243" s="41">
        <v>0</v>
      </c>
      <c r="P243" s="41">
        <v>0</v>
      </c>
    </row>
    <row r="244" spans="1:16" x14ac:dyDescent="0.3">
      <c r="A244" s="41" t="s">
        <v>2304</v>
      </c>
      <c r="B244" s="41" t="s">
        <v>810</v>
      </c>
      <c r="C244" s="41" t="s">
        <v>589</v>
      </c>
      <c r="D244" s="41" t="s">
        <v>851</v>
      </c>
      <c r="E244" s="41"/>
      <c r="F244" s="41" t="b">
        <v>1</v>
      </c>
      <c r="G244" s="41"/>
      <c r="H244" s="41"/>
      <c r="I244" s="41">
        <v>404</v>
      </c>
      <c r="J244" s="41" t="s">
        <v>160</v>
      </c>
      <c r="K244" s="41" t="s">
        <v>2347</v>
      </c>
      <c r="L244" s="41" t="s">
        <v>2348</v>
      </c>
      <c r="M244" s="41" t="s">
        <v>2308</v>
      </c>
      <c r="N244" s="41" t="s">
        <v>2309</v>
      </c>
      <c r="O244" s="41">
        <v>0</v>
      </c>
      <c r="P244" s="41">
        <v>0</v>
      </c>
    </row>
    <row r="245" spans="1:16" x14ac:dyDescent="0.3">
      <c r="A245" s="41" t="s">
        <v>2304</v>
      </c>
      <c r="B245" s="41" t="s">
        <v>810</v>
      </c>
      <c r="C245" s="41" t="s">
        <v>589</v>
      </c>
      <c r="D245" s="41" t="s">
        <v>851</v>
      </c>
      <c r="E245" s="41"/>
      <c r="F245" s="41" t="b">
        <v>1</v>
      </c>
      <c r="G245" s="41"/>
      <c r="H245" s="41"/>
      <c r="I245" s="41">
        <v>404</v>
      </c>
      <c r="J245" s="41" t="s">
        <v>160</v>
      </c>
      <c r="K245" s="41" t="s">
        <v>2347</v>
      </c>
      <c r="L245" s="41" t="s">
        <v>2349</v>
      </c>
      <c r="M245" s="41" t="s">
        <v>2350</v>
      </c>
      <c r="N245" s="41" t="s">
        <v>2309</v>
      </c>
      <c r="O245" s="41">
        <v>0</v>
      </c>
      <c r="P245" s="41">
        <v>0</v>
      </c>
    </row>
    <row r="246" spans="1:16" x14ac:dyDescent="0.3">
      <c r="A246" s="41" t="s">
        <v>2304</v>
      </c>
      <c r="B246" s="41" t="s">
        <v>814</v>
      </c>
      <c r="C246" s="41" t="s">
        <v>589</v>
      </c>
      <c r="D246" s="41" t="s">
        <v>851</v>
      </c>
      <c r="E246" s="41"/>
      <c r="F246" s="41" t="b">
        <v>1</v>
      </c>
      <c r="G246" s="41"/>
      <c r="H246" s="41"/>
      <c r="I246" s="41">
        <v>404</v>
      </c>
      <c r="J246" s="41" t="s">
        <v>160</v>
      </c>
      <c r="K246" s="41" t="s">
        <v>2347</v>
      </c>
      <c r="L246" s="41" t="s">
        <v>2348</v>
      </c>
      <c r="M246" s="41" t="s">
        <v>2308</v>
      </c>
      <c r="N246" s="41" t="s">
        <v>2309</v>
      </c>
      <c r="O246" s="41">
        <v>0</v>
      </c>
      <c r="P246" s="41">
        <v>0</v>
      </c>
    </row>
    <row r="247" spans="1:16" x14ac:dyDescent="0.3">
      <c r="A247" s="41" t="s">
        <v>2304</v>
      </c>
      <c r="B247" s="41" t="s">
        <v>814</v>
      </c>
      <c r="C247" s="41" t="s">
        <v>589</v>
      </c>
      <c r="D247" s="41" t="s">
        <v>851</v>
      </c>
      <c r="E247" s="41"/>
      <c r="F247" s="41" t="b">
        <v>1</v>
      </c>
      <c r="G247" s="41"/>
      <c r="H247" s="41"/>
      <c r="I247" s="41">
        <v>404</v>
      </c>
      <c r="J247" s="41" t="s">
        <v>160</v>
      </c>
      <c r="K247" s="41" t="s">
        <v>2347</v>
      </c>
      <c r="L247" s="41" t="s">
        <v>2349</v>
      </c>
      <c r="M247" s="41" t="s">
        <v>2350</v>
      </c>
      <c r="N247" s="41" t="s">
        <v>2309</v>
      </c>
      <c r="O247" s="41">
        <v>0</v>
      </c>
      <c r="P247" s="41">
        <v>0</v>
      </c>
    </row>
    <row r="248" spans="1:16" x14ac:dyDescent="0.3">
      <c r="A248" s="41" t="s">
        <v>2304</v>
      </c>
      <c r="B248" s="41" t="s">
        <v>702</v>
      </c>
      <c r="C248" s="41" t="s">
        <v>589</v>
      </c>
      <c r="D248" s="41" t="s">
        <v>851</v>
      </c>
      <c r="E248" s="41"/>
      <c r="F248" s="41" t="b">
        <v>1</v>
      </c>
      <c r="G248" s="41"/>
      <c r="H248" s="41"/>
      <c r="I248" s="41">
        <v>404</v>
      </c>
      <c r="J248" s="41" t="s">
        <v>160</v>
      </c>
      <c r="K248" s="41" t="s">
        <v>2347</v>
      </c>
      <c r="L248" s="41" t="s">
        <v>2348</v>
      </c>
      <c r="M248" s="41" t="s">
        <v>2308</v>
      </c>
      <c r="N248" s="41" t="s">
        <v>2309</v>
      </c>
      <c r="O248" s="41">
        <v>0</v>
      </c>
      <c r="P248" s="41">
        <v>0</v>
      </c>
    </row>
    <row r="249" spans="1:16" x14ac:dyDescent="0.3">
      <c r="A249" s="41" t="s">
        <v>2304</v>
      </c>
      <c r="B249" s="41" t="s">
        <v>702</v>
      </c>
      <c r="C249" s="41" t="s">
        <v>589</v>
      </c>
      <c r="D249" s="41" t="s">
        <v>851</v>
      </c>
      <c r="E249" s="41"/>
      <c r="F249" s="41" t="b">
        <v>1</v>
      </c>
      <c r="G249" s="41"/>
      <c r="H249" s="41"/>
      <c r="I249" s="41">
        <v>404</v>
      </c>
      <c r="J249" s="41" t="s">
        <v>160</v>
      </c>
      <c r="K249" s="41" t="s">
        <v>2347</v>
      </c>
      <c r="L249" s="41" t="s">
        <v>2349</v>
      </c>
      <c r="M249" s="41" t="s">
        <v>2350</v>
      </c>
      <c r="N249" s="41" t="s">
        <v>2309</v>
      </c>
      <c r="O249" s="41">
        <v>0</v>
      </c>
      <c r="P249" s="41">
        <v>0</v>
      </c>
    </row>
    <row r="250" spans="1:16" x14ac:dyDescent="0.3">
      <c r="A250" s="41" t="s">
        <v>2304</v>
      </c>
      <c r="B250" s="41" t="s">
        <v>610</v>
      </c>
      <c r="C250" s="41" t="s">
        <v>589</v>
      </c>
      <c r="D250" s="41" t="s">
        <v>851</v>
      </c>
      <c r="E250" s="41"/>
      <c r="F250" s="41" t="b">
        <v>1</v>
      </c>
      <c r="G250" s="41"/>
      <c r="H250" s="41"/>
      <c r="I250" s="41">
        <v>404</v>
      </c>
      <c r="J250" s="41" t="s">
        <v>160</v>
      </c>
      <c r="K250" s="41" t="s">
        <v>2347</v>
      </c>
      <c r="L250" s="41" t="s">
        <v>2348</v>
      </c>
      <c r="M250" s="41" t="s">
        <v>2308</v>
      </c>
      <c r="N250" s="41" t="s">
        <v>2309</v>
      </c>
      <c r="O250" s="41">
        <v>0</v>
      </c>
      <c r="P250" s="41">
        <v>0</v>
      </c>
    </row>
    <row r="251" spans="1:16" x14ac:dyDescent="0.3">
      <c r="A251" s="41" t="s">
        <v>2304</v>
      </c>
      <c r="B251" s="41" t="s">
        <v>610</v>
      </c>
      <c r="C251" s="41" t="s">
        <v>589</v>
      </c>
      <c r="D251" s="41" t="s">
        <v>851</v>
      </c>
      <c r="E251" s="41"/>
      <c r="F251" s="41" t="b">
        <v>1</v>
      </c>
      <c r="G251" s="41"/>
      <c r="H251" s="41"/>
      <c r="I251" s="41">
        <v>404</v>
      </c>
      <c r="J251" s="41" t="s">
        <v>160</v>
      </c>
      <c r="K251" s="41" t="s">
        <v>2347</v>
      </c>
      <c r="L251" s="41" t="s">
        <v>2349</v>
      </c>
      <c r="M251" s="41" t="s">
        <v>2350</v>
      </c>
      <c r="N251" s="41" t="s">
        <v>2309</v>
      </c>
      <c r="O251" s="41">
        <v>0</v>
      </c>
      <c r="P251" s="41">
        <v>0</v>
      </c>
    </row>
    <row r="252" spans="1:16" x14ac:dyDescent="0.3">
      <c r="A252" s="41" t="s">
        <v>2304</v>
      </c>
      <c r="B252" s="41" t="s">
        <v>617</v>
      </c>
      <c r="C252" s="41" t="s">
        <v>589</v>
      </c>
      <c r="D252" s="41" t="s">
        <v>851</v>
      </c>
      <c r="E252" s="41"/>
      <c r="F252" s="41" t="b">
        <v>1</v>
      </c>
      <c r="G252" s="41"/>
      <c r="H252" s="41"/>
      <c r="I252" s="41">
        <v>404</v>
      </c>
      <c r="J252" s="41" t="s">
        <v>160</v>
      </c>
      <c r="K252" s="41" t="s">
        <v>2347</v>
      </c>
      <c r="L252" s="41" t="s">
        <v>2348</v>
      </c>
      <c r="M252" s="41" t="s">
        <v>2308</v>
      </c>
      <c r="N252" s="41" t="s">
        <v>2309</v>
      </c>
      <c r="O252" s="41">
        <v>0</v>
      </c>
      <c r="P252" s="41">
        <v>0</v>
      </c>
    </row>
    <row r="253" spans="1:16" x14ac:dyDescent="0.3">
      <c r="A253" s="41" t="s">
        <v>2304</v>
      </c>
      <c r="B253" s="41" t="s">
        <v>617</v>
      </c>
      <c r="C253" s="41" t="s">
        <v>589</v>
      </c>
      <c r="D253" s="41" t="s">
        <v>851</v>
      </c>
      <c r="E253" s="41"/>
      <c r="F253" s="41" t="b">
        <v>1</v>
      </c>
      <c r="G253" s="41"/>
      <c r="H253" s="41"/>
      <c r="I253" s="41">
        <v>404</v>
      </c>
      <c r="J253" s="41" t="s">
        <v>160</v>
      </c>
      <c r="K253" s="41" t="s">
        <v>2347</v>
      </c>
      <c r="L253" s="41" t="s">
        <v>2349</v>
      </c>
      <c r="M253" s="41" t="s">
        <v>2350</v>
      </c>
      <c r="N253" s="41" t="s">
        <v>2309</v>
      </c>
      <c r="O253" s="41">
        <v>0</v>
      </c>
      <c r="P253" s="41">
        <v>0</v>
      </c>
    </row>
    <row r="254" spans="1:16" x14ac:dyDescent="0.3">
      <c r="A254" s="41" t="s">
        <v>2304</v>
      </c>
      <c r="B254" s="41" t="s">
        <v>806</v>
      </c>
      <c r="C254" s="41" t="s">
        <v>589</v>
      </c>
      <c r="D254" s="41" t="s">
        <v>851</v>
      </c>
      <c r="E254" s="41"/>
      <c r="F254" s="41" t="b">
        <v>1</v>
      </c>
      <c r="G254" s="41"/>
      <c r="H254" s="41"/>
      <c r="I254" s="41">
        <v>404</v>
      </c>
      <c r="J254" s="41" t="s">
        <v>160</v>
      </c>
      <c r="K254" s="41" t="s">
        <v>2347</v>
      </c>
      <c r="L254" s="41" t="s">
        <v>2348</v>
      </c>
      <c r="M254" s="41" t="s">
        <v>2308</v>
      </c>
      <c r="N254" s="41" t="s">
        <v>2309</v>
      </c>
      <c r="O254" s="41">
        <v>0</v>
      </c>
      <c r="P254" s="41">
        <v>0</v>
      </c>
    </row>
    <row r="255" spans="1:16" x14ac:dyDescent="0.3">
      <c r="A255" s="41" t="s">
        <v>2304</v>
      </c>
      <c r="B255" s="41" t="s">
        <v>806</v>
      </c>
      <c r="C255" s="41" t="s">
        <v>589</v>
      </c>
      <c r="D255" s="41" t="s">
        <v>851</v>
      </c>
      <c r="E255" s="41"/>
      <c r="F255" s="41" t="b">
        <v>1</v>
      </c>
      <c r="G255" s="41"/>
      <c r="H255" s="41"/>
      <c r="I255" s="41">
        <v>404</v>
      </c>
      <c r="J255" s="41" t="s">
        <v>160</v>
      </c>
      <c r="K255" s="41" t="s">
        <v>2347</v>
      </c>
      <c r="L255" s="41" t="s">
        <v>2349</v>
      </c>
      <c r="M255" s="41" t="s">
        <v>2350</v>
      </c>
      <c r="N255" s="41" t="s">
        <v>2309</v>
      </c>
      <c r="O255" s="41">
        <v>0</v>
      </c>
      <c r="P255" s="41">
        <v>0</v>
      </c>
    </row>
    <row r="256" spans="1:16" x14ac:dyDescent="0.3">
      <c r="A256" s="41" t="s">
        <v>2304</v>
      </c>
      <c r="B256" s="41" t="s">
        <v>642</v>
      </c>
      <c r="C256" s="41" t="s">
        <v>589</v>
      </c>
      <c r="D256" s="41" t="s">
        <v>851</v>
      </c>
      <c r="E256" s="41"/>
      <c r="F256" s="41" t="b">
        <v>1</v>
      </c>
      <c r="G256" s="41"/>
      <c r="H256" s="41"/>
      <c r="I256" s="41">
        <v>404</v>
      </c>
      <c r="J256" s="41" t="s">
        <v>160</v>
      </c>
      <c r="K256" s="41" t="s">
        <v>2347</v>
      </c>
      <c r="L256" s="41" t="s">
        <v>2348</v>
      </c>
      <c r="M256" s="41" t="s">
        <v>2308</v>
      </c>
      <c r="N256" s="41" t="s">
        <v>2309</v>
      </c>
      <c r="O256" s="41">
        <v>0</v>
      </c>
      <c r="P256" s="41">
        <v>0</v>
      </c>
    </row>
    <row r="257" spans="1:16" x14ac:dyDescent="0.3">
      <c r="A257" s="41" t="s">
        <v>2304</v>
      </c>
      <c r="B257" s="41" t="s">
        <v>642</v>
      </c>
      <c r="C257" s="41" t="s">
        <v>589</v>
      </c>
      <c r="D257" s="41" t="s">
        <v>851</v>
      </c>
      <c r="E257" s="41"/>
      <c r="F257" s="41" t="b">
        <v>1</v>
      </c>
      <c r="G257" s="41"/>
      <c r="H257" s="41"/>
      <c r="I257" s="41">
        <v>404</v>
      </c>
      <c r="J257" s="41" t="s">
        <v>160</v>
      </c>
      <c r="K257" s="41" t="s">
        <v>2347</v>
      </c>
      <c r="L257" s="41" t="s">
        <v>2349</v>
      </c>
      <c r="M257" s="41" t="s">
        <v>2350</v>
      </c>
      <c r="N257" s="41" t="s">
        <v>2309</v>
      </c>
      <c r="O257" s="41">
        <v>0</v>
      </c>
      <c r="P257" s="41">
        <v>0</v>
      </c>
    </row>
    <row r="258" spans="1:16" x14ac:dyDescent="0.3">
      <c r="A258" s="41" t="s">
        <v>2304</v>
      </c>
      <c r="B258" s="41" t="s">
        <v>640</v>
      </c>
      <c r="C258" s="41" t="s">
        <v>589</v>
      </c>
      <c r="D258" s="41" t="s">
        <v>851</v>
      </c>
      <c r="E258" s="41"/>
      <c r="F258" s="41" t="b">
        <v>1</v>
      </c>
      <c r="G258" s="41"/>
      <c r="H258" s="41"/>
      <c r="I258" s="41">
        <v>404</v>
      </c>
      <c r="J258" s="41" t="s">
        <v>160</v>
      </c>
      <c r="K258" s="41" t="s">
        <v>2347</v>
      </c>
      <c r="L258" s="41" t="s">
        <v>2348</v>
      </c>
      <c r="M258" s="41" t="s">
        <v>2308</v>
      </c>
      <c r="N258" s="41" t="s">
        <v>2309</v>
      </c>
      <c r="O258" s="41">
        <v>0</v>
      </c>
      <c r="P258" s="41">
        <v>0</v>
      </c>
    </row>
    <row r="259" spans="1:16" x14ac:dyDescent="0.3">
      <c r="A259" s="41" t="s">
        <v>2304</v>
      </c>
      <c r="B259" s="41" t="s">
        <v>640</v>
      </c>
      <c r="C259" s="41" t="s">
        <v>589</v>
      </c>
      <c r="D259" s="41" t="s">
        <v>851</v>
      </c>
      <c r="E259" s="41"/>
      <c r="F259" s="41" t="b">
        <v>1</v>
      </c>
      <c r="G259" s="41"/>
      <c r="H259" s="41"/>
      <c r="I259" s="41">
        <v>404</v>
      </c>
      <c r="J259" s="41" t="s">
        <v>160</v>
      </c>
      <c r="K259" s="41" t="s">
        <v>2347</v>
      </c>
      <c r="L259" s="41" t="s">
        <v>2349</v>
      </c>
      <c r="M259" s="41" t="s">
        <v>2350</v>
      </c>
      <c r="N259" s="41" t="s">
        <v>2309</v>
      </c>
      <c r="O259" s="41">
        <v>0</v>
      </c>
      <c r="P259" s="41">
        <v>0</v>
      </c>
    </row>
    <row r="260" spans="1:16" x14ac:dyDescent="0.3">
      <c r="A260" s="41" t="s">
        <v>2304</v>
      </c>
      <c r="B260" s="41" t="s">
        <v>634</v>
      </c>
      <c r="C260" s="41" t="s">
        <v>589</v>
      </c>
      <c r="D260" s="41" t="s">
        <v>851</v>
      </c>
      <c r="E260" s="41"/>
      <c r="F260" s="41" t="b">
        <v>1</v>
      </c>
      <c r="G260" s="41"/>
      <c r="H260" s="41"/>
      <c r="I260" s="41">
        <v>404</v>
      </c>
      <c r="J260" s="41" t="s">
        <v>160</v>
      </c>
      <c r="K260" s="41" t="s">
        <v>2347</v>
      </c>
      <c r="L260" s="41" t="s">
        <v>2348</v>
      </c>
      <c r="M260" s="41" t="s">
        <v>2308</v>
      </c>
      <c r="N260" s="41" t="s">
        <v>2309</v>
      </c>
      <c r="O260" s="41">
        <v>0</v>
      </c>
      <c r="P260" s="41">
        <v>0</v>
      </c>
    </row>
    <row r="261" spans="1:16" x14ac:dyDescent="0.3">
      <c r="A261" s="41" t="s">
        <v>2304</v>
      </c>
      <c r="B261" s="41" t="s">
        <v>634</v>
      </c>
      <c r="C261" s="41" t="s">
        <v>589</v>
      </c>
      <c r="D261" s="41" t="s">
        <v>851</v>
      </c>
      <c r="E261" s="41"/>
      <c r="F261" s="41" t="b">
        <v>1</v>
      </c>
      <c r="G261" s="41"/>
      <c r="H261" s="41"/>
      <c r="I261" s="41">
        <v>404</v>
      </c>
      <c r="J261" s="41" t="s">
        <v>160</v>
      </c>
      <c r="K261" s="41" t="s">
        <v>2347</v>
      </c>
      <c r="L261" s="41" t="s">
        <v>2349</v>
      </c>
      <c r="M261" s="41" t="s">
        <v>2350</v>
      </c>
      <c r="N261" s="41" t="s">
        <v>2309</v>
      </c>
      <c r="O261" s="41">
        <v>0</v>
      </c>
      <c r="P261" s="41">
        <v>0</v>
      </c>
    </row>
    <row r="262" spans="1:16" x14ac:dyDescent="0.3">
      <c r="A262" s="41" t="s">
        <v>2304</v>
      </c>
      <c r="B262" s="41" t="s">
        <v>605</v>
      </c>
      <c r="C262" s="41" t="s">
        <v>589</v>
      </c>
      <c r="D262" s="41" t="s">
        <v>851</v>
      </c>
      <c r="E262" s="41"/>
      <c r="F262" s="41" t="b">
        <v>1</v>
      </c>
      <c r="G262" s="41"/>
      <c r="H262" s="41"/>
      <c r="I262" s="41">
        <v>404</v>
      </c>
      <c r="J262" s="41" t="s">
        <v>160</v>
      </c>
      <c r="K262" s="41" t="s">
        <v>2347</v>
      </c>
      <c r="L262" s="41" t="s">
        <v>2348</v>
      </c>
      <c r="M262" s="41" t="s">
        <v>2308</v>
      </c>
      <c r="N262" s="41" t="s">
        <v>2309</v>
      </c>
      <c r="O262" s="41">
        <v>0</v>
      </c>
      <c r="P262" s="41">
        <v>0</v>
      </c>
    </row>
    <row r="263" spans="1:16" x14ac:dyDescent="0.3">
      <c r="A263" s="41" t="s">
        <v>2304</v>
      </c>
      <c r="B263" s="41" t="s">
        <v>605</v>
      </c>
      <c r="C263" s="41" t="s">
        <v>589</v>
      </c>
      <c r="D263" s="41" t="s">
        <v>851</v>
      </c>
      <c r="E263" s="41"/>
      <c r="F263" s="41" t="b">
        <v>1</v>
      </c>
      <c r="G263" s="41"/>
      <c r="H263" s="41"/>
      <c r="I263" s="41">
        <v>404</v>
      </c>
      <c r="J263" s="41" t="s">
        <v>160</v>
      </c>
      <c r="K263" s="41" t="s">
        <v>2347</v>
      </c>
      <c r="L263" s="41" t="s">
        <v>2349</v>
      </c>
      <c r="M263" s="41" t="s">
        <v>2350</v>
      </c>
      <c r="N263" s="41" t="s">
        <v>2309</v>
      </c>
      <c r="O263" s="41">
        <v>0</v>
      </c>
      <c r="P263" s="41">
        <v>0</v>
      </c>
    </row>
    <row r="264" spans="1:16" x14ac:dyDescent="0.3">
      <c r="A264" s="41" t="s">
        <v>2304</v>
      </c>
      <c r="B264" s="41" t="s">
        <v>624</v>
      </c>
      <c r="C264" s="41" t="s">
        <v>589</v>
      </c>
      <c r="D264" s="41" t="s">
        <v>851</v>
      </c>
      <c r="E264" s="41"/>
      <c r="F264" s="41" t="b">
        <v>1</v>
      </c>
      <c r="G264" s="41"/>
      <c r="H264" s="41"/>
      <c r="I264" s="41">
        <v>404</v>
      </c>
      <c r="J264" s="41" t="s">
        <v>160</v>
      </c>
      <c r="K264" s="41" t="s">
        <v>2347</v>
      </c>
      <c r="L264" s="41" t="s">
        <v>2348</v>
      </c>
      <c r="M264" s="41" t="s">
        <v>2308</v>
      </c>
      <c r="N264" s="41" t="s">
        <v>2309</v>
      </c>
      <c r="O264" s="41">
        <v>0</v>
      </c>
      <c r="P264" s="41">
        <v>0</v>
      </c>
    </row>
    <row r="265" spans="1:16" x14ac:dyDescent="0.3">
      <c r="A265" s="41" t="s">
        <v>2304</v>
      </c>
      <c r="B265" s="41" t="s">
        <v>624</v>
      </c>
      <c r="C265" s="41" t="s">
        <v>589</v>
      </c>
      <c r="D265" s="41" t="s">
        <v>851</v>
      </c>
      <c r="E265" s="41"/>
      <c r="F265" s="41" t="b">
        <v>1</v>
      </c>
      <c r="G265" s="41"/>
      <c r="H265" s="41"/>
      <c r="I265" s="41">
        <v>404</v>
      </c>
      <c r="J265" s="41" t="s">
        <v>160</v>
      </c>
      <c r="K265" s="41" t="s">
        <v>2347</v>
      </c>
      <c r="L265" s="41" t="s">
        <v>2349</v>
      </c>
      <c r="M265" s="41" t="s">
        <v>2350</v>
      </c>
      <c r="N265" s="41" t="s">
        <v>2309</v>
      </c>
      <c r="O265" s="41">
        <v>0</v>
      </c>
      <c r="P265" s="41">
        <v>0</v>
      </c>
    </row>
    <row r="266" spans="1:16" x14ac:dyDescent="0.3">
      <c r="A266" s="41" t="s">
        <v>2304</v>
      </c>
      <c r="B266" s="41" t="s">
        <v>632</v>
      </c>
      <c r="C266" s="41" t="s">
        <v>589</v>
      </c>
      <c r="D266" s="41" t="s">
        <v>851</v>
      </c>
      <c r="E266" s="41"/>
      <c r="F266" s="41" t="b">
        <v>1</v>
      </c>
      <c r="G266" s="41"/>
      <c r="H266" s="41"/>
      <c r="I266" s="41">
        <v>404</v>
      </c>
      <c r="J266" s="41" t="s">
        <v>160</v>
      </c>
      <c r="K266" s="41" t="s">
        <v>2347</v>
      </c>
      <c r="L266" s="41" t="s">
        <v>2348</v>
      </c>
      <c r="M266" s="41" t="s">
        <v>2308</v>
      </c>
      <c r="N266" s="41" t="s">
        <v>2309</v>
      </c>
      <c r="O266" s="41">
        <v>0</v>
      </c>
      <c r="P266" s="41">
        <v>0</v>
      </c>
    </row>
    <row r="267" spans="1:16" x14ac:dyDescent="0.3">
      <c r="A267" s="41" t="s">
        <v>2304</v>
      </c>
      <c r="B267" s="41" t="s">
        <v>632</v>
      </c>
      <c r="C267" s="41" t="s">
        <v>589</v>
      </c>
      <c r="D267" s="41" t="s">
        <v>851</v>
      </c>
      <c r="E267" s="41"/>
      <c r="F267" s="41" t="b">
        <v>1</v>
      </c>
      <c r="G267" s="41"/>
      <c r="H267" s="41"/>
      <c r="I267" s="41">
        <v>404</v>
      </c>
      <c r="J267" s="41" t="s">
        <v>160</v>
      </c>
      <c r="K267" s="41" t="s">
        <v>2347</v>
      </c>
      <c r="L267" s="41" t="s">
        <v>2349</v>
      </c>
      <c r="M267" s="41" t="s">
        <v>2350</v>
      </c>
      <c r="N267" s="41" t="s">
        <v>2309</v>
      </c>
      <c r="O267" s="41">
        <v>0</v>
      </c>
      <c r="P267" s="41">
        <v>0</v>
      </c>
    </row>
    <row r="268" spans="1:16" x14ac:dyDescent="0.3">
      <c r="A268" s="41" t="s">
        <v>2304</v>
      </c>
      <c r="B268" s="41" t="s">
        <v>481</v>
      </c>
      <c r="C268" s="41" t="s">
        <v>589</v>
      </c>
      <c r="D268" s="41" t="s">
        <v>851</v>
      </c>
      <c r="E268" s="41"/>
      <c r="F268" s="41" t="b">
        <v>1</v>
      </c>
      <c r="G268" s="41"/>
      <c r="H268" s="41"/>
      <c r="I268" s="41">
        <v>404</v>
      </c>
      <c r="J268" s="41" t="s">
        <v>160</v>
      </c>
      <c r="K268" s="41" t="s">
        <v>2347</v>
      </c>
      <c r="L268" s="41" t="s">
        <v>2348</v>
      </c>
      <c r="M268" s="41" t="s">
        <v>2308</v>
      </c>
      <c r="N268" s="41" t="s">
        <v>2309</v>
      </c>
      <c r="O268" s="41">
        <v>0</v>
      </c>
      <c r="P268" s="41">
        <v>0</v>
      </c>
    </row>
    <row r="269" spans="1:16" x14ac:dyDescent="0.3">
      <c r="A269" s="41" t="s">
        <v>2304</v>
      </c>
      <c r="B269" s="41" t="s">
        <v>481</v>
      </c>
      <c r="C269" s="41" t="s">
        <v>589</v>
      </c>
      <c r="D269" s="41" t="s">
        <v>851</v>
      </c>
      <c r="E269" s="41"/>
      <c r="F269" s="41" t="b">
        <v>1</v>
      </c>
      <c r="G269" s="41"/>
      <c r="H269" s="41"/>
      <c r="I269" s="41">
        <v>404</v>
      </c>
      <c r="J269" s="41" t="s">
        <v>160</v>
      </c>
      <c r="K269" s="41" t="s">
        <v>2347</v>
      </c>
      <c r="L269" s="41" t="s">
        <v>2349</v>
      </c>
      <c r="M269" s="41" t="s">
        <v>2350</v>
      </c>
      <c r="N269" s="41" t="s">
        <v>2309</v>
      </c>
      <c r="O269" s="41">
        <v>0</v>
      </c>
      <c r="P269" s="41">
        <v>0</v>
      </c>
    </row>
    <row r="270" spans="1:16" x14ac:dyDescent="0.3">
      <c r="A270" s="41" t="s">
        <v>2304</v>
      </c>
      <c r="B270" s="41" t="s">
        <v>484</v>
      </c>
      <c r="C270" s="41" t="s">
        <v>589</v>
      </c>
      <c r="D270" s="41" t="s">
        <v>851</v>
      </c>
      <c r="E270" s="41"/>
      <c r="F270" s="41" t="b">
        <v>1</v>
      </c>
      <c r="G270" s="41"/>
      <c r="H270" s="41"/>
      <c r="I270" s="41">
        <v>404</v>
      </c>
      <c r="J270" s="41" t="s">
        <v>160</v>
      </c>
      <c r="K270" s="41" t="s">
        <v>2347</v>
      </c>
      <c r="L270" s="41" t="s">
        <v>2348</v>
      </c>
      <c r="M270" s="41" t="s">
        <v>2308</v>
      </c>
      <c r="N270" s="41" t="s">
        <v>2309</v>
      </c>
      <c r="O270" s="41">
        <v>0</v>
      </c>
      <c r="P270" s="41">
        <v>0</v>
      </c>
    </row>
    <row r="271" spans="1:16" x14ac:dyDescent="0.3">
      <c r="A271" s="41" t="s">
        <v>2304</v>
      </c>
      <c r="B271" s="41" t="s">
        <v>484</v>
      </c>
      <c r="C271" s="41" t="s">
        <v>589</v>
      </c>
      <c r="D271" s="41" t="s">
        <v>851</v>
      </c>
      <c r="E271" s="41"/>
      <c r="F271" s="41" t="b">
        <v>1</v>
      </c>
      <c r="G271" s="41"/>
      <c r="H271" s="41"/>
      <c r="I271" s="41">
        <v>404</v>
      </c>
      <c r="J271" s="41" t="s">
        <v>160</v>
      </c>
      <c r="K271" s="41" t="s">
        <v>2347</v>
      </c>
      <c r="L271" s="41" t="s">
        <v>2349</v>
      </c>
      <c r="M271" s="41" t="s">
        <v>2350</v>
      </c>
      <c r="N271" s="41" t="s">
        <v>2309</v>
      </c>
      <c r="O271" s="41">
        <v>0</v>
      </c>
      <c r="P271" s="41">
        <v>0</v>
      </c>
    </row>
    <row r="272" spans="1:16" x14ac:dyDescent="0.3">
      <c r="A272" s="41" t="s">
        <v>2304</v>
      </c>
      <c r="B272" s="41" t="s">
        <v>516</v>
      </c>
      <c r="C272" s="41" t="s">
        <v>589</v>
      </c>
      <c r="D272" s="41" t="s">
        <v>851</v>
      </c>
      <c r="E272" s="41"/>
      <c r="F272" s="41" t="b">
        <v>1</v>
      </c>
      <c r="G272" s="41"/>
      <c r="H272" s="41"/>
      <c r="I272" s="41">
        <v>404</v>
      </c>
      <c r="J272" s="41" t="s">
        <v>160</v>
      </c>
      <c r="K272" s="41" t="s">
        <v>2347</v>
      </c>
      <c r="L272" s="41" t="s">
        <v>2348</v>
      </c>
      <c r="M272" s="41" t="s">
        <v>2308</v>
      </c>
      <c r="N272" s="41" t="s">
        <v>2309</v>
      </c>
      <c r="O272" s="41">
        <v>0</v>
      </c>
      <c r="P272" s="41">
        <v>0</v>
      </c>
    </row>
    <row r="273" spans="1:16" x14ac:dyDescent="0.3">
      <c r="A273" s="41" t="s">
        <v>2304</v>
      </c>
      <c r="B273" s="41" t="s">
        <v>516</v>
      </c>
      <c r="C273" s="41" t="s">
        <v>589</v>
      </c>
      <c r="D273" s="41" t="s">
        <v>851</v>
      </c>
      <c r="E273" s="41"/>
      <c r="F273" s="41" t="b">
        <v>1</v>
      </c>
      <c r="G273" s="41"/>
      <c r="H273" s="41"/>
      <c r="I273" s="41">
        <v>404</v>
      </c>
      <c r="J273" s="41" t="s">
        <v>160</v>
      </c>
      <c r="K273" s="41" t="s">
        <v>2347</v>
      </c>
      <c r="L273" s="41" t="s">
        <v>2349</v>
      </c>
      <c r="M273" s="41" t="s">
        <v>2350</v>
      </c>
      <c r="N273" s="41" t="s">
        <v>2309</v>
      </c>
      <c r="O273" s="41">
        <v>0</v>
      </c>
      <c r="P273" s="41">
        <v>0</v>
      </c>
    </row>
    <row r="274" spans="1:16" x14ac:dyDescent="0.3">
      <c r="A274" s="41" t="s">
        <v>2304</v>
      </c>
      <c r="B274" s="41" t="s">
        <v>519</v>
      </c>
      <c r="C274" s="41" t="s">
        <v>589</v>
      </c>
      <c r="D274" s="41" t="s">
        <v>851</v>
      </c>
      <c r="E274" s="41"/>
      <c r="F274" s="41" t="b">
        <v>1</v>
      </c>
      <c r="G274" s="41"/>
      <c r="H274" s="41"/>
      <c r="I274" s="41">
        <v>404</v>
      </c>
      <c r="J274" s="41" t="s">
        <v>160</v>
      </c>
      <c r="K274" s="41" t="s">
        <v>2347</v>
      </c>
      <c r="L274" s="41" t="s">
        <v>2348</v>
      </c>
      <c r="M274" s="41" t="s">
        <v>2308</v>
      </c>
      <c r="N274" s="41" t="s">
        <v>2309</v>
      </c>
      <c r="O274" s="41">
        <v>0</v>
      </c>
      <c r="P274" s="41">
        <v>0</v>
      </c>
    </row>
    <row r="275" spans="1:16" x14ac:dyDescent="0.3">
      <c r="A275" s="41" t="s">
        <v>2304</v>
      </c>
      <c r="B275" s="41" t="s">
        <v>519</v>
      </c>
      <c r="C275" s="41" t="s">
        <v>589</v>
      </c>
      <c r="D275" s="41" t="s">
        <v>851</v>
      </c>
      <c r="E275" s="41"/>
      <c r="F275" s="41" t="b">
        <v>1</v>
      </c>
      <c r="G275" s="41"/>
      <c r="H275" s="41"/>
      <c r="I275" s="41">
        <v>404</v>
      </c>
      <c r="J275" s="41" t="s">
        <v>160</v>
      </c>
      <c r="K275" s="41" t="s">
        <v>2347</v>
      </c>
      <c r="L275" s="41" t="s">
        <v>2349</v>
      </c>
      <c r="M275" s="41" t="s">
        <v>2350</v>
      </c>
      <c r="N275" s="41" t="s">
        <v>2309</v>
      </c>
      <c r="O275" s="41">
        <v>0</v>
      </c>
      <c r="P275" s="41">
        <v>0</v>
      </c>
    </row>
    <row r="276" spans="1:16" x14ac:dyDescent="0.3">
      <c r="A276" s="41" t="s">
        <v>2304</v>
      </c>
      <c r="B276" s="41" t="s">
        <v>636</v>
      </c>
      <c r="C276" s="41" t="s">
        <v>589</v>
      </c>
      <c r="D276" s="41" t="s">
        <v>851</v>
      </c>
      <c r="E276" s="41"/>
      <c r="F276" s="41" t="b">
        <v>1</v>
      </c>
      <c r="G276" s="41"/>
      <c r="H276" s="41"/>
      <c r="I276" s="41">
        <v>404</v>
      </c>
      <c r="J276" s="41" t="s">
        <v>160</v>
      </c>
      <c r="K276" s="41" t="s">
        <v>2347</v>
      </c>
      <c r="L276" s="41" t="s">
        <v>2348</v>
      </c>
      <c r="M276" s="41" t="s">
        <v>2308</v>
      </c>
      <c r="N276" s="41" t="s">
        <v>2309</v>
      </c>
      <c r="O276" s="41">
        <v>0</v>
      </c>
      <c r="P276" s="41">
        <v>0</v>
      </c>
    </row>
    <row r="277" spans="1:16" x14ac:dyDescent="0.3">
      <c r="A277" s="41" t="s">
        <v>2304</v>
      </c>
      <c r="B277" s="41" t="s">
        <v>636</v>
      </c>
      <c r="C277" s="41" t="s">
        <v>589</v>
      </c>
      <c r="D277" s="41" t="s">
        <v>851</v>
      </c>
      <c r="E277" s="41"/>
      <c r="F277" s="41" t="b">
        <v>1</v>
      </c>
      <c r="G277" s="41"/>
      <c r="H277" s="41"/>
      <c r="I277" s="41">
        <v>404</v>
      </c>
      <c r="J277" s="41" t="s">
        <v>160</v>
      </c>
      <c r="K277" s="41" t="s">
        <v>2347</v>
      </c>
      <c r="L277" s="41" t="s">
        <v>2349</v>
      </c>
      <c r="M277" s="41" t="s">
        <v>2350</v>
      </c>
      <c r="N277" s="41" t="s">
        <v>2309</v>
      </c>
      <c r="O277" s="41">
        <v>0</v>
      </c>
      <c r="P277" s="41">
        <v>0</v>
      </c>
    </row>
    <row r="278" spans="1:16" x14ac:dyDescent="0.3">
      <c r="A278" s="41" t="s">
        <v>2304</v>
      </c>
      <c r="B278" s="41" t="s">
        <v>615</v>
      </c>
      <c r="C278" s="41" t="s">
        <v>589</v>
      </c>
      <c r="D278" s="41" t="s">
        <v>851</v>
      </c>
      <c r="E278" s="41"/>
      <c r="F278" s="41" t="b">
        <v>1</v>
      </c>
      <c r="G278" s="41"/>
      <c r="H278" s="41"/>
      <c r="I278" s="41">
        <v>404</v>
      </c>
      <c r="J278" s="41" t="s">
        <v>160</v>
      </c>
      <c r="K278" s="41" t="s">
        <v>2347</v>
      </c>
      <c r="L278" s="41" t="s">
        <v>2348</v>
      </c>
      <c r="M278" s="41" t="s">
        <v>2308</v>
      </c>
      <c r="N278" s="41" t="s">
        <v>2309</v>
      </c>
      <c r="O278" s="41">
        <v>0</v>
      </c>
      <c r="P278" s="41">
        <v>0</v>
      </c>
    </row>
    <row r="279" spans="1:16" x14ac:dyDescent="0.3">
      <c r="A279" s="41" t="s">
        <v>2304</v>
      </c>
      <c r="B279" s="41" t="s">
        <v>615</v>
      </c>
      <c r="C279" s="41" t="s">
        <v>589</v>
      </c>
      <c r="D279" s="41" t="s">
        <v>851</v>
      </c>
      <c r="E279" s="41"/>
      <c r="F279" s="41" t="b">
        <v>1</v>
      </c>
      <c r="G279" s="41"/>
      <c r="H279" s="41"/>
      <c r="I279" s="41">
        <v>404</v>
      </c>
      <c r="J279" s="41" t="s">
        <v>160</v>
      </c>
      <c r="K279" s="41" t="s">
        <v>2347</v>
      </c>
      <c r="L279" s="41" t="s">
        <v>2349</v>
      </c>
      <c r="M279" s="41" t="s">
        <v>2350</v>
      </c>
      <c r="N279" s="41" t="s">
        <v>2309</v>
      </c>
      <c r="O279" s="41">
        <v>0</v>
      </c>
      <c r="P279" s="41">
        <v>0</v>
      </c>
    </row>
    <row r="280" spans="1:16" x14ac:dyDescent="0.3">
      <c r="A280" s="41" t="s">
        <v>2304</v>
      </c>
      <c r="B280" s="41" t="s">
        <v>638</v>
      </c>
      <c r="C280" s="41" t="s">
        <v>589</v>
      </c>
      <c r="D280" s="41" t="s">
        <v>851</v>
      </c>
      <c r="E280" s="41"/>
      <c r="F280" s="41" t="b">
        <v>1</v>
      </c>
      <c r="G280" s="41"/>
      <c r="H280" s="41"/>
      <c r="I280" s="41">
        <v>404</v>
      </c>
      <c r="J280" s="41" t="s">
        <v>160</v>
      </c>
      <c r="K280" s="41" t="s">
        <v>2347</v>
      </c>
      <c r="L280" s="41" t="s">
        <v>2348</v>
      </c>
      <c r="M280" s="41" t="s">
        <v>2308</v>
      </c>
      <c r="N280" s="41" t="s">
        <v>2309</v>
      </c>
      <c r="O280" s="41">
        <v>0</v>
      </c>
      <c r="P280" s="41">
        <v>0</v>
      </c>
    </row>
    <row r="281" spans="1:16" x14ac:dyDescent="0.3">
      <c r="A281" s="41" t="s">
        <v>2304</v>
      </c>
      <c r="B281" s="41" t="s">
        <v>638</v>
      </c>
      <c r="C281" s="41" t="s">
        <v>589</v>
      </c>
      <c r="D281" s="41" t="s">
        <v>851</v>
      </c>
      <c r="E281" s="41"/>
      <c r="F281" s="41" t="b">
        <v>1</v>
      </c>
      <c r="G281" s="41"/>
      <c r="H281" s="41"/>
      <c r="I281" s="41">
        <v>404</v>
      </c>
      <c r="J281" s="41" t="s">
        <v>160</v>
      </c>
      <c r="K281" s="41" t="s">
        <v>2347</v>
      </c>
      <c r="L281" s="41" t="s">
        <v>2349</v>
      </c>
      <c r="M281" s="41" t="s">
        <v>2350</v>
      </c>
      <c r="N281" s="41" t="s">
        <v>2309</v>
      </c>
      <c r="O281" s="41">
        <v>0</v>
      </c>
      <c r="P281" s="41">
        <v>0</v>
      </c>
    </row>
    <row r="282" spans="1:16" x14ac:dyDescent="0.3">
      <c r="A282" s="41" t="s">
        <v>2304</v>
      </c>
      <c r="B282" s="41" t="s">
        <v>307</v>
      </c>
      <c r="C282" s="41" t="s">
        <v>433</v>
      </c>
      <c r="D282" s="41" t="s">
        <v>2394</v>
      </c>
      <c r="E282" s="41"/>
      <c r="F282" s="41" t="b">
        <v>1</v>
      </c>
      <c r="G282" s="41" t="s">
        <v>2305</v>
      </c>
      <c r="H282" s="41"/>
      <c r="I282" s="41">
        <v>404</v>
      </c>
      <c r="J282" s="41" t="s">
        <v>160</v>
      </c>
      <c r="K282" s="41" t="s">
        <v>2306</v>
      </c>
      <c r="L282" s="41" t="s">
        <v>2351</v>
      </c>
      <c r="M282" s="41" t="s">
        <v>2308</v>
      </c>
      <c r="N282" s="41" t="s">
        <v>2309</v>
      </c>
      <c r="O282" s="41">
        <v>0</v>
      </c>
      <c r="P282" s="41">
        <v>0</v>
      </c>
    </row>
    <row r="283" spans="1:16" x14ac:dyDescent="0.3">
      <c r="A283" s="41" t="s">
        <v>2304</v>
      </c>
      <c r="B283" s="41" t="s">
        <v>283</v>
      </c>
      <c r="C283" s="41" t="s">
        <v>433</v>
      </c>
      <c r="D283" s="41" t="s">
        <v>2394</v>
      </c>
      <c r="E283" s="41"/>
      <c r="F283" s="41" t="b">
        <v>1</v>
      </c>
      <c r="G283" s="41" t="s">
        <v>2305</v>
      </c>
      <c r="H283" s="41"/>
      <c r="I283" s="41">
        <v>404</v>
      </c>
      <c r="J283" s="41" t="s">
        <v>160</v>
      </c>
      <c r="K283" s="41" t="s">
        <v>2306</v>
      </c>
      <c r="L283" s="41" t="s">
        <v>2352</v>
      </c>
      <c r="M283" s="41" t="s">
        <v>2308</v>
      </c>
      <c r="N283" s="41" t="s">
        <v>2309</v>
      </c>
      <c r="O283" s="41">
        <v>0</v>
      </c>
      <c r="P283" s="41">
        <v>0</v>
      </c>
    </row>
    <row r="284" spans="1:16" x14ac:dyDescent="0.3">
      <c r="A284" s="41" t="s">
        <v>2304</v>
      </c>
      <c r="B284" s="41" t="s">
        <v>299</v>
      </c>
      <c r="C284" s="41" t="s">
        <v>433</v>
      </c>
      <c r="D284" s="41" t="s">
        <v>2394</v>
      </c>
      <c r="E284" s="41"/>
      <c r="F284" s="41" t="b">
        <v>1</v>
      </c>
      <c r="G284" s="41" t="s">
        <v>2305</v>
      </c>
      <c r="H284" s="41"/>
      <c r="I284" s="41">
        <v>404</v>
      </c>
      <c r="J284" s="41" t="s">
        <v>160</v>
      </c>
      <c r="K284" s="41" t="s">
        <v>2306</v>
      </c>
      <c r="L284" s="41" t="s">
        <v>2353</v>
      </c>
      <c r="M284" s="41" t="s">
        <v>2308</v>
      </c>
      <c r="N284" s="41" t="s">
        <v>2309</v>
      </c>
      <c r="O284" s="41">
        <v>0</v>
      </c>
      <c r="P284" s="41">
        <v>0</v>
      </c>
    </row>
    <row r="285" spans="1:16" x14ac:dyDescent="0.3">
      <c r="A285" s="41" t="s">
        <v>2304</v>
      </c>
      <c r="B285" s="41" t="s">
        <v>363</v>
      </c>
      <c r="C285" s="41" t="s">
        <v>423</v>
      </c>
      <c r="D285" s="41" t="s">
        <v>2395</v>
      </c>
      <c r="E285" s="41"/>
      <c r="F285" s="41" t="b">
        <v>1</v>
      </c>
      <c r="G285" s="41" t="s">
        <v>2305</v>
      </c>
      <c r="H285" s="41"/>
      <c r="I285" s="41">
        <v>404</v>
      </c>
      <c r="J285" s="41" t="s">
        <v>160</v>
      </c>
      <c r="K285" s="41" t="s">
        <v>2306</v>
      </c>
      <c r="L285" s="41" t="s">
        <v>2354</v>
      </c>
      <c r="M285" s="41" t="s">
        <v>2308</v>
      </c>
      <c r="N285" s="41" t="s">
        <v>2309</v>
      </c>
      <c r="O285" s="41">
        <v>0</v>
      </c>
      <c r="P285" s="41">
        <v>0</v>
      </c>
    </row>
    <row r="286" spans="1:16" x14ac:dyDescent="0.3">
      <c r="A286" s="41" t="s">
        <v>2304</v>
      </c>
      <c r="B286" s="41" t="s">
        <v>213</v>
      </c>
      <c r="C286" s="41" t="s">
        <v>248</v>
      </c>
      <c r="D286" s="41"/>
      <c r="E286" s="41"/>
      <c r="F286" s="41" t="b">
        <v>1</v>
      </c>
      <c r="G286" s="41"/>
      <c r="H286" s="41"/>
      <c r="I286" s="41">
        <v>404</v>
      </c>
      <c r="J286" s="41" t="s">
        <v>160</v>
      </c>
      <c r="K286" s="41" t="s">
        <v>2306</v>
      </c>
      <c r="L286" s="41" t="s">
        <v>2355</v>
      </c>
      <c r="M286" s="41" t="s">
        <v>2308</v>
      </c>
      <c r="N286" s="41" t="s">
        <v>2309</v>
      </c>
      <c r="O286" s="41">
        <v>0</v>
      </c>
      <c r="P286" s="41">
        <v>0</v>
      </c>
    </row>
    <row r="287" spans="1:16" x14ac:dyDescent="0.3">
      <c r="A287" s="41" t="s">
        <v>2304</v>
      </c>
      <c r="B287" s="41" t="s">
        <v>213</v>
      </c>
      <c r="C287" s="41" t="s">
        <v>248</v>
      </c>
      <c r="D287" s="41"/>
      <c r="E287" s="41"/>
      <c r="F287" s="41" t="b">
        <v>1</v>
      </c>
      <c r="G287" s="41"/>
      <c r="H287" s="41"/>
      <c r="I287" s="41">
        <v>404</v>
      </c>
      <c r="J287" s="41" t="s">
        <v>160</v>
      </c>
      <c r="K287" s="41" t="s">
        <v>2306</v>
      </c>
      <c r="L287" s="41" t="s">
        <v>2356</v>
      </c>
      <c r="M287" s="41" t="s">
        <v>2308</v>
      </c>
      <c r="N287" s="41" t="s">
        <v>2309</v>
      </c>
      <c r="O287" s="41">
        <v>0</v>
      </c>
      <c r="P287" s="41">
        <v>0</v>
      </c>
    </row>
    <row r="288" spans="1:16" x14ac:dyDescent="0.3">
      <c r="A288" s="41" t="s">
        <v>2304</v>
      </c>
      <c r="B288" s="41" t="s">
        <v>213</v>
      </c>
      <c r="C288" s="41" t="s">
        <v>248</v>
      </c>
      <c r="D288" s="41"/>
      <c r="E288" s="41"/>
      <c r="F288" s="41" t="b">
        <v>1</v>
      </c>
      <c r="G288" s="41"/>
      <c r="H288" s="41"/>
      <c r="I288" s="41">
        <v>404</v>
      </c>
      <c r="J288" s="41" t="s">
        <v>160</v>
      </c>
      <c r="K288" s="41" t="s">
        <v>2306</v>
      </c>
      <c r="L288" s="41" t="s">
        <v>2357</v>
      </c>
      <c r="M288" s="41" t="s">
        <v>2308</v>
      </c>
      <c r="N288" s="41" t="s">
        <v>2309</v>
      </c>
      <c r="O288" s="41">
        <v>0</v>
      </c>
      <c r="P288" s="41">
        <v>0</v>
      </c>
    </row>
    <row r="289" spans="1:16" x14ac:dyDescent="0.3">
      <c r="A289" s="41" t="s">
        <v>2304</v>
      </c>
      <c r="B289" s="41" t="s">
        <v>213</v>
      </c>
      <c r="C289" s="41" t="s">
        <v>248</v>
      </c>
      <c r="D289" s="41"/>
      <c r="E289" s="41"/>
      <c r="F289" s="41" t="b">
        <v>1</v>
      </c>
      <c r="G289" s="41"/>
      <c r="H289" s="41"/>
      <c r="I289" s="41">
        <v>404</v>
      </c>
      <c r="J289" s="41" t="s">
        <v>160</v>
      </c>
      <c r="K289" s="41" t="s">
        <v>2306</v>
      </c>
      <c r="L289" s="41" t="s">
        <v>2358</v>
      </c>
      <c r="M289" s="41" t="s">
        <v>2308</v>
      </c>
      <c r="N289" s="41" t="s">
        <v>2309</v>
      </c>
      <c r="O289" s="41">
        <v>0</v>
      </c>
      <c r="P289" s="41">
        <v>0</v>
      </c>
    </row>
    <row r="290" spans="1:16" x14ac:dyDescent="0.3">
      <c r="A290" s="41" t="s">
        <v>2304</v>
      </c>
      <c r="B290" s="41" t="s">
        <v>213</v>
      </c>
      <c r="C290" s="41" t="s">
        <v>248</v>
      </c>
      <c r="D290" s="41"/>
      <c r="E290" s="41"/>
      <c r="F290" s="41" t="b">
        <v>1</v>
      </c>
      <c r="G290" s="41"/>
      <c r="H290" s="41"/>
      <c r="I290" s="41">
        <v>404</v>
      </c>
      <c r="J290" s="41" t="s">
        <v>160</v>
      </c>
      <c r="K290" s="41" t="s">
        <v>2306</v>
      </c>
      <c r="L290" s="41" t="s">
        <v>2359</v>
      </c>
      <c r="M290" s="41" t="s">
        <v>2308</v>
      </c>
      <c r="N290" s="41" t="s">
        <v>2309</v>
      </c>
      <c r="O290" s="41">
        <v>0</v>
      </c>
      <c r="P290" s="41">
        <v>0</v>
      </c>
    </row>
    <row r="291" spans="1:16" x14ac:dyDescent="0.3">
      <c r="A291" s="41" t="s">
        <v>2304</v>
      </c>
      <c r="B291" s="41" t="s">
        <v>206</v>
      </c>
      <c r="C291" s="41" t="s">
        <v>248</v>
      </c>
      <c r="D291" s="41"/>
      <c r="E291" s="41"/>
      <c r="F291" s="41" t="b">
        <v>1</v>
      </c>
      <c r="G291" s="41"/>
      <c r="H291" s="41"/>
      <c r="I291" s="41">
        <v>404</v>
      </c>
      <c r="J291" s="41" t="s">
        <v>160</v>
      </c>
      <c r="K291" s="41" t="s">
        <v>2306</v>
      </c>
      <c r="L291" s="41" t="s">
        <v>2360</v>
      </c>
      <c r="M291" s="41" t="s">
        <v>2308</v>
      </c>
      <c r="N291" s="41" t="s">
        <v>2309</v>
      </c>
      <c r="O291" s="41">
        <v>0</v>
      </c>
      <c r="P291" s="41">
        <v>0</v>
      </c>
    </row>
    <row r="292" spans="1:16" x14ac:dyDescent="0.3">
      <c r="A292" s="41" t="s">
        <v>2304</v>
      </c>
      <c r="B292" s="41" t="s">
        <v>386</v>
      </c>
      <c r="C292" s="41" t="s">
        <v>431</v>
      </c>
      <c r="D292" s="41" t="s">
        <v>2396</v>
      </c>
      <c r="E292" s="41"/>
      <c r="F292" s="41" t="b">
        <v>1</v>
      </c>
      <c r="G292" s="41" t="s">
        <v>2305</v>
      </c>
      <c r="H292" s="41"/>
      <c r="I292" s="41">
        <v>404</v>
      </c>
      <c r="J292" s="41" t="s">
        <v>160</v>
      </c>
      <c r="K292" s="41" t="s">
        <v>2306</v>
      </c>
      <c r="L292" s="41" t="s">
        <v>2361</v>
      </c>
      <c r="M292" s="41" t="s">
        <v>2308</v>
      </c>
      <c r="N292" s="41" t="s">
        <v>2309</v>
      </c>
      <c r="O292" s="41">
        <v>0</v>
      </c>
      <c r="P292" s="41">
        <v>0</v>
      </c>
    </row>
    <row r="293" spans="1:16" x14ac:dyDescent="0.3">
      <c r="A293" s="41" t="s">
        <v>2304</v>
      </c>
      <c r="B293" s="41" t="s">
        <v>386</v>
      </c>
      <c r="C293" s="41" t="s">
        <v>431</v>
      </c>
      <c r="D293" s="41"/>
      <c r="E293" s="41"/>
      <c r="F293" s="41" t="b">
        <v>1</v>
      </c>
      <c r="G293" s="41"/>
      <c r="H293" s="41"/>
      <c r="I293" s="41">
        <v>404</v>
      </c>
      <c r="J293" s="41" t="s">
        <v>160</v>
      </c>
      <c r="K293" s="41" t="s">
        <v>2306</v>
      </c>
      <c r="L293" s="41" t="s">
        <v>2362</v>
      </c>
      <c r="M293" s="41" t="s">
        <v>2308</v>
      </c>
      <c r="N293" s="41" t="s">
        <v>2309</v>
      </c>
      <c r="O293" s="41">
        <v>0</v>
      </c>
      <c r="P293" s="41">
        <v>0</v>
      </c>
    </row>
    <row r="294" spans="1:16" x14ac:dyDescent="0.3">
      <c r="A294" s="41" t="s">
        <v>2304</v>
      </c>
      <c r="B294" s="41" t="s">
        <v>386</v>
      </c>
      <c r="C294" s="41" t="s">
        <v>431</v>
      </c>
      <c r="D294" s="41"/>
      <c r="E294" s="41"/>
      <c r="F294" s="41" t="b">
        <v>1</v>
      </c>
      <c r="G294" s="41"/>
      <c r="H294" s="41"/>
      <c r="I294" s="41">
        <v>404</v>
      </c>
      <c r="J294" s="41" t="s">
        <v>160</v>
      </c>
      <c r="K294" s="41" t="s">
        <v>2306</v>
      </c>
      <c r="L294" s="41" t="s">
        <v>2363</v>
      </c>
      <c r="M294" s="41" t="s">
        <v>2308</v>
      </c>
      <c r="N294" s="41" t="s">
        <v>2309</v>
      </c>
      <c r="O294" s="41">
        <v>0</v>
      </c>
      <c r="P294" s="41">
        <v>0</v>
      </c>
    </row>
    <row r="295" spans="1:16" x14ac:dyDescent="0.3">
      <c r="A295" s="41" t="s">
        <v>2304</v>
      </c>
      <c r="B295" s="41" t="s">
        <v>386</v>
      </c>
      <c r="C295" s="41" t="s">
        <v>431</v>
      </c>
      <c r="D295" s="41"/>
      <c r="E295" s="41"/>
      <c r="F295" s="41" t="b">
        <v>1</v>
      </c>
      <c r="G295" s="41"/>
      <c r="H295" s="41"/>
      <c r="I295" s="41">
        <v>404</v>
      </c>
      <c r="J295" s="41" t="s">
        <v>160</v>
      </c>
      <c r="K295" s="41" t="s">
        <v>2306</v>
      </c>
      <c r="L295" s="41" t="s">
        <v>2364</v>
      </c>
      <c r="M295" s="41" t="s">
        <v>2308</v>
      </c>
      <c r="N295" s="41" t="s">
        <v>2309</v>
      </c>
      <c r="O295" s="41">
        <v>0</v>
      </c>
      <c r="P295" s="41">
        <v>0</v>
      </c>
    </row>
    <row r="296" spans="1:16" x14ac:dyDescent="0.3">
      <c r="A296" s="41" t="s">
        <v>2304</v>
      </c>
      <c r="B296" s="41" t="s">
        <v>386</v>
      </c>
      <c r="C296" s="41" t="s">
        <v>431</v>
      </c>
      <c r="D296" s="41"/>
      <c r="E296" s="41"/>
      <c r="F296" s="41" t="b">
        <v>1</v>
      </c>
      <c r="G296" s="41"/>
      <c r="H296" s="41"/>
      <c r="I296" s="41">
        <v>404</v>
      </c>
      <c r="J296" s="41" t="s">
        <v>160</v>
      </c>
      <c r="K296" s="41" t="s">
        <v>2306</v>
      </c>
      <c r="L296" s="41" t="s">
        <v>2365</v>
      </c>
      <c r="M296" s="41" t="s">
        <v>2308</v>
      </c>
      <c r="N296" s="41" t="s">
        <v>2309</v>
      </c>
      <c r="O296" s="41">
        <v>0</v>
      </c>
      <c r="P296" s="41">
        <v>0</v>
      </c>
    </row>
    <row r="297" spans="1:16" x14ac:dyDescent="0.3">
      <c r="A297" s="41" t="s">
        <v>2304</v>
      </c>
      <c r="B297" s="41" t="s">
        <v>386</v>
      </c>
      <c r="C297" s="41" t="s">
        <v>431</v>
      </c>
      <c r="D297" s="41"/>
      <c r="E297" s="41"/>
      <c r="F297" s="41" t="b">
        <v>1</v>
      </c>
      <c r="G297" s="41"/>
      <c r="H297" s="41"/>
      <c r="I297" s="41">
        <v>404</v>
      </c>
      <c r="J297" s="41" t="s">
        <v>160</v>
      </c>
      <c r="K297" s="41" t="s">
        <v>2306</v>
      </c>
      <c r="L297" s="41" t="s">
        <v>2333</v>
      </c>
      <c r="M297" s="41" t="s">
        <v>2308</v>
      </c>
      <c r="N297" s="41" t="s">
        <v>2309</v>
      </c>
      <c r="O297" s="41">
        <v>0</v>
      </c>
      <c r="P297" s="41">
        <v>0</v>
      </c>
    </row>
    <row r="298" spans="1:16" x14ac:dyDescent="0.3">
      <c r="A298" s="41" t="s">
        <v>2304</v>
      </c>
      <c r="B298" s="41" t="s">
        <v>386</v>
      </c>
      <c r="C298" s="41" t="s">
        <v>431</v>
      </c>
      <c r="D298" s="41"/>
      <c r="E298" s="41"/>
      <c r="F298" s="41" t="b">
        <v>1</v>
      </c>
      <c r="G298" s="41"/>
      <c r="H298" s="41"/>
      <c r="I298" s="41">
        <v>404</v>
      </c>
      <c r="J298" s="41" t="s">
        <v>160</v>
      </c>
      <c r="K298" s="41" t="s">
        <v>2306</v>
      </c>
      <c r="L298" s="41" t="s">
        <v>2366</v>
      </c>
      <c r="M298" s="41" t="s">
        <v>2308</v>
      </c>
      <c r="N298" s="41" t="s">
        <v>2309</v>
      </c>
      <c r="O298" s="41">
        <v>0</v>
      </c>
      <c r="P298" s="41">
        <v>0</v>
      </c>
    </row>
    <row r="299" spans="1:16" x14ac:dyDescent="0.3">
      <c r="A299" s="41" t="s">
        <v>2304</v>
      </c>
      <c r="B299" s="41" t="s">
        <v>927</v>
      </c>
      <c r="C299" s="41" t="s">
        <v>159</v>
      </c>
      <c r="D299" s="41" t="s">
        <v>2367</v>
      </c>
      <c r="E299" s="41"/>
      <c r="F299" s="41" t="b">
        <v>1</v>
      </c>
      <c r="G299" s="41" t="s">
        <v>2305</v>
      </c>
      <c r="H299" s="41"/>
      <c r="I299" s="41">
        <v>404</v>
      </c>
      <c r="J299" s="41" t="s">
        <v>160</v>
      </c>
      <c r="K299" s="41" t="s">
        <v>2347</v>
      </c>
      <c r="L299" s="41" t="s">
        <v>2368</v>
      </c>
      <c r="M299" s="41" t="s">
        <v>2308</v>
      </c>
      <c r="N299" s="41" t="s">
        <v>2309</v>
      </c>
      <c r="O299" s="41">
        <v>0</v>
      </c>
      <c r="P299" s="41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P18"/>
  <sheetViews>
    <sheetView workbookViewId="0">
      <selection activeCell="G19" sqref="G19"/>
    </sheetView>
  </sheetViews>
  <sheetFormatPr defaultRowHeight="16.5" x14ac:dyDescent="0.3"/>
  <cols>
    <col min="1" max="1" width="7.5" bestFit="1" customWidth="1"/>
    <col min="2" max="2" width="41.625" bestFit="1" customWidth="1"/>
    <col min="3" max="3" width="40.875" bestFit="1" customWidth="1"/>
    <col min="4" max="4" width="9.75" bestFit="1" customWidth="1"/>
    <col min="5" max="5" width="6.625" bestFit="1" customWidth="1"/>
    <col min="6" max="6" width="5.875" bestFit="1" customWidth="1"/>
    <col min="7" max="7" width="5.625" bestFit="1" customWidth="1"/>
    <col min="8" max="8" width="3.5" bestFit="1" customWidth="1"/>
    <col min="9" max="9" width="9.375" bestFit="1" customWidth="1"/>
    <col min="10" max="10" width="5.5" bestFit="1" customWidth="1"/>
    <col min="11" max="11" width="10.25" bestFit="1" customWidth="1"/>
    <col min="12" max="12" width="119.5" bestFit="1" customWidth="1"/>
    <col min="13" max="13" width="10.125" bestFit="1" customWidth="1"/>
    <col min="14" max="14" width="8.875" bestFit="1" customWidth="1"/>
    <col min="15" max="15" width="4" bestFit="1" customWidth="1"/>
    <col min="16" max="16" width="8.875" bestFit="1" customWidth="1"/>
  </cols>
  <sheetData>
    <row r="1" spans="1:16" x14ac:dyDescent="0.3">
      <c r="A1" s="40" t="s">
        <v>2290</v>
      </c>
      <c r="B1" s="40" t="s">
        <v>2291</v>
      </c>
      <c r="C1" s="40" t="s">
        <v>2292</v>
      </c>
      <c r="D1" s="40" t="s">
        <v>2293</v>
      </c>
      <c r="E1" s="40" t="s">
        <v>2294</v>
      </c>
      <c r="F1" s="40" t="s">
        <v>2295</v>
      </c>
      <c r="G1" s="40" t="s">
        <v>2296</v>
      </c>
      <c r="H1" s="40" t="s">
        <v>2297</v>
      </c>
      <c r="I1" s="40" t="s">
        <v>13</v>
      </c>
      <c r="J1" s="40" t="s">
        <v>74</v>
      </c>
      <c r="K1" s="40" t="s">
        <v>2298</v>
      </c>
      <c r="L1" s="40" t="s">
        <v>2299</v>
      </c>
      <c r="M1" s="40" t="s">
        <v>2300</v>
      </c>
      <c r="N1" s="40" t="s">
        <v>2301</v>
      </c>
      <c r="O1" s="40" t="s">
        <v>2302</v>
      </c>
      <c r="P1" s="40" t="s">
        <v>2303</v>
      </c>
    </row>
    <row r="2" spans="1:16" x14ac:dyDescent="0.3">
      <c r="A2" s="41" t="s">
        <v>2304</v>
      </c>
      <c r="B2" s="41" t="s">
        <v>953</v>
      </c>
      <c r="C2" s="41" t="s">
        <v>164</v>
      </c>
      <c r="D2" s="41" t="s">
        <v>2369</v>
      </c>
      <c r="E2" s="41"/>
      <c r="F2" s="41" t="b">
        <v>1</v>
      </c>
      <c r="G2" s="41"/>
      <c r="H2" s="41"/>
      <c r="I2" s="41">
        <v>302</v>
      </c>
      <c r="J2" s="41" t="s">
        <v>165</v>
      </c>
      <c r="K2" s="41" t="s">
        <v>2347</v>
      </c>
      <c r="L2" s="41" t="s">
        <v>2370</v>
      </c>
      <c r="M2" s="41" t="s">
        <v>2308</v>
      </c>
      <c r="N2" s="41" t="s">
        <v>2309</v>
      </c>
      <c r="O2" s="41">
        <v>0</v>
      </c>
      <c r="P2" s="41">
        <v>0</v>
      </c>
    </row>
    <row r="3" spans="1:16" x14ac:dyDescent="0.3">
      <c r="A3" s="41" t="s">
        <v>2304</v>
      </c>
      <c r="B3" s="41" t="s">
        <v>946</v>
      </c>
      <c r="C3" s="41" t="s">
        <v>164</v>
      </c>
      <c r="D3" s="41" t="s">
        <v>2369</v>
      </c>
      <c r="E3" s="41"/>
      <c r="F3" s="41" t="b">
        <v>1</v>
      </c>
      <c r="G3" s="41"/>
      <c r="H3" s="41"/>
      <c r="I3" s="41">
        <v>302</v>
      </c>
      <c r="J3" s="41" t="s">
        <v>165</v>
      </c>
      <c r="K3" s="41" t="s">
        <v>2347</v>
      </c>
      <c r="L3" s="41" t="s">
        <v>2371</v>
      </c>
      <c r="M3" s="41" t="s">
        <v>2372</v>
      </c>
      <c r="N3" s="41" t="s">
        <v>2309</v>
      </c>
      <c r="O3" s="41">
        <v>0</v>
      </c>
      <c r="P3" s="41">
        <v>0</v>
      </c>
    </row>
    <row r="4" spans="1:16" x14ac:dyDescent="0.3">
      <c r="A4" s="41" t="s">
        <v>2304</v>
      </c>
      <c r="B4" s="41" t="s">
        <v>946</v>
      </c>
      <c r="C4" s="41" t="s">
        <v>164</v>
      </c>
      <c r="D4" s="41" t="s">
        <v>2369</v>
      </c>
      <c r="E4" s="41"/>
      <c r="F4" s="41" t="b">
        <v>1</v>
      </c>
      <c r="G4" s="41"/>
      <c r="H4" s="41"/>
      <c r="I4" s="41">
        <v>302</v>
      </c>
      <c r="J4" s="41" t="s">
        <v>165</v>
      </c>
      <c r="K4" s="41" t="s">
        <v>2347</v>
      </c>
      <c r="L4" s="41" t="s">
        <v>2373</v>
      </c>
      <c r="M4" s="41" t="s">
        <v>2372</v>
      </c>
      <c r="N4" s="41" t="s">
        <v>2309</v>
      </c>
      <c r="O4" s="41">
        <v>0</v>
      </c>
      <c r="P4" s="41">
        <v>0</v>
      </c>
    </row>
    <row r="5" spans="1:16" x14ac:dyDescent="0.3">
      <c r="A5" s="41" t="s">
        <v>2304</v>
      </c>
      <c r="B5" s="41" t="s">
        <v>946</v>
      </c>
      <c r="C5" s="41" t="s">
        <v>164</v>
      </c>
      <c r="D5" s="41" t="s">
        <v>2369</v>
      </c>
      <c r="E5" s="41"/>
      <c r="F5" s="41" t="b">
        <v>1</v>
      </c>
      <c r="G5" s="41"/>
      <c r="H5" s="41"/>
      <c r="I5" s="41">
        <v>302</v>
      </c>
      <c r="J5" s="41" t="s">
        <v>165</v>
      </c>
      <c r="K5" s="41" t="s">
        <v>2347</v>
      </c>
      <c r="L5" s="41" t="s">
        <v>2374</v>
      </c>
      <c r="M5" s="41" t="s">
        <v>2372</v>
      </c>
      <c r="N5" s="41" t="s">
        <v>2309</v>
      </c>
      <c r="O5" s="41">
        <v>0</v>
      </c>
      <c r="P5" s="41">
        <v>0</v>
      </c>
    </row>
    <row r="6" spans="1:16" x14ac:dyDescent="0.3">
      <c r="A6" s="41" t="s">
        <v>2304</v>
      </c>
      <c r="B6" s="41" t="s">
        <v>944</v>
      </c>
      <c r="C6" s="41" t="s">
        <v>164</v>
      </c>
      <c r="D6" s="41" t="s">
        <v>2369</v>
      </c>
      <c r="E6" s="41"/>
      <c r="F6" s="41" t="b">
        <v>1</v>
      </c>
      <c r="G6" s="41"/>
      <c r="H6" s="41"/>
      <c r="I6" s="41">
        <v>302</v>
      </c>
      <c r="J6" s="41" t="s">
        <v>165</v>
      </c>
      <c r="K6" s="41" t="s">
        <v>2347</v>
      </c>
      <c r="L6" s="41" t="s">
        <v>2371</v>
      </c>
      <c r="M6" s="41" t="s">
        <v>2372</v>
      </c>
      <c r="N6" s="41" t="s">
        <v>2309</v>
      </c>
      <c r="O6" s="41">
        <v>0</v>
      </c>
      <c r="P6" s="41">
        <v>0</v>
      </c>
    </row>
    <row r="7" spans="1:16" x14ac:dyDescent="0.3">
      <c r="A7" s="41" t="s">
        <v>2304</v>
      </c>
      <c r="B7" s="41" t="s">
        <v>944</v>
      </c>
      <c r="C7" s="41" t="s">
        <v>164</v>
      </c>
      <c r="D7" s="41" t="s">
        <v>2369</v>
      </c>
      <c r="E7" s="41"/>
      <c r="F7" s="41" t="b">
        <v>1</v>
      </c>
      <c r="G7" s="41"/>
      <c r="H7" s="41"/>
      <c r="I7" s="41">
        <v>302</v>
      </c>
      <c r="J7" s="41" t="s">
        <v>165</v>
      </c>
      <c r="K7" s="41" t="s">
        <v>2347</v>
      </c>
      <c r="L7" s="41" t="s">
        <v>2373</v>
      </c>
      <c r="M7" s="41" t="s">
        <v>2372</v>
      </c>
      <c r="N7" s="41" t="s">
        <v>2309</v>
      </c>
      <c r="O7" s="41">
        <v>0</v>
      </c>
      <c r="P7" s="41">
        <v>0</v>
      </c>
    </row>
    <row r="8" spans="1:16" x14ac:dyDescent="0.3">
      <c r="A8" s="41" t="s">
        <v>2304</v>
      </c>
      <c r="B8" s="41" t="s">
        <v>944</v>
      </c>
      <c r="C8" s="41" t="s">
        <v>164</v>
      </c>
      <c r="D8" s="41" t="s">
        <v>2369</v>
      </c>
      <c r="E8" s="41"/>
      <c r="F8" s="41" t="b">
        <v>1</v>
      </c>
      <c r="G8" s="41"/>
      <c r="H8" s="41"/>
      <c r="I8" s="41">
        <v>302</v>
      </c>
      <c r="J8" s="41" t="s">
        <v>165</v>
      </c>
      <c r="K8" s="41" t="s">
        <v>2347</v>
      </c>
      <c r="L8" s="41" t="s">
        <v>2374</v>
      </c>
      <c r="M8" s="41" t="s">
        <v>2372</v>
      </c>
      <c r="N8" s="41" t="s">
        <v>2309</v>
      </c>
      <c r="O8" s="41">
        <v>0</v>
      </c>
      <c r="P8" s="41">
        <v>0</v>
      </c>
    </row>
    <row r="9" spans="1:16" x14ac:dyDescent="0.3">
      <c r="A9" s="41" t="s">
        <v>2304</v>
      </c>
      <c r="B9" s="41" t="s">
        <v>912</v>
      </c>
      <c r="C9" s="41" t="s">
        <v>164</v>
      </c>
      <c r="D9" s="41" t="s">
        <v>2369</v>
      </c>
      <c r="E9" s="41"/>
      <c r="F9" s="41" t="b">
        <v>1</v>
      </c>
      <c r="G9" s="41"/>
      <c r="H9" s="41"/>
      <c r="I9" s="41">
        <v>302</v>
      </c>
      <c r="J9" s="41" t="s">
        <v>165</v>
      </c>
      <c r="K9" s="41" t="s">
        <v>2347</v>
      </c>
      <c r="L9" s="41" t="s">
        <v>2371</v>
      </c>
      <c r="M9" s="41" t="s">
        <v>2372</v>
      </c>
      <c r="N9" s="41" t="s">
        <v>2309</v>
      </c>
      <c r="O9" s="41">
        <v>0</v>
      </c>
      <c r="P9" s="41">
        <v>0</v>
      </c>
    </row>
    <row r="10" spans="1:16" x14ac:dyDescent="0.3">
      <c r="A10" s="41" t="s">
        <v>2304</v>
      </c>
      <c r="B10" s="41" t="s">
        <v>912</v>
      </c>
      <c r="C10" s="41" t="s">
        <v>164</v>
      </c>
      <c r="D10" s="41" t="s">
        <v>2369</v>
      </c>
      <c r="E10" s="41"/>
      <c r="F10" s="41" t="b">
        <v>1</v>
      </c>
      <c r="G10" s="41"/>
      <c r="H10" s="41"/>
      <c r="I10" s="41">
        <v>302</v>
      </c>
      <c r="J10" s="41" t="s">
        <v>165</v>
      </c>
      <c r="K10" s="41" t="s">
        <v>2347</v>
      </c>
      <c r="L10" s="41" t="s">
        <v>2373</v>
      </c>
      <c r="M10" s="41" t="s">
        <v>2372</v>
      </c>
      <c r="N10" s="41" t="s">
        <v>2309</v>
      </c>
      <c r="O10" s="41">
        <v>0</v>
      </c>
      <c r="P10" s="41">
        <v>0</v>
      </c>
    </row>
    <row r="11" spans="1:16" x14ac:dyDescent="0.3">
      <c r="A11" s="41" t="s">
        <v>2304</v>
      </c>
      <c r="B11" s="41" t="s">
        <v>912</v>
      </c>
      <c r="C11" s="41" t="s">
        <v>164</v>
      </c>
      <c r="D11" s="41" t="s">
        <v>2369</v>
      </c>
      <c r="E11" s="41"/>
      <c r="F11" s="41" t="b">
        <v>1</v>
      </c>
      <c r="G11" s="41"/>
      <c r="H11" s="41"/>
      <c r="I11" s="41">
        <v>302</v>
      </c>
      <c r="J11" s="41" t="s">
        <v>165</v>
      </c>
      <c r="K11" s="41" t="s">
        <v>2347</v>
      </c>
      <c r="L11" s="41" t="s">
        <v>2374</v>
      </c>
      <c r="M11" s="41" t="s">
        <v>2372</v>
      </c>
      <c r="N11" s="41" t="s">
        <v>2309</v>
      </c>
      <c r="O11" s="41">
        <v>0</v>
      </c>
      <c r="P11" s="41">
        <v>0</v>
      </c>
    </row>
    <row r="12" spans="1:16" x14ac:dyDescent="0.3">
      <c r="A12" s="41" t="s">
        <v>2304</v>
      </c>
      <c r="B12" s="41" t="s">
        <v>953</v>
      </c>
      <c r="C12" s="41" t="s">
        <v>170</v>
      </c>
      <c r="D12" s="41" t="s">
        <v>2375</v>
      </c>
      <c r="E12" s="41"/>
      <c r="F12" s="41" t="b">
        <v>1</v>
      </c>
      <c r="G12" s="41"/>
      <c r="H12" s="41"/>
      <c r="I12" s="41">
        <v>302</v>
      </c>
      <c r="J12" s="41" t="s">
        <v>165</v>
      </c>
      <c r="K12" s="41" t="s">
        <v>2347</v>
      </c>
      <c r="L12" s="41" t="s">
        <v>2376</v>
      </c>
      <c r="M12" s="41" t="s">
        <v>2308</v>
      </c>
      <c r="N12" s="41" t="s">
        <v>2309</v>
      </c>
      <c r="O12" s="41">
        <v>0</v>
      </c>
      <c r="P12" s="41">
        <v>0</v>
      </c>
    </row>
    <row r="13" spans="1:16" x14ac:dyDescent="0.3">
      <c r="A13" s="41" t="s">
        <v>2304</v>
      </c>
      <c r="B13" s="41" t="s">
        <v>946</v>
      </c>
      <c r="C13" s="41" t="s">
        <v>170</v>
      </c>
      <c r="D13" s="41" t="s">
        <v>2375</v>
      </c>
      <c r="E13" s="41"/>
      <c r="F13" s="41" t="b">
        <v>1</v>
      </c>
      <c r="G13" s="41"/>
      <c r="H13" s="41"/>
      <c r="I13" s="41">
        <v>302</v>
      </c>
      <c r="J13" s="41" t="s">
        <v>165</v>
      </c>
      <c r="K13" s="41" t="s">
        <v>2347</v>
      </c>
      <c r="L13" s="41" t="s">
        <v>2377</v>
      </c>
      <c r="M13" s="41" t="s">
        <v>2372</v>
      </c>
      <c r="N13" s="41" t="s">
        <v>2309</v>
      </c>
      <c r="O13" s="41">
        <v>0</v>
      </c>
      <c r="P13" s="41">
        <v>0</v>
      </c>
    </row>
    <row r="14" spans="1:16" x14ac:dyDescent="0.3">
      <c r="A14" s="41" t="s">
        <v>2304</v>
      </c>
      <c r="B14" s="41" t="s">
        <v>946</v>
      </c>
      <c r="C14" s="41" t="s">
        <v>170</v>
      </c>
      <c r="D14" s="41" t="s">
        <v>2375</v>
      </c>
      <c r="E14" s="41"/>
      <c r="F14" s="41" t="b">
        <v>1</v>
      </c>
      <c r="G14" s="41"/>
      <c r="H14" s="41"/>
      <c r="I14" s="41">
        <v>302</v>
      </c>
      <c r="J14" s="41" t="s">
        <v>165</v>
      </c>
      <c r="K14" s="41" t="s">
        <v>2347</v>
      </c>
      <c r="L14" s="41" t="s">
        <v>2378</v>
      </c>
      <c r="M14" s="41" t="s">
        <v>2372</v>
      </c>
      <c r="N14" s="41" t="s">
        <v>2309</v>
      </c>
      <c r="O14" s="41">
        <v>0</v>
      </c>
      <c r="P14" s="41">
        <v>0</v>
      </c>
    </row>
    <row r="15" spans="1:16" x14ac:dyDescent="0.3">
      <c r="A15" s="41" t="s">
        <v>2304</v>
      </c>
      <c r="B15" s="41" t="s">
        <v>944</v>
      </c>
      <c r="C15" s="41" t="s">
        <v>170</v>
      </c>
      <c r="D15" s="41" t="s">
        <v>2375</v>
      </c>
      <c r="E15" s="41"/>
      <c r="F15" s="41" t="b">
        <v>1</v>
      </c>
      <c r="G15" s="41"/>
      <c r="H15" s="41"/>
      <c r="I15" s="41">
        <v>302</v>
      </c>
      <c r="J15" s="41" t="s">
        <v>165</v>
      </c>
      <c r="K15" s="41" t="s">
        <v>2347</v>
      </c>
      <c r="L15" s="41" t="s">
        <v>2377</v>
      </c>
      <c r="M15" s="41" t="s">
        <v>2372</v>
      </c>
      <c r="N15" s="41" t="s">
        <v>2309</v>
      </c>
      <c r="O15" s="41">
        <v>0</v>
      </c>
      <c r="P15" s="41">
        <v>0</v>
      </c>
    </row>
    <row r="16" spans="1:16" x14ac:dyDescent="0.3">
      <c r="A16" s="41" t="s">
        <v>2304</v>
      </c>
      <c r="B16" s="41" t="s">
        <v>944</v>
      </c>
      <c r="C16" s="41" t="s">
        <v>170</v>
      </c>
      <c r="D16" s="41" t="s">
        <v>2375</v>
      </c>
      <c r="E16" s="41"/>
      <c r="F16" s="41" t="b">
        <v>1</v>
      </c>
      <c r="G16" s="41"/>
      <c r="H16" s="41"/>
      <c r="I16" s="41">
        <v>302</v>
      </c>
      <c r="J16" s="41" t="s">
        <v>165</v>
      </c>
      <c r="K16" s="41" t="s">
        <v>2347</v>
      </c>
      <c r="L16" s="41" t="s">
        <v>2378</v>
      </c>
      <c r="M16" s="41" t="s">
        <v>2372</v>
      </c>
      <c r="N16" s="41" t="s">
        <v>2309</v>
      </c>
      <c r="O16" s="41">
        <v>0</v>
      </c>
      <c r="P16" s="41">
        <v>0</v>
      </c>
    </row>
    <row r="17" spans="1:16" x14ac:dyDescent="0.3">
      <c r="A17" s="41" t="s">
        <v>2304</v>
      </c>
      <c r="B17" s="41" t="s">
        <v>912</v>
      </c>
      <c r="C17" s="41" t="s">
        <v>170</v>
      </c>
      <c r="D17" s="41" t="s">
        <v>2375</v>
      </c>
      <c r="E17" s="41"/>
      <c r="F17" s="41" t="b">
        <v>1</v>
      </c>
      <c r="G17" s="41"/>
      <c r="H17" s="41"/>
      <c r="I17" s="41">
        <v>302</v>
      </c>
      <c r="J17" s="41" t="s">
        <v>165</v>
      </c>
      <c r="K17" s="41" t="s">
        <v>2347</v>
      </c>
      <c r="L17" s="41" t="s">
        <v>2377</v>
      </c>
      <c r="M17" s="41" t="s">
        <v>2372</v>
      </c>
      <c r="N17" s="41" t="s">
        <v>2309</v>
      </c>
      <c r="O17" s="41">
        <v>0</v>
      </c>
      <c r="P17" s="41">
        <v>0</v>
      </c>
    </row>
    <row r="18" spans="1:16" x14ac:dyDescent="0.3">
      <c r="A18" s="41" t="s">
        <v>2304</v>
      </c>
      <c r="B18" s="41" t="s">
        <v>912</v>
      </c>
      <c r="C18" s="41" t="s">
        <v>170</v>
      </c>
      <c r="D18" s="41" t="s">
        <v>2375</v>
      </c>
      <c r="E18" s="41"/>
      <c r="F18" s="41" t="b">
        <v>1</v>
      </c>
      <c r="G18" s="41"/>
      <c r="H18" s="41"/>
      <c r="I18" s="41">
        <v>302</v>
      </c>
      <c r="J18" s="41" t="s">
        <v>165</v>
      </c>
      <c r="K18" s="41" t="s">
        <v>2347</v>
      </c>
      <c r="L18" s="41" t="s">
        <v>2378</v>
      </c>
      <c r="M18" s="41" t="s">
        <v>2372</v>
      </c>
      <c r="N18" s="41" t="s">
        <v>2309</v>
      </c>
      <c r="O18" s="41">
        <v>0</v>
      </c>
      <c r="P18" s="4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Raw (QA 완료)</vt:lpstr>
      <vt:lpstr>QA 결과</vt:lpstr>
      <vt:lpstr>raw-sheet</vt:lpstr>
      <vt:lpstr>raw-schema</vt:lpstr>
      <vt:lpstr>404 Inlinks</vt:lpstr>
      <vt:lpstr>302 Inlinks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Soocheol You</dc:creator>
  <cp:lastModifiedBy>Yerin Joo</cp:lastModifiedBy>
  <dcterms:created xsi:type="dcterms:W3CDTF">2025-07-07T00:58:36Z</dcterms:created>
  <dcterms:modified xsi:type="dcterms:W3CDTF">2026-02-12T07:43:46Z</dcterms:modified>
</cp:coreProperties>
</file>