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nxmail-my.sharepoint.com/personal/seowoo_kim1_concentrix_com/Documents/"/>
    </mc:Choice>
  </mc:AlternateContent>
  <xr:revisionPtr revIDLastSave="442" documentId="8_{2A9CA9C0-EA40-49E5-A59E-917639168A43}" xr6:coauthVersionLast="47" xr6:coauthVersionMax="47" xr10:uidLastSave="{1F9CD672-040D-452C-9B84-F088C69BEF1B}"/>
  <bookViews>
    <workbookView xWindow="-120" yWindow="-120" windowWidth="29040" windowHeight="15720" tabRatio="500" firstSheet="2" activeTab="2" xr2:uid="{00000000-000D-0000-FFFF-FFFF00000000}"/>
  </bookViews>
  <sheets>
    <sheet name="Summary" sheetId="1" r:id="rId1"/>
    <sheet name="TOBE" sheetId="2" r:id="rId2"/>
    <sheet name="TOBE-1차" sheetId="7" r:id="rId3"/>
    <sheet name="data" sheetId="6" r:id="rId4"/>
    <sheet name="raw-sheet" sheetId="3" state="hidden" r:id="rId5"/>
    <sheet name="raw-schema" sheetId="4" state="hidden" r:id="rId6"/>
  </sheets>
  <definedNames>
    <definedName name="_xlnm._FilterDatabase" localSheetId="1" hidden="1">TOBE!$A$1:$AI$27</definedName>
    <definedName name="_xlnm._FilterDatabase" localSheetId="2" hidden="1">'TOBE-1차'!$A$1:$AI$27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F15" i="1"/>
  <c r="E16" i="1"/>
  <c r="F9" i="1" l="1"/>
  <c r="F12" i="1"/>
  <c r="E15" i="1"/>
  <c r="F11" i="1" l="1"/>
  <c r="F13" i="1"/>
  <c r="F10" i="1"/>
  <c r="E14" i="1"/>
  <c r="C16" i="1"/>
  <c r="D16" i="1" s="1"/>
  <c r="C11" i="1"/>
  <c r="C14" i="1"/>
  <c r="C15" i="1"/>
  <c r="D15" i="1" s="1"/>
  <c r="C12" i="1"/>
  <c r="D12" i="1" s="1"/>
  <c r="C9" i="1"/>
  <c r="C10" i="1"/>
  <c r="C13" i="1"/>
  <c r="D13" i="1" l="1"/>
  <c r="F14" i="1"/>
  <c r="D14" i="1" s="1"/>
  <c r="D10" i="1"/>
  <c r="D11" i="1"/>
  <c r="D9" i="1"/>
  <c r="E10" i="1"/>
  <c r="E9" i="1"/>
  <c r="E13" i="1"/>
  <c r="E12" i="1"/>
  <c r="E11" i="1"/>
  <c r="D5" i="1" l="1"/>
</calcChain>
</file>

<file path=xl/sharedStrings.xml><?xml version="1.0" encoding="utf-8"?>
<sst xmlns="http://schemas.openxmlformats.org/spreadsheetml/2006/main" count="7777" uniqueCount="1600">
  <si>
    <t>설화수 JP QA Result</t>
    <phoneticPr fontId="9" type="noConversion"/>
  </si>
  <si>
    <t>1차</t>
    <phoneticPr fontId="9" type="noConversion"/>
  </si>
  <si>
    <t>2차</t>
    <phoneticPr fontId="9" type="noConversion"/>
  </si>
  <si>
    <t>QA Date</t>
    <phoneticPr fontId="9" type="noConversion"/>
  </si>
  <si>
    <t>2026.04.16</t>
    <phoneticPr fontId="9" type="noConversion"/>
  </si>
  <si>
    <t>2026.04.24</t>
    <phoneticPr fontId="9" type="noConversion"/>
  </si>
  <si>
    <t>Overall Pass Rate</t>
  </si>
  <si>
    <t>QA Elements</t>
  </si>
  <si>
    <t>Total</t>
  </si>
  <si>
    <t>Error Rate</t>
    <phoneticPr fontId="9" type="noConversion"/>
  </si>
  <si>
    <t>Pass</t>
  </si>
  <si>
    <t>Issue</t>
    <phoneticPr fontId="9" type="noConversion"/>
  </si>
  <si>
    <t>비고</t>
    <phoneticPr fontId="9" type="noConversion"/>
  </si>
  <si>
    <t>To-Be</t>
    <phoneticPr fontId="9" type="noConversion"/>
  </si>
  <si>
    <t>Status/Indexability</t>
  </si>
  <si>
    <t>NoIndex 처리 필요</t>
    <phoneticPr fontId="9" type="noConversion"/>
  </si>
  <si>
    <t>TOBE 참고</t>
    <phoneticPr fontId="9" type="noConversion"/>
  </si>
  <si>
    <t>Title</t>
  </si>
  <si>
    <t>브랜드명 수정 필요</t>
    <phoneticPr fontId="9" type="noConversion"/>
  </si>
  <si>
    <t>N/A</t>
    <phoneticPr fontId="9" type="noConversion"/>
  </si>
  <si>
    <t>Meta Description</t>
  </si>
  <si>
    <t>일부 권장 길이 미달/중복</t>
    <phoneticPr fontId="9" type="noConversion"/>
  </si>
  <si>
    <t>H1</t>
  </si>
  <si>
    <t>H1 태그 중복</t>
    <phoneticPr fontId="9" type="noConversion"/>
  </si>
  <si>
    <t>Canonical</t>
  </si>
  <si>
    <t>Social Tag</t>
  </si>
  <si>
    <t>일부 권장 길이 미달/중복/누락</t>
    <phoneticPr fontId="9" type="noConversion"/>
  </si>
  <si>
    <t>Schema</t>
    <phoneticPr fontId="9" type="noConversion"/>
  </si>
  <si>
    <t>알맞지 않은 스키마 적용 (추후 작업 필요)</t>
    <phoneticPr fontId="9" type="noConversion"/>
  </si>
  <si>
    <t>URL</t>
    <phoneticPr fontId="9" type="noConversion"/>
  </si>
  <si>
    <t>Address</t>
  </si>
  <si>
    <t>비고</t>
  </si>
  <si>
    <t>Address QA</t>
  </si>
  <si>
    <t>Indexability</t>
  </si>
  <si>
    <t>Status Code</t>
  </si>
  <si>
    <t>Status/Indexability QA</t>
  </si>
  <si>
    <t>Title 1</t>
  </si>
  <si>
    <t>Title QA</t>
  </si>
  <si>
    <t>Title  to-be</t>
    <phoneticPr fontId="9" type="noConversion"/>
  </si>
  <si>
    <t>Meta Description 1</t>
    <phoneticPr fontId="9" type="noConversion"/>
  </si>
  <si>
    <t>Meta Description QA</t>
  </si>
  <si>
    <t>Meta Description  to-be</t>
    <phoneticPr fontId="9" type="noConversion"/>
  </si>
  <si>
    <t>H1-1</t>
  </si>
  <si>
    <t>H1-2</t>
  </si>
  <si>
    <t>H1 QA</t>
  </si>
  <si>
    <t>Canonical Link Element 1</t>
  </si>
  <si>
    <t>Canonical QA</t>
  </si>
  <si>
    <t>OG Title 1</t>
  </si>
  <si>
    <t>OG Description 1</t>
  </si>
  <si>
    <t>OG Type 1</t>
  </si>
  <si>
    <t>OG Site Name 1</t>
  </si>
  <si>
    <t>OG image 1</t>
  </si>
  <si>
    <t>OG url 1</t>
  </si>
  <si>
    <t>Twitter Card 1</t>
  </si>
  <si>
    <t>Twitter Title 1</t>
  </si>
  <si>
    <t>Twitter Site 1</t>
  </si>
  <si>
    <t>Twitter URL 1</t>
    <phoneticPr fontId="9" type="noConversion"/>
  </si>
  <si>
    <t>Social Tag QA</t>
  </si>
  <si>
    <t>Type-1</t>
  </si>
  <si>
    <t>Updated</t>
  </si>
  <si>
    <t>Type-2</t>
  </si>
  <si>
    <t>Type-3</t>
  </si>
  <si>
    <t>Type-4</t>
  </si>
  <si>
    <t>Type-5</t>
  </si>
  <si>
    <t>Schema QA</t>
  </si>
  <si>
    <t>https://sulwhasoo-jp.myshopify.com/pages/store-locator</t>
    <phoneticPr fontId="9" type="noConversion"/>
  </si>
  <si>
    <t>Non-Indexable</t>
  </si>
  <si>
    <t>Store Locator
 | Sulwhasoo Japan</t>
  </si>
  <si>
    <t>Store Locator is loading from Storemapper plugin...</t>
  </si>
  <si>
    <t>This is the Sulwhasoo store locator page. Check the locations and information of nearby stores.</t>
    <phoneticPr fontId="9" type="noConversion"/>
  </si>
  <si>
    <t>https://sulwhasoo-jp.myshopify.com/pages/store-locator</t>
  </si>
  <si>
    <t>Store Locator | Sulwhasoo Japan</t>
  </si>
  <si>
    <t>Meta Description  to-be 내용 넣기</t>
    <phoneticPr fontId="9" type="noConversion"/>
  </si>
  <si>
    <t>website</t>
  </si>
  <si>
    <t>Sulwhasoo Japan</t>
  </si>
  <si>
    <t>설화수 로고 및 대표 이미지 넣기 - KR참고</t>
    <phoneticPr fontId="9" type="noConversion"/>
  </si>
  <si>
    <t>summary_large_image</t>
  </si>
  <si>
    <t>url 채우기</t>
    <phoneticPr fontId="9" type="noConversion"/>
  </si>
  <si>
    <t>Organization</t>
  </si>
  <si>
    <t>https://sulwhasoo-jp.myshopify.com/pages/site-map</t>
    <phoneticPr fontId="9" type="noConversion"/>
  </si>
  <si>
    <t>Indexable</t>
  </si>
  <si>
    <t>Site Map
 | Sulwhasoo Japan</t>
  </si>
  <si>
    <t>Sulwhasoo Sitemap. You can view the entire menu and key content of the Sulwhasoo website at a glance.</t>
    <phoneticPr fontId="9" type="noConversion"/>
  </si>
  <si>
    <t>Site Map</t>
  </si>
  <si>
    <t>https://sulwhasoo-jp.myshopify.com/pages/site-map</t>
  </si>
  <si>
    <t>Site Map | Sulwhasoo Japan</t>
  </si>
  <si>
    <t>http://sulwhasoo-jp.myshopify.com/cdn/shop/articles/Sulwhasoo_JP.webp?v=1776042225</t>
  </si>
  <si>
    <t>Fail</t>
  </si>
  <si>
    <t>https://sulwhasoo-jp.myshopify.com/pages/shopping-guide</t>
    <phoneticPr fontId="9" type="noConversion"/>
  </si>
  <si>
    <t>Shopping Guide
 | Sulwhasoo Japan</t>
  </si>
  <si>
    <t>Shop Sulwhasoo Japan with ease. Free shipping on orders over ¥6,000. We support PayPay, Rakuten Pay &amp; credit cards. See our guide for ordering &amp; delivery info.</t>
    <phoneticPr fontId="9" type="noConversion"/>
  </si>
  <si>
    <t>ご注文について</t>
  </si>
  <si>
    <t>https://sulwhasoo-jp.myshopify.com/pages/shopping-guide</t>
  </si>
  <si>
    <t>Shopping Guide | Sulwhasoo Japan</t>
  </si>
  <si>
    <t>https://sulwhasoo-jp.myshopify.com/pages/shop-info</t>
    <phoneticPr fontId="9" type="noConversion"/>
  </si>
  <si>
    <t>Shop Info
 | Sulwhasoo Japan</t>
  </si>
  <si>
    <t>Discover the heritage of Sulwhasoo Japan. View official store information, brand philosophy, and legal notices for our online and offline presence.</t>
    <phoneticPr fontId="9" type="noConversion"/>
  </si>
  <si>
    <t>Shop Info</t>
  </si>
  <si>
    <t>https://sulwhasoo-jp.myshopify.com/pages/shop-info</t>
  </si>
  <si>
    <t>Shop Info | Sulwhasoo Japan</t>
  </si>
  <si>
    <t>Organization</t>
    <phoneticPr fontId="9" type="noConversion"/>
  </si>
  <si>
    <t>https://sulwhasoo-jp.myshopify.com/pages/point-list</t>
    <phoneticPr fontId="9" type="noConversion"/>
  </si>
  <si>
    <t>Indexable</t>
    <phoneticPr fontId="9" type="noConversion"/>
  </si>
  <si>
    <t>Point List
 | Sulwhasoo Japan</t>
  </si>
  <si>
    <t>ポイント情報</t>
  </si>
  <si>
    <t>https://sulwhasoo-jp.myshopify.com/pages/point-list</t>
  </si>
  <si>
    <t>Point List | Sulwhasoo Japan</t>
  </si>
  <si>
    <t>https://sulwhasoo-jp.myshopify.com/pages/order-list</t>
    <phoneticPr fontId="9" type="noConversion"/>
  </si>
  <si>
    <t>Order List
 | Sulwhasoo Japan</t>
  </si>
  <si>
    <t>ご注文管理</t>
  </si>
  <si>
    <t>https://sulwhasoo-jp.myshopify.com/pages/order-list</t>
  </si>
  <si>
    <t>Order List | Sulwhasoo Japan</t>
  </si>
  <si>
    <t>https://sulwhasoo-jp.myshopify.com/pages/mypage</t>
    <phoneticPr fontId="9" type="noConversion"/>
  </si>
  <si>
    <t>mypage
 | Sulwhasoo Japan</t>
  </si>
  <si>
    <t>マイページ</t>
  </si>
  <si>
    <t>https://sulwhasoo-jp.myshopify.com/pages/mypage</t>
  </si>
  <si>
    <t>mypage | Sulwhasoo Japan</t>
  </si>
  <si>
    <t>https://sulwhasoo-jp.myshopify.com/pages/my-address</t>
    <phoneticPr fontId="9" type="noConversion"/>
  </si>
  <si>
    <t>my-address
 | Sulwhasoo Japan</t>
  </si>
  <si>
    <t>My Page</t>
  </si>
  <si>
    <t>https://sulwhasoo-jp.myshopify.com/pages/my-address</t>
  </si>
  <si>
    <t>my-address | Sulwhasoo Japan</t>
  </si>
  <si>
    <t>https://sulwhasoo-jp.myshopify.com/pages/membership</t>
    <phoneticPr fontId="9" type="noConversion"/>
  </si>
  <si>
    <t>Membership
 | Sulwhasoo Japan</t>
  </si>
  <si>
    <t>Bergabung dengan keanggotaan Sulwhasoo dan dapatkan beragam keistimewaan.</t>
    <phoneticPr fontId="9" type="noConversion"/>
  </si>
  <si>
    <t>メンバーシップ</t>
  </si>
  <si>
    <t>https://sulwhasoo-jp.myshopify.com/pages/membership</t>
  </si>
  <si>
    <t>Membership | Sulwhasoo Japan</t>
  </si>
  <si>
    <t>https://sulwhasoo-jp.myshopify.com/pages/legal-notice</t>
    <phoneticPr fontId="9" type="noConversion"/>
  </si>
  <si>
    <t>特定商取引法に基づく表記
 | Sulwhasoo Japan</t>
  </si>
  <si>
    <t>事業者名 アモーレパシフィックジャパン株式会社 所在地 〒150-0012　東京都渋谷区広尾１－１３－７ 恵比寿イーストビル2階 代表者 代表　松井 理奈 お問い合わせ Sulwhasoo カスタマーサポート TEL：0120-929-744 受付時間： 月~金 10:00 ~ 18:00＜祝祭日、年末年始・夏期休暇を除く＞  フォームでのお問い合わせはこちら URL https://jp.sulwhasoo.com/ 販売価格 各商品詳細ページに表示された価格に基づきます。表示価格は本体価格に消費税額を加えた「お支払い総額（税込価格）」となっております。 商品代金以外の必要料金 ■送料：通常配送料金は、550円（税込）※沖縄、北海</t>
  </si>
  <si>
    <t>https://sulwhasoo-jp.myshopify.com/pages/legal-notice</t>
  </si>
  <si>
    <t>特定商取引法に基づく表記 | Sulwhasoo Japan</t>
  </si>
  <si>
    <t>https://sulwhasoo-jp.myshopify.com/pages/faq</t>
    <phoneticPr fontId="9" type="noConversion"/>
  </si>
  <si>
    <t>FAQ
 | Sulwhasoo Japan</t>
  </si>
  <si>
    <t>Sulwhasoo FAQ. Find quick answers to your questions about order status, payment methods, shipping tracking, and product inquiries in one place.</t>
    <phoneticPr fontId="9" type="noConversion"/>
  </si>
  <si>
    <t>よくあるご質問</t>
  </si>
  <si>
    <t>https://sulwhasoo-jp.myshopify.com/pages/faq</t>
  </si>
  <si>
    <t>FAQ | Sulwhasoo Japan</t>
  </si>
  <si>
    <t>https://sulwhasoo-jp.myshopify.com/pages/exchange-return</t>
    <phoneticPr fontId="9" type="noConversion"/>
  </si>
  <si>
    <t>Exchange Return
 | Sulwhasoo Japan</t>
  </si>
  <si>
    <t>Sulwhasoo Exchange &amp; Return. Guide for returning damaged or incorrect items. Contact our support team to request an exchange or refund under our policy.</t>
    <phoneticPr fontId="9" type="noConversion"/>
  </si>
  <si>
    <t>交換・返品について</t>
  </si>
  <si>
    <t>https://sulwhasoo-jp.myshopify.com/pages/exchange-return</t>
  </si>
  <si>
    <t>Exchange Return | Sulwhasoo Japan</t>
  </si>
  <si>
    <t>https://sulwhasoo-jp.myshopify.com/pages/edit-account</t>
    <phoneticPr fontId="9" type="noConversion"/>
  </si>
  <si>
    <t>Edit Account
 | Sulwhasoo Japan</t>
  </si>
  <si>
    <t>個人情報の修正</t>
  </si>
  <si>
    <t>https://sulwhasoo-jp.myshopify.com/pages/edit-account</t>
  </si>
  <si>
    <t>Edit Account | Sulwhasoo Japan</t>
  </si>
  <si>
    <t>https://sulwhasoo-jp.myshopify.com/pages/contact</t>
    <phoneticPr fontId="9" type="noConversion"/>
  </si>
  <si>
    <t>Contact
 | Sulwhasoo Japan</t>
  </si>
  <si>
    <t>Contact Sulwhasoo for inquiries on products, orders, or shipping. Please fill out the form below for assistance.</t>
    <phoneticPr fontId="9" type="noConversion"/>
  </si>
  <si>
    <t>お問い合わせ</t>
  </si>
  <si>
    <t>https://sulwhasoo-jp.myshopify.com/pages/contact</t>
  </si>
  <si>
    <t>Contact | Sulwhasoo Japan</t>
  </si>
  <si>
    <t>https://sulwhasoo-jp.myshopify.com/pages/brand-sustainability</t>
    <phoneticPr fontId="9" type="noConversion"/>
  </si>
  <si>
    <t>Brand Sustainability – Earth &amp; Culture | Sulwhasoo Japan</t>
    <phoneticPr fontId="9" type="noConversion"/>
  </si>
  <si>
    <t>Sulwhasoo’s sustainable beauty is built on Ginseng Science, Environmental Care, and Cultural Heritage to shape a better future.</t>
  </si>
  <si>
    <t>Brand Sustainability | Sulwhasoo Japan</t>
  </si>
  <si>
    <t>持続可能な未来のための約束</t>
  </si>
  <si>
    <t>https://sulwhasoo-jp.myshopify.com/pages/brand-sustainability</t>
  </si>
  <si>
    <t>Brand Sustainability – Earth &amp; Culture | Sulwhasoo Japan</t>
  </si>
  <si>
    <t>https://sulwhasoo-jp.myshopify.com/pages/brand-story</t>
    <phoneticPr fontId="9" type="noConversion"/>
  </si>
  <si>
    <t>Brand Story | Sulwhasoo Japan</t>
  </si>
  <si>
    <t>Sulwhasoo fuses Korean tradition with cutting-edge science, using JAUM Activator® and ginseng research for youthful, radiant skin</t>
  </si>
  <si>
    <t>時の流れにゆるがない美しさへの旅</t>
  </si>
  <si>
    <t>https://sulwhasoo-jp.myshopify.com/pages/brand-story</t>
  </si>
  <si>
    <t>https://sulwhasoo-jp.myshopify.com/pages/activate-account-form</t>
    <phoneticPr fontId="9" type="noConversion"/>
  </si>
  <si>
    <t>Activate Account Form
 | Sulwhasoo Japan</t>
  </si>
  <si>
    <t>https://sulwhasoo-jp.myshopify.com/pages/activate-account-form</t>
  </si>
  <si>
    <t>Activate Account Form | Sulwhasoo Japan</t>
  </si>
  <si>
    <r>
      <t>https://sulwhasoo-jp.myshopify.com/blogs/sulwhasoo-post/journey-to-holistic-beauty-時の流れに</t>
    </r>
    <r>
      <rPr>
        <sz val="8"/>
        <color theme="1"/>
        <rFont val="맑은 고딕"/>
        <family val="2"/>
        <charset val="129"/>
      </rPr>
      <t>揺</t>
    </r>
    <r>
      <rPr>
        <sz val="8"/>
        <color theme="1"/>
        <rFont val="Arita Dotum KR Medium"/>
        <family val="1"/>
        <charset val="129"/>
      </rPr>
      <t>るがない美しさへの旅</t>
    </r>
    <phoneticPr fontId="9" type="noConversion"/>
  </si>
  <si>
    <t>「Journey to Holistic Beauty」時の流れに揺るがない美しさへの旅
 | Sulwhasoo Japan</t>
  </si>
  <si>
    <t>時を超えて愛される韓国発ラグジュアリービューティーブランド、Sulwhasoo（雪花秀／ソルファス）。その世界観と高麗人参サイエンスを体験できる「Sulwhasoo Lounge（ソルファスラウンジ）」が、5月6日（水）より@cosme TOKYOにて1週間限定オープン。 アモーレパシフィックジャパン株式会社（所在地：東京都渋谷区 代表：羅政均）が展開する、韓国発ラグジュアリービューティーブランド『Sulwhasoo（雪花秀/ソルファス）』は、5月6日（水）から12日（火）までの1週間、@cosme TOKYO ポップアップストア1階にて「Sulwhasoo Lounge（ソルファスラウンジ）」を開催します。 長年にわたり韓国ビュー</t>
  </si>
  <si>
    <t>https://sulwhasoo-jp.myshopify.com/blogs/sulwhasoo-post/journey-to-holistic-beauty-時の流れに揺るがない美しさへの旅</t>
  </si>
  <si>
    <t>「Journey to Holistic Beauty」時の流れに揺るがない美しさへの旅 | Sulwhasoo Japan</t>
  </si>
  <si>
    <t>article</t>
  </si>
  <si>
    <t>https://sulwhasoo-jp.myshopify.com/blogs/sulwhasoo-post/journey-to-holistic-beauty-%e6%99%82%e3%81%ae%e6%b5%81%e3%82%8c%e3%81%ab%e6%8f%ba%e3%82%8b%e3%81%8c%e3%81%aa%e3%81%84%e7%be%8e%e3%81%97%e3%81%95%e3%81%b8%e3%81%ae%e6%97%85</t>
  </si>
  <si>
    <t>Article</t>
  </si>
  <si>
    <t>WebPage</t>
  </si>
  <si>
    <t>Person</t>
  </si>
  <si>
    <t>https://sulwhasoo-jp.myshopify.com/blogs/sulwhasoo-post/concentrated-ginseng-rejuvenating-cream</t>
    <phoneticPr fontId="9" type="noConversion"/>
  </si>
  <si>
    <t>Concentrated Ginseng Rejuvenating Cream | Sulwhasoo Japan</t>
  </si>
  <si>
    <t>Discover 60 years of Ginseng science with Sulwhasoo’s Concentrated Ginseng Rejuvenating Cream, boosting elasticity for a youthful glow.</t>
  </si>
  <si>
    <t>Concentrated Ginseng Rejuvenating Cream</t>
  </si>
  <si>
    <t>https://sulwhasoo-jp.myshopify.com/blogs/sulwhasoo-post/concentrated-ginseng-rejuvenating-cream</t>
  </si>
  <si>
    <t>https://sulwhasoo-jp.myshopify.com/blogs/sulwhasoo-post/2025-first-care-activating-serum-introduction</t>
    <phoneticPr fontId="9" type="noConversion"/>
  </si>
  <si>
    <t>FIRST CARE ACTIVATING SERUM – Sulwhasoo Japan</t>
  </si>
  <si>
    <t>FIRST CARE ACTIVATING SERUM | Sulwhasoo Japan</t>
    <phoneticPr fontId="9" type="noConversion"/>
  </si>
  <si>
    <t>REVITALIZE YOUR SKIN FOR A HEALTHY, YOUTHFUL COMPLEXION</t>
  </si>
  <si>
    <t>2025 FIRST CARE ACTIVATING SERUM</t>
    <phoneticPr fontId="9" type="noConversion"/>
  </si>
  <si>
    <r>
      <rPr>
        <sz val="8"/>
        <color rgb="FF000000"/>
        <rFont val="바탕"/>
        <family val="1"/>
        <charset val="129"/>
      </rPr>
      <t>潤燥</t>
    </r>
    <r>
      <rPr>
        <sz val="8"/>
        <color rgb="FF000000"/>
        <rFont val="Arita Dotum KR Medium"/>
        <family val="1"/>
        <charset val="129"/>
      </rPr>
      <t>ユンジョ ファ</t>
    </r>
    <r>
      <rPr>
        <sz val="8"/>
        <color rgb="FF000000"/>
        <rFont val="Noto Sans KR"/>
        <family val="3"/>
        <charset val="129"/>
      </rPr>
      <t>ー</t>
    </r>
    <r>
      <rPr>
        <sz val="8"/>
        <color rgb="FF000000"/>
        <rFont val="Arita Dotum KR Medium"/>
        <family val="1"/>
        <charset val="129"/>
      </rPr>
      <t>ストケア アクティブセラム VI</t>
    </r>
    <phoneticPr fontId="9" type="noConversion"/>
  </si>
  <si>
    <t>https://sulwhasoo-jp.myshopify.com/blogs/sulwhasoo-post/2025-first-care-activating-serum-introduction</t>
  </si>
  <si>
    <t>https://sulwhasoo-jp.myshopify.com/blogs/sulwhasoo-post</t>
    <phoneticPr fontId="9" type="noConversion"/>
  </si>
  <si>
    <t>Brand News | Heritage-Inspired Luxury
 | Sulwhasoo Japan</t>
  </si>
  <si>
    <t>Sulwhasoo, an iconic luxury beauty brand, dates back to 1932. Known for its pioneering spirit, it was the first to create products infused with ginseng.</t>
  </si>
  <si>
    <t>BRAND NEWS</t>
  </si>
  <si>
    <t>https://sulwhasoo-jp.myshopify.com/blogs/sulwhasoo-post</t>
  </si>
  <si>
    <t>Brand News | Heritage-Inspired Luxury | Sulwhasoo Japan</t>
  </si>
  <si>
    <t>https://sulwhasoo-jp.myshopify.com/blogs/notice</t>
    <phoneticPr fontId="9" type="noConversion"/>
  </si>
  <si>
    <t>Notice
 | Sulwhasoo Japan</t>
  </si>
  <si>
    <t>Sulwhasoo Notice. Stay updated with the latest news, service announcements, and shipping schedules from our official store.</t>
    <phoneticPr fontId="9" type="noConversion"/>
  </si>
  <si>
    <t>お知らせ</t>
  </si>
  <si>
    <t>https://sulwhasoo-jp.myshopify.com/blogs/notice</t>
  </si>
  <si>
    <t>Notice | Sulwhasoo Japan</t>
  </si>
  <si>
    <r>
      <t>https://sulwhasoo-jp.myshopify.com/blogs/event/公式ストアオ</t>
    </r>
    <r>
      <rPr>
        <sz val="8"/>
        <color theme="1"/>
        <rFont val="맑은 고딕"/>
        <family val="2"/>
        <charset val="129"/>
      </rPr>
      <t>ー</t>
    </r>
    <r>
      <rPr>
        <sz val="8"/>
        <color theme="1"/>
        <rFont val="Arita Dotum KR Medium"/>
        <family val="1"/>
        <charset val="129"/>
      </rPr>
      <t>プン記念-レビュ</t>
    </r>
    <r>
      <rPr>
        <sz val="8"/>
        <color theme="1"/>
        <rFont val="맑은 고딕"/>
        <family val="2"/>
        <charset val="129"/>
      </rPr>
      <t>ー</t>
    </r>
    <r>
      <rPr>
        <sz val="8"/>
        <color theme="1"/>
        <rFont val="Arita Dotum KR Medium"/>
        <family val="1"/>
        <charset val="129"/>
      </rPr>
      <t>キャンペ</t>
    </r>
    <r>
      <rPr>
        <sz val="8"/>
        <color theme="1"/>
        <rFont val="맑은 고딕"/>
        <family val="2"/>
        <charset val="129"/>
      </rPr>
      <t>ー</t>
    </r>
    <r>
      <rPr>
        <sz val="8"/>
        <color theme="1"/>
        <rFont val="Arita Dotum KR Medium"/>
        <family val="1"/>
        <charset val="129"/>
      </rPr>
      <t>ン</t>
    </r>
    <phoneticPr fontId="9" type="noConversion"/>
  </si>
  <si>
    <t>公式ストアオープン記念 レビューキャンペーン
 | Sulwhasoo Japan</t>
  </si>
  <si>
    <t>公式ストアオープン記念レビューキャンペーン。 キャンペーン期間は2026年4月28日から6月30日までです。 対象商品レビュー投稿者の中から抽選で5名様にスペシャルギフトをプレゼントします。</t>
  </si>
  <si>
    <t>https://sulwhasoo-jp.myshopify.com/blogs/event/公式ストアオープン記念-レビューキャンペーン</t>
  </si>
  <si>
    <t>公式ストアオープン記念 レビューキャンペーン | Sulwhasoo Japan</t>
  </si>
  <si>
    <t>https://sulwhasoo-jp.myshopify.com/blogs/event/%e5%85%ac%e5%bc%8f%e3%82%b9%e3%83%88%e3%82%a2%e3%82%aa%e3%83%bc%e3%83%97%e3%83%b3%e8%a8%98%e5%bf%b5-%e3%83%ac%e3%83%93%e3%83%a5%e3%83%bc%e3%82%ad%e3%83%a3%e3%83%b3%e3%83%9a%e3%83%bc%e3%83%b3</t>
  </si>
  <si>
    <t>https://sulwhasoo-jp.myshopify.com/blogs/event/cosme-store-tokyoにてpopupstore開催</t>
    <phoneticPr fontId="9" type="noConversion"/>
  </si>
  <si>
    <t>@cosme store TOKYOにてPOPUPSTORE開催
 | Sulwhasoo Japan</t>
  </si>
  <si>
    <t>韓国発ラグジュアリースキンケアブランド「Sulwhasoo（ソルファス）」は、2026年5月6日から5月12日までの期間、＠cosme storeにてPOPUPSTOREを開催いたします【POPUP STORE開催概要】 期間：2026年5月6日～2026年5月12日 開催時間：11:00～21:00 場所：@cosme TOKYO 住所：東京都渋谷区神宮前1-14-27</t>
  </si>
  <si>
    <t>@cosme store TOKYOにてPOPUPSTORE開催</t>
  </si>
  <si>
    <t>https://sulwhasoo-jp.myshopify.com/blogs/event/cosme-store-tokyoにてpopupstore開催</t>
  </si>
  <si>
    <t>@cosme store TOKYOにてPOPUPSTORE開催 | Sulwhasoo Japan</t>
  </si>
  <si>
    <t>http://sulwhasoo-jp.myshopify.com/cdn/shop/articles/111170002325_01_d50df340-e78c-4d41-ae4f-ea577d47fb7b.jpg?v=1776047739</t>
  </si>
  <si>
    <t>https://sulwhasoo-jp.myshopify.com/blogs/event/cosme-store-tokyo%e3%81%ab%e3%81%a6popupstore%e9%96%8b%e5%82%ac</t>
  </si>
  <si>
    <t>https://sulwhasoo-jp.myshopify.com/blogs/event</t>
    <phoneticPr fontId="9" type="noConversion"/>
  </si>
  <si>
    <t>Event
 | Sulwhasoo Japan</t>
  </si>
  <si>
    <t>Sulwhasoo Events. Discover exclusive promotions, gift-with-purchase offers, and seasonal specials for our members. Check out our current events now.</t>
    <phoneticPr fontId="9" type="noConversion"/>
  </si>
  <si>
    <t>イベント</t>
  </si>
  <si>
    <t>https://sulwhasoo-jp.myshopify.com/blogs/event</t>
  </si>
  <si>
    <t>Event | Sulwhasoo Japan</t>
  </si>
  <si>
    <t>https://sulwhasoo-jp.myshopify.com/</t>
    <phoneticPr fontId="9" type="noConversion"/>
  </si>
  <si>
    <t>Sulwhasoo Japan Official Website. Experience our luxury skincare line featuring First Care Activating Serum. Shop now for radiant beauty.</t>
    <phoneticPr fontId="9" type="noConversion"/>
  </si>
  <si>
    <t>https://sulwhasoo-jp.myshopify.com/</t>
  </si>
  <si>
    <r>
      <t>Sulwhasoo（ソルファス）Japan</t>
    </r>
    <r>
      <rPr>
        <sz val="8"/>
        <color rgb="FFFF0000"/>
        <rFont val="Gulim"/>
        <family val="1"/>
        <charset val="129"/>
      </rPr>
      <t>公式オンラインストア。韓</t>
    </r>
    <r>
      <rPr>
        <sz val="8"/>
        <color rgb="FFFF0000"/>
        <rFont val="Noto Sans KR"/>
        <family val="1"/>
        <charset val="134"/>
      </rPr>
      <t>国伝統</t>
    </r>
    <r>
      <rPr>
        <sz val="8"/>
        <color rgb="FFFF0000"/>
        <rFont val="Noto Sans KR"/>
        <family val="1"/>
        <charset val="128"/>
      </rPr>
      <t>の</t>
    </r>
    <r>
      <rPr>
        <sz val="8"/>
        <color rgb="FFFF0000"/>
        <rFont val="Noto Sans KR"/>
        <family val="1"/>
        <charset val="134"/>
      </rPr>
      <t>知恵</t>
    </r>
    <r>
      <rPr>
        <sz val="8"/>
        <color rgb="FFFF0000"/>
        <rFont val="Noto Sans KR"/>
        <family val="1"/>
        <charset val="128"/>
      </rPr>
      <t>と</t>
    </r>
    <r>
      <rPr>
        <sz val="8"/>
        <color rgb="FFFF0000"/>
        <rFont val="Noto Sans KR"/>
        <family val="1"/>
        <charset val="134"/>
      </rPr>
      <t>最先端</t>
    </r>
    <r>
      <rPr>
        <sz val="8"/>
        <color rgb="FFFF0000"/>
        <rFont val="Noto Sans KR"/>
        <family val="1"/>
        <charset val="128"/>
      </rPr>
      <t>の</t>
    </r>
    <r>
      <rPr>
        <sz val="8"/>
        <color rgb="FFFF0000"/>
        <rFont val="Noto Sans KR"/>
        <family val="1"/>
        <charset val="134"/>
      </rPr>
      <t>現代技術</t>
    </r>
    <r>
      <rPr>
        <sz val="8"/>
        <color rgb="FFFF0000"/>
        <rFont val="Noto Sans KR"/>
        <family val="1"/>
        <charset val="128"/>
      </rPr>
      <t>を</t>
    </r>
    <r>
      <rPr>
        <sz val="8"/>
        <color rgb="FFFF0000"/>
        <rFont val="Noto Sans KR"/>
        <family val="1"/>
        <charset val="134"/>
      </rPr>
      <t>融合</t>
    </r>
    <r>
      <rPr>
        <sz val="8"/>
        <color rgb="FFFF0000"/>
        <rFont val="Noto Sans KR"/>
        <family val="1"/>
        <charset val="128"/>
      </rPr>
      <t>させたスキンケアブランド</t>
    </r>
    <r>
      <rPr>
        <sz val="8"/>
        <color rgb="FFFF0000"/>
        <rFont val="Noto Sans KR"/>
        <family val="1"/>
        <charset val="129"/>
      </rPr>
      <t>「</t>
    </r>
    <r>
      <rPr>
        <sz val="8"/>
        <color rgb="FFFF0000"/>
        <rFont val="Noto Sans KR"/>
        <family val="1"/>
        <charset val="134"/>
      </rPr>
      <t>雪花秀</t>
    </r>
    <r>
      <rPr>
        <sz val="8"/>
        <color rgb="FFFF0000"/>
        <rFont val="Noto Sans KR"/>
        <family val="1"/>
        <charset val="129"/>
      </rPr>
      <t>」</t>
    </r>
    <r>
      <rPr>
        <sz val="8"/>
        <color rgb="FFFF0000"/>
        <rFont val="Noto Sans KR"/>
        <family val="1"/>
        <charset val="134"/>
      </rPr>
      <t>公式</t>
    </r>
    <r>
      <rPr>
        <sz val="8"/>
        <color rgb="FFFF0000"/>
        <rFont val="Noto Sans KR"/>
        <family val="1"/>
        <charset val="128"/>
      </rPr>
      <t>ストアです</t>
    </r>
    <phoneticPr fontId="9" type="noConversion"/>
  </si>
  <si>
    <t>WebSite</t>
  </si>
  <si>
    <t>SearchAction</t>
  </si>
  <si>
    <t>확인 불가</t>
  </si>
  <si>
    <t>O</t>
  </si>
  <si>
    <t>http://sulwhasoo-jp.myshopify.com/cdn/shop/articles/240816_final_SG_concentrated-ginseng-rejuvenating-cream-cover_500x500_360x_83aa104d-76f3-4112-8d3b-ba15e6385f17.webp?v=1776072597</t>
  </si>
  <si>
    <t>http://sulwhasoo-jp.myshopify.com/cdn/shop/articles/251120_final_TH_brand-news_thumbnail_720x_9f9a8857-59ec-48da-9861-5472e1a130e3.webp?v=1776043398</t>
  </si>
  <si>
    <t>Sulwhasoo Notice. Stay updated with the latest news, service announcements, and shipping schedules from our official store.</t>
  </si>
  <si>
    <t>Content Type</t>
  </si>
  <si>
    <t>Status</t>
  </si>
  <si>
    <t>Indexability Status</t>
  </si>
  <si>
    <t>Title 1 Length</t>
  </si>
  <si>
    <t>Title 1 Pixel Width</t>
  </si>
  <si>
    <t>Meta Description 1</t>
  </si>
  <si>
    <t>Meta Description 1 Length</t>
  </si>
  <si>
    <t>Meta Description 1 Pixel Width</t>
  </si>
  <si>
    <t>Meta Keywords 1</t>
  </si>
  <si>
    <t>Meta Keywords 1 Length</t>
  </si>
  <si>
    <t>H1-1 Length</t>
  </si>
  <si>
    <t>H1-2 Length</t>
  </si>
  <si>
    <t>H2-1</t>
  </si>
  <si>
    <t>H2-1 Length</t>
  </si>
  <si>
    <t>H2-2</t>
  </si>
  <si>
    <t>H2-2 Length</t>
  </si>
  <si>
    <t>Meta Robots 1</t>
  </si>
  <si>
    <t>X-Robots-Tag 1</t>
  </si>
  <si>
    <t>Meta Refresh 1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</si>
  <si>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</si>
  <si>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</si>
  <si>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</si>
  <si>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</si>
  <si>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</si>
  <si>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</si>
  <si>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</si>
  <si>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</si>
  <si>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</si>
  <si>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</si>
  <si>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</si>
  <si>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</si>
  <si>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</si>
  <si>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</si>
  <si>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</si>
  <si>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</si>
  <si>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</si>
  <si>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</si>
  <si>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</si>
  <si>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</si>
  <si>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</si>
  <si>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</si>
  <si>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</si>
  <si>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</si>
  <si>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</si>
  <si>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</si>
  <si>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Similarity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</si>
  <si>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</si>
  <si>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</si>
  <si>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</si>
  <si>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</si>
  <si>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</si>
  <si>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</si>
  <si>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</si>
  <si>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</si>
  <si>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</si>
  <si>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HTTP Version</t>
  </si>
  <si>
    <t>Twitter URL 1</t>
  </si>
  <si>
    <t>type 1</t>
  </si>
  <si>
    <t>alternate 1</t>
  </si>
  <si>
    <t>URL Encoded Address</t>
  </si>
  <si>
    <t>Crawl Timestamp</t>
  </si>
  <si>
    <t>type 2</t>
  </si>
  <si>
    <t>type 3</t>
  </si>
  <si>
    <t>type 4</t>
  </si>
  <si>
    <t>type 5</t>
  </si>
  <si>
    <t>text/html; charset=utf-8</t>
  </si>
  <si>
    <t>OK</t>
  </si>
  <si>
    <t>カート0</t>
  </si>
  <si>
    <t>おすすめのキーワード</t>
  </si>
  <si>
    <t>Very Easy</t>
  </si>
  <si>
    <t>fc66ae26996816501e3132b0408658e0</t>
  </si>
  <si>
    <t>31fe67b129cc962dea2844bc8e615e86</t>
  </si>
  <si>
    <t>ddb9f201e6491401344e72e84eea542e</t>
  </si>
  <si>
    <t>d1929f20a52521d5e5d23860752a0c2b</t>
  </si>
  <si>
    <t>1dfc1b48630cd8026fe7f2aca10f4aa8</t>
  </si>
  <si>
    <t>26143999126c2e43eaf649f024566bec</t>
  </si>
  <si>
    <t>ecdca370c527ebd2c44cc47fc05447a5</t>
  </si>
  <si>
    <t>2902fd37c8f205946caf414c4c97685d</t>
  </si>
  <si>
    <t>eef09dc9509699f825109fbf1d5e892</t>
  </si>
  <si>
    <t>bea393938a3e1768f21a1b5887468e6f</t>
  </si>
  <si>
    <t>705301e5d37e8f8f939b0b5e779f5851</t>
  </si>
  <si>
    <t>https://sulwhasoo-jp.myshopify.com/pages/pub-test</t>
  </si>
  <si>
    <t>(퍼블) 퍼블리싱 테스트
 | Sulwhasoo Japan</t>
  </si>
  <si>
    <t>Font test Font test Font test Font test Font test Font test</t>
  </si>
  <si>
    <t>Sulwhasoo</t>
  </si>
  <si>
    <t>21f53dcc7b67eb4e38028957ae13b926</t>
  </si>
  <si>
    <t>(퍼블) 퍼블리싱 테스트 | Sulwhasoo Japan</t>
  </si>
  <si>
    <t>f783b21f2e47b7901aaf57a8718bfd5</t>
  </si>
  <si>
    <t>8693d5ae3cf681ce807cc3b66e0a7a05</t>
  </si>
  <si>
    <t>abc16ff67ef4dc3d996147e31fae9740</t>
  </si>
  <si>
    <t>bcb5705dd62caabfcd15e59ded3791f5</t>
  </si>
  <si>
    <t>https://sulwhasoo-jp.myshopify.com/pages/pub-wsg</t>
  </si>
  <si>
    <t>(퍼블) 퍼블리싱 WSG
 | Sulwhasoo Japan</t>
  </si>
  <si>
    <t>Theme Style Guide</t>
  </si>
  <si>
    <t>Shopify 작업 규칙 가이드</t>
  </si>
  <si>
    <t>1. 네이밍 규칙</t>
  </si>
  <si>
    <t>Hard</t>
  </si>
  <si>
    <t>25ad1e59bb3b437eff92ba9303b757ab</t>
  </si>
  <si>
    <t>(퍼블) 퍼블리싱 WSG | Sulwhasoo Japan</t>
  </si>
  <si>
    <t>ec156ada5d185315784c390a8e061f5e</t>
  </si>
  <si>
    <t>deeb7ded7da74142cfb4d0a1ac56b45a</t>
  </si>
  <si>
    <t>229c01a04c4976566bd7aa950bb40949</t>
  </si>
  <si>
    <t>https://sulwhasoo-jp.myshopify.com/pages/pub-blog</t>
  </si>
  <si>
    <t>pub-blog
 | Sulwhasoo Japan</t>
  </si>
  <si>
    <t>pub-blog</t>
  </si>
  <si>
    <t>657177f235099f5c483e2772d1da4aca</t>
  </si>
  <si>
    <t>pub-blog | Sulwhasoo Japan</t>
  </si>
  <si>
    <t>1591e481d90d30bea83e93d285aee3d2</t>
  </si>
  <si>
    <t>/blogs/notice.atom</t>
  </si>
  <si>
    <t>d84c77d18f15a3a9916ee94e591c77b</t>
  </si>
  <si>
    <t>/blogs/event.atom</t>
  </si>
  <si>
    <t>27334f52028bec548b4b641d67d210a7</t>
  </si>
  <si>
    <t>/blogs/sulwhasoo-post.atom</t>
  </si>
  <si>
    <t>https://sulwhasoo-jp.myshopify.com/blogs/event/dev-test-event-active</t>
  </si>
  <si>
    <t>[DEV TEST] event-active
 | Sulwhasoo Japan</t>
  </si>
  <si>
    <t>[DEV TEST] event-active</t>
  </si>
  <si>
    <t>e70247a3a008e9e4813c5170b0f47374</t>
  </si>
  <si>
    <t>[DEV TEST] event-active | Sulwhasoo Japan</t>
  </si>
  <si>
    <t>http://sulwhasoo-jp.myshopify.com/cdn/shop/articles/palm-trees-sky.jpg?v=1775914429</t>
  </si>
  <si>
    <t>https://sulwhasoo-jp.myshopify.com/blogs/event/dev-test-event-inactive</t>
  </si>
  <si>
    <t>[DEV TEST] event-inactive
 | Sulwhasoo Japan</t>
  </si>
  <si>
    <t>[DEV TEST] event-inactive</t>
  </si>
  <si>
    <t>69588078958fedb4371a108967ea7ae6</t>
  </si>
  <si>
    <t>[DEV TEST] event-inactive | Sulwhasoo Japan</t>
  </si>
  <si>
    <t>https://sulwhasoo-jp.myshopify.com/blogs/event/dev-test-event-active2</t>
  </si>
  <si>
    <t>[DEV TEST] event-active2
 | Sulwhasoo Japan</t>
  </si>
  <si>
    <t>大人気「くまのプーさん」コラボアイテム登場。 爽やかな夏を楽しもう！ 大人気「くまのプーさん」コラボアイテム登場。 爽やかな夏を楽しもう！ 大人気「くまのプーさん」コラボアイテム登場。 爽やかな夏を楽しもう！</t>
  </si>
  <si>
    <t>[DEV TEST] event-active2</t>
  </si>
  <si>
    <t>c38799ebfec0aaef30d9768ffbced344</t>
  </si>
  <si>
    <t>[DEV TEST] event-active2 | Sulwhasoo Japan</t>
  </si>
  <si>
    <t>http://sulwhasoo-jp.myshopify.com/cdn/shop/articles/palm-trees-sky_a0dad88b-cd13-4099-b5e2-5dfea9fb50e1.jpg?v=1775914415</t>
  </si>
  <si>
    <t>2025 FIRST CARE ACTIVATING SERUM</t>
  </si>
  <si>
    <t>潤燥ユンジョ ファーストケア アクティブセラム VI</t>
  </si>
  <si>
    <t>5a226eed7b9344309c3206e493d5f119</t>
  </si>
  <si>
    <t>7100dfc86bdae1b799a98047c2a54ef0</t>
  </si>
  <si>
    <t>30a59be4bb6342fa46eedc873f5b573b</t>
  </si>
  <si>
    <t>https://sulwhasoo-jp.myshopify.com/blogs/event/cosme-store-tokyo%E3%81%AB%E3%81%A6popupstore%E9%96%8B%E5%82%AC</t>
  </si>
  <si>
    <t>d7ded963fd1dfecb9c68efb9c7a5367e</t>
  </si>
  <si>
    <t>https://sulwhasoo-jp.myshopify.com/blogs/sulwhasoo-post/journey-to-holistic-beauty-%E6%99%82%E3%81%AE%E6%B5%81%E3%82%8C%E3%81%AB%E6%8F%BA%E3%82%8B%E3%81%8C%E3%81%AA%E3%81%84%E7%BE%8E%E3%81%97%E3%81%95%E3%81%B8%E3%81%AE%E6%97%85</t>
  </si>
  <si>
    <t>9e5d7ff5aa5dca88050b8d314fee164f</t>
  </si>
  <si>
    <t>https://sulwhasoo-jp.myshopify.com/blogs/event/%E5%85%AC%E5%BC%8F%E3%82%B9%E3%83%88%E3%82%A2%E3%82%AA%E3%83%BC%E3%83%97%E3%83%B3%E8%A8%98%E5%BF%B5-%E3%83%AC%E3%83%93%E3%83%A5%E3%83%BC%E3%82%AD%E3%83%A3%E3%83%B3%E3%83%9A%E3%83%BC%E3%83%B3</t>
  </si>
  <si>
    <t>Total Transferred (bytes)</t>
  </si>
  <si>
    <t>CO2 (mg)</t>
  </si>
  <si>
    <t>Carbon Rating</t>
  </si>
  <si>
    <t>Closest Near Duplicate Match</t>
  </si>
  <si>
    <t>Language</t>
  </si>
  <si>
    <t>schema 1</t>
  </si>
  <si>
    <t>schema 2</t>
  </si>
  <si>
    <t>schema 3</t>
  </si>
  <si>
    <t>schema_type 1</t>
  </si>
  <si>
    <t>schema_type 2</t>
  </si>
  <si>
    <t>schema_type 3</t>
  </si>
  <si>
    <t>Mobile Alternate Link</t>
  </si>
  <si>
    <t>Closest Semantically Similar Address</t>
  </si>
  <si>
    <t>Semantic Similarity Score</t>
  </si>
  <si>
    <t>No. Semantically Similar</t>
  </si>
  <si>
    <t>Semantic Relevance Score</t>
  </si>
  <si>
    <t>https://www.sulwhasoo.com/kr/ko/about-sulwhasoo/brand-news/archive/2024-first-care-activating-serum-vi-introduction.html</t>
  </si>
  <si>
    <t>text/html</t>
  </si>
  <si>
    <t>윤조에센스 6세대 | 설화수</t>
  </si>
  <si>
    <t>피부 속건조부터 모공, 주름, 탄력까지 매일 차오르는 윤빛 피부</t>
  </si>
  <si>
    <t>설화수 윤조에센스 6세대 소개</t>
  </si>
  <si>
    <t>설화수 윤조에센스 6세대 FIRST CARE ACTIVATING SERUM VI</t>
  </si>
  <si>
    <t>전 세계에서 사랑받는 베스트 셀러 설화수 윤조에센스 6세대</t>
  </si>
  <si>
    <t>20e4e7af04d23b73a65445c7fac7e82a</t>
  </si>
  <si>
    <t>Thu, 05 Feb 2026 01:01:36 GMT</t>
  </si>
  <si>
    <t>ko</t>
  </si>
  <si>
    <t>1.1</t>
  </si>
  <si>
    <t>설화수</t>
  </si>
  <si>
    <t>https://www.sulwhasoo.com/kr/ko/about-sulwhasoo/brand-news/archive/__icsFiles/afieldfile/2024/03/20/240319_final_KR_BRAND-NEWS_thumbnail_07_1.jpg</t>
  </si>
  <si>
    <t>schema.org</t>
  </si>
  <si>
    <t>BreadcrumbList</t>
  </si>
  <si>
    <t>2026-02-05 15:35:55</t>
  </si>
  <si>
    <t>https://www.sulwhasoo.com/kr/ko/about-sulwhasoo/brand-news/archive/2024-lunar-new-year-limited-edition.html</t>
  </si>
  <si>
    <t>윤조에센스 용의 해 에디션 | 설화수</t>
  </si>
  <si>
    <t>용의 해를 맞아 리미티드로 탄생한 설화수의 NO.1 에센스</t>
  </si>
  <si>
    <t>윤조에센스 용의 해 에디션 소개</t>
  </si>
  <si>
    <r>
      <rPr>
        <sz val="11"/>
        <color rgb="FF000000"/>
        <rFont val="맑은 고딕"/>
        <family val="2"/>
        <charset val="1"/>
      </rPr>
      <t xml:space="preserve">HAPPY NEW YEAR FROM SULWHASOO </t>
    </r>
    <r>
      <rPr>
        <sz val="11"/>
        <color rgb="FF000000"/>
        <rFont val="Noto Sans CJK SC"/>
        <family val="2"/>
      </rPr>
      <t>윤조에센스 용의 해 에디션</t>
    </r>
  </si>
  <si>
    <t>윤조에센스 용의 해 에디션</t>
  </si>
  <si>
    <t>d051d294bfca1b92101cd08db64bd24</t>
  </si>
  <si>
    <t>https://www.sulwhasoo.com/kr/ko/about-sulwhasoo/brand-news/archive/__icsFiles/afieldfile/2024/03/07/240307_final_KR_BRAND-NEWS_thumbnail_01_2024-lunar-new-year-limited-edition_1.jpg</t>
  </si>
  <si>
    <t>2026-02-05 15:35:42</t>
  </si>
  <si>
    <t>https://www.sulwhasoo.com/kr/ko/about-sulwhasoo/brand-news/archive/2025-concentrated-ginseng-rejuvenating-cream.html</t>
  </si>
  <si>
    <r>
      <rPr>
        <sz val="11"/>
        <color rgb="FF000000"/>
        <rFont val="맑은 고딕"/>
        <family val="2"/>
        <charset val="1"/>
      </rPr>
      <t xml:space="preserve">2025 </t>
    </r>
    <r>
      <rPr>
        <sz val="11"/>
        <color rgb="FF000000"/>
        <rFont val="Noto Sans CJK SC"/>
        <family val="2"/>
      </rPr>
      <t xml:space="preserve">자음생크림 </t>
    </r>
    <r>
      <rPr>
        <sz val="11"/>
        <color rgb="FF000000"/>
        <rFont val="맑은 고딕"/>
        <family val="2"/>
        <charset val="1"/>
      </rPr>
      <t xml:space="preserve">| </t>
    </r>
    <r>
      <rPr>
        <sz val="11"/>
        <color rgb="FF000000"/>
        <rFont val="Noto Sans CJK SC"/>
        <family val="2"/>
      </rPr>
      <t>설화수</t>
    </r>
  </si>
  <si>
    <r>
      <rPr>
        <sz val="11"/>
        <color rgb="FF000000"/>
        <rFont val="맑은 고딕"/>
        <family val="2"/>
        <charset val="1"/>
      </rPr>
      <t>10</t>
    </r>
    <r>
      <rPr>
        <sz val="11"/>
        <color rgb="FF000000"/>
        <rFont val="Noto Sans CJK SC"/>
        <family val="2"/>
      </rPr>
      <t xml:space="preserve">년 연속 안티에이징 크림 </t>
    </r>
    <r>
      <rPr>
        <sz val="11"/>
        <color rgb="FF000000"/>
        <rFont val="맑은 고딕"/>
        <family val="2"/>
        <charset val="1"/>
      </rPr>
      <t>1</t>
    </r>
    <r>
      <rPr>
        <sz val="11"/>
        <color rgb="FF000000"/>
        <rFont val="Noto Sans CJK SC"/>
        <family val="2"/>
      </rPr>
      <t>위</t>
    </r>
    <r>
      <rPr>
        <sz val="11"/>
        <color rgb="FF000000"/>
        <rFont val="맑은 고딕"/>
        <family val="2"/>
        <charset val="1"/>
      </rPr>
      <t>. 60</t>
    </r>
    <r>
      <rPr>
        <sz val="11"/>
        <color rgb="FF000000"/>
        <rFont val="Noto Sans CJK SC"/>
        <family val="2"/>
      </rPr>
      <t>년간 끊임없는 진화를 거듭해온 자음생크림은 한 순간의 에이징 케어를 넘어 피부의 장수를 바라봅니다</t>
    </r>
    <r>
      <rPr>
        <sz val="11"/>
        <color rgb="FF000000"/>
        <rFont val="맑은 고딕"/>
        <family val="2"/>
        <charset val="1"/>
      </rPr>
      <t>.</t>
    </r>
  </si>
  <si>
    <t>설화수 자음생크림</t>
  </si>
  <si>
    <t>설화수 자음생크림 소개 영상</t>
  </si>
  <si>
    <r>
      <rPr>
        <sz val="11"/>
        <color rgb="FF000000"/>
        <rFont val="맑은 고딕"/>
        <family val="2"/>
        <charset val="1"/>
      </rPr>
      <t>10</t>
    </r>
    <r>
      <rPr>
        <sz val="11"/>
        <color rgb="FF000000"/>
        <rFont val="Noto Sans CJK SC"/>
        <family val="2"/>
      </rPr>
      <t xml:space="preserve">년 연속 안티에이징 크림 </t>
    </r>
    <r>
      <rPr>
        <sz val="11"/>
        <color rgb="FF000000"/>
        <rFont val="맑은 고딕"/>
        <family val="2"/>
        <charset val="1"/>
      </rPr>
      <t>1</t>
    </r>
    <r>
      <rPr>
        <sz val="11"/>
        <color rgb="FF000000"/>
        <rFont val="Noto Sans CJK SC"/>
        <family val="2"/>
      </rPr>
      <t>위</t>
    </r>
    <r>
      <rPr>
        <sz val="11"/>
        <color rgb="FF000000"/>
        <rFont val="맑은 고딕"/>
        <family val="2"/>
        <charset val="1"/>
      </rPr>
      <t xml:space="preserve">* </t>
    </r>
    <r>
      <rPr>
        <sz val="11"/>
        <color rgb="FF000000"/>
        <rFont val="Noto Sans CJK SC"/>
        <family val="2"/>
      </rPr>
      <t>자음생크림</t>
    </r>
  </si>
  <si>
    <t>cd1fa3ca1675ccdee09709431ed51cf4</t>
  </si>
  <si>
    <t>https://www.sulwhasoo.com/kr/ko/about-sulwhasoo/brand-news/archive/__icsFiles/afieldfile/2025/08/05/250729_final_KR_CGRC_thumbnail_1.jpg</t>
  </si>
  <si>
    <t>2026-02-05 15:34:47</t>
  </si>
  <si>
    <t>https://www.sulwhasoo.com/kr/ko/about-sulwhasoo/brand-news/archive/2025-first-care-activating-serum-vi-introduction.html</t>
  </si>
  <si>
    <t>윤조에센스 6세대 출시 - 브랜드 뉴스 | 설화수</t>
  </si>
  <si>
    <t>피부 본연의 힘을 깨워 건강한 윤기를 선사하는 FIRST STEP, 윤조에센스 6세대가 출시되었습니다.</t>
  </si>
  <si>
    <t>정체된 피부 흐름을 되살려, 다시 윤빛 도는 피부 설화수 윤조에센스 6세대 FIRST CARE ACTIVATING SERUM VI</t>
  </si>
  <si>
    <t>시대와 세대를 뛰어넘는 안티에이징 에센스 설화수 베스트셀러1) 윤조에센스</t>
  </si>
  <si>
    <t>윤조에센스 6세대</t>
  </si>
  <si>
    <t>9a91a38cd2042e75c90440ff04867f79</t>
  </si>
  <si>
    <t>https://www.sulwhasoo.com/kr/ko/about-sulwhasoo/brand-news/archive/__icsFiles/afieldfile/2025/02/14/250211_final_KR_first-care-activating-serum-vi_thumbnail_1.jpg</t>
  </si>
  <si>
    <t>2026-02-05 15:35:23</t>
  </si>
  <si>
    <t>https://www.sulwhasoo.com/kr/ko/about-sulwhasoo/brand-news/archive/2025-holiday-collection.html</t>
  </si>
  <si>
    <r>
      <rPr>
        <sz val="11"/>
        <color rgb="FF000000"/>
        <rFont val="맑은 고딕"/>
        <family val="2"/>
        <charset val="1"/>
      </rPr>
      <t xml:space="preserve">2025 </t>
    </r>
    <r>
      <rPr>
        <sz val="11"/>
        <color rgb="FF000000"/>
        <rFont val="Noto Sans CJK SC"/>
        <family val="2"/>
      </rPr>
      <t xml:space="preserve">홀리데이 </t>
    </r>
    <r>
      <rPr>
        <sz val="11"/>
        <color rgb="FF000000"/>
        <rFont val="맑은 고딕"/>
        <family val="2"/>
        <charset val="1"/>
      </rPr>
      <t xml:space="preserve">| </t>
    </r>
    <r>
      <rPr>
        <sz val="11"/>
        <color rgb="FF000000"/>
        <rFont val="Noto Sans CJK SC"/>
        <family val="2"/>
      </rPr>
      <t>설화수</t>
    </r>
  </si>
  <si>
    <r>
      <rPr>
        <sz val="11"/>
        <color rgb="FF000000"/>
        <rFont val="맑은 고딕"/>
        <family val="2"/>
        <charset val="1"/>
      </rPr>
      <t xml:space="preserve">A Holiday of unexpected delight - </t>
    </r>
    <r>
      <rPr>
        <sz val="11"/>
        <color rgb="FF000000"/>
        <rFont val="Noto Sans CJK SC"/>
        <family val="2"/>
      </rPr>
      <t>이번 연말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Noto Sans CJK SC"/>
        <family val="2"/>
      </rPr>
      <t xml:space="preserve">설화수와 함께 당신만의 </t>
    </r>
    <r>
      <rPr>
        <sz val="11"/>
        <color rgb="FF000000"/>
        <rFont val="맑은 고딕"/>
        <family val="2"/>
        <charset val="1"/>
      </rPr>
      <t>unexpected delight</t>
    </r>
    <r>
      <rPr>
        <sz val="11"/>
        <color rgb="FF000000"/>
        <rFont val="Noto Sans CJK SC"/>
        <family val="2"/>
      </rPr>
      <t>를 만나보세요</t>
    </r>
    <r>
      <rPr>
        <sz val="11"/>
        <color rgb="FF000000"/>
        <rFont val="맑은 고딕"/>
        <family val="2"/>
        <charset val="1"/>
      </rPr>
      <t>.</t>
    </r>
  </si>
  <si>
    <t>A Holiday of unexpected delight</t>
  </si>
  <si>
    <t>이번 연말, 설화수와 함께 당신만의 unexpected delight를 만나보세요.</t>
  </si>
  <si>
    <t>함께 사용하면 좋은 제품</t>
  </si>
  <si>
    <t>f5034583952bd7a97eed54cd5d75d6cf</t>
  </si>
  <si>
    <t>https://www.sulwhasoo.com/kr/ko/about-sulwhasoo/brand-news/archive/__icsFiles/afieldfile/2025/10/27/251027_final_KR_Holiday-Collection_brand-news_thumbnail_1.jpg</t>
  </si>
  <si>
    <t>2026-02-05 15:35:13</t>
  </si>
  <si>
    <t>https://www.sulwhasoo.com/kr/ko/about-sulwhasoo/brand-news/archive/2026-lunar-new-year-limited-edition.html</t>
  </si>
  <si>
    <t>윤조에센스 붉은 말의 해 에디션 | 설화수</t>
  </si>
  <si>
    <t>붉은 말의 해를 맞아 리미티드로 탄생한 설화수의 NO.1 에센스 - 설화수와 함께 힘차고 빛나는 새해를 시작하세요.</t>
  </si>
  <si>
    <t>윤조에센스 붉은 말의 해 에디션</t>
  </si>
  <si>
    <t>Journey of Horse</t>
  </si>
  <si>
    <t>윤조에센스 말의 해 에디션</t>
  </si>
  <si>
    <t>af40aea8625600af065e7ac60c1b7ceb</t>
  </si>
  <si>
    <t>https://www.sulwhasoo.com/kr/ko/about-sulwhasoo/brand-news/archive/__icsFiles/afieldfile/2025/12/26/251218_final_KR_2026LNY_thumbnail_1.jpg</t>
  </si>
  <si>
    <t>2026-02-05 15:35:15</t>
  </si>
  <si>
    <t>https://www.sulwhasoo.com/kr/ko/about-sulwhasoo/brand-news/archive/archive.html</t>
  </si>
  <si>
    <t>설화수 브랜드 뉴스 | 설화수</t>
  </si>
  <si>
    <t>설화수 브랜드 뉴스에서 최신 소식과 지난 활동을 만나보세요. 지속적인 혁신과 아름다움의 기록을 통해 설화수의 여정을 확인할 수 있습니다.</t>
  </si>
  <si>
    <t>설화수, 설화수 아카이브, 설화수 브랜드 뉴스</t>
  </si>
  <si>
    <t>Archive</t>
  </si>
  <si>
    <t>e170bf7542e258fccfc490de07017168</t>
  </si>
  <si>
    <t>Thu, 05 Feb 2026 01:01:22 GMT</t>
  </si>
  <si>
    <t>https://www.sulwhasoo.com/kr/ko/resource/img/sulwhasoo-og-img_250304.jpg</t>
  </si>
  <si>
    <t>2026-02-05 15:34:41</t>
  </si>
  <si>
    <t>https://www.sulwhasoo.com/kr/ko/about-sulwhasoo/brand-news/archive/concentrated-ginseng-renewing-cream-serum.html</t>
  </si>
  <si>
    <t>자음생 크림&amp;세럼 | 설화수</t>
  </si>
  <si>
    <t>단 48시간 안에 콜라겐 복구 무너진 피부의 기둥을 세워 단단하게</t>
  </si>
  <si>
    <t>설화수 자음생크림 소개</t>
  </si>
  <si>
    <t>설화수 자음생크림&amp;자음생세럼</t>
  </si>
  <si>
    <t>fd26f0a07efcd7386bddb7eeaa425db4</t>
  </si>
  <si>
    <t>https://www.sulwhasoo.com/kr/ko/about-sulwhasoo/brand-news/archive/__icsFiles/afieldfile/2024/03/20/240319_final_KR_BRAND-NEWS_thumbnail_08_3.jpg</t>
  </si>
  <si>
    <t>2026-02-05 15:34:53</t>
  </si>
  <si>
    <t>https://www.sulwhasoo.com/kr/ko/about-sulwhasoo/brand-news/archive/culture-project.html</t>
  </si>
  <si>
    <t>내 손으로 알리는 한국 문화 – 컬처프로젝트 2.0 모집 | 설화수</t>
  </si>
  <si>
    <t>전통의 아름다움을 알리는 설화수의 문화 프로젝트. 민화를 현대적으로 재해석해 창작하고, 설화수와 함께 전시까지 경험해보세요.</t>
  </si>
  <si>
    <r>
      <rPr>
        <sz val="11"/>
        <color rgb="FF000000"/>
        <rFont val="맑은 고딕"/>
        <family val="2"/>
        <charset val="1"/>
      </rPr>
      <t xml:space="preserve">We Create Culture </t>
    </r>
    <r>
      <rPr>
        <sz val="11"/>
        <color rgb="FF000000"/>
        <rFont val="Noto Sans CJK SC"/>
        <family val="2"/>
      </rPr>
      <t>우리가 직접 만들고 알려나가는 한국의 문화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Noto Sans CJK SC"/>
        <family val="2"/>
      </rPr>
      <t>설화수 컬처프로젝트</t>
    </r>
  </si>
  <si>
    <t>설화수 컬처프로젝트란?</t>
  </si>
  <si>
    <r>
      <rPr>
        <sz val="11"/>
        <color rgb="FF000000"/>
        <rFont val="맑은 고딕"/>
        <family val="2"/>
        <charset val="1"/>
      </rPr>
      <t xml:space="preserve">1. </t>
    </r>
    <r>
      <rPr>
        <sz val="11"/>
        <color rgb="FF000000"/>
        <rFont val="Noto Sans CJK SC"/>
        <family val="2"/>
      </rPr>
      <t>주요활동</t>
    </r>
  </si>
  <si>
    <t>b2b8a5fb38e71762ffee37e4fd91223</t>
  </si>
  <si>
    <t>https://www.sulwhasoo.com/kr/ko/about-sulwhasoo/brand-news/archive/__icsFiles/afieldfile/2025/03/24/250324_final_KR_Culture-Project_Thumbnail_1.jpg</t>
  </si>
  <si>
    <t>2026-02-05 15:35:47</t>
  </si>
  <si>
    <t>https://www.sulwhasoo.com/kr/ko/about-sulwhasoo/brand-news/archive/first-care-activating-serum-pop-up.html</t>
  </si>
  <si>
    <t>윤조에센스 팝업스토어 | 설화수</t>
  </si>
  <si>
    <t>FIRST CARE ACTIVATING SERUM</t>
  </si>
  <si>
    <t>First Care Activating Serum Pop-up Store</t>
  </si>
  <si>
    <t>8ea890ffa6a65f6dc9a08714d5f336f9</t>
  </si>
  <si>
    <t>https://www.sulwhasoo.com/kr/ko/about-sulwhasoo/brand-news/archive/__icsFiles/afieldfile/2025/03/31/250327_final_KR_first-care-activating-serum-pop-up_main_Thumbnail_PC_1.jpg</t>
  </si>
  <si>
    <t>2026-02-05 15:34:58</t>
  </si>
  <si>
    <t>https://www.sulwhasoo.com/kr/ko/about-sulwhasoo/brand-news/archive/holistic-scanner-service.html</t>
  </si>
  <si>
    <t>홀리스틱 스캐너 서비스 | 설화수</t>
  </si>
  <si>
    <t>피부 근본의 힘, '자생력'을 강화하여 노화 근본부터 케어하는 설화수 홀리스틱 피부 진단 서비스를 특별한 혜택과 함께 만나보세요.</t>
  </si>
  <si>
    <t>홀리스틱 스캐너 서비스</t>
  </si>
  <si>
    <t>서비스 체험 고객 대상 특별 이벤트</t>
  </si>
  <si>
    <t>체험 후 제품 구매 시 프로모션</t>
  </si>
  <si>
    <t>56a911740d9a2a329e376867c28ca6f</t>
  </si>
  <si>
    <t>https://www.sulwhasoo.com/kr/ko/about-sulwhasoo/brand-news/archive/__icsFiles/afieldfile/2025/11/07/251106_final_KR_holisticscanner_thumbnail_1.jpg</t>
  </si>
  <si>
    <t>2026-02-05 15:34:52</t>
  </si>
  <si>
    <t>https://www.sulwhasoo.com/kr/ko/about-sulwhasoo/brand-news/archive/insamjang-pop-up-store.html</t>
  </si>
  <si>
    <t>인삼장 팝업스토어 | 설화수</t>
  </si>
  <si>
    <t>인삼 헤리티지의 현대적인 재해석</t>
  </si>
  <si>
    <t>43f8bda65cfa30bf8709396c4fb28d66</t>
  </si>
  <si>
    <t>https://www.sulwhasoo.com/kr/ko/about-sulwhasoo/brand-news/archive/__icsFiles/afieldfile/2024/03/28/240327_final_KR_insamjang-pop-up-store_thumbnail_pc_1.jpg</t>
  </si>
  <si>
    <t>https://www.sulwhasoo.com/kr/ko/about-sulwhasoo/brand-news/archive/lumiwise-brightening-ampoule-serum.html</t>
  </si>
  <si>
    <t>설화수 자정앰플세럼 – NEW 브라이트닝 솔루션 | 설화수</t>
  </si>
  <si>
    <t>한 순간이 아닌 한결같이 이어지는 맑고 투명한 피부를 위해 설화수가 제시하는 NEW 브라이트닝 솔루션 자정앰플세럼을 만나보세요.</t>
  </si>
  <si>
    <t>다시 짙어지지 않고* 맑게 이어지는 피부 자정앰플세럼</t>
  </si>
  <si>
    <t>노화로 인한 칙칙함을 개선하는 설화수만의 브라이트닝 솔루션</t>
  </si>
  <si>
    <t>자정앰플세럼</t>
  </si>
  <si>
    <t>6b3875cb4dd263b11a4170d2dbbbac36</t>
  </si>
  <si>
    <t>https://www.sulwhasoo.com/kr/ko/about-sulwhasoo/brand-news/archive/__icsFiles/afieldfile/2026/01/28/260121_final_KR_lumiwisebrighteningampouleserum_thumbnail_1.jpg</t>
  </si>
  <si>
    <t>2026-02-05 15:34:59</t>
  </si>
  <si>
    <t>https://www.sulwhasoo.com/kr/ko/about-sulwhasoo/brand-news/archive/mothers-day-campaign.html</t>
  </si>
  <si>
    <r>
      <rPr>
        <sz val="11"/>
        <color rgb="FF000000"/>
        <rFont val="맑은 고딕"/>
        <family val="2"/>
        <charset val="1"/>
      </rPr>
      <t xml:space="preserve">Mother’s day | </t>
    </r>
    <r>
      <rPr>
        <sz val="11"/>
        <color rgb="FF000000"/>
        <rFont val="Noto Sans CJK SC"/>
        <family val="2"/>
      </rPr>
      <t>설화수</t>
    </r>
  </si>
  <si>
    <t>함께 했던 순간들 보다 더 언제나 늘 함께 해</t>
  </si>
  <si>
    <t>dc250587ea139c143fc1277f2fc1c7db</t>
  </si>
  <si>
    <t>https://www.sulwhasoo.com/kr/ko/about-sulwhasoo/brand-news/archive/__icsFiles/afieldfile/2024/04/12/240409_final_KR_MOTHERS-DAY-CAMPAIGN_thumbnail_1.jpg</t>
  </si>
  <si>
    <t>2026-02-05 15:35:54</t>
  </si>
  <si>
    <t>https://www.sulwhasoo.com/kr/ko/about-sulwhasoo/brand-news/archive/news/news.html</t>
  </si>
  <si>
    <t>브랜드 뉴스 -  News | 설화수</t>
  </si>
  <si>
    <t>브랜드 뉴스의 News 목록을 보실 수 있는 페이지입니다.</t>
  </si>
  <si>
    <t>1b42848ebe449cc4bfbb3fa027d53862</t>
  </si>
  <si>
    <t>Mon, 12 Jan 2026 06:36:00 GMT</t>
  </si>
  <si>
    <t>2026-02-05 15:34:48</t>
  </si>
  <si>
    <t>https://www.sulwhasoo.com/kr/ko/about-sulwhasoo/brand-news/archive/our_product/our_product.html</t>
  </si>
  <si>
    <t>브랜드 뉴스 - Our Product | 설화수</t>
  </si>
  <si>
    <t>브랜드 뉴스의 Our Product 목록을 보실 수 있는 페이지입니다.</t>
  </si>
  <si>
    <t>6cf354f62b67b33d0060ba0830c898f0</t>
  </si>
  <si>
    <t>Mon, 12 Jan 2026 06:36:06 GMT</t>
  </si>
  <si>
    <t>2026-02-05 15:34:46</t>
  </si>
  <si>
    <t>https://www.sulwhasoo.com/kr/ko/about-sulwhasoo/brand-story/brand-story.html</t>
  </si>
  <si>
    <t>설화수 브랜드 스토리, 진정한 아름다움을 향한 설화수의 여정  | 설화수</t>
  </si>
  <si>
    <t>설화수는 전통의 지혜와 현대 기술을 융합하여 피부 본연의 자생력을 깨우고 윤기 있는 피부를 선사합니다. 설화수의 여정을 만나보세요.</t>
  </si>
  <si>
    <t>시간의 흐름에 지지 않는 아름다움 홀리스틱 뷰티</t>
  </si>
  <si>
    <t>집념의 60년 연구, 피부 장수를 위한 인삼</t>
  </si>
  <si>
    <r>
      <rPr>
        <sz val="11"/>
        <color rgb="FF000000"/>
        <rFont val="맑은 고딕"/>
        <family val="2"/>
        <charset val="1"/>
      </rPr>
      <t>5</t>
    </r>
    <r>
      <rPr>
        <sz val="11"/>
        <color rgb="FF000000"/>
        <rFont val="Noto Sans CJK SC"/>
        <family val="2"/>
      </rPr>
      <t>종 식물 원료 조합의 시너지 피부 능력을 키우는 자음단</t>
    </r>
    <r>
      <rPr>
        <sz val="11"/>
        <color rgb="FF000000"/>
        <rFont val="맑은 고딕"/>
        <family val="2"/>
        <charset val="1"/>
      </rPr>
      <t>®</t>
    </r>
  </si>
  <si>
    <t>d14df39dc5a8af20d6caf2e768aaf79a</t>
  </si>
  <si>
    <t>Mon, 12 Jan 2026 06:35:58 GMT</t>
  </si>
  <si>
    <t>2026-02-05 15:35:46</t>
  </si>
  <si>
    <t>https://www.sulwhasoo.com/kr/ko/about-sulwhasoo/brand-sustainability/anti-counterfeit/anti-counterfeit.html</t>
  </si>
  <si>
    <t>진정한 아름다움을 지키는 설화수의 여정에 함께해 주세요</t>
  </si>
  <si>
    <t>설화수의 위조품 근절 노력</t>
  </si>
  <si>
    <t>당신의 현명한 선택이 진정한 아름다움을 완성합니다.</t>
  </si>
  <si>
    <t>75dd0984461fc619e1ddd36bb2faff0e</t>
  </si>
  <si>
    <t>2026-02-05 15:35:06</t>
  </si>
  <si>
    <t>https://www.sulwhasoo.com/kr/ko/about-sulwhasoo/brand-sustainability/index.html</t>
  </si>
  <si>
    <t>abf42f9169015331b4562cd5ef7a4e9a</t>
  </si>
  <si>
    <t>2026-02-05 15:35:57</t>
  </si>
  <si>
    <t>https://www.sulwhasoo.com/kr/ko/about-sulwhasoo/brand-sustainability/sustainability/brand-sustainability.html</t>
  </si>
  <si>
    <t>설화수 ESG</t>
  </si>
  <si>
    <t>지속 가능한 미래를 위한 설화수의 약속</t>
  </si>
  <si>
    <t>ab3fc91609a41bda08967a562a6c7940</t>
  </si>
  <si>
    <t>Mon, 12 Jan 2026 06:36:02 GMT</t>
  </si>
  <si>
    <t>2026-02-05 15:35:22</t>
  </si>
  <si>
    <t>https://www.sulwhasoo.com/kr/ko/about-sulwhasoo/classic-luxury-set/classic-luxury-set.html</t>
  </si>
  <si>
    <t>설화수 명작컬렉션 | 설화수</t>
  </si>
  <si>
    <t>설화수의 명작컬렉션을 소개합니다. | Sulwhasoo</t>
  </si>
  <si>
    <t>설화수, 시즌스페셜, 명작 컬렉션</t>
  </si>
  <si>
    <t>명작 컬렉션</t>
  </si>
  <si>
    <t>4a13998ad2f028c0477c225c85bd2d74</t>
  </si>
  <si>
    <t>2026-02-05 15:35:19</t>
  </si>
  <si>
    <t>https://www.sulwhasoo.com/kr/ko/about-sulwhasoo/culture/sws-culture.html</t>
  </si>
  <si>
    <t>설화문화전 - 설화수 라운지 | 설화수</t>
  </si>
  <si>
    <t>설화 문화전은 한국 문화의 아름다운 가치를 현대적으로 재해석함으로써 한국의 미를 널리 알리는 설화수 문화 활동입니다. 설화 문화전 게시물 전체 보기 | Sulwhasoo</t>
  </si>
  <si>
    <t>설화문화전, 한국의 미, 설화수 문화 메세나</t>
  </si>
  <si>
    <t>설화 문화전</t>
  </si>
  <si>
    <t>창, 전통과 현대의 중첩</t>
  </si>
  <si>
    <t>a9852fae784cc7d72e0e9391a1dad81f</t>
  </si>
  <si>
    <t>Mon, 12 Jan 2026 06:36:04 GMT</t>
  </si>
  <si>
    <t>2026-02-05 15:35:00</t>
  </si>
  <si>
    <t>https://www.sulwhasoo.com/kr/ko/about-sulwhasoo/culture-project/archive.html</t>
  </si>
  <si>
    <t>아카이브 | 컬처프로젝트 | 설화수</t>
  </si>
  <si>
    <t>설화수 컬처프로젝트는 한국 전통 문화를 대학생들의 시각으로 재해석하여 동시대적 문화로 널리 알리기 위한 대학생 문화 후원 활동입니다.</t>
  </si>
  <si>
    <t>컬처 프로젝트</t>
  </si>
  <si>
    <t>민화 Minhwa</t>
  </si>
  <si>
    <t>각게수리 Gakgesuri</t>
  </si>
  <si>
    <t>8ac825dd6daab19359cc0ca85b47c840</t>
  </si>
  <si>
    <t>https://www.sulwhasoo.com/kr/ko/meta/__icsFiles/afieldfile/2025/10/02/sulwhasoo-og-img_250304_1.jpg</t>
  </si>
  <si>
    <t>2026-02-05 15:35:02</t>
  </si>
  <si>
    <t>https://www.sulwhasoo.com/kr/ko/about-sulwhasoo/culture-project/season-one.html</t>
  </si>
  <si>
    <t>Canonicalised</t>
  </si>
  <si>
    <t>설화수 컬쳐 프로젝트 SEASON ONE</t>
  </si>
  <si>
    <t>f12d4b2b9f35c2546f9d301924818195</t>
  </si>
  <si>
    <t>2026-02-05 15:35:24</t>
  </si>
  <si>
    <t>https://www.sulwhasoo.com/kr/ko/about-sulwhasoo/culture-project/season-two.html</t>
  </si>
  <si>
    <t>설화수 컬쳐 프로젝트 SEASON TWO</t>
  </si>
  <si>
    <t>4c1f97a7f07fa4bb61ad0a473ff8590b</t>
  </si>
  <si>
    <t>2026-02-05 15:35:43</t>
  </si>
  <si>
    <t>https://www.sulwhasoo.com/kr/ko/about-sulwhasoo/salon-sulwhasoo/salon-sulwhasoo.html</t>
  </si>
  <si>
    <t>살롱 설화수 | 설화수</t>
  </si>
  <si>
    <r>
      <rPr>
        <sz val="11"/>
        <color rgb="FF000000"/>
        <rFont val="맑은 고딕"/>
        <family val="2"/>
        <charset val="1"/>
      </rPr>
      <t>&lt;</t>
    </r>
    <r>
      <rPr>
        <sz val="11"/>
        <color rgb="FF000000"/>
        <rFont val="Noto Sans CJK SC"/>
        <family val="2"/>
      </rPr>
      <t>살롱설화수</t>
    </r>
    <r>
      <rPr>
        <sz val="11"/>
        <color rgb="FF000000"/>
        <rFont val="맑은 고딕"/>
        <family val="2"/>
        <charset val="1"/>
      </rPr>
      <t xml:space="preserve">&gt; </t>
    </r>
    <r>
      <rPr>
        <sz val="11"/>
        <color rgb="FF000000"/>
        <rFont val="Noto Sans CJK SC"/>
        <family val="2"/>
      </rPr>
      <t>전통과 현대를 잇는 다양한 분야의 아티스트들과 소통하며 영감을 나누는 특별한 여정</t>
    </r>
  </si>
  <si>
    <t>살롱 설화수</t>
  </si>
  <si>
    <t>Art &amp; Heritage to life ‘Salon Sulwhasoo’</t>
  </si>
  <si>
    <t>Capturing the Beauty of Eastern &amp; Western</t>
  </si>
  <si>
    <t>4353fa41180b35768d872cd41dd3e797</t>
  </si>
  <si>
    <t>https://www.sulwhasoo.com/kr/ko/meta/__icsFiles/afieldfile/2024/12/06/salon_og_v241126.png</t>
  </si>
  <si>
    <t>2026-02-05 15:34:56</t>
  </si>
  <si>
    <t>https://www.sulwhasoo.com/kr/ko/best/best-seller.html</t>
  </si>
  <si>
    <t>설화수 베스트셀러 제품 | 설화수</t>
  </si>
  <si>
    <t>설화수에서 가장 사랑받는 베스트셀러 제품을 소개합니다. 설화수 스킨케어, 메이크업, 명작 컬렉션 및 남성 제품 베스트셀러 상품 | Sulwhasoo</t>
  </si>
  <si>
    <t>설화수 베스트셀러 제품</t>
  </si>
  <si>
    <t>베스트셀러</t>
  </si>
  <si>
    <t>BEST SELLER</t>
  </si>
  <si>
    <t>4a17bbb5e1f969d3088498754022319</t>
  </si>
  <si>
    <t>Thu, 15 Jan 2026 04:16:50 GMT</t>
  </si>
  <si>
    <t>2026-02-05 15:34:38</t>
  </si>
  <si>
    <t>https://www.sulwhasoo.com/kr/ko/concentrated-ginseng-rejuvenating/introduction.html</t>
  </si>
  <si>
    <t>자음생크림 소개 - 독보적 인삼 헤리티지 | 설화수</t>
  </si>
  <si>
    <t>ca1cbd9252e15bc217a14e39b7043a2</t>
  </si>
  <si>
    <t>2026-02-05 15:35:18</t>
  </si>
  <si>
    <t>https://www.sulwhasoo.com/kr/ko/coverpage/2023-holiday-collection/introduction.html</t>
  </si>
  <si>
    <r>
      <rPr>
        <sz val="11"/>
        <color rgb="FF000000"/>
        <rFont val="맑은 고딕"/>
        <family val="2"/>
        <charset val="1"/>
      </rPr>
      <t xml:space="preserve">2023 </t>
    </r>
    <r>
      <rPr>
        <sz val="11"/>
        <color rgb="FF000000"/>
        <rFont val="Noto Sans CJK SC"/>
        <family val="2"/>
      </rPr>
      <t xml:space="preserve">설화수 홀리데이 컬렉션 </t>
    </r>
    <r>
      <rPr>
        <sz val="11"/>
        <color rgb="FF000000"/>
        <rFont val="맑은 고딕"/>
        <family val="2"/>
        <charset val="1"/>
      </rPr>
      <t xml:space="preserve">| </t>
    </r>
    <r>
      <rPr>
        <sz val="11"/>
        <color rgb="FF000000"/>
        <rFont val="Noto Sans CJK SC"/>
        <family val="2"/>
      </rPr>
      <t>설화수</t>
    </r>
  </si>
  <si>
    <t>반짝이는 것들로 가득할 2023년 겨울에 설화수만의 아티스틱 한 터치로 특별함을 더했습니다.</t>
  </si>
  <si>
    <r>
      <rPr>
        <sz val="11"/>
        <color rgb="FF000000"/>
        <rFont val="맑은 고딕"/>
        <family val="2"/>
        <charset val="1"/>
      </rPr>
      <t xml:space="preserve">SULWHASOO HOLIDAY COLLECTION </t>
    </r>
    <r>
      <rPr>
        <sz val="11"/>
        <color rgb="FF000000"/>
        <rFont val="Noto Sans CJK SC"/>
        <family val="2"/>
      </rPr>
      <t>소개</t>
    </r>
  </si>
  <si>
    <r>
      <rPr>
        <sz val="11"/>
        <color rgb="FF000000"/>
        <rFont val="맑은 고딕"/>
        <family val="2"/>
        <charset val="1"/>
      </rPr>
      <t xml:space="preserve">HAPPY HOLIDAY </t>
    </r>
    <r>
      <rPr>
        <sz val="11"/>
        <color rgb="FF000000"/>
        <rFont val="Noto Sans CJK SC"/>
        <family val="2"/>
      </rPr>
      <t>설화수 홀리데이 컬렉션</t>
    </r>
  </si>
  <si>
    <t>나의 첫 설화수 홀리데이 에디션</t>
  </si>
  <si>
    <t>69c9bc3761769a95b4ae8a955ee19ae2</t>
  </si>
  <si>
    <t>2026-02-05 15:35:56</t>
  </si>
  <si>
    <t>https://www.sulwhasoo.com/kr/ko/coverpage/2024-lunar-new-year-limited-edition/introduction.html</t>
  </si>
  <si>
    <r>
      <rPr>
        <sz val="11"/>
        <color rgb="FF000000"/>
        <rFont val="맑은 고딕"/>
        <family val="2"/>
        <charset val="1"/>
      </rPr>
      <t xml:space="preserve">2024 </t>
    </r>
    <r>
      <rPr>
        <sz val="11"/>
        <color rgb="FF000000"/>
        <rFont val="Noto Sans CJK SC"/>
        <family val="2"/>
      </rPr>
      <t xml:space="preserve">윤조에센스 용의 해 에디션 </t>
    </r>
    <r>
      <rPr>
        <sz val="11"/>
        <color rgb="FF000000"/>
        <rFont val="맑은 고딕"/>
        <family val="2"/>
        <charset val="1"/>
      </rPr>
      <t xml:space="preserve">| </t>
    </r>
    <r>
      <rPr>
        <sz val="11"/>
        <color rgb="FF000000"/>
        <rFont val="Noto Sans CJK SC"/>
        <family val="2"/>
      </rPr>
      <t>설화수</t>
    </r>
  </si>
  <si>
    <t>용의 해를 맞아 리미티드로 탄생한 설화수의 NO.1 에센스, 윤조에센스 용의 해 에디션을 소개합니다.</t>
  </si>
  <si>
    <t>b22cdc6ab74743828b2b2c2d64442cbd</t>
  </si>
  <si>
    <t>2026-02-05 15:35:58</t>
  </si>
  <si>
    <t>https://www.sulwhasoo.com/kr/ko/coverpage/perfecting-cushion/introduction.html</t>
  </si>
  <si>
    <r>
      <rPr>
        <sz val="11"/>
        <color rgb="FF000000"/>
        <rFont val="맑은 고딕"/>
        <family val="2"/>
        <charset val="1"/>
      </rPr>
      <t xml:space="preserve">NEW </t>
    </r>
    <r>
      <rPr>
        <sz val="11"/>
        <color rgb="FF000000"/>
        <rFont val="Noto Sans CJK SC"/>
        <family val="2"/>
      </rPr>
      <t xml:space="preserve">퍼펙팅 쿠션 </t>
    </r>
    <r>
      <rPr>
        <sz val="11"/>
        <color rgb="FF000000"/>
        <rFont val="맑은 고딕"/>
        <family val="2"/>
        <charset val="1"/>
      </rPr>
      <t xml:space="preserve">&amp; </t>
    </r>
    <r>
      <rPr>
        <sz val="11"/>
        <color rgb="FF000000"/>
        <rFont val="Noto Sans CJK SC"/>
        <family val="2"/>
      </rPr>
      <t xml:space="preserve">퍼펙팅 쿠션 에어리 소개 </t>
    </r>
    <r>
      <rPr>
        <sz val="11"/>
        <color rgb="FF000000"/>
        <rFont val="맑은 고딕"/>
        <family val="2"/>
        <charset val="1"/>
      </rPr>
      <t xml:space="preserve">| </t>
    </r>
    <r>
      <rPr>
        <sz val="11"/>
        <color rgb="FF000000"/>
        <rFont val="Noto Sans CJK SC"/>
        <family val="2"/>
      </rPr>
      <t>설화수</t>
    </r>
  </si>
  <si>
    <t>설화수 대표 윤조에센스* 성분으로 메이크업과 스킨케어 효과를 동시에 구현한 스킨케어링 메이크업 쿠션을 소개합니다.</t>
  </si>
  <si>
    <r>
      <rPr>
        <sz val="11"/>
        <color rgb="FF000000"/>
        <rFont val="맑은 고딕"/>
        <family val="2"/>
        <charset val="1"/>
      </rPr>
      <t xml:space="preserve">Sulwhasoo Perfecting Cushion </t>
    </r>
    <r>
      <rPr>
        <sz val="11"/>
        <color rgb="FF000000"/>
        <rFont val="Noto Sans CJK SC"/>
        <family val="2"/>
      </rPr>
      <t>소개</t>
    </r>
  </si>
  <si>
    <r>
      <rPr>
        <sz val="11"/>
        <color rgb="FF000000"/>
        <rFont val="맑은 고딕"/>
        <family val="2"/>
        <charset val="1"/>
      </rPr>
      <t xml:space="preserve">Sulwhasoo Perfecting Cushion </t>
    </r>
    <r>
      <rPr>
        <sz val="11"/>
        <color rgb="FF000000"/>
        <rFont val="Noto Sans CJK SC"/>
        <family val="2"/>
      </rPr>
      <t>특징</t>
    </r>
  </si>
  <si>
    <t>나에게 딱 맞는 퍼펙팅 쿠션을 선택해보세요.</t>
  </si>
  <si>
    <t>118de7c49d4b26543c62e466859a2b1e</t>
  </si>
  <si>
    <t>2026-02-05 15:35:49</t>
  </si>
  <si>
    <t>https://www.sulwhasoo.com/kr/ko/first-care-activating/first-care-activating-serum-vi.html</t>
  </si>
  <si>
    <t>윤조에센스 6세대 소개 | 설화수</t>
  </si>
  <si>
    <t>피부 능력을 깨우고 피부 건강을 전반적으로 개선하여 건강한 윤기를 선사하는 FIRST STEP, 설화수 윤조에센스 6세대를 소개합니다.</t>
  </si>
  <si>
    <t>55e52a99653c903705b91ea1b79d207f</t>
  </si>
  <si>
    <t>2026-02-05 15:34:45</t>
  </si>
  <si>
    <t>https://www.sulwhasoo.com/kr/ko/flagship/bukchon/index.html</t>
  </si>
  <si>
    <t>북촌 설화수의 집 - 설화수 북촌 | 설화수</t>
  </si>
  <si>
    <t>한국적인 가치와 아름다움을 동시대적 해석으로 담아낸, 북촌 설화수의 집 | Sulwhasoo</t>
  </si>
  <si>
    <t>The House of Sulwhasoo Bukchon</t>
  </si>
  <si>
    <t>BUKCHON HISTORY</t>
  </si>
  <si>
    <t>1c8442ec43c7bf3aa25d3a345b642cec</t>
  </si>
  <si>
    <t>2026-02-05 15:34:57</t>
  </si>
  <si>
    <t>https://www.sulwhasoo.com/kr/ko/flagship/dosan/index.html</t>
  </si>
  <si>
    <t>설화수 플래그십 스토어 – 설화수 도산 | 설화수</t>
  </si>
  <si>
    <t>아시안 뷰티의 정수를 오롯이 담은 시그니쳐 공간, 설화수 도산 플래그십 스토어 | Sulwhasoo</t>
  </si>
  <si>
    <t>Sulwhasoo Dosan Flagship Store</t>
  </si>
  <si>
    <t>DOSAN DESIGN STORY</t>
  </si>
  <si>
    <t>2f26d76ab3450575a7ca51eefc385d2f</t>
  </si>
  <si>
    <t>2026-02-05 15:34:43</t>
  </si>
  <si>
    <t>https://www.sulwhasoo.com/kr/ko/flagship/flagship_reservation/flagship_reservation.html</t>
  </si>
  <si>
    <t>설화수 플래그십 스토어 - 서비스 예약확인/취소 | 설화수</t>
  </si>
  <si>
    <t>설화수 플래그십 스토어 서비스를 예약하실 수 있는 페이지 입니다. 로그인 후 이용가능 | Sulwhasoo</t>
  </si>
  <si>
    <t>플래그십 스토어, 포장서비스, 도슨트 투어, VIP서비스, 예약</t>
  </si>
  <si>
    <t>설화수 도산 플래그십 스토어 서비스 예약</t>
  </si>
  <si>
    <t>예약 안내</t>
  </si>
  <si>
    <t>7006e4abfc977fbfe89da595653c06f6</t>
  </si>
  <si>
    <t>2026-02-05 15:35:05</t>
  </si>
  <si>
    <t>https://www.sulwhasoo.com/kr/ko/flagship/intro/index.html</t>
  </si>
  <si>
    <t>설화수 플래그십 스토어 | 설화수</t>
  </si>
  <si>
    <t>설화수 플래그십 스토어를 소개합니다. 설화수 도산, 설화수 북촌 | Sulwhasoo</t>
  </si>
  <si>
    <t>플래그십 스토어</t>
  </si>
  <si>
    <t>Dosan Flagship Store</t>
  </si>
  <si>
    <t>1144b7be4dcc552f4b1eb3d7c4f420</t>
  </si>
  <si>
    <t>2026-02-05 15:35:38</t>
  </si>
  <si>
    <t>https://www.sulwhasoo.com/kr/ko/gift/packing-service.html</t>
  </si>
  <si>
    <t>설화수 기프트 - 설화수의 특별한 선물 | 설화수</t>
  </si>
  <si>
    <t>설화수가 진심을 담아 준비한 포장 서비스, 지함보를 만나보세요. | Sulwhasoo</t>
  </si>
  <si>
    <t>설화수 기프트 소개</t>
  </si>
  <si>
    <t>Sulwhasoo Gift</t>
  </si>
  <si>
    <t>지함보 jihambo</t>
  </si>
  <si>
    <t>7f377498b1e9732370a4ec8b3e000c42</t>
  </si>
  <si>
    <t>2026-02-05 15:35:07</t>
  </si>
  <si>
    <t>https://www.sulwhasoo.com/kr/ko/index.html</t>
  </si>
  <si>
    <t>시간의 흐름에 지지 않는 아름다움을 위한 여정 | 설화수</t>
  </si>
  <si>
    <t>시간의 흐름에 지지 않는 아름다움을 위한 여정 | Sulwhasoo</t>
  </si>
  <si>
    <t>설화수, 브랜드 스토리, 스킨케어, 메이크업, 맨, 설화수 매장안내, 설화수 스파, 설화수 플래그십스토어</t>
  </si>
  <si>
    <t>설화수 메인</t>
  </si>
  <si>
    <t>설화수 추천</t>
  </si>
  <si>
    <t>베스트 셀러</t>
  </si>
  <si>
    <t>4857cdca7460f7e7e85694e074662b08</t>
  </si>
  <si>
    <t>Fri, 30 Jan 2026 08:09:28 GMT</t>
  </si>
  <si>
    <t>2026-02-05 15:35:21</t>
  </si>
  <si>
    <t>https://www.sulwhasoo.com/kr/ko/misc/anti-counterfeit/anti-counterfeit.html</t>
  </si>
  <si>
    <t>위조품 방지 | 설화수</t>
  </si>
  <si>
    <t>‘진정한' 아름다움을 지키는 설화수의 여정에 함께해 주세요</t>
  </si>
  <si>
    <t>9dfbb58d992ccfd37fb1cdf61f1a8d35</t>
  </si>
  <si>
    <t>https://www.sulwhasoo.com/kr/ko/misc/cover/dressing_stand/dressing_stand.html</t>
  </si>
  <si>
    <t>설화수 십장생문 경대 - 명작 컬렉션 | 설화수</t>
  </si>
  <si>
    <t>설화수의 자음생명작세트컬렉션 십장생문 경대는 소중한이의 건강과 영원한 생명을 염원하며 한국의 전통장인과 함께 완성한 설화수 명작세트컬렉션입니다. | Sulwhasoo</t>
  </si>
  <si>
    <r>
      <rPr>
        <sz val="11"/>
        <color rgb="FF000000"/>
        <rFont val="맑은 고딕"/>
        <family val="2"/>
        <charset val="1"/>
      </rPr>
      <t xml:space="preserve">2018 </t>
    </r>
    <r>
      <rPr>
        <sz val="11"/>
        <color rgb="FF000000"/>
        <rFont val="Noto Sans CJK SC"/>
        <family val="2"/>
      </rPr>
      <t xml:space="preserve">자음생 명작세트 컬렉션 </t>
    </r>
    <r>
      <rPr>
        <sz val="11"/>
        <color rgb="FF000000"/>
        <rFont val="맑은 고딕"/>
        <family val="2"/>
        <charset val="1"/>
      </rPr>
      <t>[</t>
    </r>
    <r>
      <rPr>
        <sz val="11"/>
        <color rgb="FF000000"/>
        <rFont val="Noto Sans CJK SC"/>
        <family val="2"/>
      </rPr>
      <t>십장생문 경대</t>
    </r>
    <r>
      <rPr>
        <sz val="11"/>
        <color rgb="FF000000"/>
        <rFont val="맑은 고딕"/>
        <family val="2"/>
        <charset val="1"/>
      </rPr>
      <t>]</t>
    </r>
  </si>
  <si>
    <t>십장생 금사 자수 보자기 전통 포장</t>
  </si>
  <si>
    <t>귀한 마음을 수놓은 십장생 금사 자수</t>
  </si>
  <si>
    <t>63be6dae6de09b0e0365b4ac64e148a2</t>
  </si>
  <si>
    <t>https://www.sulwhasoo.com/kr/ko/misc/cover/saekdong_chest/saekdong_chest.html</t>
  </si>
  <si>
    <t>설화수 색동목장 - 명작 컬렉션 | 설화수</t>
  </si>
  <si>
    <t>설화수의 진설명작세트컬렉션 색동목장은 진설의 기품과 한결같은 아름다움과 한국의 전통장인과 함께 완성한 설화수 명작세트 컬렉션입니다. | Sulwhasoo</t>
  </si>
  <si>
    <t>설화수 명작세트 컬렉션</t>
  </si>
  <si>
    <r>
      <rPr>
        <sz val="11"/>
        <color rgb="FF000000"/>
        <rFont val="맑은 고딕"/>
        <family val="2"/>
        <charset val="1"/>
      </rPr>
      <t xml:space="preserve">2019 </t>
    </r>
    <r>
      <rPr>
        <sz val="11"/>
        <color rgb="FF000000"/>
        <rFont val="Noto Sans CJK SC"/>
        <family val="2"/>
      </rPr>
      <t xml:space="preserve">진설 명작세트 컬렉션 </t>
    </r>
    <r>
      <rPr>
        <sz val="11"/>
        <color rgb="FF000000"/>
        <rFont val="맑은 고딕"/>
        <family val="2"/>
        <charset val="1"/>
      </rPr>
      <t>[</t>
    </r>
    <r>
      <rPr>
        <sz val="11"/>
        <color rgb="FF000000"/>
        <rFont val="Noto Sans CJK SC"/>
        <family val="2"/>
      </rPr>
      <t>색동목장</t>
    </r>
    <r>
      <rPr>
        <sz val="11"/>
        <color rgb="FF000000"/>
        <rFont val="맑은 고딕"/>
        <family val="2"/>
        <charset val="1"/>
      </rPr>
      <t>]</t>
    </r>
  </si>
  <si>
    <t>국가무형문화유산 - 목상감(Wood Inlay)</t>
  </si>
  <si>
    <t>b24d44f190fda1dbf5bad754393d908</t>
  </si>
  <si>
    <t>2026-02-05 15:35:31</t>
  </si>
  <si>
    <t>https://www.sulwhasoo.com/kr/ko/misc/cover/shineclassic2020/shineclassic2020.html</t>
  </si>
  <si>
    <t>설화수 실란 - 명작 컬렉션 | 설화수</t>
  </si>
  <si>
    <t>설화수의 실란 명작컬렉션은 전통 장인의 기술을 향한 강한 집념과 열정을 바탕으로 한국 미의 본질을 한 단계 더 발전시켜 새로운 아름다움을 전달하는 컬렉션입니다. | Sulwhasoo</t>
  </si>
  <si>
    <t>설화수, 시즌스페셜, 명작 컬렉션, 설화수 실란, 실란 명작컬렉션</t>
  </si>
  <si>
    <t>실란 명작 컬렉션</t>
  </si>
  <si>
    <t>떨잠-옥공예</t>
  </si>
  <si>
    <t>은은한 광택으로 피부톤을 밝혀주고 자연스러운 생기와 더불어 얼굴의 윤곽을 잡아주는 프리미엄 리미티드 컬러 팩트</t>
  </si>
  <si>
    <t>5c04017612ee3fd9936716bd89c85b7a</t>
  </si>
  <si>
    <t>2026-02-05 15:34:40</t>
  </si>
  <si>
    <t>https://www.sulwhasoo.com/kr/ko/misc/cover/statevisitgift/statevisitgift.html</t>
  </si>
  <si>
    <t>설화수 국빈세트 - 명작 컬렉션 | 설화수</t>
  </si>
  <si>
    <t>설화수 국빈세트는 설화수의 최고의 가치만을 엄선하여 정성과 예를 오롯이 담았습니다. 한국 전통장인과 함께 귀한 선물의 의미와 가치를 전달하는 설화수 국빈세트를 만나보세요. | Sulwhasoo</t>
  </si>
  <si>
    <r>
      <rPr>
        <sz val="11"/>
        <color rgb="FF000000"/>
        <rFont val="맑은 고딕"/>
        <family val="2"/>
        <charset val="1"/>
      </rPr>
      <t xml:space="preserve">2018 </t>
    </r>
    <r>
      <rPr>
        <sz val="11"/>
        <color rgb="FF000000"/>
        <rFont val="Noto Sans CJK SC"/>
        <family val="2"/>
      </rPr>
      <t>설화수 국빈세트</t>
    </r>
  </si>
  <si>
    <t>전설의 새, 봉황이 깃드는 나무</t>
  </si>
  <si>
    <t>91f9fbedc7459d5cc1ea18d85b939d53</t>
  </si>
  <si>
    <t>2026-02-05 15:35:27</t>
  </si>
  <si>
    <t>https://www.sulwhasoo.com/kr/ko/misc/login.html</t>
  </si>
  <si>
    <t>로그인 | 설화수</t>
  </si>
  <si>
    <t>설화수 공식 홈페이지에 로그인 해보세요. 설화수와 아모레퍼시픽 사이트는 하나의 아이디와 비밀번호로 이용이 가능합니다. 지금 바로 회원가입 후 이용해보세요 | 설화수 한국</t>
  </si>
  <si>
    <t>ecfca2957de14824c7a19e57f23614d2</t>
  </si>
  <si>
    <t>https://www.sulwhasoo.com/kr/ko/misc/search/search.html</t>
  </si>
  <si>
    <t>통합 검색 | 설화수</t>
  </si>
  <si>
    <t>설화수 통합 검색</t>
  </si>
  <si>
    <t>설화수, 설화수 통합 검색</t>
  </si>
  <si>
    <t>Search</t>
  </si>
  <si>
    <t>aaa9962789caf847728d42091b11bbbf</t>
  </si>
  <si>
    <t>2026-02-05 15:35:08</t>
  </si>
  <si>
    <t>https://www.sulwhasoo.com/kr/ko/misc/sitemap/sitemap.html</t>
  </si>
  <si>
    <t>사이트맵 | 설화수</t>
  </si>
  <si>
    <t>설화수 한국 공식 웹사이트의 사이트 맵입니다.  | Sulwhasoo</t>
  </si>
  <si>
    <t>설화수, 설화수 사이트 메뉴</t>
  </si>
  <si>
    <t>Sitemap</t>
  </si>
  <si>
    <t>Utility</t>
  </si>
  <si>
    <t>124c50c2095fcab9e8cae0caa57d57ff</t>
  </si>
  <si>
    <t>https://www.sulwhasoo.com/kr/ko/misc/store/store.html</t>
  </si>
  <si>
    <t>매장찾기 | 설화수</t>
  </si>
  <si>
    <t>설화수 매장 찾기 페이지입니다. 가까운 매장 위치와 매장 정보를 확인해보세요. | Sulwhasoo</t>
  </si>
  <si>
    <t>설화수, 설화수 매장</t>
  </si>
  <si>
    <t>Store Location</t>
  </si>
  <si>
    <t>17d3867dbe3d6165637eee981cbbe495</t>
  </si>
  <si>
    <t>2026-02-05 15:35:33</t>
  </si>
  <si>
    <t>https://www.sulwhasoo.com/kr/ko/products/2026-lunar-new-year-limited-edition.html</t>
  </si>
  <si>
    <t>윤조에센스 6세대 120ML (말의 해 에디션) | 설화수</t>
  </si>
  <si>
    <t>설화수 윤조에센스 6세대 120ML (말의 해 에디션) 제품의 특징과 효능을 자세히 확인해보세요. 정체된 피부 흐름을 되살려, 다시 윤빛 도는 피부. #필수안티에이징에센스 #퍼스트에센스</t>
  </si>
  <si>
    <t>설화수, 아모레퍼시픽, 안티에이징, 안티에이징에센스, 부스팅에센스, 설화수 선물세트, 자생력</t>
  </si>
  <si>
    <t>윤조에센스 6세대 120ML (말의 해 에디션) First Care Activating Serum VI</t>
  </si>
  <si>
    <t>제품상세 닫기</t>
  </si>
  <si>
    <t>윤조에센스</t>
  </si>
  <si>
    <t>835368593ce500f45fa7c488944a39df</t>
  </si>
  <si>
    <t>Thu, 05 Feb 2026 05:03:34 GMT</t>
  </si>
  <si>
    <t>https://www.sulwhasoo.com/kr/ko/products/__icsFiles/afieldfile/2025/12/22/251222_final_KR_FCAS_LNY_BY26_PDP_thumbnail_640x640_01.jpg</t>
  </si>
  <si>
    <t>Product</t>
  </si>
  <si>
    <t>https://www.sulwhasoo.com/kr/ko/products/clarifying-mask.html</t>
  </si>
  <si>
    <t>옥용팩 | 설화수</t>
  </si>
  <si>
    <t>설화수 옥용팩 제품의 특징과 효능을 자세히 확인해보세요. 빈틈없이 밀착되어, 한번에 떼어내는 필-오프 마스크. #각질노폐물케어 #한방필오프팩</t>
  </si>
  <si>
    <t>마스크, 기타, 정화 &amp; 각질케어,</t>
  </si>
  <si>
    <t>옥용팩 Clarifying Mask</t>
  </si>
  <si>
    <t>닫기</t>
  </si>
  <si>
    <t>fbd337671d47404aa247639584dae548</t>
  </si>
  <si>
    <t>Thu, 05 Feb 2026 05:03:16 GMT</t>
  </si>
  <si>
    <t>https://www.sulwhasoo.com/kr/ko/products/__icsFiles/afieldfile/2023/02/28/230228_final_Clarifying-Mask-120ml_thumbnail(640x640)_1.jpg</t>
  </si>
  <si>
    <t>HowTo</t>
  </si>
  <si>
    <t>https://www.sulwhasoo.com/kr/ko/products/concentrated-ginseng-brightening-serum.html</t>
  </si>
  <si>
    <t>자음생세럼 브라이트닝 | 설화수</t>
  </si>
  <si>
    <t>설화수 자음생세럼 브라이트닝 제품의 특징과 효능을 자세히 확인해보세요. 피부 속부터 더 환하게, 더 빛나게. #토탈브라이트닝세럼 #탄력광채 #데일리저자극케어</t>
  </si>
  <si>
    <t>설화수, 미백, 브라이트닝, 광채, 잡티, 스팟, 탄력, 주름, 안티에이징</t>
  </si>
  <si>
    <t>자음생세럼 브라이트닝 Concentrated Ginseng Brightening Serum</t>
  </si>
  <si>
    <t>831419a29e32a76954bffffdcc90608c</t>
  </si>
  <si>
    <t>Thu, 05 Feb 2026 05:03:18 GMT</t>
  </si>
  <si>
    <t>https://www.sulwhasoo.com/kr/ko/products/__icsFiles/afieldfile/2022/08/29/CGR-Brightening-Serum-50ml_Thumb.jpg</t>
  </si>
  <si>
    <t>https://www.sulwhasoo.com/kr/ko/products/concentrated-ginseng-brightening-spot-ampoule.html</t>
  </si>
  <si>
    <t>자음생앰플 브라이트닝 | 설화수</t>
  </si>
  <si>
    <t>설화수 자음생앰플 브라이트닝 제품의 특징과 효능을 자세히 확인해보세요. 더 환하게, 더 빛나는 피부 변화를 단 2주만에. #기미잡티집중케어 #2주잡티앰플</t>
  </si>
  <si>
    <t>자음생앰플 브라이트닝 Concentrated Ginseng Brightening Spot Ampoule</t>
  </si>
  <si>
    <t>2bb27f7770f629173522d149fcc40a1d</t>
  </si>
  <si>
    <t>https://www.sulwhasoo.com/kr/ko/products/__icsFiles/afieldfile/2022/08/29/CGR-Brightening-Serum-Ampoule-20g_Thumb.jpg</t>
  </si>
  <si>
    <t>2026-02-05 15:35:01</t>
  </si>
  <si>
    <t>https://www.sulwhasoo.com/kr/ko/products/concentrated-ginseng-rejuvenating-ampoule.html</t>
  </si>
  <si>
    <t>자음생앰플 | 설화수</t>
  </si>
  <si>
    <t>설화수 자음생앰플 제품의 특징과 효능을 자세히 확인해보세요. 인삼 전초 에너지를 담아 데미지를 케어*하여 빠르게 되돌린 고밀도 피부*건조, 거칠어짐 등의 피부손상 개선. #3주앰플 #피부컨디션회복</t>
  </si>
  <si>
    <t>설화수, 아모레퍼시픽, 안티에이징, 안티에이징앰플, 설화수 앰플, 설화수 선물세트, 자생력, 앰플</t>
  </si>
  <si>
    <t>자음생앰플 Concentrated Ginseng Rejuvenating Ampoule</t>
  </si>
  <si>
    <t>자음생앰플 소개</t>
  </si>
  <si>
    <t>c723d48f1b2803422adb37f0021c5a9c</t>
  </si>
  <si>
    <t>Thu, 05 Feb 2026 05:03:26 GMT</t>
  </si>
  <si>
    <t>https://www.sulwhasoo.com/kr/ko/products/__icsFiles/afieldfile/2024/07/02/240628_final_SWS_KR_CGR-Ampoule_thumbnail_Product_640.jpg</t>
  </si>
  <si>
    <t>2026-02-05 15:35:44</t>
  </si>
  <si>
    <t>https://www.sulwhasoo.com/kr/ko/products/concentrated-ginseng-rejuvenating-cleansing-foam.html</t>
  </si>
  <si>
    <t>자음생클렌징폼 | 설화수</t>
  </si>
  <si>
    <t>설화수 자음생클렌징폼 제품의 특징과 효능을 자세히 확인해보세요. 세안 단계부터 깨어나는 피부 자생력. #자생력 #진생아미노콤플렉스™</t>
  </si>
  <si>
    <t>설화수, 아모레퍼시픽, 자음생, 자음생크림, 자음생클렌징폼, 설화수클렌징폼, 설화수클렌징</t>
  </si>
  <si>
    <t>자음생클렌징폼 Concentrated Ginseng Rejuvenating Cleansing Foam</t>
  </si>
  <si>
    <t>함께 쓰면 좋은 제품 닫기</t>
  </si>
  <si>
    <t>817385926aee950f20d644cc332d76b3</t>
  </si>
  <si>
    <t>Thu, 05 Feb 2026 05:03:32 GMT</t>
  </si>
  <si>
    <t>https://www.sulwhasoo.com/kr/ko/products/__icsFiles/afieldfile/2025/07/23/250723_final_KR_concentrated-ginseng-rejuvenating-cleansing-foam_pdp_Thumbnail_640x640.jpg</t>
  </si>
  <si>
    <t>2026-02-05 15:34:44</t>
  </si>
  <si>
    <t>https://www.sulwhasoo.com/kr/ko/products/concentrated-ginseng-rejuvenating-cream.html</t>
  </si>
  <si>
    <t>자음생크림 | 설화수</t>
  </si>
  <si>
    <t>설화수 자음생크림 제품의 특징과 효능을 자세히 확인해보세요. 60년 인삼과학의 정수, 자생력으로 차오른 고밀도 피부. #자생력 #고밀도피부</t>
  </si>
  <si>
    <t>설화수, 아모레퍼시픽, 안티에이징, 안티에이징크림, 설화수 크림, 설화수 선물세트, 자생력</t>
  </si>
  <si>
    <t>자음생크림 Concentrated Ginseng Rejuvenating Cream</t>
  </si>
  <si>
    <t>723e1d8ff8424d029b92b97055062bd7</t>
  </si>
  <si>
    <t>Thu, 05 Feb 2026 05:03:24 GMT</t>
  </si>
  <si>
    <t>https://www.sulwhasoo.com/kr/ko/products/__icsFiles/afieldfile/2024/08/12/240812_final_SWS_KR_CGR-Cream-50ml_thumbnail_Product_640.jpg</t>
  </si>
  <si>
    <t>2026-02-05 15:34:51</t>
  </si>
  <si>
    <t>https://www.sulwhasoo.com/kr/ko/products/concentrated-ginseng-rejuvenating-cream-perfecting-rich.html</t>
  </si>
  <si>
    <t>자음생크림 퍼펙팅 리치 | 설화수</t>
  </si>
  <si>
    <t>설화수 자음생크림 퍼펙팅 리치 제품의 특징과 효능을 자세히 확인해보세요. [ 오프라인 판매 전용 상품입니다. ]60년 인삼과학의 정수, 더 강력해진 피부 자생력으로 고밀도 피부를 완성하는 자음생크림. #자생력 #고밀도피부</t>
  </si>
  <si>
    <t>자음생크림 퍼펙팅 리치 Concentrated Ginseng Rejuvenating Cream Perfecting Rich</t>
  </si>
  <si>
    <r>
      <rPr>
        <sz val="11"/>
        <color rgb="FF000000"/>
        <rFont val="맑은 고딕"/>
        <family val="2"/>
        <charset val="1"/>
      </rPr>
      <t xml:space="preserve">NEW </t>
    </r>
    <r>
      <rPr>
        <sz val="11"/>
        <color rgb="FF000000"/>
        <rFont val="Noto Sans CJK SC"/>
        <family val="2"/>
      </rPr>
      <t>자음생크림 퍼펙팅 리치</t>
    </r>
  </si>
  <si>
    <t>6ae591f9eb00affe1571878d3f0a2a84</t>
  </si>
  <si>
    <t>Thu, 05 Feb 2026 05:03:28 GMT</t>
  </si>
  <si>
    <t>https://www.sulwhasoo.com/kr/ko/products/__icsFiles/afieldfile/2024/12/20/241219_final_KR_NEW-CGR-Cream-Perfecting-Rich_Product_thumbnail_640.jpg</t>
  </si>
  <si>
    <t>2026-02-05 15:35:29</t>
  </si>
  <si>
    <t>https://www.sulwhasoo.com/kr/ko/products/concentrated-ginseng-rejuvenating-cream-rich.html</t>
  </si>
  <si>
    <t>자음생크림 리치 | 설화수</t>
  </si>
  <si>
    <t>설화수 자음생크림 리치 제품의 특징과 효능을 자세히 확인해보세요. 60년 인삼과학의 정수, 자생력으로 차오른 고밀도 피부. #자생력 #고밀도피부</t>
  </si>
  <si>
    <t>자음생크림 리치 Concentrated Ginseng Rejuvenating Cream Rich</t>
  </si>
  <si>
    <t>cdb9105b7d59517e2d809491d0ea7129</t>
  </si>
  <si>
    <t>https://www.sulwhasoo.com/kr/ko/products/__icsFiles/afieldfile/2024/08/12/240812_final_SWS_KR_CGR-Cream-Rich-50ml_thumbnail_Product_640.jpg</t>
  </si>
  <si>
    <t>https://www.sulwhasoo.com/kr/ko/products/concentrated-ginseng-rejuvenating-emulsion.html</t>
  </si>
  <si>
    <t>자음생유액 | 설화수</t>
  </si>
  <si>
    <t>설화수 자음생유액 제품의 특징과 효능을 자세히 확인해보세요. 촘촘히 차오른 콜라겐으로 밀도 높게 탄탄해진 피부. #자생력 #고밀도피부</t>
  </si>
  <si>
    <t>설화수, 아모레퍼시픽, 안티에이징, 안티에이징 로션, 설화수 로션, 설화수 선물세트, 자생력, 로션</t>
  </si>
  <si>
    <t>자음생유액 Concentrated Ginseng Rejuvenating Emulsion</t>
  </si>
  <si>
    <t>자음생유액 소개</t>
  </si>
  <si>
    <t>1e742e8032427f577aee946ad3a2ca84</t>
  </si>
  <si>
    <t>https://www.sulwhasoo.com/kr/ko/products/__icsFiles/afieldfile/2024/07/02/240628_final_SWS_KR_CGR-Emulsion_thumbnail_Product_640.jpg</t>
  </si>
  <si>
    <t>2026-02-05 15:35:36</t>
  </si>
  <si>
    <t>https://www.sulwhasoo.com/kr/ko/products/concentrated-ginseng-rejuvenating-eye-cream.html</t>
  </si>
  <si>
    <t>자음생아이크림 | 설화수</t>
  </si>
  <si>
    <t>설화수 자음생아이크림 제품의 특징과 효능을 자세히 확인해보세요. 60년 인삼과학의 정수, 자생력으로 차오른 고밀도 피부. #자생력 #고밀도눈가피부</t>
  </si>
  <si>
    <t>설화수, 아모레퍼시픽, 안티에이징, 안티에이징아이크림, 설화수 아이크림, 설화수 선물세트, 자생력, 아이크림</t>
  </si>
  <si>
    <t>자음생아이크림 Concentrated Ginseng Rejuvenating Eye Cream</t>
  </si>
  <si>
    <t>자음생아이크림 소개</t>
  </si>
  <si>
    <t>d2d3df1db37e45ff4eb966a0e75e48e8</t>
  </si>
  <si>
    <t>https://www.sulwhasoo.com/kr/ko/products/__icsFiles/afieldfile/2024/07/02/240628_final_SWS_KR_CGR-EyeCream_thumbnail_Product_640.jpg</t>
  </si>
  <si>
    <t>2026-02-05 15:35:45</t>
  </si>
  <si>
    <t>https://www.sulwhasoo.com/kr/ko/products/concentrated-ginseng-rejuvenating-serum.html</t>
  </si>
  <si>
    <t>자음생캡슐세럼 | 설화수</t>
  </si>
  <si>
    <t>설화수 자음생캡슐세럼 제품의 특징과 효능을 자세히 확인해보세요. 10만* 인삼 캡슐을 담아 5가지 어린 피부 존을 세우다*본품 30ml 기준. #자생력 #인삼캡슐세럼</t>
  </si>
  <si>
    <t>설화수, 아모레퍼시픽, 안티에이징, 안티에이징세럼, 설화수 세럼, 설화수 선물세트, 자생력</t>
  </si>
  <si>
    <t>자음생캡슐세럼 Concentrated Ginseng Rejuvenating Serum</t>
  </si>
  <si>
    <t>자음생캡슐세럼 소개</t>
  </si>
  <si>
    <t>3c50466bbe965d4f61683231d1389792</t>
  </si>
  <si>
    <t>https://www.sulwhasoo.com/kr/ko/products/__icsFiles/afieldfile/2024/07/02/240628_final_SWS_KR_CGRS_thumbnail_Product_640.jpg</t>
  </si>
  <si>
    <t>https://www.sulwhasoo.com/kr/ko/products/concentrated-ginseng-rejuvenating-water.html</t>
  </si>
  <si>
    <t>자음생수 | 설화수</t>
  </si>
  <si>
    <t>설화수 자음생수 제품의 특징과 효능을 자세히 확인해보세요. 촘촘히 차오른 콜라겐으로 밀도 높게 탄탄해진 피부. #자생력 #고밀도피부</t>
  </si>
  <si>
    <t>설화수, 아모레퍼시픽, 안티에이징, 안티에이징 토너, 설화수 스킨, 설화수 선물세트, 자생력, 토너, 스킨</t>
  </si>
  <si>
    <t>자음생수 Concentrated Ginseng Rejuvenating Water</t>
  </si>
  <si>
    <t>자음생수 소개</t>
  </si>
  <si>
    <t>6c247b24c68d9e2ac57d7c274a7ecfaa</t>
  </si>
  <si>
    <t>https://www.sulwhasoo.com/kr/ko/products/__icsFiles/afieldfile/2024/07/02/240628_final_SWS_KR_CGR-Water_thumbnail_Product_640.jpg</t>
  </si>
  <si>
    <t>2026-02-05 15:34:50</t>
  </si>
  <si>
    <t>https://www.sulwhasoo.com/kr/ko/products/concentrated-ginseng-renewing-creamy-mask-EX.html</t>
  </si>
  <si>
    <t>자음생마스크EX | 설화수</t>
  </si>
  <si>
    <t>설화수 자음생마스크EX 제품의 특징과 효능을 자세히 확인해보세요. 자음생크림 한 통*의 힘으로 하루 종일 힘있게 차오른 피부* 자음생마스크EX 5장 기준. #3중탄력마스크 #더블랩핑시트</t>
  </si>
  <si>
    <t>탄력개선, 주름개선, 3중탄력, 자음생, 안티에이징, 마스크, 자음생마스크, 탄력주름, 홈케어, 선물추천</t>
  </si>
  <si>
    <t>자음생마스크EX Concentrated Ginseng Renewing Creamy Mask EX</t>
  </si>
  <si>
    <t>30e0367abdb81b539a599131996edf00</t>
  </si>
  <si>
    <t>https://www.sulwhasoo.com/kr/ko/products/__icsFiles/afieldfile/2022/08/29/CGR-Creamy-Mask-EX-1ea_Thumb.jpg</t>
  </si>
  <si>
    <t>2026-02-05 15:35:28</t>
  </si>
  <si>
    <t>https://www.sulwhasoo.com/kr/ko/products/essential-firming-cream-ex.html</t>
  </si>
  <si>
    <t>탄력크림 EX | 설화수</t>
  </si>
  <si>
    <t>설화수 탄력크림 EX 제품의 특징과 효능을 자세히 확인해보세요. 집중 보습과 탄력 케어로 탄탄하게 빛나는 피부. #3중보습케어 #24시간탄력지속</t>
  </si>
  <si>
    <t>설화수, 아모레퍼시픽, 설화수 크림, 설화수 선물세트, 설화수 수분크림, 설화수 보습크림, 설화수 탄력크림, 설화수 기초크림</t>
  </si>
  <si>
    <t>탄력크림 EX Essential Firming Cream EX</t>
  </si>
  <si>
    <t>1b29053edff65bd17ce76cb0f3435a7f</t>
  </si>
  <si>
    <t>Thu, 05 Feb 2026 05:03:30 GMT</t>
  </si>
  <si>
    <t>https://www.sulwhasoo.com/kr/ko/products/__icsFiles/afieldfile/2025/02/14/250207_final_KR_SWS_ESSENTIAL-CREAM-EX_50ml_Thumbnail_640x640.jpg</t>
  </si>
  <si>
    <t>https://www.sulwhasoo.com/kr/ko/products/essential-perfecting-intensive-firming-cream-ex.html</t>
  </si>
  <si>
    <t>탄력영양크림 EX | 설화수</t>
  </si>
  <si>
    <t>설화수 탄력영양크림 EX 제품의 특징과 효능을 자세히 확인해보세요. [ 오프라인 판매 전용 상품입니다. ]2배 더 풍부한 영양을 공급하고 피부를 지지하는 힘을 높여 탄탄하고 윤택한 피부로 가꿔주는 탄력영양크림. #영양보습 #매끈탄탄피부</t>
  </si>
  <si>
    <t>설화수, 아모레퍼시픽, 설화수 크림, 설화수 선물세트, 설화수 수분크림, 설화수 보습크림, 설화수 탄력영양크림, 설화수 기초크림</t>
  </si>
  <si>
    <t>탄력영양크림 EX Essential Perfecting Intensive Firming Cream EX</t>
  </si>
  <si>
    <t>5f3fa2bf3aad662ddd6f136264effd50</t>
  </si>
  <si>
    <t>https://www.sulwhasoo.com/kr/ko/products/__icsFiles/afieldfile/2025/05/07/250421_final_KR_Essential-Perfecting-Intensive-Firming-Cream-EX_75ML_pdp_Thumbnail_640x640.jpg</t>
  </si>
  <si>
    <t>2026-02-05 15:35:50</t>
  </si>
  <si>
    <t>https://www.sulwhasoo.com/kr/ko/products/essential-perfecting-revitalizing-emulsion-ex.html</t>
  </si>
  <si>
    <t>자음유액 퍼펙팅 EX | 설화수</t>
  </si>
  <si>
    <t>설화수 자음유액 퍼펙팅 EX 제품의 특징과 효능을 자세히 확인해보세요. [ 오프라인 판매 전용 상품입니다. ]충만한 보습과 함께 2배 더 풍부한 영양감으로 촘촘하게 차오르는 피부를 선사하는 영양 보습 로션. #11년연속 NO.1 #영양보습케어</t>
  </si>
  <si>
    <t>설화수, 아모레퍼시픽, 설화수 로션, 설화수 에멀전, 보습로션, 보습에멀전, 설화수 기초, 웰에이징, 안티에이징</t>
  </si>
  <si>
    <t>자음유액 퍼펙팅 EX Essential Perfecting Revitalizing Emulsion EX</t>
  </si>
  <si>
    <t>526f1b682328cdc216d2e1ee78070b44</t>
  </si>
  <si>
    <t>https://www.sulwhasoo.com/kr/ko/products/__icsFiles/afieldfile/2025/05/07/250421_final_KR_Essential-Perfecting-Revitalizing-Emulsion-EX_125ML_pdp_Thumbnail_640x640.jpg</t>
  </si>
  <si>
    <t>2026-02-05 15:34:42</t>
  </si>
  <si>
    <t>https://www.sulwhasoo.com/kr/ko/products/essential-perfecting-revitalizing-water-ex.html</t>
  </si>
  <si>
    <t>자음수 퍼펙팅 EX | 설화수</t>
  </si>
  <si>
    <t>설화수 자음수 퍼펙팅 EX 제품의 특징과 효능을 자세히 확인해보세요. [ 오프라인 판매 전용 상품입니다. ]충만한 보습과 함께 2배 더 풍부한 영양감으로 촘촘하게 차오르는 피부를 선사하는 영양 보습 스킨. #11년연속 NO.1 #영양보습케어</t>
  </si>
  <si>
    <t>설화수, 아모레퍼시픽, 설화수 토너, 설화수 스킨, 보습토너, 보습스킨, 설화수 기초, 웰에이징, 안티에이징</t>
  </si>
  <si>
    <t>자음수 퍼펙팅 EX Essential Perfecting Revitalizing Water EX</t>
  </si>
  <si>
    <t>c353a7012467aa3cd3f513237c1694c8</t>
  </si>
  <si>
    <t>https://www.sulwhasoo.com/kr/ko/products/__icsFiles/afieldfile/2025/05/07/250421_final_KR_Essential-Perfecting-Revitalizing-Water-EX_150ML_pdp_Thumbnail_640x640.jpg</t>
  </si>
  <si>
    <t>2026-02-05 15:35:16</t>
  </si>
  <si>
    <t>https://www.sulwhasoo.com/kr/ko/products/essential-revitalizing-emulsion-ex.html</t>
  </si>
  <si>
    <t>자음유액 EX | 설화수</t>
  </si>
  <si>
    <t>설화수 자음유액 EX 제품의 특징과 효능을 자세히 확인해보세요. 집중 보습과 활력 케어로 맑고 힘 있는 피부. #11년연속 NO.1 #3중보습케어</t>
  </si>
  <si>
    <t>자음유액 EX Essential Revitalizing Emulsion EX</t>
  </si>
  <si>
    <t>eed5d32c93eb77aa7f877debe656420f</t>
  </si>
  <si>
    <t>https://www.sulwhasoo.com/kr/ko/products/__icsFiles/afieldfile/2025/02/14/250207_final_KR_SWS_ESSENTIAL_EMULSION_EX_125ML_Thumbnail_640x640.jpg</t>
  </si>
  <si>
    <t>2026-02-05 15:35:40</t>
  </si>
  <si>
    <t>https://www.sulwhasoo.com/kr/ko/products/essential-revitalizing-water-ex.html</t>
  </si>
  <si>
    <t>자음수 EX | 설화수</t>
  </si>
  <si>
    <t>설화수 자음수 EX 제품의 특징과 효능을 자세히 확인해보세요. 집중 보습과 활력 케어로 맑고 힘 있는 피부. #11년연속 NO.1 #3중보습케어</t>
  </si>
  <si>
    <t>자음수 EX Essential Revitalizing Water EX</t>
  </si>
  <si>
    <t>a145b541c78bf0f241f3bbb42ffbaea7</t>
  </si>
  <si>
    <t>https://www.sulwhasoo.com/kr/ko/products/__icsFiles/afieldfile/2025/02/14/250207_final_KR_SWS_WATER_EX_150ML_Thumbnail_640x640.jpg</t>
  </si>
  <si>
    <t>2026-02-05 15:35:10</t>
  </si>
  <si>
    <t>https://www.sulwhasoo.com/kr/ko/products/first-care-activating-mask.html</t>
  </si>
  <si>
    <t>윤조마스크 | 설화수</t>
  </si>
  <si>
    <t>설화수 윤조마스크 제품의 특징과 효능을 자세히 확인해보세요. 윤조에센스 6세대 한 병*의 힘을 그대로 NEW 윤조마스크. #윤조에센스 #안티에이징마스크</t>
  </si>
  <si>
    <t>설화수, 설화수 스킨케어, 설화수 마스크, 마스크, 설화수 윤조마스크, 윤조마스크, 퍼스트에센스, 윤조에센스</t>
  </si>
  <si>
    <t>윤조마스크 First Care Activating Mask</t>
  </si>
  <si>
    <t>16645524f49db2c9cccbd5b105f706fb</t>
  </si>
  <si>
    <t>https://www.sulwhasoo.com/kr/ko/products/__icsFiles/afieldfile/2023/08/01/230801_First-Care-Activating-Mask_thumb_640_01.jpg</t>
  </si>
  <si>
    <t>https://www.sulwhasoo.com/kr/ko/products/first-care-activating-perfecting-emulsion.html</t>
  </si>
  <si>
    <t>윤조유액 퍼펙팅 | 설화수</t>
  </si>
  <si>
    <t>설화수 윤조유액 퍼펙팅 제품의 특징과 효능을 자세히 확인해보세요. [ 오프라인 판매 전용 상품입니다. ]피부 근본부터 건강하게 다스리는 안티에이징 로션_x000D_. #근본케어 #수분막로션</t>
  </si>
  <si>
    <t>설화수, 설화수 스킨케어, 설화수 윤조에센스, 로션, 에멀전 , 안티에이징</t>
  </si>
  <si>
    <t>윤조유액 퍼펙팅 First Care Activating Perfecting Emulsion</t>
  </si>
  <si>
    <t>효능&amp;효과 닫기</t>
  </si>
  <si>
    <t>a3b78317240782f35909900747cf67d3</t>
  </si>
  <si>
    <t>Thu, 05 Feb 2026 05:03:20 GMT</t>
  </si>
  <si>
    <t>설화수 윤조유액 퍼펙팅 제품의 특징과 효능을 자세히 확인해보세요. [ 오프라인 판매 전용 상품입니다. ]피부 근본부터 건강하게 다스리는 안티에이징 로션 . #근본케어 #수분막로션</t>
  </si>
  <si>
    <t>https://www.sulwhasoo.com/kr/ko/products/__icsFiles/afieldfile/2022/09/19/First-Care-Activating-Perfecting-Emulsion-125ml.jpg</t>
  </si>
  <si>
    <t>2026-02-05 15:35:35</t>
  </si>
  <si>
    <t>https://www.sulwhasoo.com/kr/ko/products/first-care-activating-perfecting-eye-cream.html</t>
  </si>
  <si>
    <t>윤조아이크림 퍼펙팅 | 설화수</t>
  </si>
  <si>
    <t>설화수 윤조아이크림 퍼펙팅 제품의 특징과 효능을 자세히 확인해보세요. [ 오프라인 판매 전용 상품입니다. ]피부 근본부터 건강하게 다스리는 안티에이징 아이크림. #근본케어 #만능아이크림</t>
  </si>
  <si>
    <t>설화수, 설화수 스킨케어, 설화수 윤조에센스, 주름, 아이크림, 안티에이징</t>
  </si>
  <si>
    <t>윤조아이크림 퍼펙팅 First Care Activating Perfecting Eye Cream</t>
  </si>
  <si>
    <t>35183473f724030d16290b94d3395e4</t>
  </si>
  <si>
    <t>https://www.sulwhasoo.com/kr/ko/products/__icsFiles/afieldfile/2022/09/19/First-Care-Activating-Perfecting-Eye-Cream-20ml.jpg</t>
  </si>
  <si>
    <t>https://www.sulwhasoo.com/kr/ko/products/first-care-activating-perfecting-serum.html</t>
  </si>
  <si>
    <t>윤조에센스 퍼펙팅 | 설화수</t>
  </si>
  <si>
    <t>설화수 윤조에센스 퍼펙팅 제품의 특징과 효능을 자세히 확인해보세요. [ 오프라인 판매 전용 상품입니다. ]Youth Master Technology로 잠재된 피부능력을 끌어올려 매일 더 건강한 피부로 가꾸어주는 필수 안티에이징 퍼스트 에센스. #퍼스트에센스 #필수안티에이징 #장벽다각도케어</t>
  </si>
  <si>
    <t>설화수, 윤조에센스 퍼펙팅, 설화수 윤조에센스 퍼펙팅, 방판전용라인, 피부장벽강화, 부스팅 에센스, 설화수 베스트셀러, 안티에이징 부스터, 안티에이징 에센스</t>
  </si>
  <si>
    <t>윤조에센스 퍼펙팅 First Care Activating Perfecting Serum</t>
  </si>
  <si>
    <t>대표 고객 리뷰 닫기</t>
  </si>
  <si>
    <t>c3c8df2c7b9af08eb98b35222258739f</t>
  </si>
  <si>
    <t>Thu, 05 Feb 2026 05:03:14 GMT</t>
  </si>
  <si>
    <t>https://www.sulwhasoo.com/kr/ko/products/__icsFiles/afieldfile/2022/09/19/First-Care-Activating-Perfecting-Serum-90ml.jpg</t>
  </si>
  <si>
    <t>https://www.sulwhasoo.com/kr/ko/products/first-care-activating-perfecting-water.html</t>
  </si>
  <si>
    <t>윤조수 퍼펙팅 | 설화수</t>
  </si>
  <si>
    <t>설화수 윤조수 퍼펙팅 제품의 특징과 효능을 자세히 확인해보세요. [ 오프라인 판매 전용 상품입니다. ]피부 근본부터 건강하게 다스리는 안티에이징 스킨. #근본케어 #앰플스킨</t>
  </si>
  <si>
    <t>설화수, 설화수 스킨케어, 설화수 윤조에센스, 스킨, 토너 , 안티에이징 , 자음수</t>
  </si>
  <si>
    <t>윤조수 퍼펙팅 First Care Activating Perfecting Water</t>
  </si>
  <si>
    <t>8bafa52b16997c2db55461dc4a190f36</t>
  </si>
  <si>
    <t>https://www.sulwhasoo.com/kr/ko/products/__icsFiles/afieldfile/2022/09/19/First-Care-Activating-Perfecting-Water-150ml.jpg</t>
  </si>
  <si>
    <t>https://www.sulwhasoo.com/kr/ko/products/first-care-activating-serum-vi.html</t>
  </si>
  <si>
    <t>설화수 윤조에센스 6세대 제품의 특징과 효능을 자세히 확인해보세요. 정체된 피부 흐름을 되살려, 다시 윤빛 도는 피부. #필수안티에이징에센스 #퍼스트에센스</t>
  </si>
  <si>
    <t>설화수, 아모레퍼시픽, 안티에이징, 안티에이징에센스, 부스팅에센스, 설화수 선물세트, 필수안티에이징에센스 , 윤아</t>
  </si>
  <si>
    <t>윤조에센스 6세대 First Care Activating Serum VI</t>
  </si>
  <si>
    <t>a482d79854b361879e3d65ee1d2aba6a</t>
  </si>
  <si>
    <t>https://www.sulwhasoo.com/kr/ko/products/__icsFiles/afieldfile/2025/02/17/250217_final_KR_FCAS-6th-Generation_90ml_Thmbnail_640x640_2.jpg</t>
  </si>
  <si>
    <t>2026-02-05 15:35:53</t>
  </si>
  <si>
    <t>https://www.sulwhasoo.com/kr/ko/products/gentle-cleansing-foam-ex.html</t>
  </si>
  <si>
    <t>순행클렌징폼 | 설화수</t>
  </si>
  <si>
    <t>설화수 순행클렌징폼 제품의 특징과 효능을 자세히 확인해보세요. 수분 가득 풍성한 거품으로 모공 속까지 딥 클렌징 폼. #백화점No.1 #마일드클렌징</t>
  </si>
  <si>
    <t>설화수, 아모레퍼시픽, 어버이날선물, 설화수 순행, 설화수 클렌징폼, 순행, 순행클렌징폼, 설화수 화장품</t>
  </si>
  <si>
    <t>순행클렌징폼 Gentle Cleansing Foam</t>
  </si>
  <si>
    <t>7435af0035ba3ffad1bd250bce3f947c</t>
  </si>
  <si>
    <t>https://www.sulwhasoo.com/kr/ko/products/__icsFiles/afieldfile/2023/05/30/230531_Gentle-Cleansing-Foam-400ml_thumb_640.jpg</t>
  </si>
  <si>
    <t>2026-02-05 15:35:30</t>
  </si>
  <si>
    <t>https://www.sulwhasoo.com/kr/ko/products/gentle-cleansing-oil.html</t>
  </si>
  <si>
    <t>순행클렌징오일 | 설화수</t>
  </si>
  <si>
    <t>설화수 순행클렌징오일 제품의 특징과 효능을 자세히 확인해보세요. 잔여물 없이 모공 속까지 산뜻한 딥 클렌징 오일. #딥클렌징 #탄력모공케어</t>
  </si>
  <si>
    <t>클렌징, 기타, 정화 &amp; 각질케어,</t>
  </si>
  <si>
    <t>순행클렌징오일 Gentle Cleansing Oil</t>
  </si>
  <si>
    <t>af6b0998e7030e91e4cf945dfe675651</t>
  </si>
  <si>
    <t>https://www.sulwhasoo.com/kr/ko/products/__icsFiles/afieldfile/2023/05/30/230531_Gentle-Cleansing-Oil-400ml_thumb_640.jpg</t>
  </si>
  <si>
    <t>2026-02-05 15:35:17</t>
  </si>
  <si>
    <t>https://www.sulwhasoo.com/kr/ko/products/glowing-lip-balm.html</t>
  </si>
  <si>
    <t>윤조립밤 | 설화수</t>
  </si>
  <si>
    <t>설화수 윤조립밤 제품의 특징과 효능을 자세히 확인해보세요. 보이지 않는 주름까지 잡는 수분 볼륨 립케어. #주름개선기능성 #24시간보습지속</t>
  </si>
  <si>
    <t>설화수, 설화수윤조립밤, 윤조립밤, 립케어, 백화점립밤, 입술보습</t>
  </si>
  <si>
    <t>윤조립밤 Glowing Lip Balm</t>
  </si>
  <si>
    <t>설화수 윤조립밤</t>
  </si>
  <si>
    <t>d210891057b3cf0f301d45bea76491c</t>
  </si>
  <si>
    <t>https://www.sulwhasoo.com/kr/ko/products/__icsFiles/afieldfile/2024/02/05/20240118_final_Glowing-Lip-Balm_pdp_Thumbnail_000-1.jpg</t>
  </si>
  <si>
    <t>2026-02-05 15:35:39</t>
  </si>
  <si>
    <t>https://www.sulwhasoo.com/kr/ko/products/lumiwise-brightening-ampoule-serum.html</t>
  </si>
  <si>
    <t>자정앰플세럼 | 설화수</t>
  </si>
  <si>
    <t>설화수 자정앰플세럼 제품의 특징과 효능을 자세히 확인해보세요. [오프라인 선런칭 *아모레몰  2/19]다시 짙어지지 않고 맑게 이어지는 피부. #브라이트닝 #맑고투명한피부</t>
  </si>
  <si>
    <t>아모레퍼시픽, 설화수, 설화수 스킨케어, 브라이트닝, 색소침착, 미백에센스</t>
  </si>
  <si>
    <t>자정앰플세럼 Lumiwise Brightening Ampoule Serum</t>
  </si>
  <si>
    <t>b9814d3c8c3c14f5eee3f1840bab926</t>
  </si>
  <si>
    <t>https://www.sulwhasoo.com/kr/ko/products/__icsFiles/afieldfile/2026/01/13/260112_final_KR_LUMIWISE_Brightening_Ampoule_Serum_PDP_thumbnail_640x640_01.jpg</t>
  </si>
  <si>
    <t>https://www.sulwhasoo.com/kr/ko/products/lumiwise-brightening-emulsion.html</t>
  </si>
  <si>
    <t>자정유액 | 설화수</t>
  </si>
  <si>
    <t>설화수 자정유액 제품의 특징과 효능을 자세히 확인해보세요. [오프라인 선런칭 *아모레몰  2/19]다시 짙어지지 않고 맑게 이어지는 피부. #브라이트닝 #맑고투명한피부</t>
  </si>
  <si>
    <t>아모레퍼시픽, 설화수, 설화수 스킨케어, 브라이트닝, 색소침착, 미백로션, 여드름피부</t>
  </si>
  <si>
    <t>자정유액 Lumiwise Brightening Emulsion</t>
  </si>
  <si>
    <t>f8a561fac9e2840104b85b0bd47d37b6</t>
  </si>
  <si>
    <t>https://www.sulwhasoo.com/kr/ko/products/__icsFiles/afieldfile/2026/01/23/260116_final_KR_LUMIWISE_Brightening_Emulsion_PDP_thumbnail_640x640_01.jpg</t>
  </si>
  <si>
    <t>2026-02-05 15:35:12</t>
  </si>
  <si>
    <t>https://www.sulwhasoo.com/kr/ko/products/lumiwise-brightening-essence-water.html</t>
  </si>
  <si>
    <t>자정수 | 설화수</t>
  </si>
  <si>
    <t>설화수 자정수 제품의 특징과 효능을 자세히 확인해보세요. [오프라인 선런칭 *아모레몰  2/19]다시 짙어지지 않고 맑게 이어지는 피부. #브라이트닝 #맑고투명한피부</t>
  </si>
  <si>
    <t>아모레퍼시픽, 설화수, 설화수 스킨케어, 브라이트닝, 색소침착, 피부결, 각질케어</t>
  </si>
  <si>
    <t>자정수 Lumiwise Brightening Essence Water</t>
  </si>
  <si>
    <t>45e0d9c9622ae1e1abcaff9ab4ec5c41</t>
  </si>
  <si>
    <t>https://www.sulwhasoo.com/kr/ko/products/__icsFiles/afieldfile/2026/01/14/260112_final_KR_LUMIWISE_Brightening_Essence_Water_PDP_thumbnail_640x640_01.jpg</t>
  </si>
  <si>
    <t>2026-02-05 15:35:20</t>
  </si>
  <si>
    <t>https://www.sulwhasoo.com/kr/ko/products/lumiwise-discoloration-corrector.html</t>
  </si>
  <si>
    <t>자정기미코렉터 | 설화수</t>
  </si>
  <si>
    <t>설화수 자정기미코렉터 제품의 특징과 효능을 자세히 확인해보세요. [오프라인 선런칭 *아모레몰  2/19]다시 짙어지지 않고 맑게 이어지는 피부. #브라이트닝 #맑고투명한피부</t>
  </si>
  <si>
    <t>아모레퍼시픽, 설화수, 설화수 스킨케어, 브라이트닝, 색소침착, 기미케어, 미백크림</t>
  </si>
  <si>
    <t>자정기미코렉터 Lumiwise Discoloration Corrector</t>
  </si>
  <si>
    <t>cea34c007165b92a466a1dfdb2d3f267</t>
  </si>
  <si>
    <t>https://www.sulwhasoo.com/kr/ko/products/__icsFiles/afieldfile/2026/01/27/260126_final_KR_LUMIWISE_Corrector_PDP_thumbnail_640x640_01.jpg</t>
  </si>
  <si>
    <t>https://www.sulwhasoo.com/kr/ko/products/makeup/category/base/index.html</t>
  </si>
  <si>
    <t>설화수 베이스 (메이크업) | 설화수</t>
  </si>
  <si>
    <t>메이크업 베이스 전체 제품 목록입니다. 베이스부터 포인트까지 다양한 제품을 한눈에 확인하고, 원하는 무드로 나만의 메이크업을 손쉽게 완성해보세요.</t>
  </si>
  <si>
    <t>베이스</t>
  </si>
  <si>
    <t>e8af6da9e18bbb3d5b2c44b2e994d392</t>
  </si>
  <si>
    <t>https://www.sulwhasoo.com/kr/ko/products/makeup/category/cushion/index.html</t>
  </si>
  <si>
    <t>설화수 쿠션 (메이크업) | 설화수</t>
  </si>
  <si>
    <t>메이크업 쿠션 전체 제품 목록입니다. 베이스부터 포인트까지 다양한 제품을 한눈에 확인하고, 원하는 무드로 나만의 메이크업을 손쉽게 완성해보세요.</t>
  </si>
  <si>
    <t>쿠션</t>
  </si>
  <si>
    <t>81758fbf520408dbd232ed43004076e6</t>
  </si>
  <si>
    <t>https://www.sulwhasoo.com/kr/ko/products/makeup/category/foundation/index.html</t>
  </si>
  <si>
    <t>설화수 파운데이션 (메이크업) | 설화수</t>
  </si>
  <si>
    <t>메이크업 파운데이션 전체 제품 목록입니다. 베이스부터 포인트까지 다양한 제품을 한눈에 확인하고, 원하는 무드로 나만의 메이크업을 손쉽게 완성해보세요.</t>
  </si>
  <si>
    <t>파운데이션</t>
  </si>
  <si>
    <t>f186093cdb9092e767fda96a6ea1269e</t>
  </si>
  <si>
    <t>2026-02-05 15:35:09</t>
  </si>
  <si>
    <t>https://www.sulwhasoo.com/kr/ko/products/makeup/category/index.html</t>
  </si>
  <si>
    <t>설화수 유형별 전체 (메이크업) | 설화수</t>
  </si>
  <si>
    <t>메이크업 유형별 전체 제품 목록입니다. 베이스부터 포인트까지 다양한 제품을 한눈에 확인하고, 원하는 무드로 나만의 메이크업을 손쉽게 완성해보세요.</t>
  </si>
  <si>
    <t>제품 유형별</t>
  </si>
  <si>
    <t>19a9754d46b10284c6631311a85a3c7b</t>
  </si>
  <si>
    <t>2026-02-05 15:35:11</t>
  </si>
  <si>
    <t>https://www.sulwhasoo.com/kr/ko/products/makeup/category/lip/index.html</t>
  </si>
  <si>
    <t>설화수 립 (메이크업) | 설화수</t>
  </si>
  <si>
    <t>메이크업 립 전체 제품 목록입니다. 베이스부터 포인트까지 다양한 제품을 한눈에 확인하고, 원하는 무드로 나만의 메이크업을 손쉽게 완성해보세요.</t>
  </si>
  <si>
    <t>립</t>
  </si>
  <si>
    <t>dfd22e4e5977a810caa64935bdb697cc</t>
  </si>
  <si>
    <t>https://www.sulwhasoo.com/kr/ko/products/makeup/category/powder-twincake-pact/index.html</t>
  </si>
  <si>
    <t>설화수 파우더/트윈케이크/팩트 (메이크업) | 설화수</t>
  </si>
  <si>
    <t>메이크업 파우더/트윈케이크/팩트 전체 제품 목록입니다. 베이스부터 포인트까지 다양한 제품을 한눈에 확인하고, 원하는 무드로 나만의 메이크업을 손쉽게 완성해보세요.</t>
  </si>
  <si>
    <t>파우더/트윈케이크/팩트</t>
  </si>
  <si>
    <t>b785f60658e410f4ea0bec4ab1548942</t>
  </si>
  <si>
    <t>https://www.sulwhasoo.com/kr/ko/products/makeup/makeup.html</t>
  </si>
  <si>
    <t>설화수 메이크업 전체 제품 - 베이스, 쿠션, 파운데이션, 립밤/립컬러</t>
  </si>
  <si>
    <t>설화수의 메이크업 전 제품을 제품 유형별로 만나보세요. 메이크업베이스, 쿠션, 파운데이션, 파우더, 트윈케이크, 팩트, 립 | Sulwhasoo</t>
  </si>
  <si>
    <t>메이크업, 설화수</t>
  </si>
  <si>
    <t>메이크업</t>
  </si>
  <si>
    <t>da9e85a211c881a17b8ccd5bf9747bd0</t>
  </si>
  <si>
    <t>https://www.sulwhasoo.com/kr/ko/products/men/men.html</t>
  </si>
  <si>
    <t>설화수 남성 전체 제품 - 로션, 에센스, 선크림, 클렌징폼, 기초세트</t>
  </si>
  <si>
    <t>설화수의 남성제품을 한눈에 만나 보실 수 있습니다. 클렌징폼, 본윤에센스, 본윤유액, 본윤크림, 선크림 | Sulwhasoo</t>
  </si>
  <si>
    <r>
      <rPr>
        <sz val="11"/>
        <color rgb="FF000000"/>
        <rFont val="맑은 고딕"/>
        <family val="2"/>
        <charset val="1"/>
      </rPr>
      <t xml:space="preserve">men, </t>
    </r>
    <r>
      <rPr>
        <sz val="11"/>
        <color rgb="FF000000"/>
        <rFont val="Noto Sans CJK SC"/>
        <family val="2"/>
      </rPr>
      <t>설화수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Noto Sans CJK SC"/>
        <family val="2"/>
      </rPr>
      <t>설화수 남성</t>
    </r>
  </si>
  <si>
    <t>남성</t>
  </si>
  <si>
    <t>5f0f0a5555cbae5ace9b863a8eb89209</t>
  </si>
  <si>
    <t>https://www.sulwhasoo.com/kr/ko/products/men-basic-set.html</t>
  </si>
  <si>
    <t>본윤 2종 세트 | 설화수</t>
  </si>
  <si>
    <t>설화수 본윤 2종 세트 제품의 특징과 효능을 자세히 확인해보세요. 황산화 효능을 담은 정양단™으로 외부 자극에 약한 남성 피부를 총체적으로 케어해주는 남성 안티에이징 스킨케어 세트. #풍부한우디향 #수분보호막</t>
  </si>
  <si>
    <t>본윤 2종 세트 Men Basic Set</t>
  </si>
  <si>
    <t>ecf83f4232c13d8f6ff74b2dd4c7f0b5</t>
  </si>
  <si>
    <t>https://www.sulwhasoo.com/kr/ko/products/__icsFiles/afieldfile/2023/03/20/Men-Basic-Set_thumb_640_230320.jpg</t>
  </si>
  <si>
    <t>2026-02-05 15:35:04</t>
  </si>
  <si>
    <t>https://www.sulwhasoo.com/kr/ko/products/overnight-vitalizing-mask.html</t>
  </si>
  <si>
    <t>여윤팩 | 설화수</t>
  </si>
  <si>
    <t>설화수 여윤팩 제품의 특징과 효능을 자세히 확인해보세요. 다음날 아침, 생기 있는 피부로 완성하는 슬리핑 마스크. #영양윤기 #한방슬리핑마스크</t>
  </si>
  <si>
    <t>마스크, 기타, 보습 윤기,</t>
  </si>
  <si>
    <t>여윤팩 Overnight Vitalizing Mask</t>
  </si>
  <si>
    <t>1a9cd00662d052a68b159ccb8675cbfd</t>
  </si>
  <si>
    <t>https://www.sulwhasoo.com/kr/ko/products/__icsFiles/afieldfile/2023/02/28/230228_final_Overnight-Vitalizing-Mask-120ml_thumbnail(640x640)_1.jpg</t>
  </si>
  <si>
    <t>2026-02-05 15:35:34</t>
  </si>
  <si>
    <t>https://www.sulwhasoo.com/kr/ko/products/perfecting-cushion.html</t>
  </si>
  <si>
    <t>퍼펙팅 쿠션 | 설화수</t>
  </si>
  <si>
    <t>설화수 퍼펙팅 쿠션 제품의 특징과 효능을 자세히 확인해보세요. 윤, 결, 톤을 한번에 잡아, 타고난 듯 고급스러운 피부. #한겹커버 #세미매트</t>
  </si>
  <si>
    <t>설화수, 아모레퍼시픽, 어버이날선물, 설화수 퍼펙팅쿠션, 퍼펙팅쿠션, 설화수 쿠션, 설화수 퍼펙팅쿠션21호</t>
  </si>
  <si>
    <t>퍼펙팅 쿠션 Perfecting Cushion</t>
  </si>
  <si>
    <t>3c38644f514e16d940c457278cfa1ace</t>
  </si>
  <si>
    <t>Thu, 05 Feb 2026 05:03:22 GMT</t>
  </si>
  <si>
    <t>https://www.sulwhasoo.com/kr/ko/products/__icsFiles/afieldfile/2023/10/04/230927_final_Perfecting-Cushion_pdp_thumb_640x640_2.jpg</t>
  </si>
  <si>
    <t>https://www.sulwhasoo.com/kr/ko/products/perfecting-cushion-airy.html</t>
  </si>
  <si>
    <t>퍼펙팅 쿠션 에어리 | 설화수</t>
  </si>
  <si>
    <t>설화수 퍼펙팅 쿠션 에어리 제품의 특징과 효능을 자세히 확인해보세요. 윤, 결, 톤을 한번에 잡아, 타고난 듯 고급스러운 피부. #내추럴글로우 #종일착붙</t>
  </si>
  <si>
    <t>설화수, 설화수쿠션, 퍼펙팅쿠션, 설화수퍼펙팅쿠션, 퍼펙팅쿠션 에어리, 설화수 퍼펙팅쿠션 에어리, 네추럴글로우, 종일착붙</t>
  </si>
  <si>
    <t>퍼펙팅 쿠션 에어리 Perfecting Cushion Airy</t>
  </si>
  <si>
    <t>75ed605682e3fa460df7cca2e85647de</t>
  </si>
  <si>
    <t>https://www.sulwhasoo.com/kr/ko/products/__icsFiles/afieldfile/2023/10/04/230925_final_Perfecting-Cushion-Ariy_pdp_thumb_640x640_2.jpg</t>
  </si>
  <si>
    <t>2026-02-05 15:35:51</t>
  </si>
  <si>
    <t>https://www.sulwhasoo.com/kr/ko/products/perfecting-foundation.html</t>
  </si>
  <si>
    <t>퍼펙팅 파운데이션 | 설화수</t>
  </si>
  <si>
    <t>설화수 퍼펙팅 파운데이션 제품의 특징과 효능을 자세히 확인해보세요. 하루종일 숨 쉬듯 편안하면서도 완벽한 피부를 연출해주는 스킨케어링 파운데이션. #스킨케어링 #파운데이션</t>
  </si>
  <si>
    <t>설화수, 메이크업, 설화수 메이크업, 커버, 밀착력, 편안함, 파운데이션, 퍼펙팅파운데이션, 지속력</t>
  </si>
  <si>
    <t>퍼펙팅 파운데이션 Perfecting Foundation</t>
  </si>
  <si>
    <t>d7b09329b85224f13a42db2b5c42379e</t>
  </si>
  <si>
    <t>https://www.sulwhasoo.com/kr/ko/products/__icsFiles/afieldfile/2022/09/02/Perfecting-Foundation-17C_Thumb.jpg</t>
  </si>
  <si>
    <t>https://www.sulwhasoo.com/kr/ko/products/perfecting-foundation-balm.html</t>
  </si>
  <si>
    <t>퍼펙팅 스킨커버 | 설화수</t>
  </si>
  <si>
    <t>설화수 퍼펙팅 스킨커버 제품의 특징과 효능을 자세히 확인해보세요. [ 오프라인 판매 전용 상품입니다. ]하루 종일 숨 쉬듯 편안하면서도 완벽한 피부를 연출해주는 크림 타입 스킨케어링 파운데이션. #스킨커버 #완벽커버</t>
  </si>
  <si>
    <t>설화수, 아모레퍼시픽, 안티에이징, 설화수메이크업, 설화수팩트, 팩트, 파운데이션, 스킨케어링메이크업</t>
  </si>
  <si>
    <t>퍼펙팅 스킨커버 Perfecting Foundation Balm</t>
  </si>
  <si>
    <t>c41c08d45b32574814c99e206db152dc</t>
  </si>
  <si>
    <t>https://www.sulwhasoo.com/kr/ko/products/__icsFiles/afieldfile/2024/12/02/241202_final_KR_21N_Thumbnail_640x640.jpg</t>
  </si>
  <si>
    <t>https://www.sulwhasoo.com/kr/ko/products/perfecting-lip-color.html</t>
  </si>
  <si>
    <t>퍼펙팅 립컬러 | 설화수</t>
  </si>
  <si>
    <t>설화수 퍼펙팅 립컬러 제품의 특징과 효능을 자세히 확인해보세요. 끈적임 없이 맑은 컬러로 생기 있게 마무리되는_x000D_립 컬러 케어. #2중보습 #맑은입술</t>
  </si>
  <si>
    <t>설화수, 아모레퍼시픽, 어버이날선물, 설화수 립스틱, 설화수 퍼펙팅립컬러, 설화수 화장품, 설화수립세럼</t>
  </si>
  <si>
    <t>퍼펙팅 립컬러 Perfecting Lip Color</t>
  </si>
  <si>
    <t>de509a70821d13543605570785fe80e4</t>
  </si>
  <si>
    <t>설화수 퍼펙팅 립컬러 제품의 특징과 효능을 자세히 확인해보세요. 끈적임 없이 맑은 컬러로 생기 있게 마무리되는 립 컬러 케어. #2중보습 #맑은입술</t>
  </si>
  <si>
    <t>https://www.sulwhasoo.com/kr/ko/products/__icsFiles/afieldfile/2024/02/16/20240118_final_Perfecting-Lip-Color_02_999-ROSE_pdp_Thumbnail_1_1.jpg</t>
  </si>
  <si>
    <t>2026-02-05 15:35:26</t>
  </si>
  <si>
    <t>https://www.sulwhasoo.com/kr/ko/products/perfecting-powder.html</t>
  </si>
  <si>
    <t>퍼펙팅 파우더 | 설화수</t>
  </si>
  <si>
    <t>설화수 퍼펙팅 파우더 제품의 특징과 효능을 자세히 확인해보세요. 하루종일 숨 쉬듯 편안하면서도 완벽하게 메이크업을 고정시켜주는 스킨케어링 피니싱 파우더. #스킨케어링 #파우더</t>
  </si>
  <si>
    <t>설화수, 메이크업, 설화수 메이크업, 커버, 밀착력, 지속력, 톤보정, 편안함, 파우더</t>
  </si>
  <si>
    <t>퍼펙팅 파우더 Perfecting Powder</t>
  </si>
  <si>
    <t>9d865299059fb89501b33e705a367b17</t>
  </si>
  <si>
    <t>https://www.sulwhasoo.com/kr/ko/products/__icsFiles/afieldfile/2022/08/29/Perfecting-Powder-20g_Thumb.jpg</t>
  </si>
  <si>
    <t>https://www.sulwhasoo.com/kr/ko/products/perfecting-powder-foundation.html</t>
  </si>
  <si>
    <t>퍼펙팅 트윈케이크 | 설화수</t>
  </si>
  <si>
    <t>설화수 퍼펙팅 트윈케이크 제품의 특징과 효능을 자세히 확인해보세요. [ 오프라인 판매 전용 상품입니다. ]하루 종일 편안하고 건조함 없이 완벽하게 메이크업을 고정시켜주는 스킨케어링 트윈케이크. #스킨케어링메이크업 #완벽고정</t>
  </si>
  <si>
    <t>설화수, 아모레퍼시픽, 안티에이징, 트윈케이크, 파우더, 설화수메이크업, 설화수팩트, 팩트, 보송</t>
  </si>
  <si>
    <t>퍼펙팅 트윈케이크 Perfecting Powder Foundation</t>
  </si>
  <si>
    <t>46a792fe7effe2299d47e13c4c2363f3</t>
  </si>
  <si>
    <t>https://www.sulwhasoo.com/kr/ko/products/__icsFiles/afieldfile/2024/10/28/241028_final_KR_21N_Thumbnail_640x640_1.jpg</t>
  </si>
  <si>
    <t>2026-02-05 15:35:32</t>
  </si>
  <si>
    <t>https://www.sulwhasoo.com/kr/ko/products/perfecting-tinted-cream.html</t>
  </si>
  <si>
    <t>퍼펙팅 틴티드 크림 | 설화수</t>
  </si>
  <si>
    <t>설화수 퍼펙팅 틴티드 크림 제품의 특징과 효능을 자세히 확인해보세요. 피부 톤&amp;결을 보정하여_x000D_하루 종일 자연스러운 내추럴 커버 크림. #데일리내추럴커버크림 #촉촉한탄력광채</t>
  </si>
  <si>
    <t>아모레퍼시픽, 설화수, 틴티드톤업크림, 프라이머, 베이스메이크업, 파운데이션, 톤업, 톤업베이스, 피부결, 데일리내추럴커버크림</t>
  </si>
  <si>
    <t>퍼펙팅 틴티드 크림 Perfecting Tinted Cream SPF40/PA++</t>
  </si>
  <si>
    <t>8d5765e4b222667991da0d954f893f12</t>
  </si>
  <si>
    <t>설화수 퍼펙팅 틴티드 크림 제품의 특징과 효능을 자세히 확인해보세요. 피부 톤&amp;결을 보정하여 하루 종일 자연스러운 내추럴 커버 크림. #데일리내추럴커버크림 #촉촉한탄력광채</t>
  </si>
  <si>
    <t>https://www.sulwhasoo.com/kr/ko/products/__icsFiles/afieldfile/2025/11/18/251114_final_KR_Perfecting_Veil_Tinted_Cream_PDP_Thumbnail_640x640.jpg</t>
  </si>
  <si>
    <t>2026-02-05 15:35:25</t>
  </si>
  <si>
    <t>https://www.sulwhasoo.com/kr/ko/products/perfecting-veil-base.html</t>
  </si>
  <si>
    <t>퍼펙팅 베일 베이스 SPF29/PA++ | 설화수</t>
  </si>
  <si>
    <t>설화수 퍼펙팅 베일 베이스 SPF29/PA++ 제품의 특징과 효능을 자세히 확인해보세요. 하루 종일 숨 쉬듯 편안하면서도 완벽한 피부 바탕을 연출해주는 스킨케어링 베이스_x000D_. #완벽한보정 #첫단계베이스</t>
  </si>
  <si>
    <t>설화수, 설화수 베이스, 톤업, 톤업크림, 톤업크림추천, 자외선차단톤업크림, 메이크업베이스추천, 메베</t>
  </si>
  <si>
    <t>퍼펙팅 베일 베이스 SPF29/PA++ Perfecting Veil Base</t>
  </si>
  <si>
    <t>4d306cce4691e2ecf7c634250214b140</t>
  </si>
  <si>
    <t>설화수 퍼펙팅 베일 베이스 SPF29/PA++ 제품의 특징과 효능을 자세히 확인해보세요. 하루 종일 숨 쉬듯 편안하면서도 완벽한 피부 바탕을 연출해주는 스킨케어링 베이스 . #완벽한보정 #첫단계베이스</t>
  </si>
  <si>
    <t>https://www.sulwhasoo.com/kr/ko/products/__icsFiles/afieldfile/2022/09/01/Perfecting-Veil-Base-01_02_Thumb.jpg</t>
  </si>
  <si>
    <t>2026-02-05 15:35:14</t>
  </si>
  <si>
    <t>https://www.sulwhasoo.com/kr/ko/products/perfecting-veil-primer.html</t>
  </si>
  <si>
    <t>퍼펙팅 베일 프라이머 | 설화수</t>
  </si>
  <si>
    <t>설화수 퍼펙팅 베일 프라이머 제품의 특징과 효능을 자세히 확인해보세요. 모공과 결을 정돈해 메이크업 후에도 _x000D_화사한 광채가 오래 지속되는 프라이머. #롱래스팅결광프라이머 #완벽한피부결</t>
  </si>
  <si>
    <t>아모레퍼시픽, 설화수, 퍼펙팅베일프라이머, 프라이머, 베이스메이크업, 파운데이션, 모공, 피부결, 밀착, 완벽한피부결</t>
  </si>
  <si>
    <t>퍼펙팅 베일 프라이머 Perfecting Veil Primer SPF30/PA++</t>
  </si>
  <si>
    <t>859efcd6e562215edd974ea2c15876e9</t>
  </si>
  <si>
    <t>설화수 퍼펙팅 베일 프라이머 제품의 특징과 효능을 자세히 확인해보세요. 모공과 결을 정돈해 메이크업 후에도  화사한 광채가 오래 지속되는 프라이머. #롱래스팅결광프라이머 #완벽한피부결</t>
  </si>
  <si>
    <t>https://www.sulwhasoo.com/kr/ko/products/__icsFiles/afieldfile/2025/11/18/251114_final_KR_Perfecting_Veil_Primer_PDP_Thumbnail_640x640.jpg</t>
  </si>
  <si>
    <t>https://www.sulwhasoo.com/kr/ko/products/recharging-serum.html</t>
  </si>
  <si>
    <t>본윤에센스 | 설화수</t>
  </si>
  <si>
    <t>설화수 본윤에센스 제품의 특징과 효능을 자세히 확인해보세요. 남성 피부의 주름, 탄력을 토탈 케어하는 안티에이징 에센스. #워터젤타입 #남성에센스</t>
  </si>
  <si>
    <t>안티에이징,</t>
  </si>
  <si>
    <t>본윤에센스 Recharging Serum</t>
  </si>
  <si>
    <t>e6d5afe662bef8282534c70a7a4c0916</t>
  </si>
  <si>
    <t>https://www.sulwhasoo.com/kr/ko/products/__icsFiles/afieldfile/2022/08/29/SWS-Men-Recharging-Serum-140ml_Thumb.jpg</t>
  </si>
  <si>
    <t>https://www.sulwhasoo.com/kr/ko/products/signature-ginseng-facial-soap.html</t>
  </si>
  <si>
    <t>시그니처 진생 페이셜 솝 | 설화수</t>
  </si>
  <si>
    <t>설화수 시그니처 진생 페이셜 솝 제품의 특징과 효능을 자세히 확인해보세요. 인삼 캐시미어 거품으로 촉촉하고 부드럽게 마무리되는 저자극 클렌징. #인삼캐시미어거품 #저자극클렌징</t>
  </si>
  <si>
    <t>설화수, 설화수 시그니처 진생 페이셜 솝, 시그니처 진생 페이셜 솝, 설화수 저자극 클렌징, 약알칼리성비누</t>
  </si>
  <si>
    <t>시그니처 진생 페이셜 솝 Signature Ginseng Facial Soap</t>
  </si>
  <si>
    <t>4cd563956b6277fc70e828c6e23714f7</t>
  </si>
  <si>
    <t>https://www.sulwhasoo.com/kr/ko/products/__icsFiles/afieldfile/2024/01/15/20240108_final_Signature-Ginseng-Facial-Soap_pdp_Thumbnail_640_1.jpg</t>
  </si>
  <si>
    <t>https://www.sulwhasoo.com/kr/ko/products/skincare/category/boosting_essence/index.html</t>
  </si>
  <si>
    <t>설화수 부스팅에센스 (스킨케어) | 설화수</t>
  </si>
  <si>
    <t>스킨케어 부스팅에센스 전체 제품 목록입니다. 피부 관리의 기초부터 집중 케어까지, 다양한 제품을 확인하고 나에게 맞는 스킨케어 루틴을 찾아보세요.</t>
  </si>
  <si>
    <t>윤조에센스, 설화수 에센스</t>
  </si>
  <si>
    <t>부스팅에센스</t>
  </si>
  <si>
    <t>d53d2e0938ee9e15e6c431367bb6c920</t>
  </si>
  <si>
    <t>2026-02-05 15:34:36</t>
  </si>
  <si>
    <t>https://www.sulwhasoo.com/kr/ko/products/skincare/category/cleansing/cleansing.html</t>
  </si>
  <si>
    <t>설화수 클렌징 (스킨케어) | 설화수</t>
  </si>
  <si>
    <t>스킨케어 클렌징 전체 제품 목록입니다. 피부 관리의 기초부터 집중 케어까지, 다양한 제품을 확인하고 나에게 맞는 스킨케어 루틴을 찾아보세요.</t>
  </si>
  <si>
    <t>설화수 클렌징, 설화수 클렌징폼, 설화수 클렌징워터</t>
  </si>
  <si>
    <t>클렌징</t>
  </si>
  <si>
    <t>1e19d57b72e528e8c2a01f32f97961f</t>
  </si>
  <si>
    <t>2026-02-05 15:35:48</t>
  </si>
  <si>
    <t>https://www.sulwhasoo.com/kr/ko/products/skincare/category/cream/index.html</t>
  </si>
  <si>
    <t>설화수 크림 (스킨케어) | 설화수</t>
  </si>
  <si>
    <t>스킨케어 크림 전체 제품 목록입니다. 피부 관리의 기초부터 집중 케어까지, 다양한 제품을 확인하고 나에게 맞는 스킨케어 루틴을 찾아보세요.</t>
  </si>
  <si>
    <t>설화수 크림, 자음생크림, 탄력크림, 안티에이징</t>
  </si>
  <si>
    <t>크림</t>
  </si>
  <si>
    <t>cd84f1589af50ec906492f5557fbf22a</t>
  </si>
  <si>
    <t>https://www.sulwhasoo.com/kr/ko/products/skincare/category/etc/index.html</t>
  </si>
  <si>
    <t>설화수 기타 (스킨케어) | 설화수</t>
  </si>
  <si>
    <t>스킨케어 기타 전체 제품 목록입니다. 피부 관리의 기초부터 집중 케어까지, 다양한 제품을 확인하고 나에게 맞는 스킨케어 루틴을 찾아보세요.</t>
  </si>
  <si>
    <t>기타</t>
  </si>
  <si>
    <t>d6fd759409045f25a7cbfda9091ced2e</t>
  </si>
  <si>
    <t>https://www.sulwhasoo.com/kr/ko/products/skincare/category/eye_cream/index.html</t>
  </si>
  <si>
    <t>설화수 아이크림 (스킨케어) | 설화수</t>
  </si>
  <si>
    <t>스킨케어 아이크림 전체 제품 목록입니다. 피부 관리의 기초부터 집중 케어까지, 다양한 제품을 확인하고 나에게 맞는 스킨케어 루틴을 찾아보세요.</t>
  </si>
  <si>
    <t>설화수 아이크림, 아이에센스, 자음생 아이크림, 진설아이에센스</t>
  </si>
  <si>
    <t>아이크림</t>
  </si>
  <si>
    <t>a3bc19965918bbedbb30e5165fd429</t>
  </si>
  <si>
    <t>https://www.sulwhasoo.com/kr/ko/products/skincare/category/index.html</t>
  </si>
  <si>
    <t>설화수 제품 유형별 (스킨케어) | 설화수</t>
  </si>
  <si>
    <t>스킨케어 유형별 전체 제품 목록입니다. 피부 관리의 기초부터 집중 케어까지, 다양한 제품을 확인하고 나에게 맞는 스킨케어 루틴을 찾아보세요.</t>
  </si>
  <si>
    <t>f56f44e357375f603cbb21f9a3a1672b</t>
  </si>
  <si>
    <t>https://www.sulwhasoo.com/kr/ko/products/skincare/category/lotion/index.html</t>
  </si>
  <si>
    <t>설화수 로션 (스킨케어) | 설화수</t>
  </si>
  <si>
    <t>스킨케어 로션 전체 제품 목록입니다. 피부 관리의 기초부터 집중 케어까지, 다양한 제품을 확인하고 나에게 맞는 스킨케어 루틴을 찾아보세요.</t>
  </si>
  <si>
    <t>설화수 유액, 자음유액, 진설유액</t>
  </si>
  <si>
    <t>로션</t>
  </si>
  <si>
    <t>47851655a3d05123c08014b6e5d20d01</t>
  </si>
  <si>
    <t>https://www.sulwhasoo.com/kr/ko/products/skincare/category/mask_pack/index.html</t>
  </si>
  <si>
    <t>설화수 마스크/팩 (스킨케어) | 설화수</t>
  </si>
  <si>
    <t>스킨케어 마스크/팩 전체 제품 목록입니다. 피부 관리의 기초부터 집중 케어까지, 다양한 제품을 확인하고 나에게 맞는 스킨케어 루틴을 찾아보세요.</t>
  </si>
  <si>
    <t>설화수 마스크팩, 설화수 마스크</t>
  </si>
  <si>
    <t>마스크/팩</t>
  </si>
  <si>
    <t>f179a4bb1c9d8937c95c2a38af07e1fb</t>
  </si>
  <si>
    <t>https://www.sulwhasoo.com/kr/ko/products/skincare/category/serum-ampoule/index.html</t>
  </si>
  <si>
    <t>설화수 에센스/앰플 (스킨케어) | 설화수</t>
  </si>
  <si>
    <t>스킨케어 에센스/앰플 전체 제품 목록입니다. 피부 관리의 기초부터 집중 케어까지, 다양한 제품을 확인하고 나에게 맞는 스킨케어 루틴을 찾아보세요.</t>
  </si>
  <si>
    <t>설화수 에센스, 자음생 에센스, 설린에센스</t>
  </si>
  <si>
    <t>에센스/앰플</t>
  </si>
  <si>
    <t>1cc71504c5a47c3e116c7244bbc02a2c</t>
  </si>
  <si>
    <t>https://www.sulwhasoo.com/kr/ko/products/skincare/category/skin/index.html</t>
  </si>
  <si>
    <t>설화수 스킨 (스킨케어) | 설화수</t>
  </si>
  <si>
    <t>스킨케어 스킨 전체 제품 목록입니다. 피부 관리의 기초부터 집중 케어까지, 다양한 제품을 확인하고 나에게 맞는 스킨케어 루틴을 찾아보세요.</t>
  </si>
  <si>
    <t>설화수 자음수, 설화수 설린수, 자정수</t>
  </si>
  <si>
    <t>스킨</t>
  </si>
  <si>
    <t>6141850dc2bd0e7a9d459fdfe258fd8e</t>
  </si>
  <si>
    <t>2026-02-05 15:34:54</t>
  </si>
  <si>
    <t>https://www.sulwhasoo.com/kr/ko/products/skincare/category/sun_cream/index.html</t>
  </si>
  <si>
    <t>설화수 선크림 (스킨케어) | 설화수</t>
  </si>
  <si>
    <t>스킨케어 선크림 전체 제품 목록입니다. 피부 관리의 기초부터 집중 케어까지, 다양한 제품을 확인하고 나에게 맞는 스킨케어 루틴을 찾아보세요.</t>
  </si>
  <si>
    <t>설화수 미스트, 윤조미스트</t>
  </si>
  <si>
    <t>선크림</t>
  </si>
  <si>
    <t>134529b38bd68fedd2346ce56df6a3c9</t>
  </si>
  <si>
    <t>https://www.sulwhasoo.com/kr/ko/products/skincare/concern/anti-aging/index.html</t>
  </si>
  <si>
    <t>설화수 건강한 윤기 (스킨케어) | 설화수</t>
  </si>
  <si>
    <t>피부 고민별 스킨케어 건강한 윤기 전체 제품 목록입니다. 다양한 피부 상태에 적합한 제품을 확인하고, 나에게 꼭 맞는 스킨케어 루틴을 시작해보세요.</t>
  </si>
  <si>
    <t>안티에이징, 설화수 자음생크림, 탄력크림</t>
  </si>
  <si>
    <t>건강한 윤기</t>
  </si>
  <si>
    <t>7a31902a62b5cb1fdbb6ba5cd7f1df15</t>
  </si>
  <si>
    <t>2026-02-05 15:34:37</t>
  </si>
  <si>
    <t>https://www.sulwhasoo.com/kr/ko/products/skincare/concern/brightening-dark-spot/index.html</t>
  </si>
  <si>
    <t>설화수 브라이트닝/잡티 (스킨케어) | 설화수</t>
  </si>
  <si>
    <t>피부 고민별 스킨케어 브라이트닝/잡티 전체 제품 목록입니다. 다양한 피부 상태에 적합한 제품을 확인하고, 나에게 꼭 맞는 스킨케어 루틴을 시작해보세요.</t>
  </si>
  <si>
    <t>브라이트닝/잡티</t>
  </si>
  <si>
    <t>79841847416dda95df370d65e6518bd8</t>
  </si>
  <si>
    <t>https://www.sulwhasoo.com/kr/ko/products/skincare/concern/calm-pore-purification/index.html</t>
  </si>
  <si>
    <t>설화수 진정/모공/정화 (스킨케어) | 설화수</t>
  </si>
  <si>
    <t>피부 고민별 스킨케어 진정/모공/정화 전체 제품 목록입니다. 다양한 피부 상태에 적합한 제품을 확인하고, 나에게 꼭 맞는 스킨케어 루틴을 시작해보세요.</t>
  </si>
  <si>
    <t>진정/모공/정화</t>
  </si>
  <si>
    <t>29389528dd644f1e58cc0566c75eb765</t>
  </si>
  <si>
    <t>2026-02-05 15:35:59</t>
  </si>
  <si>
    <t>https://www.sulwhasoo.com/kr/ko/products/skincare/concern/elasticity-grow-naturally/index.html</t>
  </si>
  <si>
    <t>설화수 탄력/자생 (스킨케어) | 설화수</t>
  </si>
  <si>
    <t>피부 고민별 스킨케어 탄력/자생 전체 제품 목록입니다. 다양한 피부 상태에 적합한 제품을 확인하고, 나에게 꼭 맞는 스킨케어 루틴을 시작해보세요.</t>
  </si>
  <si>
    <t>탄력/자생</t>
  </si>
  <si>
    <t>8fae41ab23728c6936a8038486353280</t>
  </si>
  <si>
    <t>2026-02-05 15:35:41</t>
  </si>
  <si>
    <t>https://www.sulwhasoo.com/kr/ko/products/skincare/concern/index.html</t>
  </si>
  <si>
    <t>설화수 피부 고민별 (스킨케어) | 설화수</t>
  </si>
  <si>
    <t>피부 고민별 스킨케어 전체 제품 목록입니다. 다양한 피부 상태에 적합한 제품을 확인하고, 나에게 꼭 맞는 스킨케어 루틴을 시작해보세요.</t>
  </si>
  <si>
    <t>피부 고민별</t>
  </si>
  <si>
    <t>5e8be7a936c0d2ae3f8f510759e09a8b</t>
  </si>
  <si>
    <t>https://www.sulwhasoo.com/kr/ko/products/skincare/concern/lifting-wrinkle/index.html</t>
  </si>
  <si>
    <t>설화수 리프팅/주름 (스킨케어) | 설화수</t>
  </si>
  <si>
    <t>피부 고민별 스킨케어 리프팅/주름 전체 제품 목록입니다. 다양한 피부 상태에 적합한 제품을 확인하고, 나에게 꼭 맞는 스킨케어 루틴을 시작해보세요.</t>
  </si>
  <si>
    <t>리프팅/주름</t>
  </si>
  <si>
    <t>4ebf78b8df08d313379bf84133b54f41</t>
  </si>
  <si>
    <t>2026-02-05 15:34:55</t>
  </si>
  <si>
    <t>https://www.sulwhasoo.com/kr/ko/products/skincare/concern/luxury-anti-aging/index.html</t>
  </si>
  <si>
    <t>설화수 프레스티지안티에이징 (스킨케어) | 설화수</t>
  </si>
  <si>
    <t>피부 고민별 스킨케어 프레스티지안티에이징 전체 제품 목록입니다. 다양한 피부 상태에 적합한 제품을 확인하고, 나에게 꼭 맞는 스킨케어 루틴을 시작해보세요.</t>
  </si>
  <si>
    <t>프레스티지안티에이징</t>
  </si>
  <si>
    <t>c59634c76cc354767ad029ad08cc9962</t>
  </si>
  <si>
    <t>https://www.sulwhasoo.com/kr/ko/products/skincare/concern/moisture-nutrition/index.html</t>
  </si>
  <si>
    <t>설화수 수분/영양 (스킨케어) | 설화수</t>
  </si>
  <si>
    <t>피부 고민별 스킨케어 수분/영양 전체 제품 목록입니다. 다양한 피부 상태에 적합한 제품을 확인하고, 나에게 꼭 맞는 스킨케어 루틴을 시작해보세요.</t>
  </si>
  <si>
    <t>보습/영양</t>
  </si>
  <si>
    <t>a53e015b6d0c2f630cb5033d88466096</t>
  </si>
  <si>
    <t>https://www.sulwhasoo.com/kr/ko/products/skincare/line/essential/essential.html</t>
  </si>
  <si>
    <t>설화수 에센셜 (스킨케어) | 설화수</t>
  </si>
  <si>
    <t>설화수 에센셜 라인 전체 제품 목록입니다. 피부에 깊이를 더하는 라인별 핵심 성분과 효능을 담은 다양한 제품으로 맞춤형 스킨케어를 시작해보세요.</t>
  </si>
  <si>
    <t>에센셜</t>
  </si>
  <si>
    <t>1850a38aed7ecd449a51ff32d81c7317</t>
  </si>
  <si>
    <t>Fri, 30 Jan 2026 08:05:46 GMT</t>
  </si>
  <si>
    <t>https://www.sulwhasoo.com/kr/ko/products/skincare/line/essential_perfecting/essential_perfecting.html</t>
  </si>
  <si>
    <t>설화수 에센셜 퍼펙팅 (스킨케어) | 설화수</t>
  </si>
  <si>
    <t>설화수 에센셜 퍼펙팅 라인 전체 제품 목록입니다. 피부에 깊이를 더하는 라인별 핵심 성분과 효능을 담은 다양한 제품으로 맞춤형 스킨케어를 시작해보세요.</t>
  </si>
  <si>
    <t>에센셜 퍼펙팅</t>
  </si>
  <si>
    <t>c2d0892aeb652ef73135817889d6ea62</t>
  </si>
  <si>
    <t>2026-02-05 15:34:39</t>
  </si>
  <si>
    <t>https://www.sulwhasoo.com/kr/ko/products/skincare/line/first_care_activating/first_care_activating.html</t>
  </si>
  <si>
    <t>설화수 윤조 (스킨케어) | 설화수</t>
  </si>
  <si>
    <t>설화수 윤조 라인 전체 제품 목록입니다. 피부에 깊이를 더하는 라인별 핵심 성분과 효능을 담은 다양한 제품으로 맞춤형 스킨케어를 시작해보세요.</t>
  </si>
  <si>
    <t>윤조</t>
  </si>
  <si>
    <t>bf9d74fa319310f67b6e47188c3fb171</t>
  </si>
  <si>
    <t>https://www.sulwhasoo.com/kr/ko/products/skincare/line/first_care_activating_perfecting/first_care_activating_perfecting.html</t>
  </si>
  <si>
    <t>설화수 윤조퍼펙팅 (스킨케어) | 설화수</t>
  </si>
  <si>
    <t>설화수 윤조퍼펙팅 라인 전체 제품 목록입니다. 피부에 깊이를 더하는 라인별 핵심 성분과 효능을 담은 다양한 제품으로 맞춤형 스킨케어를 시작해보세요</t>
  </si>
  <si>
    <t>윤조퍼펙팅</t>
  </si>
  <si>
    <t>6c85ee50b62ff1aeda1e7c88d1dd6bcc</t>
  </si>
  <si>
    <t>https://www.sulwhasoo.com/kr/ko/products/skincare/line/ginseng/ginseng.html</t>
  </si>
  <si>
    <t>설화수 자음생 (스킨케어) | 설화수</t>
  </si>
  <si>
    <t>설화수 자음생 라인 전체 제품 목록입니다. 피부에 깊이를 더하는 라인별 핵심 성분과 효능을 담은 다양한 제품으로 맞춤형 스킨케어를 시작해보세요.</t>
  </si>
  <si>
    <t>자음생</t>
  </si>
  <si>
    <t>8ee75274c7977646f524d11b709ffecc</t>
  </si>
  <si>
    <t>https://www.sulwhasoo.com/kr/ko/products/skincare/line/ginseng-brightening/ginseng-brightening.html</t>
  </si>
  <si>
    <t>설화수 자음생 브라이트닝(스킨케어) | 설화수</t>
  </si>
  <si>
    <t>설화수 자음생 브라이트닝 라인 전체 제품 목록입니다. 피부에 깊이를 더하는 라인별 핵심 성분과 효능을 담은 다양한 제품으로 맞춤형 스킨케어를 시작해보세요.</t>
  </si>
  <si>
    <t>자음생 브라이트닝</t>
  </si>
  <si>
    <t>b93d0a7dcd944fef10527f45a9d3e4bb</t>
  </si>
  <si>
    <t>https://www.sulwhasoo.com/kr/ko/products/skincare/line/index.html</t>
  </si>
  <si>
    <t>설화스 제품 라인별 (스킨케어) | 설화수</t>
  </si>
  <si>
    <t>설화수 라인별 전체 제품 목록입니다. 피부에 깊이를 더하는 라인별 핵심 성분과 효능을 담은 다양한 제품으로 맞춤형 스킨케어를 시작해보세요.</t>
  </si>
  <si>
    <t>제품 라인별</t>
  </si>
  <si>
    <t>842706cd8fe5948efc9ce6e3f563bcc7</t>
  </si>
  <si>
    <t>https://www.sulwhasoo.com/kr/ko/products/skincare/line/others/others.html</t>
  </si>
  <si>
    <t>설화수 기타 라인 전체 제품 목록입니다. 피부에 깊이를 더하는 라인별 핵심 성분과 효능을 담은 다양한 제품으로 맞춤형 스킨케어를 시작해보세요.</t>
  </si>
  <si>
    <t>4dcbed7b8b757ed7c73f661069ac7ecc</t>
  </si>
  <si>
    <t>2026-02-05 15:35:03</t>
  </si>
  <si>
    <t>https://www.sulwhasoo.com/kr/ko/products/skincare/line/timetreasure/timetreasure.html</t>
  </si>
  <si>
    <t>설화수 진설 (스킨케어) | 설화수</t>
  </si>
  <si>
    <t>설화수 진설 라인 전체 제품 목록입니다. 피부에 깊이를 더하는 라인별 핵심 성분과 효능을 담은 다양한 제품으로 맞춤형 스킨케어를 시작해보세요.</t>
  </si>
  <si>
    <t>진설</t>
  </si>
  <si>
    <t>351e084cb585d7761717caa5ddf39f8e</t>
  </si>
  <si>
    <t>https://www.sulwhasoo.com/kr/ko/products/skincare/line/timetreasure_honorstige/index.html</t>
  </si>
  <si>
    <t>설화수 진설명작 (스킨케어) | 설화수</t>
  </si>
  <si>
    <t>설화수 진설명작 라인 전체 제품 목록입니다. 피부에 깊이를 더하는 라인별 핵심 성분과 효능을 담은 다양한 제품으로 맞춤형 스킨케어를 시작해보세요.</t>
  </si>
  <si>
    <t>진설명작</t>
  </si>
  <si>
    <t>ff9c520fded12baaf2462aa549144168</t>
  </si>
  <si>
    <t>https://www.sulwhasoo.com/kr/ko/products/skincare/skincare.html</t>
  </si>
  <si>
    <t>설화수 스킨케어 전체 제품 - 에센스, 스킨, 크림, 마스크팩, 선크림</t>
  </si>
  <si>
    <t>설화수의 스킨케어 전 제품을 제품유형별, 피부고민별, 제품라인별로 만나보세요. 설화수 윤조 에센스, 자음생 크림, 자음수, 진설크림, 설린크림 | Sulwhasoo</t>
  </si>
  <si>
    <t>설화수 자음생, 설화수 크림, 기초세트, 설화수 스킨케어</t>
  </si>
  <si>
    <t>스킨케어</t>
  </si>
  <si>
    <t>7ff80e042352fcd60e1c798ffa3e00c4</t>
  </si>
  <si>
    <t>https://www.sulwhasoo.com/kr/ko/products/skin-strengthening-emulsion.html</t>
  </si>
  <si>
    <t>본윤유액 | 설화수</t>
  </si>
  <si>
    <t>설화수 본윤유액 제품의 특징과 효능을 자세히 확인해보세요. 외부 환경으로 부터 자극 받은 피부를 진정시켜주는 고보습 안티에이징 로션. #피부장벽강화 #수분보호막</t>
  </si>
  <si>
    <t>본윤유액 Skin Strengthening Emulsion</t>
  </si>
  <si>
    <t>8ddc03b73e27185e168e54f6919a2776</t>
  </si>
  <si>
    <t>https://www.sulwhasoo.com/kr/ko/products/__icsFiles/afieldfile/2022/08/29/SWS-Men-Skin-Strengthening-Emulsion-90ml_Thumb.jpg</t>
  </si>
  <si>
    <t>https://www.sulwhasoo.com/kr/ko/products/the-ultimate-s-cream.html</t>
  </si>
  <si>
    <t>진설크림 | 설화수</t>
  </si>
  <si>
    <t>설화수 진설크림 제품의 특징과 효능을 자세히 확인해보세요. 숨겨진 피부 각도 7˚*를 되찾아 리모델링한 듯 되살아난 피부(*피부각도 7 ˚=눈꼬리, 애플존, 입꼬리, 턱 피부 리프팅 효과 기기 측정 결과 데이터 합산 기준). #진생베리SR&lt;sup&gt;™&lt;/sup&gt; #숨겨진피부각도7˚</t>
  </si>
  <si>
    <t>설화수, 아모레퍼시픽, 안티에이징, 설화수 크림, 진설, 진설크림, 설화수 진설크림, 진설2종</t>
  </si>
  <si>
    <t>진설크림 The Ultimate S Cream</t>
  </si>
  <si>
    <t>a4c61b448b390bb13e56990cbeb35e8a</t>
  </si>
  <si>
    <t>설화수 진설크림 제품의 특징과 효능을 자세히 확인해보세요. 숨겨진 피부 각도 7˚*를 되찾아 리모델링한 듯 되살아난 피부(*피부각도 7 ˚=눈꼬리, 애플존, 입꼬리, 턱 피부 리프팅 효과 기기 측정 결과 데이터 합산 기준). #진생베리SR</t>
  </si>
  <si>
    <t>https://www.sulwhasoo.com/kr/ko/products/__icsFiles/afieldfile/2023/08/08/230803_final_TUS_Cream_pdp_thumb_640x640_60ml.jpg</t>
  </si>
  <si>
    <t>https://www.sulwhasoo.com/kr/ko/products/the-ultimate-s-cream-refill.html</t>
  </si>
  <si>
    <t>진설크림 리필 | 설화수</t>
  </si>
  <si>
    <t>설화수 진설크림 리필 제품의 특징과 효능을 자세히 확인해보세요. 숨겨진 피부 각도 7˚*를 되찾아 리모델링한 듯 되살아난 피부(*피부각도 7 ˚=눈꼬리, 애플존, 입꼬리, 턱 피부 리프팅 효과 기기 측정 결과 데이터 합산 기준). #진설크림리필 #숨겨진피부각도7˚</t>
  </si>
  <si>
    <t>진설크림 리필 The Ultimate S Cream Refill</t>
  </si>
  <si>
    <t>15f37bca1bcde5cfe5a9a8a71011d469</t>
  </si>
  <si>
    <t>https://www.sulwhasoo.com/kr/ko/products/__icsFiles/afieldfile/2023/08/08/230803_final_TUS_Cream_Refill_pdp_thumb_640x640_60ml.jpg</t>
  </si>
  <si>
    <t>https://www.sulwhasoo.com/kr/ko/products/the-ultimate-s-cream-rich.html</t>
  </si>
  <si>
    <t>진설크림 리치 | 설화수</t>
  </si>
  <si>
    <t>설화수 진설크림 리치 제품의 특징과 효능을 자세히 확인해보세요. 무너진 피부각도를 바로 세워리모델링한듯 되살아난 피부. #진생베리SR™ #100시간탄력광채</t>
  </si>
  <si>
    <t>설화수, 아모레퍼시픽, 안티에이징, 설화수 크림, 진설, 진설크림 리치, 진설크림, 진설 리치크림, 설화수 진설크림, 진설2종</t>
  </si>
  <si>
    <t>진설크림 리치 The Ultimate S Cream Rich</t>
  </si>
  <si>
    <t>f3fbd03efa25f21d4da77576a5195b79</t>
  </si>
  <si>
    <t>https://www.sulwhasoo.com/kr/ko/products/__icsFiles/afieldfile/2025/02/17/250212_final_KR_01_Sulwhasoo-the-ultimates-S-cream-Rich_Thmbnail_640x640.jpg</t>
  </si>
  <si>
    <t>https://www.sulwhasoo.com/kr/ko/products/the-ultimate-s-cream-rich-refill.html</t>
  </si>
  <si>
    <t>진설크림 리치 리필 | 설화수</t>
  </si>
  <si>
    <t>설화수 진설크림 리치 리필 제품의 특징과 효능을 자세히 확인해보세요. 무너진 피부각도를 바로 세워리모델링한듯 되살아난 피부. #진생베리SR™ #100시간탄력광채</t>
  </si>
  <si>
    <t>진설크림 리치 리필 The Ultimate S Cream Rich Refill</t>
  </si>
  <si>
    <t>9b660e41f88eb9d8188d15eca2016912</t>
  </si>
  <si>
    <t>https://www.sulwhasoo.com/kr/ko/products/__icsFiles/afieldfile/2025/02/17/250212_final_KR_01_Sulwhasoo-the-ultimates-S-cream-Rich-Refill_Thmbnail_640x640.jpg</t>
  </si>
  <si>
    <t>https://www.sulwhasoo.com/kr/ko/products/the-ultimate-s-enriched-cleansing-foam.html</t>
  </si>
  <si>
    <t>진설클렌징폼 | 설화수</t>
  </si>
  <si>
    <t>설화수 진설클렌징폼 제품의 특징과 효능을 자세히 확인해보세요. 클렌징 그 이상의 감각적 경험, 타고난 피부 유연성을 되찾다. #진생베리 #스킨케어링 클렌징 폼</t>
  </si>
  <si>
    <t>설화수, 아모레퍼시픽, 안티에이징, 설화수 크림, 진설, 진설크림, 진설클렌징폼, 클렌징폼</t>
  </si>
  <si>
    <t>진설클렌징폼 The Ultimate S Enriched Cleansing Foam</t>
  </si>
  <si>
    <t>cee9b06ac38834fff455e9649a481bb5</t>
  </si>
  <si>
    <t>https://www.sulwhasoo.com/kr/ko/products/__icsFiles/afieldfile/2025/04/22/250421_final_TUS-Enriched_Cleansing_Foam_thumbnail.jpg</t>
  </si>
  <si>
    <t>https://www.sulwhasoo.com/kr/ko/products/the-ultimate-s-enriched-emulsion.html</t>
  </si>
  <si>
    <t>진설유액 | 설화수</t>
  </si>
  <si>
    <t>설화수 진설유액 제품의 특징과 효능을 자세히 확인해보세요. 진생베리 에너지를 피부 깊숙이 채워 힘있게 견고해진 피부. #진생베리엘릭서 #스킨스트레칭텍스처</t>
  </si>
  <si>
    <t>설화수, 설화수진설수, 설화수진설, 안티에이징에멀젼, 안티에이징로션, 로션, 에멀젼</t>
  </si>
  <si>
    <t>진설유액 The Ultimate S Enriched Emulsion</t>
  </si>
  <si>
    <t>진설유액 소개</t>
  </si>
  <si>
    <t>1986bb1deeb8c83120d43bd6e16d2591</t>
  </si>
  <si>
    <t>https://www.sulwhasoo.com/kr/ko/products/__icsFiles/afieldfile/2024/02/26/240222_final_The-Ultimate-S-Emulsion_pdp_thumbnail_640_01.jpg</t>
  </si>
  <si>
    <t>https://www.sulwhasoo.com/kr/ko/products/the-ultimate-s-enriched-water.html</t>
  </si>
  <si>
    <t>진설수 | 설화수</t>
  </si>
  <si>
    <t>설화수 진설수 제품의 특징과 효능을 자세히 확인해보세요. 피부 깊은 곳*까지 흡수되는 진생베리 에너지로 다시 깨어나는 피부*피부 표피층 50μm. #진생베리엘릭서 #마이크로980텍스처</t>
  </si>
  <si>
    <t>설화수, 설화수진설수, 설화수진설, 안티에이징스킨, 안티에이징워터, 스킨, 워터, 진설</t>
  </si>
  <si>
    <t>진설수 The Ultimate S Enriched Water</t>
  </si>
  <si>
    <t>진설수 소개</t>
  </si>
  <si>
    <t>6a1da6e5a3a16602a028ec7be972228d</t>
  </si>
  <si>
    <t>https://www.sulwhasoo.com/kr/ko/products/__icsFiles/afieldfile/2024/02/26/240220_final_The-Ultimate-S-Water_pdp_thumbnail_01.jpg</t>
  </si>
  <si>
    <t>https://www.sulwhasoo.com/kr/ko/products/the-ultimate-s-eye-cream.html</t>
  </si>
  <si>
    <t>진설아이크림 | 설화수</t>
  </si>
  <si>
    <t>설화수 진설아이크림 제품의 특징과 효능을 자세히 확인해보세요. 리모델링한 듯 또렷하게 되살아나는 눈가 피부. #진생베리SR™  #입체적눈매</t>
  </si>
  <si>
    <t>설화수, 아모레퍼시픽, 어버이날선물, 설화수 진설아이크림, 설화수 진설, 아이크림, 설화수탄력크림, 아이크림추천, 안티에이징, 피부탄력</t>
  </si>
  <si>
    <t>진설아이크림 The Ultimate S Eye Cream</t>
  </si>
  <si>
    <t>8bc4a711b730de6a5294e7584fdb5d84</t>
  </si>
  <si>
    <t>https://www.sulwhasoo.com/kr/ko/products/__icsFiles/afieldfile/2023/08/08/230807_final_TUS_Eye_Cream_pdp_thumb_640x640_20ml.jpg</t>
  </si>
  <si>
    <t>https://www.sulwhasoo.com/kr/ko/products/the-ultimate-s-infusion-treatment.html</t>
  </si>
  <si>
    <t>진설 인퓨전 트리트먼트 | 설화수</t>
  </si>
  <si>
    <t>설화수 진설 인퓨전 트리트먼트 제품의 특징과 효능을 자세히 확인해보세요. [ 오프라인 판매 전용 상품입니다. ]리버스에이징의 궁극적 테크놀로지. #4주스킨리프로그램 #리버스에이징</t>
  </si>
  <si>
    <t>아모레퍼시픽, 설화수, 설화수 스킨케어, 설화수세트, 앰플, 안티에이징, 저속노화, 웰에이징, 세럼, 아모레선물</t>
  </si>
  <si>
    <t>진설 인퓨전 트리트먼트 THE ULTIMATE S INFUSION TREATMENT</t>
  </si>
  <si>
    <t>df58369ecf7538b5a2969b59501539be</t>
  </si>
  <si>
    <t>https://www.sulwhasoo.com/kr/ko/products/__icsFiles/afieldfile/2025/12/23/251224_final_KR_TheUltimateSInfusionTreatment_15mLX4_Box_thumbnail_640x640.jpg</t>
  </si>
  <si>
    <t>2026-02-05 15:34:49</t>
  </si>
  <si>
    <t>https://www.sulwhasoo.com/kr/ko/products/the-ultimate-s-serum.html</t>
  </si>
  <si>
    <t>진설세럼 | 설화수</t>
  </si>
  <si>
    <t>설화수 진설세럼 제품의 특징과 효능을 자세히 확인해보세요. 리모델링한 듯 또렷하게 되살아난 피부. #진생베리SR™️ #숨겨진피부주름개선</t>
  </si>
  <si>
    <t>설화수, 설화수 스킨케어, 진설, 설화수 진설, 진설세럼, 설화수 진설세럼, 설화수 세럼, 설화수 에센스</t>
  </si>
  <si>
    <t>진설세럼 The Ultimate S Serum</t>
  </si>
  <si>
    <t>ba9d24646b80def877148d2d89e0e55e</t>
  </si>
  <si>
    <t>https://www.sulwhasoo.com/kr/ko/products/__icsFiles/afieldfile/2023/09/26/230914_final_Ultimate-Serum_pdp_thumb_50ml_640x640.jpg</t>
  </si>
  <si>
    <t>2026-02-05 15:35:37</t>
  </si>
  <si>
    <t>https://www.sulwhasoo.com/kr/ko/products/timetreasure-honorstige-serum.html</t>
  </si>
  <si>
    <t>진설명작에센스 | 설화수</t>
  </si>
  <si>
    <t>설화수 진설명작에센스 제품의 특징과 효능을 자세히 확인해보세요. 고귀한 영지와 액티브인삼셀™의 무한한 에너지가 절정의 피부 아름다움을 선사하는 프레스티지 안티에이징 에센스. #프레스티지안티에이징 #인삼생명력</t>
  </si>
  <si>
    <t>주름개선, 미백, 안티에이징, 에센스</t>
  </si>
  <si>
    <t>진설명작에센스 Timetreasure Honorstige Serum</t>
  </si>
  <si>
    <t>86b39a27a7a119616956d3ffd9ce03ea</t>
  </si>
  <si>
    <t>https://www.sulwhasoo.com/kr/ko/products/__icsFiles/afieldfile/2022/11/14/Timetreasure-Honorstige-Serum-40ml.jpg</t>
  </si>
  <si>
    <t>https://www.sulwhasoo.com/kr/ko/products/uv-daily-essential-sunscreen.html</t>
  </si>
  <si>
    <t>상백선크림 | 설화수</t>
  </si>
  <si>
    <t>설화수 상백선크림 제품의 특징과 효능을 자세히 확인해보세요. 강력한 5중 방어막과 12시간 보습이 지속되는 수분 밀착 선크림. #5중방어막 #12시간보습지속</t>
  </si>
  <si>
    <t>설화수, 아모레퍼시픽, 어버이날선물, 설화수 선크림, 설화수 상백크림, 선크림, 썬크림, 선크림추천, 윤조에센스, 자외선차단제</t>
  </si>
  <si>
    <t>상백선크림 UV Daily Essential Sunscreen</t>
  </si>
  <si>
    <t>상백선크림 소개</t>
  </si>
  <si>
    <t>97b89dc9125148b720bff48ee7f45d4f</t>
  </si>
  <si>
    <t>https://www.sulwhasoo.com/kr/ko/products/__icsFiles/afieldfile/2024/01/05/20240103_final_KR-UV-Daily-Essential-Sunscreen_pdp_thumbnail_640_1.jpg</t>
  </si>
  <si>
    <t>https://www.sulwhasoo.com/kr/ko/products/uv-daily-fluid-sunscreen.html</t>
  </si>
  <si>
    <t>상백선플루이드 | 설화수</t>
  </si>
  <si>
    <t>설화수 상백선플루이드 제품의 특징과 효능을 자세히 확인해보세요. 물, 땀, 열 어디에도 빈틈 없는 워터프루프 선플루이드. #워터프루프 #밀크텍스처</t>
  </si>
  <si>
    <t>설화수, 설화수선크림, 상백선플루이드, 설화수상백선플루이드, 워터프루프선크림</t>
  </si>
  <si>
    <t>상백선플루이드 UV Daily Fluid Sunscreen</t>
  </si>
  <si>
    <t>상백선플루이드 소개</t>
  </si>
  <si>
    <t>debacec08d7887db68280e881bea7d5c</t>
  </si>
  <si>
    <t>https://www.sulwhasoo.com/kr/ko/products/__icsFiles/afieldfile/2024/01/08/20240104_final_KR-UV-Daily-Fluid-Sunscreen_pdp_thumbnail_640_1.jpg</t>
  </si>
  <si>
    <t>https://www.sulwhasoo.com/kr/ko/products/uv-daily-tone-up-sunscreen.html</t>
  </si>
  <si>
    <t>상백톤업선크림 | 설화수</t>
  </si>
  <si>
    <t>설화수 상백톤업선크림 제품의 특징과 효능을 자세히 확인해보세요. 고급스러운 피부 톤업으로 생기까지 채우는 선크림. #톤업선크림 #산뜻크림텍스처</t>
  </si>
  <si>
    <t>설화수, 설화수선크림, 상백톤업선크림, 설화수상백톤업선크림, 톤업선크림</t>
  </si>
  <si>
    <t>상백톤업선크림 UV Daily Tone Up Sunscreen</t>
  </si>
  <si>
    <t>상백톤업선크림 소개</t>
  </si>
  <si>
    <t>d552697e0e2c3ddee66033bba7785282</t>
  </si>
  <si>
    <t>https://www.sulwhasoo.com/kr/ko/products/__icsFiles/afieldfile/2024/01/05/20240103_final_KR-UV-Daily-Tone-Up-Sunscreen_pdp_thumbnail_640_1.jpg</t>
  </si>
  <si>
    <t>https://www.sulwhasoo.com/kr/ko/products/uv-defense-protector.html</t>
  </si>
  <si>
    <t>본윤선크림 | 설화수</t>
  </si>
  <si>
    <t>설화수 본윤선크림 제품의 특징과 효능을 자세히 확인해보세요. 뜨거운 태양광선으로부터 피부를 지키는 남성 안티에이징 선크림. #끈적임없는 #남성선크림</t>
  </si>
  <si>
    <t>설화수, 설화수 스킨케어, 남성 스킨케어, 설화수맨, 설화수 남성, 남자선크림, 남성화장품, 남자화장품, 안티에이징, 남성선크림</t>
  </si>
  <si>
    <t>본윤선크림 UV Defense Protector</t>
  </si>
  <si>
    <t>cb7b08fb769336edcd52dfa5df225e15</t>
  </si>
  <si>
    <t>https://www.sulwhasoo.com/kr/ko/products/__icsFiles/afieldfile/2022/08/29/SWS-Men-UV-Defense-Protector-50ml_Thumb.jpg</t>
  </si>
  <si>
    <t>https://www.sulwhasoo.com/kr/ko/products/white-ginseng-radiance-refining-mask.html</t>
  </si>
  <si>
    <t>백삼팩 | 설화수</t>
  </si>
  <si>
    <t>설화수 백삼팩 제품의 특징과 효능을 자세히 확인해보세요. 스크럽과 마스크 팩까지 한번에 완성하는 인-샤워 젤 마스크. #수분광채 #인샤워마스크</t>
  </si>
  <si>
    <t>설화수, 아모레퍼시픽, 어버이날선물, 설화수 백삼팩, 백삼팩, 팩, 인삼, 설화수 팩, 설화수 화장품</t>
  </si>
  <si>
    <t>백삼팩 White Ginseng Radiance Refining Mask</t>
  </si>
  <si>
    <t>4977f438067b14cd097a60473efa6e64</t>
  </si>
  <si>
    <t>https://www.sulwhasoo.com/kr/ko/products/__icsFiles/afieldfile/2023/02/28/230228_final_White-Ginseng-Refining-Radiance-Mask-120ml_thumbnail(640x640)_1.jpg</t>
  </si>
  <si>
    <t>https://www.sulwhasoo.com/kr/ko/spa/introduction/introduction.html</t>
  </si>
  <si>
    <t>설화수 스파 - 소개 - 트리트먼트 프로그램 | 설화수</t>
  </si>
  <si>
    <t>홀리스틱 뷰티를 실현하는 설화수 스파 - 설화수가 추구하는 미의 철학과 가치를 느낄 수 있는 설화수 공간입니다. 설화수 스파 프로그램 안내, 예약 및 매장 찾기 | Sulwhasoo</t>
  </si>
  <si>
    <t>설화수 스파, 홀리스틱 뷰티, 스파, 뷰티리츄얼</t>
  </si>
  <si>
    <t>설화수 스파</t>
  </si>
  <si>
    <t>501441ba7e4b6be3e1894badc473a74a</t>
  </si>
  <si>
    <t>https://www.sulwhasoo.com/kr/ko/spa/location/location.html</t>
  </si>
  <si>
    <t>설화수 스파 매장 찾기  -  | 설화수</t>
  </si>
  <si>
    <t>설화수 스파 매장을 찾아보실 수 있는 페이지입니다. 설화수 스파 플래그십 스토어, 롯데호텔서울 스파, 가로수길 플래그십스토어 운영시간 및 전화번호 안내 | Sulwhasoo</t>
  </si>
  <si>
    <t>설화수 스파, 매장위치, 플래그십 스토어</t>
  </si>
  <si>
    <t>설화수 스파 매장 찾기</t>
  </si>
  <si>
    <t>843675d61279bb9775f18c96f34c993a</t>
  </si>
  <si>
    <t>https://www.sulwhasoo.com/kr/ko/spa/programs/programs.html</t>
  </si>
  <si>
    <t>설화수 스파 - 스파 프로그램 | 설화수</t>
  </si>
  <si>
    <t>설화수 스파 프로그램 목록입니다. 프리미엄 한방 안티에이징 스파,  얼굴, 바디 집중 케어, 럭셔리 트리트먼트 프로그램 등 매장 별 프로그램 안내입니다. | Sulwhasoo</t>
  </si>
  <si>
    <t>설화수 스파, 프로그램, 프리미엄 한방 안티에이징 스파, 컨템포러리 한방 벨런스 스파, 프리미엄 한방 안티에이징 스파</t>
  </si>
  <si>
    <t>설화수 스파 프로그램</t>
  </si>
  <si>
    <t>설화수 스파 플래그십 스토어</t>
  </si>
  <si>
    <t>설화수 밸런스 스파 플래그십 스토어</t>
  </si>
  <si>
    <t>a23047b1403397e4a9ad4697c18c4f45</t>
  </si>
  <si>
    <t>Mon, 26 Jan 2026 05:46:04 GMT</t>
  </si>
  <si>
    <t>https://www.sulwhasoo.com/kr/ko/spa/reservation/reservation.html</t>
  </si>
  <si>
    <t>설화수 스파 - 예약하기 | 설화수</t>
  </si>
  <si>
    <t>설화수 스파 매장, 인원, 날짜, 프로그램을 선택하여 설화수 스파를 예약하실 수 있습니다.  | Sulwhasoo</t>
  </si>
  <si>
    <t>스파 예약, 스파 플래그십 스토어, 스파 롯데호텔</t>
  </si>
  <si>
    <t>예약하기</t>
  </si>
  <si>
    <t>Notification</t>
  </si>
  <si>
    <t>예약확인/취소하기</t>
  </si>
  <si>
    <t>c6168d49e26e90162ced5957f840a116</t>
  </si>
  <si>
    <t>Mon, 26 Jan 2026 05:36:32 GMT</t>
  </si>
  <si>
    <t>2026-02-05 15:35:52</t>
  </si>
  <si>
    <t>https://www.sulwhasoo.com/kr/ko/sulwhasoo-post/culture/1210339_2819.html</t>
  </si>
  <si>
    <t>수작, 간절한 만남 | 설화수</t>
  </si>
  <si>
    <t>수작, 간절한 만남 - 설화문화전 내용 자세히 보기 및 참여 작가 목록 안내 | Sulwhasoo</t>
  </si>
  <si>
    <t>설화문화전, 수작 간절한 만남</t>
  </si>
  <si>
    <r>
      <rPr>
        <sz val="11"/>
        <color rgb="FF000000"/>
        <rFont val="맑은 고딕"/>
        <family val="2"/>
        <charset val="1"/>
      </rPr>
      <t xml:space="preserve">2010 </t>
    </r>
    <r>
      <rPr>
        <sz val="11"/>
        <color rgb="FF000000"/>
        <rFont val="Noto Sans CJK SC"/>
        <family val="2"/>
      </rPr>
      <t>설화문화전 수작</t>
    </r>
    <r>
      <rPr>
        <sz val="11"/>
        <color rgb="FF000000"/>
        <rFont val="맑은 고딕"/>
        <family val="2"/>
        <charset val="1"/>
      </rPr>
      <t>-</t>
    </r>
    <r>
      <rPr>
        <sz val="11"/>
        <color rgb="FF000000"/>
        <rFont val="Noto Sans CJK SC"/>
        <family val="2"/>
      </rPr>
      <t>간절한 만남</t>
    </r>
  </si>
  <si>
    <t>아름다움의 본질에 대한 고민들</t>
  </si>
  <si>
    <t>스케치영상</t>
  </si>
  <si>
    <t>e01b643c1e39244e30a31b36f92057f6</t>
  </si>
  <si>
    <t>https://www.sulwhasoo.com/kr/ko/sulwhasoo-post/culture/__icsFiles/afieldfile/2019/02/19/1482217279467_2.jpg</t>
  </si>
  <si>
    <t>https://www.sulwhasoo.com/kr/ko/sulwhasoo-post/culture/1210340_2819.html</t>
  </si>
  <si>
    <t>가설의 정원(假設의 庭園) | 설화수</t>
  </si>
  <si>
    <t>가설의 정원(假設의 庭園) - 설화문화전 내용 자세히 보기 및 참여 작가 목록 안내 | Sulwhasoo</t>
  </si>
  <si>
    <t>설화문화전, 가설의 정원</t>
  </si>
  <si>
    <r>
      <rPr>
        <sz val="11"/>
        <color rgb="FF000000"/>
        <rFont val="맑은 고딕"/>
        <family val="2"/>
        <charset val="1"/>
      </rPr>
      <t xml:space="preserve">2011 </t>
    </r>
    <r>
      <rPr>
        <sz val="11"/>
        <color rgb="FF000000"/>
        <rFont val="Noto Sans CJK SC"/>
        <family val="2"/>
      </rPr>
      <t>설화문화전 가설의 정원</t>
    </r>
    <r>
      <rPr>
        <sz val="11"/>
        <color rgb="FF000000"/>
        <rFont val="맑은 고딕"/>
        <family val="2"/>
        <charset val="1"/>
      </rPr>
      <t>(</t>
    </r>
    <r>
      <rPr>
        <sz val="11"/>
        <color rgb="FF000000"/>
        <rFont val="Noto Sans CJK SC"/>
        <family val="2"/>
      </rPr>
      <t>假設의 庭園</t>
    </r>
    <r>
      <rPr>
        <sz val="11"/>
        <color rgb="FF000000"/>
        <rFont val="맑은 고딕"/>
        <family val="2"/>
        <charset val="1"/>
      </rPr>
      <t>)</t>
    </r>
  </si>
  <si>
    <t>그 미지未知의 문門을 열다</t>
  </si>
  <si>
    <t>60ad453cf49bb6a152fcdfd85c915b3b</t>
  </si>
  <si>
    <t>https://www.sulwhasoo.com/kr/ko/sulwhasoo-post/culture/__icsFiles/afieldfile/2019/02/19/1482217267861_2.jpg</t>
  </si>
  <si>
    <t>https://www.sulwhasoo.com/kr/ko/sulwhasoo-post/culture/1210341_2819.html</t>
  </si>
  <si>
    <t>흙, 숨쉬다. 옹기 | 설화수</t>
  </si>
  <si>
    <t>흙, 숨쉬다. 옹기 - 설화문화전 내용 자세히 보기 및 참여 작가 목록 안내 | Sulwhasoo</t>
  </si>
  <si>
    <t>설화문화전, 흙, 숨쉬다, 옹기</t>
  </si>
  <si>
    <r>
      <rPr>
        <sz val="11"/>
        <color rgb="FF000000"/>
        <rFont val="맑은 고딕"/>
        <family val="2"/>
        <charset val="1"/>
      </rPr>
      <t xml:space="preserve">2012 </t>
    </r>
    <r>
      <rPr>
        <sz val="11"/>
        <color rgb="FF000000"/>
        <rFont val="Noto Sans CJK SC"/>
        <family val="2"/>
      </rPr>
      <t>설화문화전 흙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Noto Sans CJK SC"/>
        <family val="2"/>
      </rPr>
      <t>숨쉬다</t>
    </r>
    <r>
      <rPr>
        <sz val="11"/>
        <color rgb="FF000000"/>
        <rFont val="맑은 고딕"/>
        <family val="2"/>
        <charset val="1"/>
      </rPr>
      <t xml:space="preserve">. </t>
    </r>
    <r>
      <rPr>
        <sz val="11"/>
        <color rgb="FF000000"/>
        <rFont val="Noto Sans CJK SC"/>
        <family val="2"/>
      </rPr>
      <t>옹기</t>
    </r>
  </si>
  <si>
    <t>자연이 빚은 한국의 미감</t>
  </si>
  <si>
    <t>4e93a7145be88217f7e4b9c460406b0e</t>
  </si>
  <si>
    <t>https://www.sulwhasoo.com/kr/ko/sulwhasoo-post/culture/__icsFiles/afieldfile/2019/02/19/1482217252910_2.jpg</t>
  </si>
  <si>
    <t>https://www.sulwhasoo.com/kr/ko/sulwhasoo-post/culture/1210342_2819.html</t>
  </si>
  <si>
    <t>활 力 | 설화수</t>
  </si>
  <si>
    <t>활 力 - 설화문화전 내용 자세히 보기 및 참여 작가 목록 안내 | Sulwhasoo</t>
  </si>
  <si>
    <t>설화문화전, 활력</t>
  </si>
  <si>
    <r>
      <rPr>
        <sz val="11"/>
        <color rgb="FF000000"/>
        <rFont val="맑은 고딕"/>
        <family val="2"/>
        <charset val="1"/>
      </rPr>
      <t xml:space="preserve">2013 </t>
    </r>
    <r>
      <rPr>
        <sz val="11"/>
        <color rgb="FF000000"/>
        <rFont val="Noto Sans CJK SC"/>
        <family val="2"/>
      </rPr>
      <t>설화문화전 활力</t>
    </r>
    <r>
      <rPr>
        <sz val="11"/>
        <color rgb="FF000000"/>
        <rFont val="맑은 고딕"/>
        <family val="2"/>
        <charset val="1"/>
      </rPr>
      <t>,</t>
    </r>
    <r>
      <rPr>
        <sz val="11"/>
        <color rgb="FF000000"/>
        <rFont val="Noto Sans CJK SC"/>
        <family val="2"/>
      </rPr>
      <t>시대를 관통하다</t>
    </r>
  </si>
  <si>
    <t>THE POWER OF ARROW ACROSS ERAS</t>
  </si>
  <si>
    <t>20d7d4e694ea509d9b816653988f3730</t>
  </si>
  <si>
    <t>https://www.sulwhasoo.com/kr/ko/sulwhasoo-post/culture/__icsFiles/afieldfile/2019/02/19/1482217237549_2.jpg</t>
  </si>
  <si>
    <t>https://www.sulwhasoo.com/kr/ko/sulwhasoo-post/culture/1210343_2819.html</t>
  </si>
  <si>
    <t>스키닉스 SKIN=NIKS | 설화수</t>
  </si>
  <si>
    <t>스키닉스 SKIN=NIKS - 설화문화전 내용 자세히 보기 및 참여 작가 목록 안내 | Sulwhasoo</t>
  </si>
  <si>
    <t>설화문화전, 스카닉스</t>
  </si>
  <si>
    <r>
      <rPr>
        <sz val="11"/>
        <color rgb="FF000000"/>
        <rFont val="맑은 고딕"/>
        <family val="2"/>
        <charset val="1"/>
      </rPr>
      <t xml:space="preserve">2014 </t>
    </r>
    <r>
      <rPr>
        <sz val="11"/>
        <color rgb="FF000000"/>
        <rFont val="Noto Sans CJK SC"/>
        <family val="2"/>
      </rPr>
      <t xml:space="preserve">설화문화전 </t>
    </r>
    <r>
      <rPr>
        <sz val="11"/>
        <color rgb="FF000000"/>
        <rFont val="맑은 고딕"/>
        <family val="2"/>
        <charset val="1"/>
      </rPr>
      <t>SKIN=NIKS</t>
    </r>
  </si>
  <si>
    <t>다양한 관계에 대한 새로운 시각 그리고 전통과 현대와의 조우</t>
  </si>
  <si>
    <t>2eadcabe837ca7e63e7a7cf64a2a4be6</t>
  </si>
  <si>
    <t>https://www.sulwhasoo.com/kr/ko/sulwhasoo-post/culture/__icsFiles/afieldfile/2019/02/19/1482217223131_2.jpg</t>
  </si>
  <si>
    <t>https://www.sulwhasoo.com/kr/ko/sulwhasoo-post/culture/1210344_2819.html</t>
  </si>
  <si>
    <t>설화 - 백일홍 이야기 | 설화수</t>
  </si>
  <si>
    <t>설화 - 백일홍 이야기 - 설화문화전 내용 자세히 보기 및 참여 작가 목록 안내 | Sulwhasoo</t>
  </si>
  <si>
    <t>설화문화전, 백일홍이야기</t>
  </si>
  <si>
    <r>
      <rPr>
        <sz val="11"/>
        <color rgb="FF000000"/>
        <rFont val="맑은 고딕"/>
        <family val="2"/>
        <charset val="1"/>
      </rPr>
      <t xml:space="preserve">2015 </t>
    </r>
    <r>
      <rPr>
        <sz val="11"/>
        <color rgb="FF000000"/>
        <rFont val="Noto Sans CJK SC"/>
        <family val="2"/>
      </rPr>
      <t>설화문화전 설화</t>
    </r>
    <r>
      <rPr>
        <sz val="11"/>
        <color rgb="FF000000"/>
        <rFont val="맑은 고딕"/>
        <family val="2"/>
        <charset val="1"/>
      </rPr>
      <t>(</t>
    </r>
    <r>
      <rPr>
        <sz val="11"/>
        <color rgb="FF000000"/>
        <rFont val="Noto Sans CJK SC"/>
        <family val="2"/>
      </rPr>
      <t>說話</t>
    </r>
    <r>
      <rPr>
        <sz val="11"/>
        <color rgb="FF000000"/>
        <rFont val="맑은 고딕"/>
        <family val="2"/>
        <charset val="1"/>
      </rPr>
      <t xml:space="preserve">) - </t>
    </r>
    <r>
      <rPr>
        <sz val="11"/>
        <color rgb="FF000000"/>
        <rFont val="Noto Sans CJK SC"/>
        <family val="2"/>
      </rPr>
      <t>백일홍 이야기</t>
    </r>
  </si>
  <si>
    <t>전통문화의 현대적인 재해석을 통해 세대간 공감의 장을 이끌어내다</t>
  </si>
  <si>
    <t>66fc68a322ec4c4e38ff8fa0795e29e2</t>
  </si>
  <si>
    <t>https://www.sulwhasoo.com/kr/ko/sulwhasoo-post/culture/__icsFiles/afieldfile/2019/02/19/1482217211551_2.jpg</t>
  </si>
  <si>
    <t>https://www.sulwhasoo.com/kr/ko/sulwhasoo-post/culture/1210345_2819.html</t>
  </si>
  <si>
    <t>설화 - Once upon a time | 설화수</t>
  </si>
  <si>
    <t>설화 - Once upon a time - 설화문화전 내용 자세히 보기 및 참여 작가 목록 안내 | Sulwhasoo</t>
  </si>
  <si>
    <t>설화 - Once upon a time</t>
  </si>
  <si>
    <r>
      <rPr>
        <sz val="11"/>
        <color rgb="FF000000"/>
        <rFont val="맑은 고딕"/>
        <family val="2"/>
        <charset val="1"/>
      </rPr>
      <t xml:space="preserve">2016 </t>
    </r>
    <r>
      <rPr>
        <sz val="11"/>
        <color rgb="FF000000"/>
        <rFont val="Noto Sans CJK SC"/>
        <family val="2"/>
      </rPr>
      <t>설화문화전 설화</t>
    </r>
    <r>
      <rPr>
        <sz val="11"/>
        <color rgb="FF000000"/>
        <rFont val="맑은 고딕"/>
        <family val="2"/>
        <charset val="1"/>
      </rPr>
      <t>(</t>
    </r>
    <r>
      <rPr>
        <sz val="11"/>
        <color rgb="FF000000"/>
        <rFont val="Noto Sans CJK SC"/>
        <family val="2"/>
      </rPr>
      <t>設話</t>
    </r>
    <r>
      <rPr>
        <sz val="11"/>
        <color rgb="FF000000"/>
        <rFont val="맑은 고딕"/>
        <family val="2"/>
        <charset val="1"/>
      </rPr>
      <t xml:space="preserve">): Once upon a time – </t>
    </r>
    <r>
      <rPr>
        <sz val="11"/>
        <color rgb="FF000000"/>
        <rFont val="Noto Sans CJK SC"/>
        <family val="2"/>
      </rPr>
      <t>견우 직녀</t>
    </r>
  </si>
  <si>
    <t>젊은 작가들의 현대적 관점으로 재탄생한 고전 설화 ‘견우 직녀’</t>
  </si>
  <si>
    <t>8662b67199cc6ac48cc08fb9bafe67ee</t>
  </si>
  <si>
    <t>https://www.sulwhasoo.com/kr/ko/sulwhasoo-post/culture/__icsFiles/afieldfile/2019/02/19/1482217195779_3.jpg</t>
  </si>
  <si>
    <t>https://www.sulwhasoo.com/kr/ko/sulwhasoo-post/culture/1210346_2819.html</t>
  </si>
  <si>
    <t>설화 – 나무꾼과 선녀 | 설화수</t>
  </si>
  <si>
    <t>설화 – 나무꾼과 선녀 - 설화문화전 내용 자세히 보기 및 참여 작가 목록 안내 | Sulwhasoo</t>
  </si>
  <si>
    <r>
      <rPr>
        <sz val="11"/>
        <color rgb="FF000000"/>
        <rFont val="맑은 고딕"/>
        <family val="2"/>
        <charset val="1"/>
      </rPr>
      <t xml:space="preserve">2017 </t>
    </r>
    <r>
      <rPr>
        <sz val="11"/>
        <color rgb="FF000000"/>
        <rFont val="Noto Sans CJK SC"/>
        <family val="2"/>
      </rPr>
      <t>설화문화전 설화</t>
    </r>
    <r>
      <rPr>
        <sz val="11"/>
        <color rgb="FF000000"/>
        <rFont val="맑은 고딕"/>
        <family val="2"/>
        <charset val="1"/>
      </rPr>
      <t>(</t>
    </r>
    <r>
      <rPr>
        <sz val="11"/>
        <color rgb="FF000000"/>
        <rFont val="Noto Sans CJK SC"/>
        <family val="2"/>
      </rPr>
      <t>設話</t>
    </r>
    <r>
      <rPr>
        <sz val="11"/>
        <color rgb="FF000000"/>
        <rFont val="맑은 고딕"/>
        <family val="2"/>
        <charset val="1"/>
      </rPr>
      <t xml:space="preserve">): Once upon a time – </t>
    </r>
    <r>
      <rPr>
        <sz val="11"/>
        <color rgb="FF000000"/>
        <rFont val="Noto Sans CJK SC"/>
        <family val="2"/>
      </rPr>
      <t>나무꾼과 선녀</t>
    </r>
  </si>
  <si>
    <t>한국의 국가무형문화재 및 현대 작가 11팀이 새로운 관점으로 재해석한 설화 ‘나무꾼과 선녀’</t>
  </si>
  <si>
    <t>155d9134f10942090f320280b1be891</t>
  </si>
  <si>
    <t>https://www.sulwhasoo.com/kr/ko/sulwhasoo-post/culture/__icsFiles/afieldfile/2019/02/19/1508136140681_2.jpg</t>
  </si>
  <si>
    <t>https://www.sulwhasoo.com/kr/ko/sulwhasoo-post/culture/1210347_2819.html</t>
  </si>
  <si>
    <t>포춘랜드 - 금박展 | 설화수</t>
  </si>
  <si>
    <t>포춘랜드 - 금박展 - 설화문화전 내용 자세히 보기 및 참여 작가 목록 안내 | Sulwhasoo</t>
  </si>
  <si>
    <r>
      <rPr>
        <sz val="11"/>
        <color rgb="FF000000"/>
        <rFont val="맑은 고딕"/>
        <family val="2"/>
        <charset val="1"/>
      </rPr>
      <t xml:space="preserve">2018 </t>
    </r>
    <r>
      <rPr>
        <sz val="11"/>
        <color rgb="FF000000"/>
        <rFont val="Noto Sans CJK SC"/>
        <family val="2"/>
      </rPr>
      <t xml:space="preserve">설화문화전 </t>
    </r>
    <r>
      <rPr>
        <sz val="11"/>
        <color rgb="FF000000"/>
        <rFont val="맑은 고딕"/>
        <family val="2"/>
        <charset val="1"/>
      </rPr>
      <t xml:space="preserve">FORTUNE LAND – </t>
    </r>
    <r>
      <rPr>
        <sz val="11"/>
        <color rgb="FF000000"/>
        <rFont val="Noto Sans CJK SC"/>
        <family val="2"/>
      </rPr>
      <t>금박展</t>
    </r>
  </si>
  <si>
    <t>한국의 전통 ‘금박’ 예술을 매개로, 전통의 아름다움과 그 의의를 현대적으로 재구성하고자 기획된 &lt; FORTUNE LAND – 금박展&gt;</t>
  </si>
  <si>
    <t>19ce8923451e265ef9f332b5e13eaf2a</t>
  </si>
  <si>
    <t>https://www.sulwhasoo.com/kr/ko/sulwhasoo-post/culture/__icsFiles/afieldfile/2019/02/19/1539226417610_2.jpg</t>
  </si>
  <si>
    <t>https://www.sulwhasoo.com/kr/ko/sulwhasoo-post/culture/1246118_2819.html</t>
  </si>
  <si>
    <t>미시감각 - 문양의 집 | 설화수</t>
  </si>
  <si>
    <t>미시감각 - 문양의 집 - 설화문화전 내용 자세히 보기 및 참여 작가 목록 안내 | Sulwhasoo</t>
  </si>
  <si>
    <r>
      <rPr>
        <sz val="11"/>
        <color rgb="FF000000"/>
        <rFont val="맑은 고딕"/>
        <family val="2"/>
        <charset val="1"/>
      </rPr>
      <t xml:space="preserve">2019 </t>
    </r>
    <r>
      <rPr>
        <sz val="11"/>
        <color rgb="FF000000"/>
        <rFont val="Noto Sans CJK SC"/>
        <family val="2"/>
      </rPr>
      <t xml:space="preserve">설화문화전 미시감각 </t>
    </r>
    <r>
      <rPr>
        <sz val="11"/>
        <color rgb="FF000000"/>
        <rFont val="맑은 고딕"/>
        <family val="2"/>
        <charset val="1"/>
      </rPr>
      <t xml:space="preserve">: </t>
    </r>
    <r>
      <rPr>
        <sz val="11"/>
        <color rgb="FF000000"/>
        <rFont val="Noto Sans CJK SC"/>
        <family val="2"/>
      </rPr>
      <t>문양의 집</t>
    </r>
  </si>
  <si>
    <t>가장 일상적인 ‘집’이라는 공간, 그 문을 여는 순간 빠져드는 전통문양의 감각적 미시세계 2019. 10. 18 ~ 2019. 12.29 10 AM ~ 6 PM (월요일 휴무) 아모레퍼시픽본사</t>
  </si>
  <si>
    <t>b83029e5165d81e9b9d79e308036d5a</t>
  </si>
  <si>
    <t>https://www.sulwhasoo.com/kr/ko/sulwhasoo-post/culture/__icsFiles/afieldfile/2019/10/04/20191004_final_thumnails_pc.jpg</t>
  </si>
  <si>
    <t>https://www.sulwhasoo.com/kr/ko/sulwhasoo-post/culture/2020_sulwha_culture_exhibition.html</t>
  </si>
  <si>
    <t>창, 전통과 현대의 중첩 - Pivotal Tree | 설화수</t>
  </si>
  <si>
    <t>창, 전통과 현대의 중첩 - Pivotal Tree - 설화문화전 내용 자세히 보기 및 참여 작가 목록 안내 | Sulwhasoo</t>
  </si>
  <si>
    <r>
      <rPr>
        <sz val="11"/>
        <color rgb="FF000000"/>
        <rFont val="맑은 고딕"/>
        <family val="2"/>
        <charset val="1"/>
      </rPr>
      <t xml:space="preserve">2020 </t>
    </r>
    <r>
      <rPr>
        <sz val="11"/>
        <color rgb="FF000000"/>
        <rFont val="Noto Sans CJK SC"/>
        <family val="2"/>
      </rPr>
      <t xml:space="preserve">설화문화전 </t>
    </r>
    <r>
      <rPr>
        <sz val="11"/>
        <color rgb="FF000000"/>
        <rFont val="맑은 고딕"/>
        <family val="2"/>
        <charset val="1"/>
      </rPr>
      <t>&lt;</t>
    </r>
    <r>
      <rPr>
        <sz val="11"/>
        <color rgb="FF000000"/>
        <rFont val="Noto Sans CJK SC"/>
        <family val="2"/>
      </rPr>
      <t>창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Noto Sans CJK SC"/>
        <family val="2"/>
      </rPr>
      <t>전통과 현대의 중첩</t>
    </r>
    <r>
      <rPr>
        <sz val="11"/>
        <color rgb="FF000000"/>
        <rFont val="맑은 고딕"/>
        <family val="2"/>
        <charset val="1"/>
      </rPr>
      <t>&gt;</t>
    </r>
  </si>
  <si>
    <t>창窓: 전통이 재해석 되는 공간 우리는 전통을 보고, 또 그 안에서 현대를 본다. DEC.01~JAN.07 / 삼성동 SM타운 COEX ARTIUM JAN.01~MAR.31 / 인천공항 T1</t>
  </si>
  <si>
    <t>작품소개 Pivotal Tree</t>
  </si>
  <si>
    <t>e6a42286c14308e8a6a4f5737b44cbb</t>
  </si>
  <si>
    <t>https://www.sulwhasoo.com/kr/ko/sulwhasoo-post/culture/__icsFiles/afieldfile/2021/02/05/20210205_final_culture_exhibition_list_banner_pc_02_3.jpg</t>
  </si>
  <si>
    <t>https://www.sulwhasoo.com/kr/ko/sulwhasoo-post/culture/2020_sulwha_culture_exhibition_2.html</t>
  </si>
  <si>
    <t>창, 전통과 현대의 중첩 - 정중동, 동중동 | 설화수</t>
  </si>
  <si>
    <t>창, 전통과 현대의 중첩 - 정중동, 동중동 - 설화문화전 내용 자세히 보기 및 참여 작가 목록 안내 | Sulwhasoo</t>
  </si>
  <si>
    <t>창窓: 전통이 재해석 되는 공간 우리는 전통을 보고, 또 그 안에서 현대를 본다. JAN.01~JAN.28 / 삼성동 SM타운 COEX ARTIUM JAN.01~MAR.31 / 인천공항 T1</t>
  </si>
  <si>
    <t>작품소개 정중동(靜中動), 동중동(動中動)</t>
  </si>
  <si>
    <t>a294ccda49cdf2963bbe7ba40d1c443e</t>
  </si>
  <si>
    <t>https://www.sulwhasoo.com/kr/ko/sulwhasoo-post/culture/__icsFiles/afieldfile/2021/02/05/20210205_final_culture_exhibition_list_banner_pc_01_3.jpg</t>
  </si>
  <si>
    <t>Errors</t>
  </si>
  <si>
    <t>Rich Result Features</t>
  </si>
  <si>
    <t>Warnings</t>
  </si>
  <si>
    <t>Rich Result Errors</t>
  </si>
  <si>
    <t>Rich Result Warnings</t>
  </si>
  <si>
    <t>Feature-1</t>
  </si>
  <si>
    <t>Total Types</t>
  </si>
  <si>
    <t>Unique Types</t>
  </si>
  <si>
    <t>Type-6</t>
  </si>
  <si>
    <t>Type-7</t>
  </si>
  <si>
    <t>Type-8</t>
  </si>
  <si>
    <t>ListItem</t>
  </si>
  <si>
    <t>ContactPoint</t>
  </si>
  <si>
    <t>Offer</t>
  </si>
  <si>
    <t>Thing</t>
  </si>
  <si>
    <t>HowToStep</t>
  </si>
  <si>
    <t>ImageObject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</si>
</sst>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_);_(@_)"/>
    <numFmt numFmtId="165" formatCode="0.0%"/>
  </numFmts>
  <fonts count="30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"/>
    </font>
    <font>
      <sz val="11"/>
      <color rgb="FF000000"/>
      <name val="맑은 고딕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sz val="11"/>
      <color theme="1"/>
      <name val="맑은 고딕"/>
      <family val="2"/>
      <charset val="129"/>
    </font>
    <font>
      <sz val="11"/>
      <color rgb="FF006100"/>
      <name val="맑은 고딕"/>
      <family val="2"/>
      <charset val="129"/>
      <scheme val="minor"/>
    </font>
    <font>
      <sz val="11"/>
      <color theme="1"/>
      <name val="Arita Dotum KR Medium"/>
      <family val="1"/>
      <charset val="129"/>
    </font>
    <font>
      <b/>
      <sz val="14"/>
      <name val="Arita Dotum KR Medium"/>
      <family val="1"/>
      <charset val="129"/>
    </font>
    <font>
      <sz val="8"/>
      <name val="맑은 고딕"/>
      <family val="2"/>
      <charset val="129"/>
    </font>
    <font>
      <b/>
      <sz val="8"/>
      <color theme="0"/>
      <name val="Arita Dotum KR Medium"/>
      <family val="1"/>
      <charset val="129"/>
    </font>
    <font>
      <sz val="8"/>
      <color rgb="FF000000"/>
      <name val="Arita Dotum KR Medium"/>
      <family val="1"/>
      <charset val="129"/>
    </font>
    <font>
      <b/>
      <sz val="11"/>
      <name val="Arita Dotum KR Medium"/>
      <family val="1"/>
      <charset val="129"/>
    </font>
    <font>
      <sz val="11"/>
      <color rgb="FF006100"/>
      <name val="Arita Dotum KR Medium"/>
      <family val="1"/>
      <charset val="129"/>
    </font>
    <font>
      <sz val="9"/>
      <color theme="1"/>
      <name val="Arita Dotum KR Medium"/>
      <family val="1"/>
      <charset val="129"/>
    </font>
    <font>
      <sz val="9"/>
      <color theme="0" tint="-0.34998626667073579"/>
      <name val="Arita Dotum KR Medium"/>
      <family val="1"/>
      <charset val="129"/>
    </font>
    <font>
      <sz val="11"/>
      <color rgb="FF9C5700"/>
      <name val="맑은 고딕"/>
      <family val="2"/>
      <charset val="129"/>
      <scheme val="minor"/>
    </font>
    <font>
      <sz val="8"/>
      <color rgb="FFFF0000"/>
      <name val="Arita Dotum KR Medium"/>
      <family val="1"/>
      <charset val="129"/>
    </font>
    <font>
      <sz val="8"/>
      <color theme="1"/>
      <name val="Arita Dotum KR Medium"/>
      <family val="1"/>
      <charset val="129"/>
    </font>
    <font>
      <sz val="8"/>
      <color theme="1"/>
      <name val="맑은 고딕"/>
      <family val="2"/>
      <charset val="129"/>
    </font>
    <font>
      <sz val="8"/>
      <color rgb="FF000000"/>
      <name val="바탕"/>
      <family val="1"/>
      <charset val="129"/>
    </font>
    <font>
      <sz val="8"/>
      <color rgb="FF000000"/>
      <name val="Noto Sans KR"/>
      <family val="3"/>
      <charset val="129"/>
    </font>
    <font>
      <sz val="11"/>
      <color rgb="FFC00000"/>
      <name val="Arita Dotum KR Medium"/>
      <family val="1"/>
      <charset val="129"/>
    </font>
    <font>
      <sz val="11"/>
      <color rgb="FF9C5700"/>
      <name val="Arita Dotum KR Medium"/>
      <family val="1"/>
      <charset val="129"/>
    </font>
    <font>
      <u/>
      <sz val="11"/>
      <color theme="10"/>
      <name val="맑은 고딕"/>
      <family val="2"/>
      <charset val="129"/>
    </font>
    <font>
      <sz val="8"/>
      <color rgb="FFFF0000"/>
      <name val="Gulim"/>
      <family val="1"/>
      <charset val="129"/>
    </font>
    <font>
      <sz val="8"/>
      <color rgb="FFFF0000"/>
      <name val="Noto Sans KR"/>
      <family val="1"/>
      <charset val="134"/>
    </font>
    <font>
      <sz val="8"/>
      <color rgb="FFFF0000"/>
      <name val="Noto Sans KR"/>
      <family val="1"/>
      <charset val="128"/>
    </font>
    <font>
      <sz val="8"/>
      <color rgb="FFFF0000"/>
      <name val="Noto Sans KR"/>
      <family val="1"/>
      <charset val="129"/>
    </font>
    <font>
      <b/>
      <sz val="8"/>
      <color rgb="FFFF0000"/>
      <name val="Arita Dotum KR Medium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4" tint="0.39979247413556324"/>
        <bgColor rgb="FF00CCFF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D1D1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9" fontId="1" fillId="0" borderId="0"/>
    <xf numFmtId="164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" fillId="0" borderId="0"/>
    <xf numFmtId="0" fontId="16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4">
      <alignment vertical="center"/>
    </xf>
    <xf numFmtId="0" fontId="2" fillId="0" borderId="0" xfId="4" applyAlignment="1">
      <alignment horizontal="center" vertical="center"/>
    </xf>
    <xf numFmtId="0" fontId="3" fillId="0" borderId="0" xfId="4" applyFo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4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7" fillId="5" borderId="0" xfId="0" applyFont="1" applyFill="1">
      <alignment vertical="center"/>
    </xf>
    <xf numFmtId="0" fontId="7" fillId="5" borderId="0" xfId="0" applyFont="1" applyFill="1" applyAlignment="1"/>
    <xf numFmtId="0" fontId="0" fillId="5" borderId="0" xfId="0" applyFill="1">
      <alignment vertical="center"/>
    </xf>
    <xf numFmtId="0" fontId="8" fillId="5" borderId="0" xfId="0" applyFont="1" applyFill="1" applyAlignment="1"/>
    <xf numFmtId="0" fontId="7" fillId="5" borderId="1" xfId="0" applyFont="1" applyFill="1" applyBorder="1" applyAlignment="1">
      <alignment horizontal="center" vertical="center"/>
    </xf>
    <xf numFmtId="0" fontId="0" fillId="5" borderId="0" xfId="0" applyFill="1" applyAlignment="1"/>
    <xf numFmtId="0" fontId="12" fillId="6" borderId="1" xfId="0" applyFont="1" applyFill="1" applyBorder="1" applyAlignment="1">
      <alignment horizontal="center" vertical="center"/>
    </xf>
    <xf numFmtId="165" fontId="13" fillId="4" borderId="1" xfId="1" applyNumberFormat="1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11" fillId="7" borderId="1" xfId="4" applyFont="1" applyFill="1" applyBorder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8" fillId="0" borderId="1" xfId="0" applyFont="1" applyBorder="1">
      <alignment vertical="center"/>
    </xf>
    <xf numFmtId="0" fontId="11" fillId="9" borderId="1" xfId="4" applyFont="1" applyFill="1" applyBorder="1">
      <alignment vertical="center"/>
    </xf>
    <xf numFmtId="0" fontId="14" fillId="7" borderId="1" xfId="0" applyFont="1" applyFill="1" applyBorder="1" applyAlignment="1">
      <alignment horizontal="center" vertical="center"/>
    </xf>
    <xf numFmtId="165" fontId="22" fillId="9" borderId="1" xfId="1" applyNumberFormat="1" applyFont="1" applyFill="1" applyBorder="1" applyAlignment="1">
      <alignment horizontal="center" vertical="center"/>
    </xf>
    <xf numFmtId="0" fontId="17" fillId="9" borderId="1" xfId="4" applyFont="1" applyFill="1" applyBorder="1">
      <alignment vertical="center"/>
    </xf>
    <xf numFmtId="0" fontId="11" fillId="5" borderId="1" xfId="4" applyFont="1" applyFill="1" applyBorder="1">
      <alignment vertical="center"/>
    </xf>
    <xf numFmtId="165" fontId="23" fillId="8" borderId="1" xfId="7" applyNumberFormat="1" applyFont="1" applyBorder="1" applyAlignment="1">
      <alignment horizontal="center" vertical="center"/>
    </xf>
    <xf numFmtId="0" fontId="24" fillId="0" borderId="1" xfId="8" applyBorder="1">
      <alignment vertical="center"/>
    </xf>
    <xf numFmtId="0" fontId="18" fillId="5" borderId="1" xfId="4" applyFont="1" applyFill="1" applyBorder="1">
      <alignment vertical="center"/>
    </xf>
    <xf numFmtId="0" fontId="7" fillId="5" borderId="0" xfId="0" applyFont="1" applyFill="1" applyAlignment="1">
      <alignment horizontal="right"/>
    </xf>
    <xf numFmtId="165" fontId="0" fillId="5" borderId="0" xfId="0" applyNumberFormat="1" applyFill="1" applyAlignment="1"/>
    <xf numFmtId="0" fontId="7" fillId="10" borderId="0" xfId="0" applyFont="1" applyFill="1" applyAlignment="1">
      <alignment horizontal="right"/>
    </xf>
    <xf numFmtId="165" fontId="7" fillId="10" borderId="0" xfId="0" applyNumberFormat="1" applyFont="1" applyFill="1" applyAlignment="1"/>
    <xf numFmtId="0" fontId="29" fillId="7" borderId="1" xfId="0" applyFont="1" applyFill="1" applyBorder="1" applyAlignment="1">
      <alignment horizontal="center" vertical="center"/>
    </xf>
  </cellXfs>
  <cellStyles count="9">
    <cellStyle name="백분율 3" xfId="2" xr:uid="{00000000-0005-0000-0000-000006000000}"/>
    <cellStyle name="보통" xfId="7" builtinId="28"/>
    <cellStyle name="쉼표 [0] 2 2" xfId="3" xr:uid="{00000000-0005-0000-0000-000007000000}"/>
    <cellStyle name="좋음" xfId="1" builtinId="26"/>
    <cellStyle name="표준" xfId="0" builtinId="0"/>
    <cellStyle name="표준 2" xfId="4" xr:uid="{00000000-0005-0000-0000-000008000000}"/>
    <cellStyle name="표준 3 2" xfId="5" xr:uid="{00000000-0005-0000-0000-000009000000}"/>
    <cellStyle name="표준 4" xfId="6" xr:uid="{00000000-0005-0000-0000-00000A000000}"/>
    <cellStyle name="하이퍼링크" xfId="8" builtinId="8"/>
  </cellStyles>
  <dxfs count="88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2" tint="-9.9948118533890809E-2"/>
        </patternFill>
      </fill>
    </dxf>
    <dxf>
      <fill>
        <patternFill>
          <bgColor theme="0" tint="-0.249977111117893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2" tint="-9.9948118533890809E-2"/>
        </patternFill>
      </fill>
    </dxf>
    <dxf>
      <fill>
        <patternFill>
          <bgColor theme="0" tint="-0.249977111117893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77111117893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77111117893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77111117893"/>
        </patternFill>
      </fill>
    </dxf>
    <dxf>
      <font>
        <color auto="1"/>
      </font>
      <fill>
        <patternFill>
          <bgColor theme="2" tint="-9.9948118533890809E-2"/>
        </patternFill>
      </fill>
    </dxf>
    <dxf>
      <fill>
        <patternFill>
          <bgColor theme="0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249977111117893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2" tint="-9.9948118533890809E-2"/>
        </patternFill>
      </fill>
    </dxf>
    <dxf>
      <fill>
        <patternFill>
          <bgColor theme="0" tint="-0.249977111117893"/>
        </patternFill>
      </fill>
    </dxf>
    <dxf>
      <font>
        <color rgb="FFFF0000"/>
      </font>
      <fill>
        <patternFill>
          <bgColor theme="5" tint="0.39979247413556324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2" tint="-9.9948118533890809E-2"/>
        </patternFill>
      </fill>
    </dxf>
    <dxf>
      <fill>
        <patternFill>
          <bgColor theme="0" tint="-0.249977111117893"/>
        </patternFill>
      </fill>
    </dxf>
    <dxf>
      <font>
        <color auto="1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2AA84"/>
      <rgbColor rgb="FFCC99FF"/>
      <rgbColor rgb="FFFFC7CE"/>
      <rgbColor rgb="FF4472C4"/>
      <rgbColor rgb="FF46B1E1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D1D1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lwhasoo-jp.myshopify.com/pages/brand-sustainabilit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H16"/>
  <sheetViews>
    <sheetView zoomScaleNormal="100" workbookViewId="0">
      <selection activeCell="I5" sqref="I5"/>
    </sheetView>
  </sheetViews>
  <sheetFormatPr defaultColWidth="8.5" defaultRowHeight="16.5"/>
  <cols>
    <col min="1" max="1" width="8.5" style="9"/>
    <col min="2" max="2" width="25" style="12" customWidth="1"/>
    <col min="3" max="3" width="10" style="12" customWidth="1"/>
    <col min="4" max="4" width="12" style="12" customWidth="1"/>
    <col min="5" max="6" width="10" style="12" customWidth="1"/>
    <col min="7" max="7" width="27.125" style="9" customWidth="1"/>
    <col min="8" max="8" width="19.75" style="9" customWidth="1"/>
    <col min="9" max="16384" width="8.5" style="9"/>
  </cols>
  <sheetData>
    <row r="1" spans="1:8">
      <c r="A1" s="7"/>
      <c r="B1" s="8"/>
      <c r="C1" s="8"/>
      <c r="D1" s="8"/>
      <c r="E1" s="8"/>
      <c r="F1" s="8"/>
    </row>
    <row r="2" spans="1:8" ht="18">
      <c r="A2" s="7"/>
      <c r="B2" s="10" t="s">
        <v>0</v>
      </c>
      <c r="C2" s="8"/>
      <c r="D2" s="8"/>
      <c r="E2" s="8"/>
      <c r="F2" s="8"/>
    </row>
    <row r="3" spans="1:8">
      <c r="A3" s="7"/>
      <c r="B3" s="8"/>
      <c r="C3" s="31" t="s">
        <v>1</v>
      </c>
      <c r="D3" s="33" t="s">
        <v>2</v>
      </c>
      <c r="E3" s="8"/>
      <c r="F3" s="8"/>
    </row>
    <row r="4" spans="1:8">
      <c r="A4" s="7"/>
      <c r="B4" s="8" t="s">
        <v>3</v>
      </c>
      <c r="C4" s="8" t="s">
        <v>4</v>
      </c>
      <c r="D4" s="33" t="s">
        <v>5</v>
      </c>
      <c r="E4" s="8"/>
      <c r="F4" s="8"/>
    </row>
    <row r="5" spans="1:8">
      <c r="A5" s="7"/>
      <c r="B5" s="8" t="s">
        <v>6</v>
      </c>
      <c r="C5" s="32">
        <v>0.67</v>
      </c>
      <c r="D5" s="34">
        <f>1-AVERAGE(D9:D15)</f>
        <v>0.75824175824175821</v>
      </c>
      <c r="E5" s="8"/>
      <c r="F5" s="8"/>
    </row>
    <row r="6" spans="1:8">
      <c r="A6" s="7"/>
      <c r="B6" s="8"/>
      <c r="C6" s="8"/>
      <c r="D6" s="8"/>
      <c r="E6" s="8"/>
      <c r="F6" s="8"/>
    </row>
    <row r="7" spans="1:8">
      <c r="A7" s="7"/>
      <c r="B7" s="8"/>
      <c r="C7" s="8"/>
      <c r="D7" s="8"/>
      <c r="E7" s="8"/>
      <c r="F7" s="8"/>
    </row>
    <row r="8" spans="1:8">
      <c r="A8" s="7"/>
      <c r="B8" s="13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  <c r="H8" s="13" t="s">
        <v>13</v>
      </c>
    </row>
    <row r="9" spans="1:8">
      <c r="A9" s="7"/>
      <c r="B9" s="18" t="s">
        <v>14</v>
      </c>
      <c r="C9" s="11">
        <f>COUNTA(TOBE!A:A)-1</f>
        <v>26</v>
      </c>
      <c r="D9" s="25">
        <f>IFERROR(F9/C9,0)</f>
        <v>0.19230769230769232</v>
      </c>
      <c r="E9" s="11">
        <f>COUNTIF(TOBE!F:F,"Pass")</f>
        <v>16</v>
      </c>
      <c r="F9" s="11">
        <f>COUNTIF(TOBE!F:F,"Fail")</f>
        <v>5</v>
      </c>
      <c r="G9" s="15" t="s">
        <v>15</v>
      </c>
      <c r="H9" s="24" t="s">
        <v>16</v>
      </c>
    </row>
    <row r="10" spans="1:8">
      <c r="A10" s="7"/>
      <c r="B10" s="18" t="s">
        <v>17</v>
      </c>
      <c r="C10" s="11">
        <f>COUNTA(TOBE!A:A)-1</f>
        <v>26</v>
      </c>
      <c r="D10" s="14">
        <f t="shared" ref="D10:D16" si="0">IFERROR(F10/C10,0)</f>
        <v>0</v>
      </c>
      <c r="E10" s="11">
        <f>COUNTIF(TOBE!H:H,"Pass")</f>
        <v>16</v>
      </c>
      <c r="F10" s="11">
        <f>COUNTIF(TOBE!H:H,"Fail")</f>
        <v>0</v>
      </c>
      <c r="G10" s="15" t="s">
        <v>18</v>
      </c>
      <c r="H10" s="17" t="s">
        <v>19</v>
      </c>
    </row>
    <row r="11" spans="1:8">
      <c r="A11" s="7"/>
      <c r="B11" s="18" t="s">
        <v>20</v>
      </c>
      <c r="C11" s="11">
        <f>COUNTA(TOBE!A:A)-1</f>
        <v>26</v>
      </c>
      <c r="D11" s="25">
        <f t="shared" si="0"/>
        <v>0.26923076923076922</v>
      </c>
      <c r="E11" s="11">
        <f>COUNTIF(TOBE!K:K,"Pass")</f>
        <v>9</v>
      </c>
      <c r="F11" s="11">
        <f>COUNTIF(TOBE!K:K,"Fail")</f>
        <v>7</v>
      </c>
      <c r="G11" s="15" t="s">
        <v>21</v>
      </c>
      <c r="H11" s="24" t="s">
        <v>16</v>
      </c>
    </row>
    <row r="12" spans="1:8">
      <c r="A12" s="7"/>
      <c r="B12" s="18" t="s">
        <v>22</v>
      </c>
      <c r="C12" s="11">
        <f>COUNTA(TOBE!A:A)-1</f>
        <v>26</v>
      </c>
      <c r="D12" s="28">
        <f t="shared" si="0"/>
        <v>3.8461538461538464E-2</v>
      </c>
      <c r="E12" s="11">
        <f>COUNTIF(TOBE!O:O,"Pass")</f>
        <v>15</v>
      </c>
      <c r="F12" s="11">
        <f>COUNTIF(TOBE!O:O,"Fail")</f>
        <v>1</v>
      </c>
      <c r="G12" s="15" t="s">
        <v>23</v>
      </c>
      <c r="H12" s="24" t="s">
        <v>16</v>
      </c>
    </row>
    <row r="13" spans="1:8">
      <c r="A13" s="7"/>
      <c r="B13" s="18" t="s">
        <v>24</v>
      </c>
      <c r="C13" s="11">
        <f>COUNTA(TOBE!A:A)-1</f>
        <v>26</v>
      </c>
      <c r="D13" s="14">
        <f t="shared" si="0"/>
        <v>0</v>
      </c>
      <c r="E13" s="11">
        <f>COUNTIF(TOBE!Q:Q,"Pass")</f>
        <v>16</v>
      </c>
      <c r="F13" s="11">
        <f>COUNTIF(TOBE!Q:Q,"Fail")</f>
        <v>0</v>
      </c>
      <c r="G13" s="17" t="s">
        <v>19</v>
      </c>
      <c r="H13" s="17" t="s">
        <v>19</v>
      </c>
    </row>
    <row r="14" spans="1:8">
      <c r="A14" s="7"/>
      <c r="B14" s="18" t="s">
        <v>25</v>
      </c>
      <c r="C14" s="11">
        <f>COUNTA(TOBE!A:A)-1</f>
        <v>26</v>
      </c>
      <c r="D14" s="25">
        <f t="shared" si="0"/>
        <v>0.61538461538461542</v>
      </c>
      <c r="E14" s="11">
        <f>COUNTIF(TOBE!AB:AB,"Pass")</f>
        <v>0</v>
      </c>
      <c r="F14" s="11">
        <f>COUNTIF(TOBE!AB:AB,"Fail")</f>
        <v>16</v>
      </c>
      <c r="G14" s="15" t="s">
        <v>26</v>
      </c>
      <c r="H14" s="24" t="s">
        <v>16</v>
      </c>
    </row>
    <row r="15" spans="1:8">
      <c r="A15" s="7"/>
      <c r="B15" s="18" t="s">
        <v>27</v>
      </c>
      <c r="C15" s="11">
        <f>COUNTA(TOBE!A:A)-1</f>
        <v>26</v>
      </c>
      <c r="D15" s="25">
        <f t="shared" si="0"/>
        <v>0.57692307692307687</v>
      </c>
      <c r="E15" s="11">
        <f>COUNTIF(TOBE!AI:AI,"Pass")</f>
        <v>1</v>
      </c>
      <c r="F15" s="11">
        <f>COUNTIF(TOBE!AI:AI,"Fail")</f>
        <v>15</v>
      </c>
      <c r="G15" s="15" t="s">
        <v>28</v>
      </c>
      <c r="H15" s="24" t="s">
        <v>16</v>
      </c>
    </row>
    <row r="16" spans="1:8" ht="17.25" customHeight="1">
      <c r="A16" s="7"/>
      <c r="B16" s="18" t="s">
        <v>29</v>
      </c>
      <c r="C16" s="11">
        <f>COUNTA(TOBE!A:A)-1</f>
        <v>26</v>
      </c>
      <c r="D16" s="14">
        <f t="shared" si="0"/>
        <v>0</v>
      </c>
      <c r="E16" s="11">
        <f>COUNTIF(TOBE!C:C,"Pass")</f>
        <v>16</v>
      </c>
      <c r="F16" s="11">
        <f>COUNTIF(TOBE!C:C,"Fail")</f>
        <v>0</v>
      </c>
      <c r="G16" s="17" t="s">
        <v>19</v>
      </c>
      <c r="H16" s="17" t="s">
        <v>19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C00000"/>
  </sheetPr>
  <dimension ref="A1:AI27"/>
  <sheetViews>
    <sheetView zoomScale="130" zoomScaleNormal="130" workbookViewId="0">
      <pane xSplit="1" topLeftCell="X1" activePane="topRight" state="frozen"/>
      <selection pane="topRight" activeCell="AD1" sqref="AD1"/>
    </sheetView>
  </sheetViews>
  <sheetFormatPr defaultColWidth="9" defaultRowHeight="16.5"/>
  <cols>
    <col min="1" max="1" width="42.75" style="1" customWidth="1"/>
    <col min="2" max="2" width="12.25" style="1" customWidth="1"/>
    <col min="3" max="3" width="16.75" style="1" customWidth="1"/>
    <col min="4" max="4" width="11.125" style="1" customWidth="1"/>
    <col min="5" max="5" width="9" style="1"/>
    <col min="6" max="6" width="17.5" style="1" customWidth="1"/>
    <col min="7" max="7" width="47.125" style="1" customWidth="1"/>
    <col min="8" max="8" width="16" style="1" customWidth="1"/>
    <col min="9" max="9" width="22.375" style="1" customWidth="1"/>
    <col min="10" max="10" width="37.5" style="1" customWidth="1"/>
    <col min="11" max="11" width="16" style="1" customWidth="1"/>
    <col min="12" max="12" width="62.875" style="1" customWidth="1"/>
    <col min="13" max="13" width="29" style="1" customWidth="1"/>
    <col min="14" max="14" width="23.375" style="2" customWidth="1"/>
    <col min="15" max="15" width="9" style="1"/>
    <col min="16" max="16" width="53.125" style="1" customWidth="1"/>
    <col min="17" max="17" width="9" style="1"/>
    <col min="18" max="18" width="28.75" style="1" customWidth="1"/>
    <col min="19" max="19" width="43.125" style="1" customWidth="1"/>
    <col min="20" max="20" width="9" style="1"/>
    <col min="21" max="21" width="23" style="1" customWidth="1"/>
    <col min="22" max="22" width="32" style="1" customWidth="1"/>
    <col min="23" max="23" width="64.125" style="1" customWidth="1"/>
    <col min="24" max="24" width="9" style="1"/>
    <col min="25" max="25" width="50.75" style="1" customWidth="1"/>
    <col min="26" max="26" width="9" style="1" customWidth="1"/>
    <col min="27" max="27" width="21.125" style="1" customWidth="1"/>
    <col min="28" max="28" width="14.875" style="1" customWidth="1"/>
    <col min="29" max="30" width="15.375" style="1" customWidth="1"/>
    <col min="31" max="34" width="9" style="1"/>
    <col min="35" max="35" width="8.5" style="1" customWidth="1"/>
    <col min="36" max="16384" width="9" style="1"/>
  </cols>
  <sheetData>
    <row r="1" spans="1:35" s="2" customFormat="1">
      <c r="A1" s="16" t="s">
        <v>30</v>
      </c>
      <c r="B1" s="16" t="s">
        <v>31</v>
      </c>
      <c r="C1" s="4" t="s">
        <v>32</v>
      </c>
      <c r="D1" s="16" t="s">
        <v>33</v>
      </c>
      <c r="E1" s="16" t="s">
        <v>34</v>
      </c>
      <c r="F1" s="4" t="s">
        <v>35</v>
      </c>
      <c r="G1" s="16" t="s">
        <v>36</v>
      </c>
      <c r="H1" s="4" t="s">
        <v>37</v>
      </c>
      <c r="I1" s="16" t="s">
        <v>38</v>
      </c>
      <c r="J1" s="16" t="s">
        <v>39</v>
      </c>
      <c r="K1" s="4" t="s">
        <v>40</v>
      </c>
      <c r="L1" s="16" t="s">
        <v>41</v>
      </c>
      <c r="M1" s="16" t="s">
        <v>42</v>
      </c>
      <c r="N1" s="16" t="s">
        <v>43</v>
      </c>
      <c r="O1" s="4" t="s">
        <v>44</v>
      </c>
      <c r="P1" s="16" t="s">
        <v>45</v>
      </c>
      <c r="Q1" s="4" t="s">
        <v>46</v>
      </c>
      <c r="R1" s="16" t="s">
        <v>47</v>
      </c>
      <c r="S1" s="16" t="s">
        <v>48</v>
      </c>
      <c r="T1" s="16" t="s">
        <v>49</v>
      </c>
      <c r="U1" s="16" t="s">
        <v>50</v>
      </c>
      <c r="V1" s="16" t="s">
        <v>51</v>
      </c>
      <c r="W1" s="16" t="s">
        <v>52</v>
      </c>
      <c r="X1" s="16" t="s">
        <v>53</v>
      </c>
      <c r="Y1" s="16" t="s">
        <v>54</v>
      </c>
      <c r="Z1" s="16" t="s">
        <v>55</v>
      </c>
      <c r="AA1" s="16" t="s">
        <v>56</v>
      </c>
      <c r="AB1" s="4" t="s">
        <v>57</v>
      </c>
      <c r="AC1" s="16" t="s">
        <v>58</v>
      </c>
      <c r="AD1" s="35" t="s">
        <v>59</v>
      </c>
      <c r="AE1" s="16" t="s">
        <v>60</v>
      </c>
      <c r="AF1" s="16" t="s">
        <v>61</v>
      </c>
      <c r="AG1" s="16" t="s">
        <v>62</v>
      </c>
      <c r="AH1" s="16" t="s">
        <v>63</v>
      </c>
      <c r="AI1" s="4" t="s">
        <v>64</v>
      </c>
    </row>
    <row r="2" spans="1:35" hidden="1">
      <c r="A2" s="22" t="s">
        <v>65</v>
      </c>
      <c r="B2" s="5"/>
      <c r="C2" s="6" t="s">
        <v>19</v>
      </c>
      <c r="D2" s="5" t="s">
        <v>66</v>
      </c>
      <c r="E2" s="5">
        <v>404</v>
      </c>
      <c r="F2" s="6" t="s">
        <v>19</v>
      </c>
      <c r="G2" s="5" t="s">
        <v>67</v>
      </c>
      <c r="H2" s="6" t="s">
        <v>19</v>
      </c>
      <c r="I2" s="5"/>
      <c r="J2" s="23" t="s">
        <v>68</v>
      </c>
      <c r="K2" s="6" t="s">
        <v>19</v>
      </c>
      <c r="L2" s="19" t="s">
        <v>69</v>
      </c>
      <c r="M2" s="5"/>
      <c r="N2" s="5"/>
      <c r="O2" s="6" t="s">
        <v>19</v>
      </c>
      <c r="P2" s="5" t="s">
        <v>70</v>
      </c>
      <c r="Q2" s="6" t="s">
        <v>19</v>
      </c>
      <c r="R2" s="5" t="s">
        <v>71</v>
      </c>
      <c r="S2" s="26" t="s">
        <v>72</v>
      </c>
      <c r="T2" s="5" t="s">
        <v>73</v>
      </c>
      <c r="U2" s="5" t="s">
        <v>74</v>
      </c>
      <c r="V2" s="26" t="s">
        <v>75</v>
      </c>
      <c r="W2" s="5" t="s">
        <v>70</v>
      </c>
      <c r="X2" s="5" t="s">
        <v>76</v>
      </c>
      <c r="Y2" s="5" t="s">
        <v>71</v>
      </c>
      <c r="Z2" s="5"/>
      <c r="AA2" s="26" t="s">
        <v>77</v>
      </c>
      <c r="AB2" s="6" t="s">
        <v>19</v>
      </c>
      <c r="AC2" s="23" t="s">
        <v>78</v>
      </c>
      <c r="AD2" s="23"/>
      <c r="AE2" s="5"/>
      <c r="AF2" s="5"/>
      <c r="AG2" s="5"/>
      <c r="AH2" s="5"/>
      <c r="AI2" s="6" t="s">
        <v>19</v>
      </c>
    </row>
    <row r="3" spans="1:35">
      <c r="A3" s="22" t="s">
        <v>79</v>
      </c>
      <c r="B3" s="5"/>
      <c r="C3" s="6" t="s">
        <v>10</v>
      </c>
      <c r="D3" s="5" t="s">
        <v>80</v>
      </c>
      <c r="E3" s="5">
        <v>200</v>
      </c>
      <c r="F3" s="6" t="s">
        <v>10</v>
      </c>
      <c r="G3" s="5" t="s">
        <v>81</v>
      </c>
      <c r="H3" s="6" t="s">
        <v>10</v>
      </c>
      <c r="I3" s="5"/>
      <c r="J3" s="23"/>
      <c r="K3" s="6" t="s">
        <v>10</v>
      </c>
      <c r="L3" s="19" t="s">
        <v>82</v>
      </c>
      <c r="M3" s="5" t="s">
        <v>83</v>
      </c>
      <c r="N3" s="5"/>
      <c r="O3" s="6" t="s">
        <v>10</v>
      </c>
      <c r="P3" s="5" t="s">
        <v>84</v>
      </c>
      <c r="Q3" s="6" t="s">
        <v>10</v>
      </c>
      <c r="R3" s="5" t="s">
        <v>85</v>
      </c>
      <c r="S3" s="30" t="s">
        <v>82</v>
      </c>
      <c r="T3" s="5" t="s">
        <v>73</v>
      </c>
      <c r="U3" s="5" t="s">
        <v>74</v>
      </c>
      <c r="V3" s="5" t="s">
        <v>86</v>
      </c>
      <c r="W3" s="5" t="s">
        <v>84</v>
      </c>
      <c r="X3" s="5" t="s">
        <v>76</v>
      </c>
      <c r="Y3" s="5" t="s">
        <v>85</v>
      </c>
      <c r="Z3" s="5"/>
      <c r="AA3" s="26" t="s">
        <v>77</v>
      </c>
      <c r="AB3" s="6" t="s">
        <v>87</v>
      </c>
      <c r="AC3" s="23" t="s">
        <v>78</v>
      </c>
      <c r="AD3" s="23"/>
      <c r="AE3" s="5"/>
      <c r="AF3" s="5"/>
      <c r="AG3" s="5"/>
      <c r="AH3" s="5"/>
      <c r="AI3" s="6" t="s">
        <v>87</v>
      </c>
    </row>
    <row r="4" spans="1:35">
      <c r="A4" s="22" t="s">
        <v>88</v>
      </c>
      <c r="B4" s="5"/>
      <c r="C4" s="6" t="s">
        <v>10</v>
      </c>
      <c r="D4" s="5" t="s">
        <v>80</v>
      </c>
      <c r="E4" s="5">
        <v>200</v>
      </c>
      <c r="F4" s="6" t="s">
        <v>10</v>
      </c>
      <c r="G4" s="5" t="s">
        <v>89</v>
      </c>
      <c r="H4" s="6" t="s">
        <v>10</v>
      </c>
      <c r="I4" s="5"/>
      <c r="J4" s="23"/>
      <c r="K4" s="6" t="s">
        <v>87</v>
      </c>
      <c r="L4" s="19" t="s">
        <v>90</v>
      </c>
      <c r="M4" s="5" t="s">
        <v>91</v>
      </c>
      <c r="N4" s="5"/>
      <c r="O4" s="6" t="s">
        <v>10</v>
      </c>
      <c r="P4" s="5" t="s">
        <v>92</v>
      </c>
      <c r="Q4" s="6" t="s">
        <v>10</v>
      </c>
      <c r="R4" s="5" t="s">
        <v>93</v>
      </c>
      <c r="S4" s="26" t="s">
        <v>72</v>
      </c>
      <c r="T4" s="5" t="s">
        <v>73</v>
      </c>
      <c r="U4" s="5" t="s">
        <v>74</v>
      </c>
      <c r="V4" s="5" t="s">
        <v>86</v>
      </c>
      <c r="W4" s="5" t="s">
        <v>92</v>
      </c>
      <c r="X4" s="5" t="s">
        <v>76</v>
      </c>
      <c r="Y4" s="5" t="s">
        <v>93</v>
      </c>
      <c r="Z4" s="5"/>
      <c r="AA4" s="26" t="s">
        <v>77</v>
      </c>
      <c r="AB4" s="6" t="s">
        <v>87</v>
      </c>
      <c r="AC4" s="23" t="s">
        <v>78</v>
      </c>
      <c r="AD4" s="23"/>
      <c r="AE4" s="5"/>
      <c r="AF4" s="5"/>
      <c r="AG4" s="5"/>
      <c r="AH4" s="5"/>
      <c r="AI4" s="6" t="s">
        <v>87</v>
      </c>
    </row>
    <row r="5" spans="1:35" hidden="1">
      <c r="A5" s="22" t="s">
        <v>94</v>
      </c>
      <c r="B5" s="5"/>
      <c r="C5" s="6" t="s">
        <v>19</v>
      </c>
      <c r="D5" s="5" t="s">
        <v>66</v>
      </c>
      <c r="E5" s="5">
        <v>404</v>
      </c>
      <c r="F5" s="6" t="s">
        <v>19</v>
      </c>
      <c r="G5" s="5" t="s">
        <v>95</v>
      </c>
      <c r="H5" s="6" t="s">
        <v>19</v>
      </c>
      <c r="I5" s="5"/>
      <c r="J5" s="23"/>
      <c r="K5" s="6" t="s">
        <v>19</v>
      </c>
      <c r="L5" s="19" t="s">
        <v>96</v>
      </c>
      <c r="M5" s="5" t="s">
        <v>97</v>
      </c>
      <c r="N5" s="5"/>
      <c r="O5" s="6" t="s">
        <v>19</v>
      </c>
      <c r="P5" s="5" t="s">
        <v>98</v>
      </c>
      <c r="Q5" s="6" t="s">
        <v>19</v>
      </c>
      <c r="R5" s="5" t="s">
        <v>99</v>
      </c>
      <c r="S5" s="26" t="s">
        <v>72</v>
      </c>
      <c r="T5" s="5" t="s">
        <v>73</v>
      </c>
      <c r="U5" s="5" t="s">
        <v>74</v>
      </c>
      <c r="V5" s="26" t="s">
        <v>75</v>
      </c>
      <c r="W5" s="5" t="s">
        <v>98</v>
      </c>
      <c r="X5" s="5" t="s">
        <v>76</v>
      </c>
      <c r="Y5" s="5" t="s">
        <v>99</v>
      </c>
      <c r="Z5" s="5"/>
      <c r="AA5" s="26" t="s">
        <v>77</v>
      </c>
      <c r="AB5" s="6" t="s">
        <v>19</v>
      </c>
      <c r="AC5" s="23" t="s">
        <v>100</v>
      </c>
      <c r="AD5" s="23"/>
      <c r="AE5" s="5"/>
      <c r="AF5" s="5"/>
      <c r="AG5" s="5"/>
      <c r="AH5" s="5"/>
      <c r="AI5" s="6" t="s">
        <v>19</v>
      </c>
    </row>
    <row r="6" spans="1:35" hidden="1">
      <c r="A6" s="22" t="s">
        <v>101</v>
      </c>
      <c r="B6" s="5"/>
      <c r="C6" s="6" t="s">
        <v>19</v>
      </c>
      <c r="D6" s="23" t="s">
        <v>102</v>
      </c>
      <c r="E6" s="5">
        <v>200</v>
      </c>
      <c r="F6" s="6" t="s">
        <v>87</v>
      </c>
      <c r="G6" s="5" t="s">
        <v>103</v>
      </c>
      <c r="H6" s="6" t="s">
        <v>19</v>
      </c>
      <c r="I6" s="5"/>
      <c r="J6" s="23"/>
      <c r="K6" s="6" t="s">
        <v>19</v>
      </c>
      <c r="L6" s="19"/>
      <c r="M6" s="5" t="s">
        <v>104</v>
      </c>
      <c r="N6" s="5"/>
      <c r="O6" s="6" t="s">
        <v>19</v>
      </c>
      <c r="P6" s="5" t="s">
        <v>105</v>
      </c>
      <c r="Q6" s="6" t="s">
        <v>19</v>
      </c>
      <c r="R6" s="5" t="s">
        <v>106</v>
      </c>
      <c r="S6" s="5" t="s">
        <v>74</v>
      </c>
      <c r="T6" s="5" t="s">
        <v>73</v>
      </c>
      <c r="U6" s="5" t="s">
        <v>74</v>
      </c>
      <c r="V6" s="26"/>
      <c r="W6" s="5" t="s">
        <v>105</v>
      </c>
      <c r="X6" s="5" t="s">
        <v>76</v>
      </c>
      <c r="Y6" s="5" t="s">
        <v>106</v>
      </c>
      <c r="Z6" s="5"/>
      <c r="AA6" s="26"/>
      <c r="AB6" s="6" t="s">
        <v>19</v>
      </c>
      <c r="AC6" s="23" t="s">
        <v>78</v>
      </c>
      <c r="AD6" s="23"/>
      <c r="AE6" s="5"/>
      <c r="AF6" s="5"/>
      <c r="AG6" s="5"/>
      <c r="AH6" s="5"/>
      <c r="AI6" s="6" t="s">
        <v>19</v>
      </c>
    </row>
    <row r="7" spans="1:35" hidden="1">
      <c r="A7" s="22" t="s">
        <v>107</v>
      </c>
      <c r="B7" s="5"/>
      <c r="C7" s="6" t="s">
        <v>19</v>
      </c>
      <c r="D7" s="23" t="s">
        <v>80</v>
      </c>
      <c r="E7" s="5">
        <v>200</v>
      </c>
      <c r="F7" s="6" t="s">
        <v>87</v>
      </c>
      <c r="G7" s="5" t="s">
        <v>108</v>
      </c>
      <c r="H7" s="6" t="s">
        <v>19</v>
      </c>
      <c r="I7" s="5"/>
      <c r="J7" s="23"/>
      <c r="K7" s="6" t="s">
        <v>19</v>
      </c>
      <c r="L7" s="19"/>
      <c r="M7" s="5" t="s">
        <v>109</v>
      </c>
      <c r="N7" s="5"/>
      <c r="O7" s="6" t="s">
        <v>19</v>
      </c>
      <c r="P7" s="5" t="s">
        <v>110</v>
      </c>
      <c r="Q7" s="6" t="s">
        <v>19</v>
      </c>
      <c r="R7" s="5" t="s">
        <v>111</v>
      </c>
      <c r="S7" s="5" t="s">
        <v>74</v>
      </c>
      <c r="T7" s="5" t="s">
        <v>73</v>
      </c>
      <c r="U7" s="5" t="s">
        <v>74</v>
      </c>
      <c r="V7" s="26"/>
      <c r="W7" s="5" t="s">
        <v>110</v>
      </c>
      <c r="X7" s="5" t="s">
        <v>76</v>
      </c>
      <c r="Y7" s="5" t="s">
        <v>111</v>
      </c>
      <c r="Z7" s="5"/>
      <c r="AA7" s="26"/>
      <c r="AB7" s="6" t="s">
        <v>19</v>
      </c>
      <c r="AC7" s="23" t="s">
        <v>78</v>
      </c>
      <c r="AD7" s="23"/>
      <c r="AE7" s="5"/>
      <c r="AF7" s="5"/>
      <c r="AG7" s="5"/>
      <c r="AH7" s="5"/>
      <c r="AI7" s="6" t="s">
        <v>19</v>
      </c>
    </row>
    <row r="8" spans="1:35" hidden="1">
      <c r="A8" s="22" t="s">
        <v>112</v>
      </c>
      <c r="B8" s="5"/>
      <c r="C8" s="6" t="s">
        <v>19</v>
      </c>
      <c r="D8" s="23" t="s">
        <v>80</v>
      </c>
      <c r="E8" s="5">
        <v>200</v>
      </c>
      <c r="F8" s="6" t="s">
        <v>87</v>
      </c>
      <c r="G8" s="5" t="s">
        <v>113</v>
      </c>
      <c r="H8" s="6" t="s">
        <v>19</v>
      </c>
      <c r="I8" s="5"/>
      <c r="J8" s="23"/>
      <c r="K8" s="6" t="s">
        <v>19</v>
      </c>
      <c r="L8" s="19"/>
      <c r="M8" s="5" t="s">
        <v>114</v>
      </c>
      <c r="N8" s="5"/>
      <c r="O8" s="6" t="s">
        <v>19</v>
      </c>
      <c r="P8" s="5" t="s">
        <v>115</v>
      </c>
      <c r="Q8" s="6" t="s">
        <v>19</v>
      </c>
      <c r="R8" s="5" t="s">
        <v>116</v>
      </c>
      <c r="S8" s="5" t="s">
        <v>74</v>
      </c>
      <c r="T8" s="5" t="s">
        <v>73</v>
      </c>
      <c r="U8" s="5" t="s">
        <v>74</v>
      </c>
      <c r="V8" s="26"/>
      <c r="W8" s="5" t="s">
        <v>115</v>
      </c>
      <c r="X8" s="5" t="s">
        <v>76</v>
      </c>
      <c r="Y8" s="5" t="s">
        <v>116</v>
      </c>
      <c r="Z8" s="5"/>
      <c r="AA8" s="26"/>
      <c r="AB8" s="6" t="s">
        <v>19</v>
      </c>
      <c r="AC8" s="23" t="s">
        <v>78</v>
      </c>
      <c r="AD8" s="23"/>
      <c r="AE8" s="5"/>
      <c r="AF8" s="5"/>
      <c r="AG8" s="5"/>
      <c r="AH8" s="5"/>
      <c r="AI8" s="6" t="s">
        <v>19</v>
      </c>
    </row>
    <row r="9" spans="1:35" hidden="1">
      <c r="A9" s="22" t="s">
        <v>117</v>
      </c>
      <c r="B9" s="5"/>
      <c r="C9" s="6" t="s">
        <v>19</v>
      </c>
      <c r="D9" s="23" t="s">
        <v>80</v>
      </c>
      <c r="E9" s="5">
        <v>200</v>
      </c>
      <c r="F9" s="6" t="s">
        <v>87</v>
      </c>
      <c r="G9" s="5" t="s">
        <v>118</v>
      </c>
      <c r="H9" s="6" t="s">
        <v>19</v>
      </c>
      <c r="I9" s="5"/>
      <c r="J9" s="23"/>
      <c r="K9" s="6" t="s">
        <v>19</v>
      </c>
      <c r="L9" s="19"/>
      <c r="M9" s="5" t="s">
        <v>119</v>
      </c>
      <c r="N9" s="5"/>
      <c r="O9" s="6" t="s">
        <v>19</v>
      </c>
      <c r="P9" s="5" t="s">
        <v>120</v>
      </c>
      <c r="Q9" s="6" t="s">
        <v>19</v>
      </c>
      <c r="R9" s="5" t="s">
        <v>121</v>
      </c>
      <c r="S9" s="5" t="s">
        <v>74</v>
      </c>
      <c r="T9" s="5" t="s">
        <v>73</v>
      </c>
      <c r="U9" s="5" t="s">
        <v>74</v>
      </c>
      <c r="V9" s="26"/>
      <c r="W9" s="5" t="s">
        <v>120</v>
      </c>
      <c r="X9" s="5" t="s">
        <v>76</v>
      </c>
      <c r="Y9" s="5" t="s">
        <v>121</v>
      </c>
      <c r="Z9" s="5"/>
      <c r="AA9" s="26"/>
      <c r="AB9" s="6" t="s">
        <v>19</v>
      </c>
      <c r="AC9" s="23" t="s">
        <v>78</v>
      </c>
      <c r="AD9" s="23"/>
      <c r="AE9" s="5"/>
      <c r="AF9" s="5"/>
      <c r="AG9" s="5"/>
      <c r="AH9" s="5"/>
      <c r="AI9" s="6" t="s">
        <v>19</v>
      </c>
    </row>
    <row r="10" spans="1:35">
      <c r="A10" s="22" t="s">
        <v>122</v>
      </c>
      <c r="B10" s="5"/>
      <c r="C10" s="6" t="s">
        <v>10</v>
      </c>
      <c r="D10" s="5" t="s">
        <v>80</v>
      </c>
      <c r="E10" s="5">
        <v>200</v>
      </c>
      <c r="F10" s="6" t="s">
        <v>10</v>
      </c>
      <c r="G10" s="5" t="s">
        <v>123</v>
      </c>
      <c r="H10" s="6" t="s">
        <v>10</v>
      </c>
      <c r="I10" s="5"/>
      <c r="J10" s="23"/>
      <c r="K10" s="6" t="s">
        <v>87</v>
      </c>
      <c r="L10" s="19" t="s">
        <v>124</v>
      </c>
      <c r="M10" s="5" t="s">
        <v>125</v>
      </c>
      <c r="N10" s="5"/>
      <c r="O10" s="6" t="s">
        <v>10</v>
      </c>
      <c r="P10" s="5" t="s">
        <v>126</v>
      </c>
      <c r="Q10" s="6" t="s">
        <v>10</v>
      </c>
      <c r="R10" s="5" t="s">
        <v>127</v>
      </c>
      <c r="S10" s="26" t="s">
        <v>72</v>
      </c>
      <c r="T10" s="5" t="s">
        <v>73</v>
      </c>
      <c r="U10" s="5" t="s">
        <v>74</v>
      </c>
      <c r="V10" s="5" t="s">
        <v>86</v>
      </c>
      <c r="W10" s="5" t="s">
        <v>126</v>
      </c>
      <c r="X10" s="5" t="s">
        <v>76</v>
      </c>
      <c r="Y10" s="5" t="s">
        <v>127</v>
      </c>
      <c r="Z10" s="5"/>
      <c r="AA10" s="26" t="s">
        <v>77</v>
      </c>
      <c r="AB10" s="6" t="s">
        <v>87</v>
      </c>
      <c r="AC10" s="23" t="s">
        <v>78</v>
      </c>
      <c r="AD10" s="23"/>
      <c r="AE10" s="5"/>
      <c r="AF10" s="5"/>
      <c r="AG10" s="5"/>
      <c r="AH10" s="5"/>
      <c r="AI10" s="6" t="s">
        <v>87</v>
      </c>
    </row>
    <row r="11" spans="1:35" hidden="1">
      <c r="A11" s="22" t="s">
        <v>128</v>
      </c>
      <c r="B11" s="5"/>
      <c r="C11" s="6" t="s">
        <v>19</v>
      </c>
      <c r="D11" s="5" t="s">
        <v>66</v>
      </c>
      <c r="E11" s="5">
        <v>404</v>
      </c>
      <c r="F11" s="6" t="s">
        <v>19</v>
      </c>
      <c r="G11" s="5" t="s">
        <v>129</v>
      </c>
      <c r="H11" s="6" t="s">
        <v>19</v>
      </c>
      <c r="I11" s="5"/>
      <c r="J11" s="5" t="s">
        <v>130</v>
      </c>
      <c r="K11" s="6" t="s">
        <v>19</v>
      </c>
      <c r="L11" s="27"/>
      <c r="M11" s="5"/>
      <c r="N11" s="5"/>
      <c r="O11" s="6" t="s">
        <v>19</v>
      </c>
      <c r="P11" s="5" t="s">
        <v>131</v>
      </c>
      <c r="Q11" s="6" t="s">
        <v>19</v>
      </c>
      <c r="R11" s="5" t="s">
        <v>132</v>
      </c>
      <c r="S11" s="5" t="s">
        <v>130</v>
      </c>
      <c r="T11" s="5" t="s">
        <v>73</v>
      </c>
      <c r="U11" s="5" t="s">
        <v>74</v>
      </c>
      <c r="V11" s="26" t="s">
        <v>75</v>
      </c>
      <c r="W11" s="5" t="s">
        <v>131</v>
      </c>
      <c r="X11" s="5" t="s">
        <v>76</v>
      </c>
      <c r="Y11" s="5" t="s">
        <v>132</v>
      </c>
      <c r="Z11" s="5"/>
      <c r="AA11" s="26" t="s">
        <v>77</v>
      </c>
      <c r="AB11" s="6" t="s">
        <v>19</v>
      </c>
      <c r="AC11" s="23" t="s">
        <v>78</v>
      </c>
      <c r="AD11" s="23"/>
      <c r="AE11" s="5"/>
      <c r="AF11" s="5"/>
      <c r="AG11" s="5"/>
      <c r="AH11" s="5"/>
      <c r="AI11" s="6" t="s">
        <v>19</v>
      </c>
    </row>
    <row r="12" spans="1:35">
      <c r="A12" s="22" t="s">
        <v>133</v>
      </c>
      <c r="B12" s="5"/>
      <c r="C12" s="6" t="s">
        <v>10</v>
      </c>
      <c r="D12" s="5" t="s">
        <v>80</v>
      </c>
      <c r="E12" s="5">
        <v>200</v>
      </c>
      <c r="F12" s="6" t="s">
        <v>10</v>
      </c>
      <c r="G12" s="5" t="s">
        <v>134</v>
      </c>
      <c r="H12" s="6" t="s">
        <v>10</v>
      </c>
      <c r="I12" s="5"/>
      <c r="J12" s="23"/>
      <c r="K12" s="6" t="s">
        <v>87</v>
      </c>
      <c r="L12" s="19" t="s">
        <v>135</v>
      </c>
      <c r="M12" s="5" t="s">
        <v>136</v>
      </c>
      <c r="N12" s="5"/>
      <c r="O12" s="6" t="s">
        <v>10</v>
      </c>
      <c r="P12" s="5" t="s">
        <v>137</v>
      </c>
      <c r="Q12" s="6" t="s">
        <v>10</v>
      </c>
      <c r="R12" s="5" t="s">
        <v>138</v>
      </c>
      <c r="S12" s="26" t="s">
        <v>72</v>
      </c>
      <c r="T12" s="5" t="s">
        <v>73</v>
      </c>
      <c r="U12" s="5" t="s">
        <v>74</v>
      </c>
      <c r="V12" s="5" t="s">
        <v>86</v>
      </c>
      <c r="W12" s="5" t="s">
        <v>137</v>
      </c>
      <c r="X12" s="5" t="s">
        <v>76</v>
      </c>
      <c r="Y12" s="5" t="s">
        <v>138</v>
      </c>
      <c r="Z12" s="5"/>
      <c r="AA12" s="26" t="s">
        <v>77</v>
      </c>
      <c r="AB12" s="6" t="s">
        <v>87</v>
      </c>
      <c r="AC12" s="23" t="s">
        <v>78</v>
      </c>
      <c r="AD12" s="23"/>
      <c r="AE12" s="5"/>
      <c r="AF12" s="5"/>
      <c r="AG12" s="5"/>
      <c r="AH12" s="5"/>
      <c r="AI12" s="6" t="s">
        <v>87</v>
      </c>
    </row>
    <row r="13" spans="1:35">
      <c r="A13" s="22" t="s">
        <v>139</v>
      </c>
      <c r="B13" s="5"/>
      <c r="C13" s="6" t="s">
        <v>10</v>
      </c>
      <c r="D13" s="5" t="s">
        <v>80</v>
      </c>
      <c r="E13" s="5">
        <v>200</v>
      </c>
      <c r="F13" s="6" t="s">
        <v>10</v>
      </c>
      <c r="G13" s="5" t="s">
        <v>140</v>
      </c>
      <c r="H13" s="6" t="s">
        <v>10</v>
      </c>
      <c r="I13" s="5"/>
      <c r="J13" s="23"/>
      <c r="K13" s="6" t="s">
        <v>87</v>
      </c>
      <c r="L13" s="19" t="s">
        <v>141</v>
      </c>
      <c r="M13" s="5" t="s">
        <v>142</v>
      </c>
      <c r="N13" s="5"/>
      <c r="O13" s="6" t="s">
        <v>10</v>
      </c>
      <c r="P13" s="5" t="s">
        <v>143</v>
      </c>
      <c r="Q13" s="6" t="s">
        <v>10</v>
      </c>
      <c r="R13" s="5" t="s">
        <v>144</v>
      </c>
      <c r="S13" s="26" t="s">
        <v>72</v>
      </c>
      <c r="T13" s="5" t="s">
        <v>73</v>
      </c>
      <c r="U13" s="5" t="s">
        <v>74</v>
      </c>
      <c r="V13" s="5" t="s">
        <v>86</v>
      </c>
      <c r="W13" s="5" t="s">
        <v>143</v>
      </c>
      <c r="X13" s="5" t="s">
        <v>76</v>
      </c>
      <c r="Y13" s="5" t="s">
        <v>144</v>
      </c>
      <c r="Z13" s="5"/>
      <c r="AA13" s="26" t="s">
        <v>77</v>
      </c>
      <c r="AB13" s="6" t="s">
        <v>87</v>
      </c>
      <c r="AC13" s="23" t="s">
        <v>78</v>
      </c>
      <c r="AD13" s="23"/>
      <c r="AE13" s="5"/>
      <c r="AF13" s="5"/>
      <c r="AG13" s="5"/>
      <c r="AH13" s="5"/>
      <c r="AI13" s="6" t="s">
        <v>87</v>
      </c>
    </row>
    <row r="14" spans="1:35" hidden="1">
      <c r="A14" s="22" t="s">
        <v>145</v>
      </c>
      <c r="B14" s="5"/>
      <c r="C14" s="6" t="s">
        <v>19</v>
      </c>
      <c r="D14" s="23" t="s">
        <v>80</v>
      </c>
      <c r="E14" s="5">
        <v>200</v>
      </c>
      <c r="F14" s="6" t="s">
        <v>87</v>
      </c>
      <c r="G14" s="5" t="s">
        <v>146</v>
      </c>
      <c r="H14" s="6" t="s">
        <v>19</v>
      </c>
      <c r="I14" s="5"/>
      <c r="J14" s="5"/>
      <c r="K14" s="6" t="s">
        <v>19</v>
      </c>
      <c r="L14" s="19"/>
      <c r="M14" s="5" t="s">
        <v>147</v>
      </c>
      <c r="N14" s="5"/>
      <c r="O14" s="6" t="s">
        <v>19</v>
      </c>
      <c r="P14" s="5" t="s">
        <v>148</v>
      </c>
      <c r="Q14" s="6" t="s">
        <v>19</v>
      </c>
      <c r="R14" s="5" t="s">
        <v>149</v>
      </c>
      <c r="S14" s="5" t="s">
        <v>74</v>
      </c>
      <c r="T14" s="5" t="s">
        <v>73</v>
      </c>
      <c r="U14" s="5" t="s">
        <v>74</v>
      </c>
      <c r="V14" s="26"/>
      <c r="W14" s="5" t="s">
        <v>148</v>
      </c>
      <c r="X14" s="5" t="s">
        <v>76</v>
      </c>
      <c r="Y14" s="5" t="s">
        <v>149</v>
      </c>
      <c r="Z14" s="5"/>
      <c r="AA14" s="26"/>
      <c r="AB14" s="6" t="s">
        <v>19</v>
      </c>
      <c r="AC14" s="23" t="s">
        <v>78</v>
      </c>
      <c r="AD14" s="23"/>
      <c r="AE14" s="5"/>
      <c r="AF14" s="5"/>
      <c r="AG14" s="5"/>
      <c r="AH14" s="5"/>
      <c r="AI14" s="6" t="s">
        <v>19</v>
      </c>
    </row>
    <row r="15" spans="1:35">
      <c r="A15" s="22" t="s">
        <v>150</v>
      </c>
      <c r="B15" s="5"/>
      <c r="C15" s="6" t="s">
        <v>10</v>
      </c>
      <c r="D15" s="5" t="s">
        <v>80</v>
      </c>
      <c r="E15" s="5">
        <v>200</v>
      </c>
      <c r="F15" s="6" t="s">
        <v>10</v>
      </c>
      <c r="G15" s="5" t="s">
        <v>151</v>
      </c>
      <c r="H15" s="6" t="s">
        <v>10</v>
      </c>
      <c r="I15" s="5"/>
      <c r="J15" s="23"/>
      <c r="K15" s="6" t="s">
        <v>87</v>
      </c>
      <c r="L15" s="19" t="s">
        <v>152</v>
      </c>
      <c r="M15" s="5" t="s">
        <v>153</v>
      </c>
      <c r="N15" s="5"/>
      <c r="O15" s="6" t="s">
        <v>10</v>
      </c>
      <c r="P15" s="5" t="s">
        <v>154</v>
      </c>
      <c r="Q15" s="6" t="s">
        <v>10</v>
      </c>
      <c r="R15" s="5" t="s">
        <v>155</v>
      </c>
      <c r="S15" s="26" t="s">
        <v>72</v>
      </c>
      <c r="T15" s="5" t="s">
        <v>73</v>
      </c>
      <c r="U15" s="5" t="s">
        <v>74</v>
      </c>
      <c r="V15" s="5" t="s">
        <v>86</v>
      </c>
      <c r="W15" s="5" t="s">
        <v>154</v>
      </c>
      <c r="X15" s="5" t="s">
        <v>76</v>
      </c>
      <c r="Y15" s="5" t="s">
        <v>155</v>
      </c>
      <c r="Z15" s="5"/>
      <c r="AA15" s="26" t="s">
        <v>77</v>
      </c>
      <c r="AB15" s="6" t="s">
        <v>87</v>
      </c>
      <c r="AC15" s="23" t="s">
        <v>100</v>
      </c>
      <c r="AD15" s="23"/>
      <c r="AE15" s="5"/>
      <c r="AF15" s="5"/>
      <c r="AG15" s="5"/>
      <c r="AH15" s="5"/>
      <c r="AI15" s="6" t="s">
        <v>87</v>
      </c>
    </row>
    <row r="16" spans="1:35">
      <c r="A16" s="29" t="s">
        <v>156</v>
      </c>
      <c r="B16" s="5"/>
      <c r="C16" s="6" t="s">
        <v>10</v>
      </c>
      <c r="D16" s="5" t="s">
        <v>80</v>
      </c>
      <c r="E16" s="5">
        <v>200</v>
      </c>
      <c r="F16" s="6" t="s">
        <v>10</v>
      </c>
      <c r="G16" s="5" t="s">
        <v>157</v>
      </c>
      <c r="H16" s="6" t="s">
        <v>10</v>
      </c>
      <c r="I16" s="5"/>
      <c r="J16" s="5" t="s">
        <v>158</v>
      </c>
      <c r="K16" s="6" t="s">
        <v>10</v>
      </c>
      <c r="L16" s="27"/>
      <c r="M16" s="26" t="s">
        <v>159</v>
      </c>
      <c r="N16" s="5" t="s">
        <v>160</v>
      </c>
      <c r="O16" s="6" t="s">
        <v>87</v>
      </c>
      <c r="P16" s="5" t="s">
        <v>161</v>
      </c>
      <c r="Q16" s="6" t="s">
        <v>10</v>
      </c>
      <c r="R16" s="5" t="s">
        <v>162</v>
      </c>
      <c r="S16" s="5" t="s">
        <v>158</v>
      </c>
      <c r="T16" s="5" t="s">
        <v>73</v>
      </c>
      <c r="U16" s="5" t="s">
        <v>74</v>
      </c>
      <c r="V16" s="5" t="s">
        <v>86</v>
      </c>
      <c r="W16" s="5" t="s">
        <v>161</v>
      </c>
      <c r="X16" s="5" t="s">
        <v>76</v>
      </c>
      <c r="Y16" s="5" t="s">
        <v>162</v>
      </c>
      <c r="Z16" s="5"/>
      <c r="AA16" s="26" t="s">
        <v>77</v>
      </c>
      <c r="AB16" s="6" t="s">
        <v>87</v>
      </c>
      <c r="AC16" s="23" t="s">
        <v>100</v>
      </c>
      <c r="AD16" s="23"/>
      <c r="AE16" s="5"/>
      <c r="AF16" s="5"/>
      <c r="AG16" s="5"/>
      <c r="AH16" s="5"/>
      <c r="AI16" s="6" t="s">
        <v>87</v>
      </c>
    </row>
    <row r="17" spans="1:35">
      <c r="A17" s="22" t="s">
        <v>163</v>
      </c>
      <c r="B17" s="5"/>
      <c r="C17" s="6" t="s">
        <v>10</v>
      </c>
      <c r="D17" s="5" t="s">
        <v>80</v>
      </c>
      <c r="E17" s="5">
        <v>200</v>
      </c>
      <c r="F17" s="6" t="s">
        <v>10</v>
      </c>
      <c r="G17" s="5" t="s">
        <v>164</v>
      </c>
      <c r="H17" s="6" t="s">
        <v>10</v>
      </c>
      <c r="I17" s="5"/>
      <c r="J17" s="5" t="s">
        <v>165</v>
      </c>
      <c r="K17" s="6" t="s">
        <v>10</v>
      </c>
      <c r="L17" s="27"/>
      <c r="M17" s="26" t="s">
        <v>164</v>
      </c>
      <c r="N17" s="5" t="s">
        <v>166</v>
      </c>
      <c r="O17" s="6" t="s">
        <v>10</v>
      </c>
      <c r="P17" s="5" t="s">
        <v>167</v>
      </c>
      <c r="Q17" s="6" t="s">
        <v>10</v>
      </c>
      <c r="R17" s="5" t="s">
        <v>164</v>
      </c>
      <c r="S17" s="5" t="s">
        <v>165</v>
      </c>
      <c r="T17" s="5" t="s">
        <v>73</v>
      </c>
      <c r="U17" s="5" t="s">
        <v>74</v>
      </c>
      <c r="V17" s="5" t="s">
        <v>86</v>
      </c>
      <c r="W17" s="5" t="s">
        <v>167</v>
      </c>
      <c r="X17" s="5" t="s">
        <v>76</v>
      </c>
      <c r="Y17" s="5" t="s">
        <v>164</v>
      </c>
      <c r="Z17" s="5"/>
      <c r="AA17" s="26" t="s">
        <v>77</v>
      </c>
      <c r="AB17" s="6" t="s">
        <v>87</v>
      </c>
      <c r="AC17" s="23" t="s">
        <v>78</v>
      </c>
      <c r="AD17" s="23"/>
      <c r="AE17" s="5"/>
      <c r="AF17" s="5"/>
      <c r="AG17" s="5"/>
      <c r="AH17" s="5"/>
      <c r="AI17" s="6" t="s">
        <v>87</v>
      </c>
    </row>
    <row r="18" spans="1:35" hidden="1">
      <c r="A18" s="22" t="s">
        <v>168</v>
      </c>
      <c r="B18" s="5"/>
      <c r="C18" s="6" t="s">
        <v>19</v>
      </c>
      <c r="D18" s="27" t="s">
        <v>66</v>
      </c>
      <c r="E18" s="5">
        <v>404</v>
      </c>
      <c r="F18" s="6" t="s">
        <v>19</v>
      </c>
      <c r="G18" s="5" t="s">
        <v>169</v>
      </c>
      <c r="H18" s="6" t="s">
        <v>19</v>
      </c>
      <c r="I18" s="5"/>
      <c r="J18" s="5"/>
      <c r="K18" s="6" t="s">
        <v>19</v>
      </c>
      <c r="L18" s="19"/>
      <c r="M18" s="5"/>
      <c r="N18" s="5"/>
      <c r="O18" s="6" t="s">
        <v>19</v>
      </c>
      <c r="P18" s="5" t="s">
        <v>170</v>
      </c>
      <c r="Q18" s="6" t="s">
        <v>19</v>
      </c>
      <c r="R18" s="5" t="s">
        <v>171</v>
      </c>
      <c r="S18" s="5" t="s">
        <v>74</v>
      </c>
      <c r="T18" s="5" t="s">
        <v>73</v>
      </c>
      <c r="U18" s="5" t="s">
        <v>74</v>
      </c>
      <c r="V18" s="23"/>
      <c r="W18" s="5" t="s">
        <v>170</v>
      </c>
      <c r="X18" s="5" t="s">
        <v>76</v>
      </c>
      <c r="Y18" s="5" t="s">
        <v>171</v>
      </c>
      <c r="Z18" s="5"/>
      <c r="AA18" s="26"/>
      <c r="AB18" s="6" t="s">
        <v>19</v>
      </c>
      <c r="AC18" s="23" t="s">
        <v>78</v>
      </c>
      <c r="AD18" s="23"/>
      <c r="AE18" s="5"/>
      <c r="AF18" s="5"/>
      <c r="AG18" s="5"/>
      <c r="AH18" s="5"/>
      <c r="AI18" s="6" t="s">
        <v>19</v>
      </c>
    </row>
    <row r="19" spans="1:35">
      <c r="A19" s="22" t="s">
        <v>172</v>
      </c>
      <c r="B19" s="5"/>
      <c r="C19" s="6" t="s">
        <v>10</v>
      </c>
      <c r="D19" s="5" t="s">
        <v>80</v>
      </c>
      <c r="E19" s="5">
        <v>200</v>
      </c>
      <c r="F19" s="6" t="s">
        <v>10</v>
      </c>
      <c r="G19" s="5" t="s">
        <v>173</v>
      </c>
      <c r="H19" s="6" t="s">
        <v>10</v>
      </c>
      <c r="I19" s="6"/>
      <c r="J19" s="5" t="s">
        <v>174</v>
      </c>
      <c r="K19" s="6" t="s">
        <v>10</v>
      </c>
      <c r="L19" s="27"/>
      <c r="M19" s="5"/>
      <c r="N19" s="5"/>
      <c r="O19" s="6" t="s">
        <v>10</v>
      </c>
      <c r="P19" s="5" t="s">
        <v>175</v>
      </c>
      <c r="Q19" s="6" t="s">
        <v>10</v>
      </c>
      <c r="R19" s="5" t="s">
        <v>176</v>
      </c>
      <c r="S19" s="5" t="s">
        <v>174</v>
      </c>
      <c r="T19" s="5" t="s">
        <v>177</v>
      </c>
      <c r="U19" s="5" t="s">
        <v>74</v>
      </c>
      <c r="V19" s="5" t="s">
        <v>86</v>
      </c>
      <c r="W19" s="5" t="s">
        <v>178</v>
      </c>
      <c r="X19" s="5" t="s">
        <v>76</v>
      </c>
      <c r="Y19" s="5" t="s">
        <v>176</v>
      </c>
      <c r="Z19" s="5"/>
      <c r="AA19" s="26" t="s">
        <v>77</v>
      </c>
      <c r="AB19" s="6" t="s">
        <v>87</v>
      </c>
      <c r="AC19" s="23" t="s">
        <v>78</v>
      </c>
      <c r="AD19" s="23"/>
      <c r="AE19" s="5" t="s">
        <v>179</v>
      </c>
      <c r="AF19" s="5" t="s">
        <v>180</v>
      </c>
      <c r="AG19" s="5" t="s">
        <v>181</v>
      </c>
      <c r="AH19" s="5" t="s">
        <v>78</v>
      </c>
      <c r="AI19" s="6" t="s">
        <v>87</v>
      </c>
    </row>
    <row r="20" spans="1:35">
      <c r="A20" s="22" t="s">
        <v>182</v>
      </c>
      <c r="B20" s="5"/>
      <c r="C20" s="6" t="s">
        <v>10</v>
      </c>
      <c r="D20" s="5" t="s">
        <v>80</v>
      </c>
      <c r="E20" s="5">
        <v>200</v>
      </c>
      <c r="F20" s="6" t="s">
        <v>10</v>
      </c>
      <c r="G20" s="5" t="s">
        <v>183</v>
      </c>
      <c r="H20" s="6" t="s">
        <v>10</v>
      </c>
      <c r="I20" s="6"/>
      <c r="J20" s="5" t="s">
        <v>184</v>
      </c>
      <c r="K20" s="6" t="s">
        <v>10</v>
      </c>
      <c r="L20" s="27"/>
      <c r="M20" s="5" t="s">
        <v>185</v>
      </c>
      <c r="N20" s="5"/>
      <c r="O20" s="6" t="s">
        <v>10</v>
      </c>
      <c r="P20" s="5" t="s">
        <v>186</v>
      </c>
      <c r="Q20" s="6" t="s">
        <v>10</v>
      </c>
      <c r="R20" s="5" t="s">
        <v>183</v>
      </c>
      <c r="S20" s="5" t="s">
        <v>184</v>
      </c>
      <c r="T20" s="5" t="s">
        <v>177</v>
      </c>
      <c r="U20" s="5" t="s">
        <v>74</v>
      </c>
      <c r="V20" s="5" t="s">
        <v>86</v>
      </c>
      <c r="W20" s="5" t="s">
        <v>186</v>
      </c>
      <c r="X20" s="5" t="s">
        <v>76</v>
      </c>
      <c r="Y20" s="5" t="s">
        <v>183</v>
      </c>
      <c r="Z20" s="5"/>
      <c r="AA20" s="26" t="s">
        <v>77</v>
      </c>
      <c r="AB20" s="6" t="s">
        <v>87</v>
      </c>
      <c r="AC20" s="23" t="s">
        <v>78</v>
      </c>
      <c r="AD20" s="23"/>
      <c r="AE20" s="5" t="s">
        <v>179</v>
      </c>
      <c r="AF20" s="5" t="s">
        <v>180</v>
      </c>
      <c r="AG20" s="5" t="s">
        <v>181</v>
      </c>
      <c r="AH20" s="5" t="s">
        <v>78</v>
      </c>
      <c r="AI20" s="6" t="s">
        <v>87</v>
      </c>
    </row>
    <row r="21" spans="1:35">
      <c r="A21" s="22" t="s">
        <v>187</v>
      </c>
      <c r="B21" s="5"/>
      <c r="C21" s="6" t="s">
        <v>10</v>
      </c>
      <c r="D21" s="5" t="s">
        <v>80</v>
      </c>
      <c r="E21" s="5">
        <v>200</v>
      </c>
      <c r="F21" s="6" t="s">
        <v>10</v>
      </c>
      <c r="G21" s="5" t="s">
        <v>188</v>
      </c>
      <c r="H21" s="6" t="s">
        <v>10</v>
      </c>
      <c r="I21" s="19" t="s">
        <v>189</v>
      </c>
      <c r="J21" s="5" t="s">
        <v>190</v>
      </c>
      <c r="K21" s="6" t="s">
        <v>10</v>
      </c>
      <c r="L21" s="27"/>
      <c r="M21" s="26" t="s">
        <v>191</v>
      </c>
      <c r="N21" s="5" t="s">
        <v>192</v>
      </c>
      <c r="O21" s="6" t="s">
        <v>10</v>
      </c>
      <c r="P21" s="5" t="s">
        <v>193</v>
      </c>
      <c r="Q21" s="6" t="s">
        <v>10</v>
      </c>
      <c r="R21" s="5" t="s">
        <v>188</v>
      </c>
      <c r="S21" s="5" t="s">
        <v>190</v>
      </c>
      <c r="T21" s="5" t="s">
        <v>177</v>
      </c>
      <c r="U21" s="5" t="s">
        <v>74</v>
      </c>
      <c r="V21" s="5" t="s">
        <v>86</v>
      </c>
      <c r="W21" s="5" t="s">
        <v>193</v>
      </c>
      <c r="X21" s="5" t="s">
        <v>76</v>
      </c>
      <c r="Y21" s="5" t="s">
        <v>188</v>
      </c>
      <c r="Z21" s="5"/>
      <c r="AA21" s="26" t="s">
        <v>77</v>
      </c>
      <c r="AB21" s="6" t="s">
        <v>87</v>
      </c>
      <c r="AC21" s="23" t="s">
        <v>78</v>
      </c>
      <c r="AD21" s="23"/>
      <c r="AE21" s="5" t="s">
        <v>179</v>
      </c>
      <c r="AF21" s="5" t="s">
        <v>180</v>
      </c>
      <c r="AG21" s="5" t="s">
        <v>181</v>
      </c>
      <c r="AH21" s="5" t="s">
        <v>78</v>
      </c>
      <c r="AI21" s="6" t="s">
        <v>87</v>
      </c>
    </row>
    <row r="22" spans="1:35">
      <c r="A22" s="22" t="s">
        <v>194</v>
      </c>
      <c r="B22" s="5"/>
      <c r="C22" s="6" t="s">
        <v>10</v>
      </c>
      <c r="D22" s="5" t="s">
        <v>80</v>
      </c>
      <c r="E22" s="5">
        <v>200</v>
      </c>
      <c r="F22" s="6" t="s">
        <v>10</v>
      </c>
      <c r="G22" s="5" t="s">
        <v>195</v>
      </c>
      <c r="H22" s="6" t="s">
        <v>10</v>
      </c>
      <c r="I22" s="6"/>
      <c r="J22" s="5" t="s">
        <v>196</v>
      </c>
      <c r="K22" s="6" t="s">
        <v>10</v>
      </c>
      <c r="L22" s="27"/>
      <c r="M22" s="5" t="s">
        <v>197</v>
      </c>
      <c r="N22" s="5"/>
      <c r="O22" s="6" t="s">
        <v>10</v>
      </c>
      <c r="P22" s="5" t="s">
        <v>198</v>
      </c>
      <c r="Q22" s="6" t="s">
        <v>10</v>
      </c>
      <c r="R22" s="5" t="s">
        <v>199</v>
      </c>
      <c r="S22" s="5" t="s">
        <v>196</v>
      </c>
      <c r="T22" s="5" t="s">
        <v>73</v>
      </c>
      <c r="U22" s="5" t="s">
        <v>74</v>
      </c>
      <c r="V22" s="5" t="s">
        <v>86</v>
      </c>
      <c r="W22" s="5" t="s">
        <v>198</v>
      </c>
      <c r="X22" s="5" t="s">
        <v>76</v>
      </c>
      <c r="Y22" s="5" t="s">
        <v>199</v>
      </c>
      <c r="Z22" s="5"/>
      <c r="AA22" s="26" t="s">
        <v>77</v>
      </c>
      <c r="AB22" s="6" t="s">
        <v>87</v>
      </c>
      <c r="AC22" s="23" t="s">
        <v>78</v>
      </c>
      <c r="AD22" s="23"/>
      <c r="AE22" s="5"/>
      <c r="AF22" s="5"/>
      <c r="AG22" s="5"/>
      <c r="AH22" s="5"/>
      <c r="AI22" s="6" t="s">
        <v>87</v>
      </c>
    </row>
    <row r="23" spans="1:35">
      <c r="A23" s="22" t="s">
        <v>200</v>
      </c>
      <c r="B23" s="5"/>
      <c r="C23" s="6" t="s">
        <v>10</v>
      </c>
      <c r="D23" s="5" t="s">
        <v>80</v>
      </c>
      <c r="E23" s="5">
        <v>200</v>
      </c>
      <c r="F23" s="6" t="s">
        <v>10</v>
      </c>
      <c r="G23" s="5" t="s">
        <v>201</v>
      </c>
      <c r="H23" s="6" t="s">
        <v>10</v>
      </c>
      <c r="I23" s="5"/>
      <c r="J23" s="23"/>
      <c r="K23" s="6" t="s">
        <v>87</v>
      </c>
      <c r="L23" s="19" t="s">
        <v>202</v>
      </c>
      <c r="M23" s="5" t="s">
        <v>203</v>
      </c>
      <c r="N23" s="5"/>
      <c r="O23" s="6" t="s">
        <v>10</v>
      </c>
      <c r="P23" s="5" t="s">
        <v>204</v>
      </c>
      <c r="Q23" s="6" t="s">
        <v>10</v>
      </c>
      <c r="R23" s="5" t="s">
        <v>205</v>
      </c>
      <c r="S23" s="26" t="s">
        <v>72</v>
      </c>
      <c r="T23" s="5" t="s">
        <v>73</v>
      </c>
      <c r="U23" s="5" t="s">
        <v>74</v>
      </c>
      <c r="V23" s="5" t="s">
        <v>86</v>
      </c>
      <c r="W23" s="5" t="s">
        <v>204</v>
      </c>
      <c r="X23" s="5" t="s">
        <v>76</v>
      </c>
      <c r="Y23" s="5" t="s">
        <v>205</v>
      </c>
      <c r="Z23" s="5"/>
      <c r="AA23" s="26" t="s">
        <v>77</v>
      </c>
      <c r="AB23" s="6" t="s">
        <v>87</v>
      </c>
      <c r="AC23" s="23" t="s">
        <v>78</v>
      </c>
      <c r="AD23" s="23"/>
      <c r="AE23" s="5"/>
      <c r="AF23" s="5"/>
      <c r="AG23" s="5"/>
      <c r="AH23" s="5"/>
      <c r="AI23" s="6" t="s">
        <v>87</v>
      </c>
    </row>
    <row r="24" spans="1:35">
      <c r="A24" s="22" t="s">
        <v>206</v>
      </c>
      <c r="B24" s="5"/>
      <c r="C24" s="6" t="s">
        <v>10</v>
      </c>
      <c r="D24" s="5" t="s">
        <v>80</v>
      </c>
      <c r="E24" s="5">
        <v>200</v>
      </c>
      <c r="F24" s="6" t="s">
        <v>10</v>
      </c>
      <c r="G24" s="5" t="s">
        <v>207</v>
      </c>
      <c r="H24" s="6" t="s">
        <v>10</v>
      </c>
      <c r="I24" s="6"/>
      <c r="J24" s="5" t="s">
        <v>208</v>
      </c>
      <c r="K24" s="6" t="s">
        <v>10</v>
      </c>
      <c r="L24" s="27"/>
      <c r="M24" s="5"/>
      <c r="N24" s="5"/>
      <c r="O24" s="6" t="s">
        <v>10</v>
      </c>
      <c r="P24" s="5" t="s">
        <v>209</v>
      </c>
      <c r="Q24" s="6" t="s">
        <v>10</v>
      </c>
      <c r="R24" s="5" t="s">
        <v>210</v>
      </c>
      <c r="S24" s="5" t="s">
        <v>208</v>
      </c>
      <c r="T24" s="5" t="s">
        <v>177</v>
      </c>
      <c r="U24" s="5" t="s">
        <v>74</v>
      </c>
      <c r="V24" s="5" t="s">
        <v>86</v>
      </c>
      <c r="W24" s="5" t="s">
        <v>211</v>
      </c>
      <c r="X24" s="5" t="s">
        <v>76</v>
      </c>
      <c r="Y24" s="5" t="s">
        <v>210</v>
      </c>
      <c r="Z24" s="5"/>
      <c r="AA24" s="26" t="s">
        <v>77</v>
      </c>
      <c r="AB24" s="6" t="s">
        <v>87</v>
      </c>
      <c r="AC24" s="23" t="s">
        <v>78</v>
      </c>
      <c r="AD24" s="23"/>
      <c r="AE24" s="5" t="s">
        <v>179</v>
      </c>
      <c r="AF24" s="5" t="s">
        <v>180</v>
      </c>
      <c r="AG24" s="5" t="s">
        <v>181</v>
      </c>
      <c r="AH24" s="5" t="s">
        <v>78</v>
      </c>
      <c r="AI24" s="6" t="s">
        <v>87</v>
      </c>
    </row>
    <row r="25" spans="1:35" hidden="1">
      <c r="A25" s="22" t="s">
        <v>212</v>
      </c>
      <c r="B25" s="5"/>
      <c r="C25" s="6" t="s">
        <v>19</v>
      </c>
      <c r="D25" s="5" t="s">
        <v>66</v>
      </c>
      <c r="E25" s="5">
        <v>404</v>
      </c>
      <c r="F25" s="6" t="s">
        <v>19</v>
      </c>
      <c r="G25" s="5" t="s">
        <v>213</v>
      </c>
      <c r="H25" s="6" t="s">
        <v>19</v>
      </c>
      <c r="I25" s="6"/>
      <c r="J25" s="5" t="s">
        <v>214</v>
      </c>
      <c r="K25" s="6" t="s">
        <v>19</v>
      </c>
      <c r="L25" s="27"/>
      <c r="M25" s="5" t="s">
        <v>215</v>
      </c>
      <c r="N25" s="5"/>
      <c r="O25" s="6" t="s">
        <v>19</v>
      </c>
      <c r="P25" s="5" t="s">
        <v>216</v>
      </c>
      <c r="Q25" s="6" t="s">
        <v>19</v>
      </c>
      <c r="R25" s="5" t="s">
        <v>217</v>
      </c>
      <c r="S25" s="5" t="s">
        <v>214</v>
      </c>
      <c r="T25" s="5" t="s">
        <v>177</v>
      </c>
      <c r="U25" s="5" t="s">
        <v>74</v>
      </c>
      <c r="V25" s="5" t="s">
        <v>218</v>
      </c>
      <c r="W25" s="5" t="s">
        <v>219</v>
      </c>
      <c r="X25" s="5" t="s">
        <v>76</v>
      </c>
      <c r="Y25" s="5" t="s">
        <v>217</v>
      </c>
      <c r="Z25" s="5"/>
      <c r="AA25" s="26" t="s">
        <v>77</v>
      </c>
      <c r="AB25" s="6" t="s">
        <v>19</v>
      </c>
      <c r="AC25" s="23" t="s">
        <v>78</v>
      </c>
      <c r="AD25" s="23"/>
      <c r="AE25" s="5" t="s">
        <v>179</v>
      </c>
      <c r="AF25" s="5" t="s">
        <v>180</v>
      </c>
      <c r="AG25" s="5" t="s">
        <v>181</v>
      </c>
      <c r="AH25" s="5" t="s">
        <v>78</v>
      </c>
      <c r="AI25" s="6" t="s">
        <v>19</v>
      </c>
    </row>
    <row r="26" spans="1:35">
      <c r="A26" s="22" t="s">
        <v>220</v>
      </c>
      <c r="B26" s="5"/>
      <c r="C26" s="6" t="s">
        <v>10</v>
      </c>
      <c r="D26" s="5" t="s">
        <v>80</v>
      </c>
      <c r="E26" s="5">
        <v>200</v>
      </c>
      <c r="F26" s="6" t="s">
        <v>10</v>
      </c>
      <c r="G26" s="5" t="s">
        <v>221</v>
      </c>
      <c r="H26" s="6" t="s">
        <v>10</v>
      </c>
      <c r="I26" s="6"/>
      <c r="J26" s="23"/>
      <c r="K26" s="6" t="s">
        <v>87</v>
      </c>
      <c r="L26" s="19" t="s">
        <v>222</v>
      </c>
      <c r="M26" s="5" t="s">
        <v>223</v>
      </c>
      <c r="N26" s="5"/>
      <c r="O26" s="6" t="s">
        <v>10</v>
      </c>
      <c r="P26" s="5" t="s">
        <v>224</v>
      </c>
      <c r="Q26" s="6" t="s">
        <v>10</v>
      </c>
      <c r="R26" s="5" t="s">
        <v>225</v>
      </c>
      <c r="S26" s="26" t="s">
        <v>72</v>
      </c>
      <c r="T26" s="5" t="s">
        <v>73</v>
      </c>
      <c r="U26" s="5" t="s">
        <v>74</v>
      </c>
      <c r="V26" s="5" t="s">
        <v>86</v>
      </c>
      <c r="W26" s="5" t="s">
        <v>224</v>
      </c>
      <c r="X26" s="5" t="s">
        <v>76</v>
      </c>
      <c r="Y26" s="5" t="s">
        <v>225</v>
      </c>
      <c r="Z26" s="5"/>
      <c r="AA26" s="26" t="s">
        <v>77</v>
      </c>
      <c r="AB26" s="6" t="s">
        <v>87</v>
      </c>
      <c r="AC26" s="23" t="s">
        <v>78</v>
      </c>
      <c r="AD26" s="23"/>
      <c r="AE26" s="5"/>
      <c r="AF26" s="5"/>
      <c r="AG26" s="5"/>
      <c r="AH26" s="5"/>
      <c r="AI26" s="6" t="s">
        <v>87</v>
      </c>
    </row>
    <row r="27" spans="1:35">
      <c r="A27" s="22" t="s">
        <v>226</v>
      </c>
      <c r="B27" s="5"/>
      <c r="C27" s="6" t="s">
        <v>10</v>
      </c>
      <c r="D27" s="5" t="s">
        <v>80</v>
      </c>
      <c r="E27" s="5">
        <v>200</v>
      </c>
      <c r="F27" s="6" t="s">
        <v>10</v>
      </c>
      <c r="G27" s="5" t="s">
        <v>74</v>
      </c>
      <c r="H27" s="6" t="s">
        <v>10</v>
      </c>
      <c r="I27" s="5"/>
      <c r="J27" s="23"/>
      <c r="K27" s="6" t="s">
        <v>10</v>
      </c>
      <c r="L27" s="19" t="s">
        <v>227</v>
      </c>
      <c r="M27" s="5" t="s">
        <v>74</v>
      </c>
      <c r="N27" s="5"/>
      <c r="O27" s="6" t="s">
        <v>10</v>
      </c>
      <c r="P27" s="5" t="s">
        <v>228</v>
      </c>
      <c r="Q27" s="6" t="s">
        <v>10</v>
      </c>
      <c r="R27" s="5" t="s">
        <v>74</v>
      </c>
      <c r="S27" s="30" t="s">
        <v>229</v>
      </c>
      <c r="T27" s="5" t="s">
        <v>73</v>
      </c>
      <c r="U27" s="5" t="s">
        <v>74</v>
      </c>
      <c r="V27" s="5" t="s">
        <v>86</v>
      </c>
      <c r="W27" s="5" t="s">
        <v>228</v>
      </c>
      <c r="X27" s="5" t="s">
        <v>76</v>
      </c>
      <c r="Y27" s="5" t="s">
        <v>74</v>
      </c>
      <c r="Z27" s="5"/>
      <c r="AA27" s="26" t="s">
        <v>77</v>
      </c>
      <c r="AB27" s="6" t="s">
        <v>87</v>
      </c>
      <c r="AC27" s="5" t="s">
        <v>100</v>
      </c>
      <c r="AD27" s="5"/>
      <c r="AE27" s="5" t="s">
        <v>230</v>
      </c>
      <c r="AF27" s="5" t="s">
        <v>231</v>
      </c>
      <c r="AG27" s="5"/>
      <c r="AH27" s="5"/>
      <c r="AI27" s="6" t="s">
        <v>10</v>
      </c>
    </row>
  </sheetData>
  <autoFilter ref="A1:AI27" xr:uid="{00000000-0001-0000-0100-000000000000}">
    <filterColumn colId="5">
      <filters>
        <filter val="Fail"/>
        <filter val="Pass"/>
      </filters>
    </filterColumn>
    <filterColumn colId="7">
      <filters>
        <filter val="Fail"/>
        <filter val="Pass"/>
      </filters>
    </filterColumn>
    <sortState xmlns:xlrd2="http://schemas.microsoft.com/office/spreadsheetml/2017/richdata2" ref="A2:AI27">
      <sortCondition descending="1" ref="A1:A27"/>
    </sortState>
  </autoFilter>
  <phoneticPr fontId="9" type="noConversion"/>
  <conditionalFormatting sqref="A1:B1048576">
    <cfRule type="containsText" dxfId="87" priority="122" operator="containsText" text="_">
      <formula>NOT(ISERROR(SEARCH("_",A1)))</formula>
    </cfRule>
  </conditionalFormatting>
  <conditionalFormatting sqref="A1:H27">
    <cfRule type="cellIs" dxfId="86" priority="54" operator="equal">
      <formula>"N/A"</formula>
    </cfRule>
  </conditionalFormatting>
  <conditionalFormatting sqref="C1:C27 H1:H27 K1:K27 O1:O27 Q1:Q27 AB1:AB2 AI1:AI2">
    <cfRule type="expression" dxfId="85" priority="125">
      <formula>LEN(TRIM(C1))=0</formula>
    </cfRule>
  </conditionalFormatting>
  <conditionalFormatting sqref="C2">
    <cfRule type="cellIs" dxfId="84" priority="22" operator="equal">
      <formula>"N/A"</formula>
    </cfRule>
  </conditionalFormatting>
  <conditionalFormatting sqref="C2:C27 H2:H27 K2:K27 O2:O27 Q2:Q27">
    <cfRule type="cellIs" dxfId="83" priority="123" operator="equal">
      <formula>"Pass"</formula>
    </cfRule>
    <cfRule type="expression" dxfId="82" priority="124">
      <formula>LEN(TRIM(C2))&gt;0</formula>
    </cfRule>
  </conditionalFormatting>
  <conditionalFormatting sqref="F1:F27">
    <cfRule type="expression" dxfId="81" priority="57">
      <formula>LEN(TRIM(F1))=0</formula>
    </cfRule>
  </conditionalFormatting>
  <conditionalFormatting sqref="F2 F5 F11 F18 F25">
    <cfRule type="cellIs" dxfId="80" priority="18" operator="equal">
      <formula>"N/A"</formula>
    </cfRule>
    <cfRule type="cellIs" dxfId="79" priority="19" operator="equal">
      <formula>"Pass"</formula>
    </cfRule>
    <cfRule type="expression" dxfId="78" priority="20">
      <formula>LEN(TRIM(F2))&gt;0</formula>
    </cfRule>
    <cfRule type="expression" dxfId="77" priority="21">
      <formula>LEN(TRIM(F2))=0</formula>
    </cfRule>
  </conditionalFormatting>
  <conditionalFormatting sqref="F2:F27">
    <cfRule type="cellIs" dxfId="76" priority="55" operator="equal">
      <formula>"Pass"</formula>
    </cfRule>
    <cfRule type="expression" dxfId="75" priority="56">
      <formula>LEN(TRIM(F2))&gt;0</formula>
    </cfRule>
  </conditionalFormatting>
  <conditionalFormatting sqref="G1:G1048576">
    <cfRule type="duplicateValues" dxfId="74" priority="126"/>
  </conditionalFormatting>
  <conditionalFormatting sqref="H2 H5 H11 H18 H25">
    <cfRule type="cellIs" dxfId="73" priority="17" operator="equal">
      <formula>"N/A"</formula>
    </cfRule>
  </conditionalFormatting>
  <conditionalFormatting sqref="J1:J1048576">
    <cfRule type="duplicateValues" dxfId="72" priority="127"/>
  </conditionalFormatting>
  <conditionalFormatting sqref="K2:K5">
    <cfRule type="cellIs" dxfId="71" priority="2" operator="equal">
      <formula>"N/A"</formula>
    </cfRule>
  </conditionalFormatting>
  <conditionalFormatting sqref="K10:K13 K18 K25:K26">
    <cfRule type="cellIs" dxfId="70" priority="15" operator="equal">
      <formula>"N/A"</formula>
    </cfRule>
  </conditionalFormatting>
  <conditionalFormatting sqref="K23">
    <cfRule type="cellIs" dxfId="69" priority="25" operator="equal">
      <formula>"N/A"</formula>
    </cfRule>
  </conditionalFormatting>
  <conditionalFormatting sqref="M1:M1048576">
    <cfRule type="duplicateValues" dxfId="68" priority="121"/>
  </conditionalFormatting>
  <conditionalFormatting sqref="M16:M17">
    <cfRule type="duplicateValues" dxfId="67" priority="38"/>
  </conditionalFormatting>
  <conditionalFormatting sqref="M21">
    <cfRule type="duplicateValues" dxfId="66" priority="37"/>
  </conditionalFormatting>
  <conditionalFormatting sqref="M2:AA27 J1:K1 M1:AI1 J2:J10 A2:A27 J4:K27 C5:C27">
    <cfRule type="cellIs" dxfId="65" priority="103" operator="equal">
      <formula>"N/A"</formula>
    </cfRule>
  </conditionalFormatting>
  <conditionalFormatting sqref="O2 O5 O11 O18 O25">
    <cfRule type="cellIs" dxfId="64" priority="14" operator="equal">
      <formula>"N/A"</formula>
    </cfRule>
  </conditionalFormatting>
  <conditionalFormatting sqref="Q2 Q5 Q11 Q18 Q25">
    <cfRule type="cellIs" dxfId="63" priority="13" operator="equal">
      <formula>"N/A"</formula>
    </cfRule>
  </conditionalFormatting>
  <conditionalFormatting sqref="R1:R1048576">
    <cfRule type="duplicateValues" dxfId="62" priority="120"/>
  </conditionalFormatting>
  <conditionalFormatting sqref="R23">
    <cfRule type="duplicateValues" dxfId="61" priority="86"/>
  </conditionalFormatting>
  <conditionalFormatting sqref="S1:S1048576">
    <cfRule type="duplicateValues" dxfId="60" priority="119"/>
  </conditionalFormatting>
  <conditionalFormatting sqref="S2:S5">
    <cfRule type="duplicateValues" dxfId="59" priority="39"/>
  </conditionalFormatting>
  <conditionalFormatting sqref="S10">
    <cfRule type="duplicateValues" dxfId="58" priority="36"/>
  </conditionalFormatting>
  <conditionalFormatting sqref="S15 S12:S13">
    <cfRule type="duplicateValues" dxfId="57" priority="35"/>
  </conditionalFormatting>
  <conditionalFormatting sqref="S23">
    <cfRule type="duplicateValues" dxfId="56" priority="34"/>
  </conditionalFormatting>
  <conditionalFormatting sqref="S26:S27">
    <cfRule type="duplicateValues" dxfId="55" priority="33"/>
  </conditionalFormatting>
  <conditionalFormatting sqref="S27">
    <cfRule type="duplicateValues" dxfId="54" priority="1"/>
  </conditionalFormatting>
  <conditionalFormatting sqref="Y1:Y1048576">
    <cfRule type="duplicateValues" dxfId="53" priority="118"/>
  </conditionalFormatting>
  <conditionalFormatting sqref="Z1:Z1048576">
    <cfRule type="duplicateValues" dxfId="52" priority="117"/>
  </conditionalFormatting>
  <conditionalFormatting sqref="AB2:AB5 AB11 AB18 AB25">
    <cfRule type="expression" dxfId="51" priority="12">
      <formula>LEN(TRIM(AB2))&gt;0</formula>
    </cfRule>
  </conditionalFormatting>
  <conditionalFormatting sqref="AB2:AB27">
    <cfRule type="cellIs" dxfId="50" priority="11" operator="equal">
      <formula>"Pass"</formula>
    </cfRule>
  </conditionalFormatting>
  <conditionalFormatting sqref="AB5 AB11 AB18 AB25">
    <cfRule type="expression" dxfId="49" priority="8">
      <formula>LEN(TRIM(AB5))=0</formula>
    </cfRule>
  </conditionalFormatting>
  <conditionalFormatting sqref="AB6:AB10 AB12:AB17 AB19:AB24 AB26:AB27 AB3:AB4">
    <cfRule type="expression" dxfId="48" priority="53">
      <formula>LEN(TRIM(AB3))=0</formula>
    </cfRule>
  </conditionalFormatting>
  <conditionalFormatting sqref="AB6:AB10 AB12:AB17 AB19:AB24 AB26:AB27">
    <cfRule type="expression" dxfId="47" priority="52">
      <formula>LEN(TRIM(AB6))&gt;0</formula>
    </cfRule>
  </conditionalFormatting>
  <conditionalFormatting sqref="AB5:AH5 AB11:AH11 AB18:AH18 AB25:AH25 AB2:AI4">
    <cfRule type="cellIs" dxfId="46" priority="9" operator="equal">
      <formula>"N/A"</formula>
    </cfRule>
  </conditionalFormatting>
  <conditionalFormatting sqref="AB6:AI10 AB12:AI17 AB19:AI24 AB26:AI27">
    <cfRule type="cellIs" dxfId="45" priority="42" operator="equal">
      <formula>"N/A"</formula>
    </cfRule>
  </conditionalFormatting>
  <conditionalFormatting sqref="AI2 AI5 AI11 AI18 AI25">
    <cfRule type="expression" dxfId="44" priority="7">
      <formula>LEN(TRIM(AI2))&gt;0</formula>
    </cfRule>
  </conditionalFormatting>
  <conditionalFormatting sqref="AI2:AI4 AI6:AI10 AI12:AI17 AI19:AI24 AI26:AI27">
    <cfRule type="expression" dxfId="43" priority="44">
      <formula>LEN(TRIM(AI2))&gt;0</formula>
    </cfRule>
  </conditionalFormatting>
  <conditionalFormatting sqref="AI2:AI4">
    <cfRule type="cellIs" dxfId="42" priority="43" operator="equal">
      <formula>"Pass"</formula>
    </cfRule>
  </conditionalFormatting>
  <conditionalFormatting sqref="AI3:AI4 AI6:AI10 AI12:AI17 AI19:AI24 AI26:AI27">
    <cfRule type="expression" dxfId="41" priority="45">
      <formula>LEN(TRIM(AI3))=0</formula>
    </cfRule>
  </conditionalFormatting>
  <conditionalFormatting sqref="AI5 AI11 AI18 AI25 AI2">
    <cfRule type="cellIs" dxfId="40" priority="4" operator="equal">
      <formula>"N/A"</formula>
    </cfRule>
  </conditionalFormatting>
  <conditionalFormatting sqref="AI5 AI11 AI18 AI25">
    <cfRule type="expression" dxfId="39" priority="3">
      <formula>LEN(TRIM(AI5))=0</formula>
    </cfRule>
  </conditionalFormatting>
  <conditionalFormatting sqref="AI5:AI27 AI2">
    <cfRule type="cellIs" dxfId="38" priority="6" operator="equal">
      <formula>"Pass"</formula>
    </cfRule>
  </conditionalFormatting>
  <hyperlinks>
    <hyperlink ref="A16" r:id="rId1" xr:uid="{07B014A7-2FA4-476E-9ADC-8FDAB91093D6}"/>
  </hyperlinks>
  <pageMargins left="0.7" right="0.7" top="0.75" bottom="0.75" header="0.511811023622047" footer="0.511811023622047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B0BA-9A64-4B30-A993-74A87D64C3E3}">
  <sheetPr>
    <tabColor theme="1" tint="0.499984740745262"/>
  </sheetPr>
  <dimension ref="A1:AI27"/>
  <sheetViews>
    <sheetView tabSelected="1" zoomScaleNormal="100" workbookViewId="0">
      <pane xSplit="1" topLeftCell="B1" activePane="topRight" state="frozen"/>
      <selection pane="topRight" activeCell="E3" sqref="E3"/>
    </sheetView>
  </sheetViews>
  <sheetFormatPr defaultColWidth="9" defaultRowHeight="16.5"/>
  <cols>
    <col min="1" max="1" width="73" style="1" customWidth="1"/>
    <col min="2" max="2" width="12.25" style="1" customWidth="1"/>
    <col min="3" max="3" width="16.75" style="1" customWidth="1"/>
    <col min="4" max="6" width="9" style="1"/>
    <col min="7" max="7" width="17.5" style="1" customWidth="1"/>
    <col min="8" max="8" width="47.125" style="1" customWidth="1"/>
    <col min="9" max="9" width="16" style="1" customWidth="1"/>
    <col min="10" max="10" width="22.375" style="1" customWidth="1"/>
    <col min="11" max="11" width="37.5" style="1" customWidth="1"/>
    <col min="12" max="12" width="16" style="1" customWidth="1"/>
    <col min="13" max="13" width="62.875" style="1" customWidth="1"/>
    <col min="14" max="14" width="29" style="1" customWidth="1"/>
    <col min="15" max="15" width="23.375" style="2" customWidth="1"/>
    <col min="16" max="16" width="9" style="1"/>
    <col min="17" max="17" width="53.125" style="1" customWidth="1"/>
    <col min="18" max="18" width="9" style="1"/>
    <col min="19" max="19" width="28.75" style="1" customWidth="1"/>
    <col min="20" max="20" width="43.125" style="1" customWidth="1"/>
    <col min="21" max="21" width="9" style="1"/>
    <col min="22" max="22" width="23" style="1" customWidth="1"/>
    <col min="23" max="23" width="32" style="1" customWidth="1"/>
    <col min="24" max="24" width="64.125" style="1" customWidth="1"/>
    <col min="25" max="25" width="9" style="1"/>
    <col min="26" max="26" width="50.75" style="1" customWidth="1"/>
    <col min="27" max="27" width="9" style="1" customWidth="1"/>
    <col min="28" max="28" width="53" style="1" customWidth="1"/>
    <col min="29" max="29" width="14.875" style="1" customWidth="1"/>
    <col min="30" max="30" width="15.375" style="1" customWidth="1"/>
    <col min="31" max="34" width="9" style="1"/>
    <col min="35" max="35" width="8.5" style="1" customWidth="1"/>
    <col min="36" max="16384" width="9" style="1"/>
  </cols>
  <sheetData>
    <row r="1" spans="1:35" s="2" customFormat="1">
      <c r="A1" s="16" t="s">
        <v>30</v>
      </c>
      <c r="B1" s="16" t="s">
        <v>31</v>
      </c>
      <c r="C1" s="4" t="s">
        <v>32</v>
      </c>
      <c r="D1" s="16" t="s">
        <v>33</v>
      </c>
      <c r="E1" s="35" t="s">
        <v>59</v>
      </c>
      <c r="F1" s="16" t="s">
        <v>34</v>
      </c>
      <c r="G1" s="4" t="s">
        <v>35</v>
      </c>
      <c r="H1" s="16" t="s">
        <v>36</v>
      </c>
      <c r="I1" s="4" t="s">
        <v>37</v>
      </c>
      <c r="J1" s="16" t="s">
        <v>38</v>
      </c>
      <c r="K1" s="16" t="s">
        <v>39</v>
      </c>
      <c r="L1" s="4" t="s">
        <v>40</v>
      </c>
      <c r="M1" s="16" t="s">
        <v>41</v>
      </c>
      <c r="N1" s="16" t="s">
        <v>42</v>
      </c>
      <c r="O1" s="16" t="s">
        <v>43</v>
      </c>
      <c r="P1" s="4" t="s">
        <v>44</v>
      </c>
      <c r="Q1" s="16" t="s">
        <v>45</v>
      </c>
      <c r="R1" s="4" t="s">
        <v>46</v>
      </c>
      <c r="S1" s="16" t="s">
        <v>47</v>
      </c>
      <c r="T1" s="16" t="s">
        <v>48</v>
      </c>
      <c r="U1" s="16" t="s">
        <v>49</v>
      </c>
      <c r="V1" s="16" t="s">
        <v>50</v>
      </c>
      <c r="W1" s="16" t="s">
        <v>51</v>
      </c>
      <c r="X1" s="16" t="s">
        <v>52</v>
      </c>
      <c r="Y1" s="16" t="s">
        <v>53</v>
      </c>
      <c r="Z1" s="16" t="s">
        <v>54</v>
      </c>
      <c r="AA1" s="16" t="s">
        <v>55</v>
      </c>
      <c r="AB1" s="16" t="s">
        <v>56</v>
      </c>
      <c r="AC1" s="4" t="s">
        <v>57</v>
      </c>
      <c r="AD1" s="16" t="s">
        <v>58</v>
      </c>
      <c r="AE1" s="16" t="s">
        <v>60</v>
      </c>
      <c r="AF1" s="16" t="s">
        <v>61</v>
      </c>
      <c r="AG1" s="16" t="s">
        <v>62</v>
      </c>
      <c r="AH1" s="16" t="s">
        <v>63</v>
      </c>
      <c r="AI1" s="4" t="s">
        <v>64</v>
      </c>
    </row>
    <row r="2" spans="1:35">
      <c r="A2" s="22" t="s">
        <v>65</v>
      </c>
      <c r="B2" s="5"/>
      <c r="C2" s="6" t="s">
        <v>10</v>
      </c>
      <c r="D2" s="5" t="s">
        <v>80</v>
      </c>
      <c r="E2" s="5" t="s">
        <v>232</v>
      </c>
      <c r="F2" s="5">
        <v>200</v>
      </c>
      <c r="G2" s="6" t="s">
        <v>10</v>
      </c>
      <c r="H2" s="5" t="s">
        <v>67</v>
      </c>
      <c r="I2" s="6" t="s">
        <v>10</v>
      </c>
      <c r="J2" s="5"/>
      <c r="K2" s="23" t="s">
        <v>68</v>
      </c>
      <c r="L2" s="6" t="s">
        <v>87</v>
      </c>
      <c r="M2" s="19" t="s">
        <v>69</v>
      </c>
      <c r="N2" s="5"/>
      <c r="O2" s="5"/>
      <c r="P2" s="6" t="s">
        <v>10</v>
      </c>
      <c r="Q2" s="5" t="s">
        <v>70</v>
      </c>
      <c r="R2" s="6" t="s">
        <v>10</v>
      </c>
      <c r="S2" s="5" t="s">
        <v>71</v>
      </c>
      <c r="T2" s="26" t="s">
        <v>72</v>
      </c>
      <c r="U2" s="5" t="s">
        <v>73</v>
      </c>
      <c r="V2" s="5" t="s">
        <v>74</v>
      </c>
      <c r="W2" s="26" t="s">
        <v>75</v>
      </c>
      <c r="X2" s="5" t="s">
        <v>70</v>
      </c>
      <c r="Y2" s="5" t="s">
        <v>76</v>
      </c>
      <c r="Z2" s="5" t="s">
        <v>71</v>
      </c>
      <c r="AA2" s="5"/>
      <c r="AB2" s="26" t="s">
        <v>77</v>
      </c>
      <c r="AC2" s="6" t="s">
        <v>87</v>
      </c>
      <c r="AD2" s="23" t="s">
        <v>78</v>
      </c>
      <c r="AE2" s="5"/>
      <c r="AF2" s="5"/>
      <c r="AG2" s="5"/>
      <c r="AH2" s="5"/>
      <c r="AI2" s="6" t="s">
        <v>87</v>
      </c>
    </row>
    <row r="3" spans="1:35">
      <c r="A3" s="22" t="s">
        <v>79</v>
      </c>
      <c r="B3" s="5"/>
      <c r="C3" s="6" t="s">
        <v>10</v>
      </c>
      <c r="D3" s="5" t="s">
        <v>80</v>
      </c>
      <c r="E3" s="5" t="s">
        <v>233</v>
      </c>
      <c r="F3" s="5">
        <v>200</v>
      </c>
      <c r="G3" s="6" t="s">
        <v>10</v>
      </c>
      <c r="H3" s="5" t="s">
        <v>81</v>
      </c>
      <c r="I3" s="6" t="s">
        <v>10</v>
      </c>
      <c r="J3" s="5"/>
      <c r="K3" s="23"/>
      <c r="L3" s="6" t="s">
        <v>87</v>
      </c>
      <c r="M3" s="19" t="s">
        <v>82</v>
      </c>
      <c r="N3" s="5" t="s">
        <v>83</v>
      </c>
      <c r="O3" s="5"/>
      <c r="P3" s="6" t="s">
        <v>10</v>
      </c>
      <c r="Q3" s="5" t="s">
        <v>84</v>
      </c>
      <c r="R3" s="6" t="s">
        <v>10</v>
      </c>
      <c r="S3" s="5" t="s">
        <v>85</v>
      </c>
      <c r="T3" s="26" t="s">
        <v>72</v>
      </c>
      <c r="U3" s="5" t="s">
        <v>73</v>
      </c>
      <c r="V3" s="5" t="s">
        <v>74</v>
      </c>
      <c r="W3" s="26" t="s">
        <v>75</v>
      </c>
      <c r="X3" s="5" t="s">
        <v>84</v>
      </c>
      <c r="Y3" s="5" t="s">
        <v>76</v>
      </c>
      <c r="Z3" s="5" t="s">
        <v>85</v>
      </c>
      <c r="AA3" s="5"/>
      <c r="AB3" s="26" t="s">
        <v>77</v>
      </c>
      <c r="AC3" s="6" t="s">
        <v>87</v>
      </c>
      <c r="AD3" s="23" t="s">
        <v>78</v>
      </c>
      <c r="AE3" s="5"/>
      <c r="AF3" s="5"/>
      <c r="AG3" s="5"/>
      <c r="AH3" s="5"/>
      <c r="AI3" s="6" t="s">
        <v>87</v>
      </c>
    </row>
    <row r="4" spans="1:35">
      <c r="A4" s="22" t="s">
        <v>88</v>
      </c>
      <c r="B4" s="5"/>
      <c r="C4" s="6" t="s">
        <v>10</v>
      </c>
      <c r="D4" s="5" t="s">
        <v>80</v>
      </c>
      <c r="E4" s="5" t="s">
        <v>233</v>
      </c>
      <c r="F4" s="5">
        <v>200</v>
      </c>
      <c r="G4" s="6" t="s">
        <v>10</v>
      </c>
      <c r="H4" s="5" t="s">
        <v>89</v>
      </c>
      <c r="I4" s="6" t="s">
        <v>10</v>
      </c>
      <c r="J4" s="5"/>
      <c r="K4" s="23"/>
      <c r="L4" s="6" t="s">
        <v>87</v>
      </c>
      <c r="M4" s="19" t="s">
        <v>90</v>
      </c>
      <c r="N4" s="5" t="s">
        <v>91</v>
      </c>
      <c r="O4" s="5"/>
      <c r="P4" s="6" t="s">
        <v>10</v>
      </c>
      <c r="Q4" s="5" t="s">
        <v>92</v>
      </c>
      <c r="R4" s="6" t="s">
        <v>10</v>
      </c>
      <c r="S4" s="5" t="s">
        <v>93</v>
      </c>
      <c r="T4" s="26" t="s">
        <v>72</v>
      </c>
      <c r="U4" s="5" t="s">
        <v>73</v>
      </c>
      <c r="V4" s="5" t="s">
        <v>74</v>
      </c>
      <c r="W4" s="26" t="s">
        <v>75</v>
      </c>
      <c r="X4" s="5" t="s">
        <v>92</v>
      </c>
      <c r="Y4" s="5" t="s">
        <v>76</v>
      </c>
      <c r="Z4" s="5" t="s">
        <v>93</v>
      </c>
      <c r="AA4" s="5"/>
      <c r="AB4" s="26" t="s">
        <v>77</v>
      </c>
      <c r="AC4" s="6" t="s">
        <v>87</v>
      </c>
      <c r="AD4" s="23" t="s">
        <v>78</v>
      </c>
      <c r="AE4" s="5"/>
      <c r="AF4" s="5"/>
      <c r="AG4" s="5"/>
      <c r="AH4" s="5"/>
      <c r="AI4" s="6" t="s">
        <v>87</v>
      </c>
    </row>
    <row r="5" spans="1:35">
      <c r="A5" s="22" t="s">
        <v>94</v>
      </c>
      <c r="B5" s="5"/>
      <c r="C5" s="6" t="s">
        <v>10</v>
      </c>
      <c r="D5" s="5" t="s">
        <v>80</v>
      </c>
      <c r="E5" s="5" t="s">
        <v>233</v>
      </c>
      <c r="F5" s="5">
        <v>200</v>
      </c>
      <c r="G5" s="6" t="s">
        <v>10</v>
      </c>
      <c r="H5" s="5" t="s">
        <v>95</v>
      </c>
      <c r="I5" s="6" t="s">
        <v>10</v>
      </c>
      <c r="J5" s="5"/>
      <c r="K5" s="23"/>
      <c r="L5" s="6" t="s">
        <v>87</v>
      </c>
      <c r="M5" s="19" t="s">
        <v>96</v>
      </c>
      <c r="N5" s="5" t="s">
        <v>97</v>
      </c>
      <c r="O5" s="5"/>
      <c r="P5" s="6" t="s">
        <v>10</v>
      </c>
      <c r="Q5" s="5" t="s">
        <v>98</v>
      </c>
      <c r="R5" s="6" t="s">
        <v>10</v>
      </c>
      <c r="S5" s="5" t="s">
        <v>99</v>
      </c>
      <c r="T5" s="26" t="s">
        <v>72</v>
      </c>
      <c r="U5" s="5" t="s">
        <v>73</v>
      </c>
      <c r="V5" s="5" t="s">
        <v>74</v>
      </c>
      <c r="W5" s="26" t="s">
        <v>75</v>
      </c>
      <c r="X5" s="5" t="s">
        <v>98</v>
      </c>
      <c r="Y5" s="5" t="s">
        <v>76</v>
      </c>
      <c r="Z5" s="5" t="s">
        <v>99</v>
      </c>
      <c r="AA5" s="5"/>
      <c r="AB5" s="26" t="s">
        <v>77</v>
      </c>
      <c r="AC5" s="6" t="s">
        <v>87</v>
      </c>
      <c r="AD5" s="23" t="s">
        <v>100</v>
      </c>
      <c r="AE5" s="5"/>
      <c r="AF5" s="5"/>
      <c r="AG5" s="5"/>
      <c r="AH5" s="5"/>
      <c r="AI5" s="6" t="s">
        <v>87</v>
      </c>
    </row>
    <row r="6" spans="1:35">
      <c r="A6" s="22" t="s">
        <v>101</v>
      </c>
      <c r="B6" s="5"/>
      <c r="C6" s="6" t="s">
        <v>19</v>
      </c>
      <c r="D6" s="23" t="s">
        <v>80</v>
      </c>
      <c r="E6" s="23" t="s">
        <v>233</v>
      </c>
      <c r="F6" s="5">
        <v>200</v>
      </c>
      <c r="G6" s="6" t="s">
        <v>87</v>
      </c>
      <c r="H6" s="5" t="s">
        <v>103</v>
      </c>
      <c r="I6" s="6" t="s">
        <v>19</v>
      </c>
      <c r="J6" s="5"/>
      <c r="K6" s="23"/>
      <c r="L6" s="6" t="s">
        <v>19</v>
      </c>
      <c r="M6" s="19"/>
      <c r="N6" s="5" t="s">
        <v>104</v>
      </c>
      <c r="O6" s="5"/>
      <c r="P6" s="6" t="s">
        <v>19</v>
      </c>
      <c r="Q6" s="5" t="s">
        <v>105</v>
      </c>
      <c r="R6" s="6" t="s">
        <v>19</v>
      </c>
      <c r="S6" s="5" t="s">
        <v>106</v>
      </c>
      <c r="T6" s="5" t="s">
        <v>74</v>
      </c>
      <c r="U6" s="5" t="s">
        <v>73</v>
      </c>
      <c r="V6" s="5" t="s">
        <v>74</v>
      </c>
      <c r="W6" s="26"/>
      <c r="X6" s="5" t="s">
        <v>105</v>
      </c>
      <c r="Y6" s="5" t="s">
        <v>76</v>
      </c>
      <c r="Z6" s="5" t="s">
        <v>106</v>
      </c>
      <c r="AA6" s="5"/>
      <c r="AB6" s="26"/>
      <c r="AC6" s="6" t="s">
        <v>19</v>
      </c>
      <c r="AD6" s="23" t="s">
        <v>78</v>
      </c>
      <c r="AE6" s="5"/>
      <c r="AF6" s="5"/>
      <c r="AG6" s="5"/>
      <c r="AH6" s="5"/>
      <c r="AI6" s="6" t="s">
        <v>19</v>
      </c>
    </row>
    <row r="7" spans="1:35">
      <c r="A7" s="22" t="s">
        <v>107</v>
      </c>
      <c r="B7" s="5"/>
      <c r="C7" s="6" t="s">
        <v>19</v>
      </c>
      <c r="D7" s="23" t="s">
        <v>80</v>
      </c>
      <c r="E7" s="23" t="s">
        <v>233</v>
      </c>
      <c r="F7" s="5">
        <v>200</v>
      </c>
      <c r="G7" s="6" t="s">
        <v>87</v>
      </c>
      <c r="H7" s="5" t="s">
        <v>108</v>
      </c>
      <c r="I7" s="6" t="s">
        <v>19</v>
      </c>
      <c r="J7" s="5"/>
      <c r="K7" s="23"/>
      <c r="L7" s="6" t="s">
        <v>19</v>
      </c>
      <c r="M7" s="19"/>
      <c r="N7" s="5" t="s">
        <v>109</v>
      </c>
      <c r="O7" s="5"/>
      <c r="P7" s="6" t="s">
        <v>19</v>
      </c>
      <c r="Q7" s="5" t="s">
        <v>110</v>
      </c>
      <c r="R7" s="6" t="s">
        <v>19</v>
      </c>
      <c r="S7" s="5" t="s">
        <v>111</v>
      </c>
      <c r="T7" s="5" t="s">
        <v>74</v>
      </c>
      <c r="U7" s="5" t="s">
        <v>73</v>
      </c>
      <c r="V7" s="5" t="s">
        <v>74</v>
      </c>
      <c r="W7" s="26"/>
      <c r="X7" s="5" t="s">
        <v>110</v>
      </c>
      <c r="Y7" s="5" t="s">
        <v>76</v>
      </c>
      <c r="Z7" s="5" t="s">
        <v>111</v>
      </c>
      <c r="AA7" s="5"/>
      <c r="AB7" s="26"/>
      <c r="AC7" s="6" t="s">
        <v>19</v>
      </c>
      <c r="AD7" s="23" t="s">
        <v>78</v>
      </c>
      <c r="AE7" s="5"/>
      <c r="AF7" s="5"/>
      <c r="AG7" s="5"/>
      <c r="AH7" s="5"/>
      <c r="AI7" s="6" t="s">
        <v>19</v>
      </c>
    </row>
    <row r="8" spans="1:35">
      <c r="A8" s="22" t="s">
        <v>112</v>
      </c>
      <c r="B8" s="5"/>
      <c r="C8" s="6" t="s">
        <v>19</v>
      </c>
      <c r="D8" s="23" t="s">
        <v>80</v>
      </c>
      <c r="E8" s="23" t="s">
        <v>233</v>
      </c>
      <c r="F8" s="5">
        <v>200</v>
      </c>
      <c r="G8" s="6" t="s">
        <v>87</v>
      </c>
      <c r="H8" s="5" t="s">
        <v>113</v>
      </c>
      <c r="I8" s="6" t="s">
        <v>19</v>
      </c>
      <c r="J8" s="5"/>
      <c r="K8" s="23"/>
      <c r="L8" s="6" t="s">
        <v>19</v>
      </c>
      <c r="M8" s="19"/>
      <c r="N8" s="5" t="s">
        <v>114</v>
      </c>
      <c r="O8" s="5"/>
      <c r="P8" s="6" t="s">
        <v>19</v>
      </c>
      <c r="Q8" s="5" t="s">
        <v>115</v>
      </c>
      <c r="R8" s="6" t="s">
        <v>19</v>
      </c>
      <c r="S8" s="5" t="s">
        <v>116</v>
      </c>
      <c r="T8" s="5" t="s">
        <v>74</v>
      </c>
      <c r="U8" s="5" t="s">
        <v>73</v>
      </c>
      <c r="V8" s="5" t="s">
        <v>74</v>
      </c>
      <c r="W8" s="26"/>
      <c r="X8" s="5" t="s">
        <v>115</v>
      </c>
      <c r="Y8" s="5" t="s">
        <v>76</v>
      </c>
      <c r="Z8" s="5" t="s">
        <v>116</v>
      </c>
      <c r="AA8" s="5"/>
      <c r="AB8" s="26"/>
      <c r="AC8" s="6" t="s">
        <v>19</v>
      </c>
      <c r="AD8" s="23" t="s">
        <v>78</v>
      </c>
      <c r="AE8" s="5"/>
      <c r="AF8" s="5"/>
      <c r="AG8" s="5"/>
      <c r="AH8" s="5"/>
      <c r="AI8" s="6" t="s">
        <v>19</v>
      </c>
    </row>
    <row r="9" spans="1:35">
      <c r="A9" s="22" t="s">
        <v>117</v>
      </c>
      <c r="B9" s="5"/>
      <c r="C9" s="6" t="s">
        <v>19</v>
      </c>
      <c r="D9" s="23" t="s">
        <v>80</v>
      </c>
      <c r="E9" s="23" t="s">
        <v>233</v>
      </c>
      <c r="F9" s="5">
        <v>200</v>
      </c>
      <c r="G9" s="6" t="s">
        <v>87</v>
      </c>
      <c r="H9" s="5" t="s">
        <v>118</v>
      </c>
      <c r="I9" s="6" t="s">
        <v>19</v>
      </c>
      <c r="J9" s="5"/>
      <c r="K9" s="23"/>
      <c r="L9" s="6" t="s">
        <v>19</v>
      </c>
      <c r="M9" s="19"/>
      <c r="N9" s="5" t="s">
        <v>119</v>
      </c>
      <c r="O9" s="5"/>
      <c r="P9" s="6" t="s">
        <v>19</v>
      </c>
      <c r="Q9" s="5" t="s">
        <v>120</v>
      </c>
      <c r="R9" s="6" t="s">
        <v>19</v>
      </c>
      <c r="S9" s="5" t="s">
        <v>121</v>
      </c>
      <c r="T9" s="5" t="s">
        <v>74</v>
      </c>
      <c r="U9" s="5" t="s">
        <v>73</v>
      </c>
      <c r="V9" s="5" t="s">
        <v>74</v>
      </c>
      <c r="W9" s="26"/>
      <c r="X9" s="5" t="s">
        <v>120</v>
      </c>
      <c r="Y9" s="5" t="s">
        <v>76</v>
      </c>
      <c r="Z9" s="5" t="s">
        <v>121</v>
      </c>
      <c r="AA9" s="5"/>
      <c r="AB9" s="26"/>
      <c r="AC9" s="6" t="s">
        <v>19</v>
      </c>
      <c r="AD9" s="23" t="s">
        <v>78</v>
      </c>
      <c r="AE9" s="5"/>
      <c r="AF9" s="5"/>
      <c r="AG9" s="5"/>
      <c r="AH9" s="5"/>
      <c r="AI9" s="6" t="s">
        <v>19</v>
      </c>
    </row>
    <row r="10" spans="1:35">
      <c r="A10" s="22" t="s">
        <v>122</v>
      </c>
      <c r="B10" s="5"/>
      <c r="C10" s="6" t="s">
        <v>10</v>
      </c>
      <c r="D10" s="5" t="s">
        <v>80</v>
      </c>
      <c r="E10" s="5" t="s">
        <v>233</v>
      </c>
      <c r="F10" s="5">
        <v>200</v>
      </c>
      <c r="G10" s="6" t="s">
        <v>10</v>
      </c>
      <c r="H10" s="5" t="s">
        <v>123</v>
      </c>
      <c r="I10" s="6" t="s">
        <v>10</v>
      </c>
      <c r="J10" s="5"/>
      <c r="K10" s="23"/>
      <c r="L10" s="6" t="s">
        <v>87</v>
      </c>
      <c r="M10" s="19" t="s">
        <v>124</v>
      </c>
      <c r="N10" s="5" t="s">
        <v>125</v>
      </c>
      <c r="O10" s="5"/>
      <c r="P10" s="6" t="s">
        <v>10</v>
      </c>
      <c r="Q10" s="5" t="s">
        <v>126</v>
      </c>
      <c r="R10" s="6" t="s">
        <v>10</v>
      </c>
      <c r="S10" s="5" t="s">
        <v>127</v>
      </c>
      <c r="T10" s="26" t="s">
        <v>72</v>
      </c>
      <c r="U10" s="5" t="s">
        <v>73</v>
      </c>
      <c r="V10" s="5" t="s">
        <v>74</v>
      </c>
      <c r="W10" s="26" t="s">
        <v>75</v>
      </c>
      <c r="X10" s="5" t="s">
        <v>126</v>
      </c>
      <c r="Y10" s="5" t="s">
        <v>76</v>
      </c>
      <c r="Z10" s="5" t="s">
        <v>127</v>
      </c>
      <c r="AA10" s="5"/>
      <c r="AB10" s="26" t="s">
        <v>77</v>
      </c>
      <c r="AC10" s="6" t="s">
        <v>87</v>
      </c>
      <c r="AD10" s="23" t="s">
        <v>78</v>
      </c>
      <c r="AE10" s="5"/>
      <c r="AF10" s="5"/>
      <c r="AG10" s="5"/>
      <c r="AH10" s="5"/>
      <c r="AI10" s="6" t="s">
        <v>87</v>
      </c>
    </row>
    <row r="11" spans="1:35">
      <c r="A11" s="22" t="s">
        <v>128</v>
      </c>
      <c r="B11" s="5"/>
      <c r="C11" s="6" t="s">
        <v>10</v>
      </c>
      <c r="D11" s="5" t="s">
        <v>80</v>
      </c>
      <c r="E11" s="5" t="s">
        <v>232</v>
      </c>
      <c r="F11" s="5">
        <v>200</v>
      </c>
      <c r="G11" s="6" t="s">
        <v>10</v>
      </c>
      <c r="H11" s="5" t="s">
        <v>129</v>
      </c>
      <c r="I11" s="6" t="s">
        <v>10</v>
      </c>
      <c r="J11" s="5"/>
      <c r="K11" s="5" t="s">
        <v>130</v>
      </c>
      <c r="L11" s="6" t="s">
        <v>10</v>
      </c>
      <c r="M11" s="27"/>
      <c r="N11" s="5"/>
      <c r="O11" s="5"/>
      <c r="P11" s="6" t="s">
        <v>10</v>
      </c>
      <c r="Q11" s="5" t="s">
        <v>131</v>
      </c>
      <c r="R11" s="6" t="s">
        <v>10</v>
      </c>
      <c r="S11" s="5" t="s">
        <v>132</v>
      </c>
      <c r="T11" s="5" t="s">
        <v>130</v>
      </c>
      <c r="U11" s="5" t="s">
        <v>73</v>
      </c>
      <c r="V11" s="5" t="s">
        <v>74</v>
      </c>
      <c r="W11" s="26" t="s">
        <v>75</v>
      </c>
      <c r="X11" s="5" t="s">
        <v>131</v>
      </c>
      <c r="Y11" s="5" t="s">
        <v>76</v>
      </c>
      <c r="Z11" s="5" t="s">
        <v>132</v>
      </c>
      <c r="AA11" s="5"/>
      <c r="AB11" s="26" t="s">
        <v>77</v>
      </c>
      <c r="AC11" s="6" t="s">
        <v>87</v>
      </c>
      <c r="AD11" s="23" t="s">
        <v>78</v>
      </c>
      <c r="AE11" s="5"/>
      <c r="AF11" s="5"/>
      <c r="AG11" s="5"/>
      <c r="AH11" s="5"/>
      <c r="AI11" s="6" t="s">
        <v>87</v>
      </c>
    </row>
    <row r="12" spans="1:35">
      <c r="A12" s="22" t="s">
        <v>133</v>
      </c>
      <c r="B12" s="5"/>
      <c r="C12" s="6" t="s">
        <v>10</v>
      </c>
      <c r="D12" s="5" t="s">
        <v>80</v>
      </c>
      <c r="E12" s="5" t="s">
        <v>233</v>
      </c>
      <c r="F12" s="5">
        <v>200</v>
      </c>
      <c r="G12" s="6" t="s">
        <v>10</v>
      </c>
      <c r="H12" s="5" t="s">
        <v>134</v>
      </c>
      <c r="I12" s="6" t="s">
        <v>10</v>
      </c>
      <c r="J12" s="5"/>
      <c r="K12" s="23"/>
      <c r="L12" s="6" t="s">
        <v>87</v>
      </c>
      <c r="M12" s="19" t="s">
        <v>135</v>
      </c>
      <c r="N12" s="5" t="s">
        <v>136</v>
      </c>
      <c r="O12" s="5"/>
      <c r="P12" s="6" t="s">
        <v>10</v>
      </c>
      <c r="Q12" s="5" t="s">
        <v>137</v>
      </c>
      <c r="R12" s="6" t="s">
        <v>10</v>
      </c>
      <c r="S12" s="5" t="s">
        <v>138</v>
      </c>
      <c r="T12" s="26" t="s">
        <v>72</v>
      </c>
      <c r="U12" s="5" t="s">
        <v>73</v>
      </c>
      <c r="V12" s="5" t="s">
        <v>74</v>
      </c>
      <c r="W12" s="26" t="s">
        <v>75</v>
      </c>
      <c r="X12" s="5" t="s">
        <v>137</v>
      </c>
      <c r="Y12" s="5" t="s">
        <v>76</v>
      </c>
      <c r="Z12" s="5" t="s">
        <v>138</v>
      </c>
      <c r="AA12" s="5"/>
      <c r="AB12" s="26" t="s">
        <v>77</v>
      </c>
      <c r="AC12" s="6" t="s">
        <v>87</v>
      </c>
      <c r="AD12" s="23" t="s">
        <v>78</v>
      </c>
      <c r="AE12" s="5"/>
      <c r="AF12" s="5"/>
      <c r="AG12" s="5"/>
      <c r="AH12" s="5"/>
      <c r="AI12" s="6" t="s">
        <v>87</v>
      </c>
    </row>
    <row r="13" spans="1:35">
      <c r="A13" s="22" t="s">
        <v>139</v>
      </c>
      <c r="B13" s="5"/>
      <c r="C13" s="6" t="s">
        <v>10</v>
      </c>
      <c r="D13" s="5" t="s">
        <v>80</v>
      </c>
      <c r="E13" s="5" t="s">
        <v>233</v>
      </c>
      <c r="F13" s="5">
        <v>200</v>
      </c>
      <c r="G13" s="6" t="s">
        <v>10</v>
      </c>
      <c r="H13" s="5" t="s">
        <v>140</v>
      </c>
      <c r="I13" s="6" t="s">
        <v>10</v>
      </c>
      <c r="J13" s="5"/>
      <c r="K13" s="23"/>
      <c r="L13" s="6" t="s">
        <v>87</v>
      </c>
      <c r="M13" s="19" t="s">
        <v>141</v>
      </c>
      <c r="N13" s="5" t="s">
        <v>142</v>
      </c>
      <c r="O13" s="5"/>
      <c r="P13" s="6" t="s">
        <v>10</v>
      </c>
      <c r="Q13" s="5" t="s">
        <v>143</v>
      </c>
      <c r="R13" s="6" t="s">
        <v>10</v>
      </c>
      <c r="S13" s="5" t="s">
        <v>144</v>
      </c>
      <c r="T13" s="26" t="s">
        <v>72</v>
      </c>
      <c r="U13" s="5" t="s">
        <v>73</v>
      </c>
      <c r="V13" s="5" t="s">
        <v>74</v>
      </c>
      <c r="W13" s="26" t="s">
        <v>75</v>
      </c>
      <c r="X13" s="5" t="s">
        <v>143</v>
      </c>
      <c r="Y13" s="5" t="s">
        <v>76</v>
      </c>
      <c r="Z13" s="5" t="s">
        <v>144</v>
      </c>
      <c r="AA13" s="5"/>
      <c r="AB13" s="26" t="s">
        <v>77</v>
      </c>
      <c r="AC13" s="6" t="s">
        <v>87</v>
      </c>
      <c r="AD13" s="23" t="s">
        <v>78</v>
      </c>
      <c r="AE13" s="5"/>
      <c r="AF13" s="5"/>
      <c r="AG13" s="5"/>
      <c r="AH13" s="5"/>
      <c r="AI13" s="6" t="s">
        <v>87</v>
      </c>
    </row>
    <row r="14" spans="1:35">
      <c r="A14" s="22" t="s">
        <v>145</v>
      </c>
      <c r="B14" s="5"/>
      <c r="C14" s="6" t="s">
        <v>19</v>
      </c>
      <c r="D14" s="23" t="s">
        <v>80</v>
      </c>
      <c r="E14" s="23" t="s">
        <v>233</v>
      </c>
      <c r="F14" s="5">
        <v>200</v>
      </c>
      <c r="G14" s="6" t="s">
        <v>87</v>
      </c>
      <c r="H14" s="5" t="s">
        <v>146</v>
      </c>
      <c r="I14" s="6" t="s">
        <v>19</v>
      </c>
      <c r="J14" s="5"/>
      <c r="K14" s="5"/>
      <c r="L14" s="6" t="s">
        <v>19</v>
      </c>
      <c r="M14" s="19"/>
      <c r="N14" s="5" t="s">
        <v>147</v>
      </c>
      <c r="O14" s="5"/>
      <c r="P14" s="6" t="s">
        <v>19</v>
      </c>
      <c r="Q14" s="5" t="s">
        <v>148</v>
      </c>
      <c r="R14" s="6" t="s">
        <v>19</v>
      </c>
      <c r="S14" s="5" t="s">
        <v>149</v>
      </c>
      <c r="T14" s="5" t="s">
        <v>74</v>
      </c>
      <c r="U14" s="5" t="s">
        <v>73</v>
      </c>
      <c r="V14" s="5" t="s">
        <v>74</v>
      </c>
      <c r="W14" s="26"/>
      <c r="X14" s="5" t="s">
        <v>148</v>
      </c>
      <c r="Y14" s="5" t="s">
        <v>76</v>
      </c>
      <c r="Z14" s="5" t="s">
        <v>149</v>
      </c>
      <c r="AA14" s="5"/>
      <c r="AB14" s="26"/>
      <c r="AC14" s="6" t="s">
        <v>19</v>
      </c>
      <c r="AD14" s="23" t="s">
        <v>78</v>
      </c>
      <c r="AE14" s="5"/>
      <c r="AF14" s="5"/>
      <c r="AG14" s="5"/>
      <c r="AH14" s="5"/>
      <c r="AI14" s="6" t="s">
        <v>19</v>
      </c>
    </row>
    <row r="15" spans="1:35">
      <c r="A15" s="22" t="s">
        <v>150</v>
      </c>
      <c r="B15" s="5"/>
      <c r="C15" s="6" t="s">
        <v>10</v>
      </c>
      <c r="D15" s="5" t="s">
        <v>80</v>
      </c>
      <c r="E15" s="5" t="s">
        <v>233</v>
      </c>
      <c r="F15" s="5">
        <v>200</v>
      </c>
      <c r="G15" s="6" t="s">
        <v>10</v>
      </c>
      <c r="H15" s="5" t="s">
        <v>151</v>
      </c>
      <c r="I15" s="6" t="s">
        <v>10</v>
      </c>
      <c r="J15" s="5"/>
      <c r="K15" s="23"/>
      <c r="L15" s="6" t="s">
        <v>87</v>
      </c>
      <c r="M15" s="19" t="s">
        <v>152</v>
      </c>
      <c r="N15" s="5" t="s">
        <v>153</v>
      </c>
      <c r="O15" s="5"/>
      <c r="P15" s="6" t="s">
        <v>10</v>
      </c>
      <c r="Q15" s="5" t="s">
        <v>154</v>
      </c>
      <c r="R15" s="6" t="s">
        <v>10</v>
      </c>
      <c r="S15" s="5" t="s">
        <v>155</v>
      </c>
      <c r="T15" s="26" t="s">
        <v>72</v>
      </c>
      <c r="U15" s="5" t="s">
        <v>73</v>
      </c>
      <c r="V15" s="5" t="s">
        <v>74</v>
      </c>
      <c r="W15" s="26" t="s">
        <v>75</v>
      </c>
      <c r="X15" s="5" t="s">
        <v>154</v>
      </c>
      <c r="Y15" s="5" t="s">
        <v>76</v>
      </c>
      <c r="Z15" s="5" t="s">
        <v>155</v>
      </c>
      <c r="AA15" s="5"/>
      <c r="AB15" s="26" t="s">
        <v>77</v>
      </c>
      <c r="AC15" s="6" t="s">
        <v>87</v>
      </c>
      <c r="AD15" s="23" t="s">
        <v>100</v>
      </c>
      <c r="AE15" s="5"/>
      <c r="AF15" s="5"/>
      <c r="AG15" s="5"/>
      <c r="AH15" s="5"/>
      <c r="AI15" s="6" t="s">
        <v>87</v>
      </c>
    </row>
    <row r="16" spans="1:35">
      <c r="A16" s="22" t="s">
        <v>156</v>
      </c>
      <c r="B16" s="5"/>
      <c r="C16" s="6" t="s">
        <v>10</v>
      </c>
      <c r="D16" s="5" t="s">
        <v>80</v>
      </c>
      <c r="E16" s="5" t="s">
        <v>233</v>
      </c>
      <c r="F16" s="5">
        <v>200</v>
      </c>
      <c r="G16" s="6" t="s">
        <v>10</v>
      </c>
      <c r="H16" s="5" t="s">
        <v>157</v>
      </c>
      <c r="I16" s="6" t="s">
        <v>10</v>
      </c>
      <c r="J16" s="5"/>
      <c r="K16" s="5" t="s">
        <v>158</v>
      </c>
      <c r="L16" s="6" t="s">
        <v>10</v>
      </c>
      <c r="M16" s="27"/>
      <c r="N16" s="26" t="s">
        <v>159</v>
      </c>
      <c r="O16" s="5" t="s">
        <v>160</v>
      </c>
      <c r="P16" s="6" t="s">
        <v>87</v>
      </c>
      <c r="Q16" s="5" t="s">
        <v>161</v>
      </c>
      <c r="R16" s="6" t="s">
        <v>10</v>
      </c>
      <c r="S16" s="5" t="s">
        <v>162</v>
      </c>
      <c r="T16" s="5" t="s">
        <v>158</v>
      </c>
      <c r="U16" s="5" t="s">
        <v>73</v>
      </c>
      <c r="V16" s="5" t="s">
        <v>74</v>
      </c>
      <c r="W16" s="26" t="s">
        <v>75</v>
      </c>
      <c r="X16" s="5" t="s">
        <v>161</v>
      </c>
      <c r="Y16" s="5" t="s">
        <v>76</v>
      </c>
      <c r="Z16" s="5" t="s">
        <v>162</v>
      </c>
      <c r="AA16" s="5"/>
      <c r="AB16" s="26" t="s">
        <v>77</v>
      </c>
      <c r="AC16" s="6" t="s">
        <v>87</v>
      </c>
      <c r="AD16" s="23" t="s">
        <v>100</v>
      </c>
      <c r="AE16" s="5"/>
      <c r="AF16" s="5"/>
      <c r="AG16" s="5"/>
      <c r="AH16" s="5"/>
      <c r="AI16" s="6" t="s">
        <v>87</v>
      </c>
    </row>
    <row r="17" spans="1:35">
      <c r="A17" s="22" t="s">
        <v>163</v>
      </c>
      <c r="B17" s="5"/>
      <c r="C17" s="6" t="s">
        <v>10</v>
      </c>
      <c r="D17" s="5" t="s">
        <v>80</v>
      </c>
      <c r="E17" s="5" t="s">
        <v>233</v>
      </c>
      <c r="F17" s="5">
        <v>200</v>
      </c>
      <c r="G17" s="6" t="s">
        <v>10</v>
      </c>
      <c r="H17" s="5" t="s">
        <v>164</v>
      </c>
      <c r="I17" s="6" t="s">
        <v>10</v>
      </c>
      <c r="J17" s="5"/>
      <c r="K17" s="5" t="s">
        <v>165</v>
      </c>
      <c r="L17" s="6" t="s">
        <v>10</v>
      </c>
      <c r="M17" s="27"/>
      <c r="N17" s="26" t="s">
        <v>164</v>
      </c>
      <c r="O17" s="5" t="s">
        <v>166</v>
      </c>
      <c r="P17" s="6" t="s">
        <v>87</v>
      </c>
      <c r="Q17" s="5" t="s">
        <v>167</v>
      </c>
      <c r="R17" s="6" t="s">
        <v>10</v>
      </c>
      <c r="S17" s="5" t="s">
        <v>164</v>
      </c>
      <c r="T17" s="5" t="s">
        <v>165</v>
      </c>
      <c r="U17" s="5" t="s">
        <v>73</v>
      </c>
      <c r="V17" s="5" t="s">
        <v>74</v>
      </c>
      <c r="W17" s="26" t="s">
        <v>75</v>
      </c>
      <c r="X17" s="5" t="s">
        <v>167</v>
      </c>
      <c r="Y17" s="5" t="s">
        <v>76</v>
      </c>
      <c r="Z17" s="5" t="s">
        <v>164</v>
      </c>
      <c r="AA17" s="5"/>
      <c r="AB17" s="26" t="s">
        <v>77</v>
      </c>
      <c r="AC17" s="6" t="s">
        <v>87</v>
      </c>
      <c r="AD17" s="23" t="s">
        <v>78</v>
      </c>
      <c r="AE17" s="5"/>
      <c r="AF17" s="5"/>
      <c r="AG17" s="5"/>
      <c r="AH17" s="5"/>
      <c r="AI17" s="6" t="s">
        <v>87</v>
      </c>
    </row>
    <row r="18" spans="1:35">
      <c r="A18" s="22" t="s">
        <v>168</v>
      </c>
      <c r="B18" s="5"/>
      <c r="C18" s="6" t="s">
        <v>19</v>
      </c>
      <c r="D18" s="23" t="s">
        <v>80</v>
      </c>
      <c r="E18" s="23" t="s">
        <v>232</v>
      </c>
      <c r="F18" s="5">
        <v>200</v>
      </c>
      <c r="G18" s="6" t="s">
        <v>87</v>
      </c>
      <c r="H18" s="5" t="s">
        <v>169</v>
      </c>
      <c r="I18" s="6" t="s">
        <v>19</v>
      </c>
      <c r="J18" s="5"/>
      <c r="K18" s="5"/>
      <c r="L18" s="6" t="s">
        <v>19</v>
      </c>
      <c r="M18" s="19"/>
      <c r="N18" s="5"/>
      <c r="O18" s="5"/>
      <c r="P18" s="6" t="s">
        <v>19</v>
      </c>
      <c r="Q18" s="5" t="s">
        <v>170</v>
      </c>
      <c r="R18" s="6" t="s">
        <v>19</v>
      </c>
      <c r="S18" s="5" t="s">
        <v>171</v>
      </c>
      <c r="T18" s="5" t="s">
        <v>74</v>
      </c>
      <c r="U18" s="5" t="s">
        <v>73</v>
      </c>
      <c r="V18" s="5" t="s">
        <v>74</v>
      </c>
      <c r="W18" s="23"/>
      <c r="X18" s="5" t="s">
        <v>170</v>
      </c>
      <c r="Y18" s="5" t="s">
        <v>76</v>
      </c>
      <c r="Z18" s="5" t="s">
        <v>171</v>
      </c>
      <c r="AA18" s="5"/>
      <c r="AB18" s="26"/>
      <c r="AC18" s="6" t="s">
        <v>19</v>
      </c>
      <c r="AD18" s="23" t="s">
        <v>78</v>
      </c>
      <c r="AE18" s="5"/>
      <c r="AF18" s="5"/>
      <c r="AG18" s="5"/>
      <c r="AH18" s="5"/>
      <c r="AI18" s="6" t="s">
        <v>19</v>
      </c>
    </row>
    <row r="19" spans="1:35">
      <c r="A19" s="22" t="s">
        <v>172</v>
      </c>
      <c r="B19" s="5"/>
      <c r="C19" s="6" t="s">
        <v>10</v>
      </c>
      <c r="D19" s="5" t="s">
        <v>80</v>
      </c>
      <c r="E19" s="5" t="s">
        <v>233</v>
      </c>
      <c r="F19" s="5">
        <v>200</v>
      </c>
      <c r="G19" s="6" t="s">
        <v>10</v>
      </c>
      <c r="H19" s="5" t="s">
        <v>173</v>
      </c>
      <c r="I19" s="6" t="s">
        <v>10</v>
      </c>
      <c r="J19" s="6"/>
      <c r="K19" s="5" t="s">
        <v>174</v>
      </c>
      <c r="L19" s="6" t="s">
        <v>10</v>
      </c>
      <c r="M19" s="27"/>
      <c r="N19" s="5"/>
      <c r="O19" s="5"/>
      <c r="P19" s="6" t="s">
        <v>10</v>
      </c>
      <c r="Q19" s="5" t="s">
        <v>175</v>
      </c>
      <c r="R19" s="6" t="s">
        <v>10</v>
      </c>
      <c r="S19" s="5" t="s">
        <v>176</v>
      </c>
      <c r="T19" s="5" t="s">
        <v>174</v>
      </c>
      <c r="U19" s="5" t="s">
        <v>177</v>
      </c>
      <c r="V19" s="5" t="s">
        <v>74</v>
      </c>
      <c r="W19" s="5" t="s">
        <v>86</v>
      </c>
      <c r="X19" s="5" t="s">
        <v>178</v>
      </c>
      <c r="Y19" s="5" t="s">
        <v>76</v>
      </c>
      <c r="Z19" s="5" t="s">
        <v>176</v>
      </c>
      <c r="AA19" s="5"/>
      <c r="AB19" s="26" t="s">
        <v>77</v>
      </c>
      <c r="AC19" s="6" t="s">
        <v>87</v>
      </c>
      <c r="AD19" s="23" t="s">
        <v>78</v>
      </c>
      <c r="AE19" s="5" t="s">
        <v>179</v>
      </c>
      <c r="AF19" s="5" t="s">
        <v>180</v>
      </c>
      <c r="AG19" s="5" t="s">
        <v>181</v>
      </c>
      <c r="AH19" s="5" t="s">
        <v>78</v>
      </c>
      <c r="AI19" s="6" t="s">
        <v>87</v>
      </c>
    </row>
    <row r="20" spans="1:35">
      <c r="A20" s="22" t="s">
        <v>182</v>
      </c>
      <c r="B20" s="5"/>
      <c r="C20" s="6" t="s">
        <v>10</v>
      </c>
      <c r="D20" s="5" t="s">
        <v>80</v>
      </c>
      <c r="E20" s="5" t="s">
        <v>233</v>
      </c>
      <c r="F20" s="5">
        <v>200</v>
      </c>
      <c r="G20" s="6" t="s">
        <v>10</v>
      </c>
      <c r="H20" s="5" t="s">
        <v>183</v>
      </c>
      <c r="I20" s="6" t="s">
        <v>10</v>
      </c>
      <c r="J20" s="6"/>
      <c r="K20" s="5" t="s">
        <v>184</v>
      </c>
      <c r="L20" s="6" t="s">
        <v>10</v>
      </c>
      <c r="M20" s="27"/>
      <c r="N20" s="5" t="s">
        <v>185</v>
      </c>
      <c r="O20" s="5"/>
      <c r="P20" s="6" t="s">
        <v>10</v>
      </c>
      <c r="Q20" s="5" t="s">
        <v>186</v>
      </c>
      <c r="R20" s="6" t="s">
        <v>10</v>
      </c>
      <c r="S20" s="5" t="s">
        <v>183</v>
      </c>
      <c r="T20" s="5" t="s">
        <v>184</v>
      </c>
      <c r="U20" s="5" t="s">
        <v>177</v>
      </c>
      <c r="V20" s="5" t="s">
        <v>74</v>
      </c>
      <c r="W20" s="5" t="s">
        <v>234</v>
      </c>
      <c r="X20" s="5" t="s">
        <v>186</v>
      </c>
      <c r="Y20" s="5" t="s">
        <v>76</v>
      </c>
      <c r="Z20" s="5" t="s">
        <v>183</v>
      </c>
      <c r="AA20" s="5"/>
      <c r="AB20" s="26" t="s">
        <v>77</v>
      </c>
      <c r="AC20" s="6" t="s">
        <v>87</v>
      </c>
      <c r="AD20" s="23" t="s">
        <v>78</v>
      </c>
      <c r="AE20" s="5" t="s">
        <v>179</v>
      </c>
      <c r="AF20" s="5" t="s">
        <v>180</v>
      </c>
      <c r="AG20" s="5" t="s">
        <v>181</v>
      </c>
      <c r="AH20" s="5" t="s">
        <v>78</v>
      </c>
      <c r="AI20" s="6" t="s">
        <v>87</v>
      </c>
    </row>
    <row r="21" spans="1:35">
      <c r="A21" s="22" t="s">
        <v>187</v>
      </c>
      <c r="B21" s="5"/>
      <c r="C21" s="6" t="s">
        <v>10</v>
      </c>
      <c r="D21" s="5" t="s">
        <v>80</v>
      </c>
      <c r="E21" s="5" t="s">
        <v>233</v>
      </c>
      <c r="F21" s="5">
        <v>200</v>
      </c>
      <c r="G21" s="6" t="s">
        <v>10</v>
      </c>
      <c r="H21" s="5" t="s">
        <v>188</v>
      </c>
      <c r="I21" s="6" t="s">
        <v>87</v>
      </c>
      <c r="J21" s="19" t="s">
        <v>189</v>
      </c>
      <c r="K21" s="5" t="s">
        <v>190</v>
      </c>
      <c r="L21" s="6" t="s">
        <v>10</v>
      </c>
      <c r="M21" s="27"/>
      <c r="N21" s="26" t="s">
        <v>191</v>
      </c>
      <c r="O21" s="5" t="s">
        <v>192</v>
      </c>
      <c r="P21" s="6" t="s">
        <v>87</v>
      </c>
      <c r="Q21" s="5" t="s">
        <v>193</v>
      </c>
      <c r="R21" s="6" t="s">
        <v>10</v>
      </c>
      <c r="S21" s="5" t="s">
        <v>188</v>
      </c>
      <c r="T21" s="5" t="s">
        <v>190</v>
      </c>
      <c r="U21" s="5" t="s">
        <v>177</v>
      </c>
      <c r="V21" s="5" t="s">
        <v>74</v>
      </c>
      <c r="W21" s="5" t="s">
        <v>235</v>
      </c>
      <c r="X21" s="5" t="s">
        <v>193</v>
      </c>
      <c r="Y21" s="5" t="s">
        <v>76</v>
      </c>
      <c r="Z21" s="5" t="s">
        <v>188</v>
      </c>
      <c r="AA21" s="5"/>
      <c r="AB21" s="26" t="s">
        <v>77</v>
      </c>
      <c r="AC21" s="6" t="s">
        <v>87</v>
      </c>
      <c r="AD21" s="23" t="s">
        <v>78</v>
      </c>
      <c r="AE21" s="5" t="s">
        <v>179</v>
      </c>
      <c r="AF21" s="5" t="s">
        <v>180</v>
      </c>
      <c r="AG21" s="5" t="s">
        <v>181</v>
      </c>
      <c r="AH21" s="5" t="s">
        <v>78</v>
      </c>
      <c r="AI21" s="6" t="s">
        <v>87</v>
      </c>
    </row>
    <row r="22" spans="1:35" ht="18" customHeight="1">
      <c r="A22" s="22" t="s">
        <v>194</v>
      </c>
      <c r="B22" s="5"/>
      <c r="C22" s="6" t="s">
        <v>10</v>
      </c>
      <c r="D22" s="5" t="s">
        <v>80</v>
      </c>
      <c r="E22" s="5" t="s">
        <v>233</v>
      </c>
      <c r="F22" s="5">
        <v>200</v>
      </c>
      <c r="G22" s="6" t="s">
        <v>10</v>
      </c>
      <c r="H22" s="5" t="s">
        <v>195</v>
      </c>
      <c r="I22" s="6" t="s">
        <v>10</v>
      </c>
      <c r="J22" s="6"/>
      <c r="K22" s="5" t="s">
        <v>196</v>
      </c>
      <c r="L22" s="6" t="s">
        <v>10</v>
      </c>
      <c r="M22" s="27"/>
      <c r="N22" s="5" t="s">
        <v>197</v>
      </c>
      <c r="O22" s="5"/>
      <c r="P22" s="6" t="s">
        <v>10</v>
      </c>
      <c r="Q22" s="5" t="s">
        <v>198</v>
      </c>
      <c r="R22" s="6" t="s">
        <v>10</v>
      </c>
      <c r="S22" s="5" t="s">
        <v>199</v>
      </c>
      <c r="T22" s="5" t="s">
        <v>196</v>
      </c>
      <c r="U22" s="5" t="s">
        <v>73</v>
      </c>
      <c r="V22" s="5" t="s">
        <v>74</v>
      </c>
      <c r="W22" s="26" t="s">
        <v>75</v>
      </c>
      <c r="X22" s="5" t="s">
        <v>198</v>
      </c>
      <c r="Y22" s="5" t="s">
        <v>76</v>
      </c>
      <c r="Z22" s="5" t="s">
        <v>199</v>
      </c>
      <c r="AA22" s="5"/>
      <c r="AB22" s="26" t="s">
        <v>77</v>
      </c>
      <c r="AC22" s="6" t="s">
        <v>87</v>
      </c>
      <c r="AD22" s="23" t="s">
        <v>78</v>
      </c>
      <c r="AE22" s="5"/>
      <c r="AF22" s="5"/>
      <c r="AG22" s="5"/>
      <c r="AH22" s="5"/>
      <c r="AI22" s="6" t="s">
        <v>87</v>
      </c>
    </row>
    <row r="23" spans="1:35">
      <c r="A23" s="22" t="s">
        <v>200</v>
      </c>
      <c r="B23" s="5"/>
      <c r="C23" s="6" t="s">
        <v>10</v>
      </c>
      <c r="D23" s="5" t="s">
        <v>80</v>
      </c>
      <c r="E23" s="5" t="s">
        <v>233</v>
      </c>
      <c r="F23" s="5">
        <v>200</v>
      </c>
      <c r="G23" s="6" t="s">
        <v>10</v>
      </c>
      <c r="H23" s="5" t="s">
        <v>201</v>
      </c>
      <c r="I23" s="6" t="s">
        <v>10</v>
      </c>
      <c r="J23" s="5"/>
      <c r="K23" s="23"/>
      <c r="L23" s="6" t="s">
        <v>87</v>
      </c>
      <c r="M23" s="19" t="s">
        <v>236</v>
      </c>
      <c r="N23" s="5" t="s">
        <v>203</v>
      </c>
      <c r="O23" s="5"/>
      <c r="P23" s="6" t="s">
        <v>10</v>
      </c>
      <c r="Q23" s="5" t="s">
        <v>204</v>
      </c>
      <c r="R23" s="6" t="s">
        <v>10</v>
      </c>
      <c r="S23" s="5" t="s">
        <v>205</v>
      </c>
      <c r="T23" s="26" t="s">
        <v>72</v>
      </c>
      <c r="U23" s="5" t="s">
        <v>73</v>
      </c>
      <c r="V23" s="5" t="s">
        <v>74</v>
      </c>
      <c r="W23" s="26" t="s">
        <v>75</v>
      </c>
      <c r="X23" s="5" t="s">
        <v>204</v>
      </c>
      <c r="Y23" s="5" t="s">
        <v>76</v>
      </c>
      <c r="Z23" s="5" t="s">
        <v>205</v>
      </c>
      <c r="AA23" s="5"/>
      <c r="AB23" s="26" t="s">
        <v>77</v>
      </c>
      <c r="AC23" s="6" t="s">
        <v>87</v>
      </c>
      <c r="AD23" s="23" t="s">
        <v>78</v>
      </c>
      <c r="AE23" s="5"/>
      <c r="AF23" s="5"/>
      <c r="AG23" s="5"/>
      <c r="AH23" s="5"/>
      <c r="AI23" s="6" t="s">
        <v>87</v>
      </c>
    </row>
    <row r="24" spans="1:35">
      <c r="A24" s="22" t="s">
        <v>206</v>
      </c>
      <c r="B24" s="5"/>
      <c r="C24" s="6" t="s">
        <v>10</v>
      </c>
      <c r="D24" s="5" t="s">
        <v>80</v>
      </c>
      <c r="E24" s="5" t="s">
        <v>233</v>
      </c>
      <c r="F24" s="5">
        <v>200</v>
      </c>
      <c r="G24" s="6" t="s">
        <v>10</v>
      </c>
      <c r="H24" s="5" t="s">
        <v>207</v>
      </c>
      <c r="I24" s="6" t="s">
        <v>10</v>
      </c>
      <c r="J24" s="6"/>
      <c r="K24" s="5" t="s">
        <v>208</v>
      </c>
      <c r="L24" s="6" t="s">
        <v>10</v>
      </c>
      <c r="M24" s="27"/>
      <c r="N24" s="5"/>
      <c r="O24" s="5"/>
      <c r="P24" s="6" t="s">
        <v>10</v>
      </c>
      <c r="Q24" s="5" t="s">
        <v>209</v>
      </c>
      <c r="R24" s="6" t="s">
        <v>10</v>
      </c>
      <c r="S24" s="5" t="s">
        <v>210</v>
      </c>
      <c r="T24" s="5" t="s">
        <v>208</v>
      </c>
      <c r="U24" s="5" t="s">
        <v>177</v>
      </c>
      <c r="V24" s="5" t="s">
        <v>74</v>
      </c>
      <c r="W24" s="5"/>
      <c r="X24" s="5" t="s">
        <v>211</v>
      </c>
      <c r="Y24" s="5" t="s">
        <v>76</v>
      </c>
      <c r="Z24" s="5" t="s">
        <v>210</v>
      </c>
      <c r="AA24" s="5"/>
      <c r="AB24" s="26" t="s">
        <v>77</v>
      </c>
      <c r="AC24" s="6" t="s">
        <v>87</v>
      </c>
      <c r="AD24" s="23" t="s">
        <v>78</v>
      </c>
      <c r="AE24" s="5" t="s">
        <v>179</v>
      </c>
      <c r="AF24" s="5" t="s">
        <v>180</v>
      </c>
      <c r="AG24" s="5" t="s">
        <v>181</v>
      </c>
      <c r="AH24" s="5" t="s">
        <v>78</v>
      </c>
      <c r="AI24" s="6" t="s">
        <v>87</v>
      </c>
    </row>
    <row r="25" spans="1:35">
      <c r="A25" s="22" t="s">
        <v>212</v>
      </c>
      <c r="B25" s="5"/>
      <c r="C25" s="6" t="s">
        <v>10</v>
      </c>
      <c r="D25" s="5" t="s">
        <v>80</v>
      </c>
      <c r="E25" s="5" t="s">
        <v>233</v>
      </c>
      <c r="F25" s="5">
        <v>200</v>
      </c>
      <c r="G25" s="6" t="s">
        <v>10</v>
      </c>
      <c r="H25" s="5" t="s">
        <v>213</v>
      </c>
      <c r="I25" s="6" t="s">
        <v>10</v>
      </c>
      <c r="J25" s="6"/>
      <c r="K25" s="5" t="s">
        <v>214</v>
      </c>
      <c r="L25" s="6" t="s">
        <v>10</v>
      </c>
      <c r="M25" s="27"/>
      <c r="N25" s="5" t="s">
        <v>215</v>
      </c>
      <c r="O25" s="5"/>
      <c r="P25" s="6" t="s">
        <v>10</v>
      </c>
      <c r="Q25" s="5" t="s">
        <v>216</v>
      </c>
      <c r="R25" s="6" t="s">
        <v>10</v>
      </c>
      <c r="S25" s="5" t="s">
        <v>217</v>
      </c>
      <c r="T25" s="5" t="s">
        <v>214</v>
      </c>
      <c r="U25" s="5" t="s">
        <v>177</v>
      </c>
      <c r="V25" s="5" t="s">
        <v>74</v>
      </c>
      <c r="W25" s="5" t="s">
        <v>218</v>
      </c>
      <c r="X25" s="5" t="s">
        <v>219</v>
      </c>
      <c r="Y25" s="5" t="s">
        <v>76</v>
      </c>
      <c r="Z25" s="5" t="s">
        <v>217</v>
      </c>
      <c r="AA25" s="5"/>
      <c r="AB25" s="26" t="s">
        <v>77</v>
      </c>
      <c r="AC25" s="6" t="s">
        <v>87</v>
      </c>
      <c r="AD25" s="23" t="s">
        <v>78</v>
      </c>
      <c r="AE25" s="5" t="s">
        <v>179</v>
      </c>
      <c r="AF25" s="5" t="s">
        <v>180</v>
      </c>
      <c r="AG25" s="5" t="s">
        <v>181</v>
      </c>
      <c r="AH25" s="5" t="s">
        <v>78</v>
      </c>
      <c r="AI25" s="6" t="s">
        <v>87</v>
      </c>
    </row>
    <row r="26" spans="1:35">
      <c r="A26" s="22" t="s">
        <v>220</v>
      </c>
      <c r="B26" s="5"/>
      <c r="C26" s="6" t="s">
        <v>10</v>
      </c>
      <c r="D26" s="5" t="s">
        <v>80</v>
      </c>
      <c r="E26" s="5" t="s">
        <v>233</v>
      </c>
      <c r="F26" s="5">
        <v>200</v>
      </c>
      <c r="G26" s="6" t="s">
        <v>10</v>
      </c>
      <c r="H26" s="5" t="s">
        <v>221</v>
      </c>
      <c r="I26" s="6" t="s">
        <v>10</v>
      </c>
      <c r="J26" s="6"/>
      <c r="K26" s="23"/>
      <c r="L26" s="6" t="s">
        <v>87</v>
      </c>
      <c r="M26" s="19" t="s">
        <v>222</v>
      </c>
      <c r="N26" s="5" t="s">
        <v>223</v>
      </c>
      <c r="O26" s="5"/>
      <c r="P26" s="6" t="s">
        <v>10</v>
      </c>
      <c r="Q26" s="5" t="s">
        <v>224</v>
      </c>
      <c r="R26" s="6" t="s">
        <v>10</v>
      </c>
      <c r="S26" s="5" t="s">
        <v>225</v>
      </c>
      <c r="T26" s="26" t="s">
        <v>72</v>
      </c>
      <c r="U26" s="5" t="s">
        <v>73</v>
      </c>
      <c r="V26" s="5" t="s">
        <v>74</v>
      </c>
      <c r="W26" s="26" t="s">
        <v>75</v>
      </c>
      <c r="X26" s="5" t="s">
        <v>224</v>
      </c>
      <c r="Y26" s="5" t="s">
        <v>76</v>
      </c>
      <c r="Z26" s="5" t="s">
        <v>225</v>
      </c>
      <c r="AA26" s="5"/>
      <c r="AB26" s="26" t="s">
        <v>77</v>
      </c>
      <c r="AC26" s="6" t="s">
        <v>87</v>
      </c>
      <c r="AD26" s="23" t="s">
        <v>78</v>
      </c>
      <c r="AE26" s="5"/>
      <c r="AF26" s="5"/>
      <c r="AG26" s="5"/>
      <c r="AH26" s="5"/>
      <c r="AI26" s="6" t="s">
        <v>87</v>
      </c>
    </row>
    <row r="27" spans="1:35">
      <c r="A27" s="22" t="s">
        <v>226</v>
      </c>
      <c r="B27" s="5"/>
      <c r="C27" s="6" t="s">
        <v>10</v>
      </c>
      <c r="D27" s="5" t="s">
        <v>80</v>
      </c>
      <c r="E27" s="5" t="s">
        <v>233</v>
      </c>
      <c r="F27" s="5">
        <v>200</v>
      </c>
      <c r="G27" s="6" t="s">
        <v>10</v>
      </c>
      <c r="H27" s="5" t="s">
        <v>74</v>
      </c>
      <c r="I27" s="6" t="s">
        <v>10</v>
      </c>
      <c r="J27" s="5"/>
      <c r="K27" s="23"/>
      <c r="L27" s="6" t="s">
        <v>87</v>
      </c>
      <c r="M27" s="19" t="s">
        <v>227</v>
      </c>
      <c r="N27" s="5" t="s">
        <v>74</v>
      </c>
      <c r="O27" s="5"/>
      <c r="P27" s="6" t="s">
        <v>10</v>
      </c>
      <c r="Q27" s="5" t="s">
        <v>228</v>
      </c>
      <c r="R27" s="6" t="s">
        <v>10</v>
      </c>
      <c r="S27" s="5" t="s">
        <v>74</v>
      </c>
      <c r="T27" s="26" t="s">
        <v>72</v>
      </c>
      <c r="U27" s="5" t="s">
        <v>73</v>
      </c>
      <c r="V27" s="5" t="s">
        <v>74</v>
      </c>
      <c r="W27" s="26" t="s">
        <v>75</v>
      </c>
      <c r="X27" s="5" t="s">
        <v>228</v>
      </c>
      <c r="Y27" s="5" t="s">
        <v>76</v>
      </c>
      <c r="Z27" s="5" t="s">
        <v>74</v>
      </c>
      <c r="AA27" s="5"/>
      <c r="AB27" s="26" t="s">
        <v>77</v>
      </c>
      <c r="AC27" s="6" t="s">
        <v>87</v>
      </c>
      <c r="AD27" s="5" t="s">
        <v>100</v>
      </c>
      <c r="AE27" s="5" t="s">
        <v>230</v>
      </c>
      <c r="AF27" s="5" t="s">
        <v>231</v>
      </c>
      <c r="AG27" s="5"/>
      <c r="AH27" s="5"/>
      <c r="AI27" s="6" t="s">
        <v>10</v>
      </c>
    </row>
  </sheetData>
  <phoneticPr fontId="9" type="noConversion"/>
  <conditionalFormatting sqref="A1:B1048576">
    <cfRule type="containsText" dxfId="37" priority="32" operator="containsText" text="_">
      <formula>NOT(ISERROR(SEARCH("_",A1)))</formula>
    </cfRule>
  </conditionalFormatting>
  <conditionalFormatting sqref="A1:D1 F1:I1 A2:I27">
    <cfRule type="cellIs" dxfId="36" priority="21" operator="equal">
      <formula>"N/A"</formula>
    </cfRule>
  </conditionalFormatting>
  <conditionalFormatting sqref="C1:C27 I1:I27 L1:L27 P1:P27 R1:R27 AC1 AI1:AI2">
    <cfRule type="expression" dxfId="35" priority="35">
      <formula>LEN(TRIM(C1))=0</formula>
    </cfRule>
  </conditionalFormatting>
  <conditionalFormatting sqref="C2:C27 I2:I27 L2:L27 P2:P27 R2:R27">
    <cfRule type="cellIs" dxfId="34" priority="33" operator="equal">
      <formula>"Pass"</formula>
    </cfRule>
    <cfRule type="expression" dxfId="33" priority="34">
      <formula>LEN(TRIM(C2))&gt;0</formula>
    </cfRule>
  </conditionalFormatting>
  <conditionalFormatting sqref="G1:G27">
    <cfRule type="expression" dxfId="32" priority="24">
      <formula>LEN(TRIM(G1))=0</formula>
    </cfRule>
  </conditionalFormatting>
  <conditionalFormatting sqref="G2:G27">
    <cfRule type="cellIs" dxfId="31" priority="22" operator="equal">
      <formula>"Pass"</formula>
    </cfRule>
    <cfRule type="expression" dxfId="30" priority="23">
      <formula>LEN(TRIM(G2))&gt;0</formula>
    </cfRule>
  </conditionalFormatting>
  <conditionalFormatting sqref="H1:H1048576">
    <cfRule type="duplicateValues" dxfId="29" priority="36"/>
  </conditionalFormatting>
  <conditionalFormatting sqref="K1:K1048576">
    <cfRule type="duplicateValues" dxfId="28" priority="37"/>
  </conditionalFormatting>
  <conditionalFormatting sqref="K1:L27">
    <cfRule type="cellIs" dxfId="27" priority="13" operator="equal">
      <formula>"N/A"</formula>
    </cfRule>
  </conditionalFormatting>
  <conditionalFormatting sqref="L10">
    <cfRule type="cellIs" dxfId="26" priority="5" operator="equal">
      <formula>"N/A"</formula>
    </cfRule>
  </conditionalFormatting>
  <conditionalFormatting sqref="L12:L13">
    <cfRule type="cellIs" dxfId="25" priority="4" operator="equal">
      <formula>"N/A"</formula>
    </cfRule>
  </conditionalFormatting>
  <conditionalFormatting sqref="L23">
    <cfRule type="cellIs" dxfId="24" priority="3" operator="equal">
      <formula>"N/A"</formula>
    </cfRule>
  </conditionalFormatting>
  <conditionalFormatting sqref="L26">
    <cfRule type="cellIs" dxfId="23" priority="2" operator="equal">
      <formula>"N/A"</formula>
    </cfRule>
  </conditionalFormatting>
  <conditionalFormatting sqref="N1:N1048576">
    <cfRule type="duplicateValues" dxfId="22" priority="31"/>
  </conditionalFormatting>
  <conditionalFormatting sqref="N16:N17">
    <cfRule type="duplicateValues" dxfId="21" priority="11"/>
  </conditionalFormatting>
  <conditionalFormatting sqref="N21">
    <cfRule type="duplicateValues" dxfId="20" priority="10"/>
  </conditionalFormatting>
  <conditionalFormatting sqref="N2:AB27 N1:AI1 A2:A27 C5:C27">
    <cfRule type="cellIs" dxfId="19" priority="26" operator="equal">
      <formula>"N/A"</formula>
    </cfRule>
  </conditionalFormatting>
  <conditionalFormatting sqref="S1:S1048576">
    <cfRule type="duplicateValues" dxfId="18" priority="30"/>
  </conditionalFormatting>
  <conditionalFormatting sqref="S23">
    <cfRule type="duplicateValues" dxfId="17" priority="25"/>
  </conditionalFormatting>
  <conditionalFormatting sqref="T1:T1048576">
    <cfRule type="duplicateValues" dxfId="16" priority="29"/>
  </conditionalFormatting>
  <conditionalFormatting sqref="T2:T5">
    <cfRule type="duplicateValues" dxfId="15" priority="12"/>
  </conditionalFormatting>
  <conditionalFormatting sqref="T10">
    <cfRule type="duplicateValues" dxfId="14" priority="9"/>
  </conditionalFormatting>
  <conditionalFormatting sqref="T15 T12:T13">
    <cfRule type="duplicateValues" dxfId="13" priority="8"/>
  </conditionalFormatting>
  <conditionalFormatting sqref="T23">
    <cfRule type="duplicateValues" dxfId="12" priority="7"/>
  </conditionalFormatting>
  <conditionalFormatting sqref="T26:T27">
    <cfRule type="duplicateValues" dxfId="11" priority="6"/>
  </conditionalFormatting>
  <conditionalFormatting sqref="Z1:Z1048576">
    <cfRule type="duplicateValues" dxfId="10" priority="28"/>
  </conditionalFormatting>
  <conditionalFormatting sqref="AA1:AA1048576">
    <cfRule type="duplicateValues" dxfId="9" priority="27"/>
  </conditionalFormatting>
  <conditionalFormatting sqref="AC2:AC27">
    <cfRule type="cellIs" dxfId="8" priority="18" operator="equal">
      <formula>"Pass"</formula>
    </cfRule>
    <cfRule type="expression" dxfId="7" priority="19">
      <formula>LEN(TRIM(AC2))&gt;0</formula>
    </cfRule>
    <cfRule type="expression" dxfId="6" priority="20">
      <formula>LEN(TRIM(AC2))=0</formula>
    </cfRule>
  </conditionalFormatting>
  <conditionalFormatting sqref="AC2:AI27">
    <cfRule type="cellIs" dxfId="5" priority="14" operator="equal">
      <formula>"N/A"</formula>
    </cfRule>
  </conditionalFormatting>
  <conditionalFormatting sqref="AI2:AI27">
    <cfRule type="cellIs" dxfId="4" priority="15" operator="equal">
      <formula>"Pass"</formula>
    </cfRule>
    <cfRule type="expression" dxfId="3" priority="16">
      <formula>LEN(TRIM(AI2))&gt;0</formula>
    </cfRule>
  </conditionalFormatting>
  <conditionalFormatting sqref="AI3:AI27">
    <cfRule type="expression" dxfId="2" priority="17">
      <formula>LEN(TRIM(AI3))=0</formula>
    </cfRule>
  </conditionalFormatting>
  <conditionalFormatting sqref="E1">
    <cfRule type="cellIs" dxfId="1" priority="1" operator="equal">
      <formula>"N/A"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98F6-4D56-4C5B-B521-2C5E2208030F}">
  <dimension ref="A1:CC33"/>
  <sheetViews>
    <sheetView workbookViewId="0">
      <selection activeCell="J4" sqref="J4"/>
    </sheetView>
  </sheetViews>
  <sheetFormatPr defaultRowHeight="16.5"/>
  <sheetData>
    <row r="1" spans="1:81">
      <c r="A1" t="s">
        <v>30</v>
      </c>
      <c r="B1" t="s">
        <v>237</v>
      </c>
      <c r="C1" t="s">
        <v>34</v>
      </c>
      <c r="D1" t="s">
        <v>238</v>
      </c>
      <c r="E1" t="s">
        <v>33</v>
      </c>
      <c r="F1" t="s">
        <v>239</v>
      </c>
      <c r="G1" t="s">
        <v>36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42</v>
      </c>
      <c r="P1" t="s">
        <v>247</v>
      </c>
      <c r="Q1" t="s">
        <v>43</v>
      </c>
      <c r="R1" t="s">
        <v>248</v>
      </c>
      <c r="S1" t="s">
        <v>249</v>
      </c>
      <c r="T1" t="s">
        <v>250</v>
      </c>
      <c r="U1" t="s">
        <v>251</v>
      </c>
      <c r="V1" t="s">
        <v>252</v>
      </c>
      <c r="W1" t="s">
        <v>253</v>
      </c>
      <c r="X1" t="s">
        <v>254</v>
      </c>
      <c r="Y1" t="s">
        <v>255</v>
      </c>
      <c r="Z1" t="s">
        <v>45</v>
      </c>
      <c r="AA1" t="s">
        <v>256</v>
      </c>
      <c r="AB1" t="s">
        <v>257</v>
      </c>
      <c r="AC1" t="s">
        <v>258</v>
      </c>
      <c r="AD1" t="s">
        <v>259</v>
      </c>
      <c r="AE1" t="s">
        <v>260</v>
      </c>
      <c r="AF1" t="s">
        <v>261</v>
      </c>
      <c r="AG1" t="s">
        <v>262</v>
      </c>
      <c r="AH1" t="s">
        <v>263</v>
      </c>
      <c r="AI1" t="s">
        <v>264</v>
      </c>
      <c r="AJ1" t="s">
        <v>265</v>
      </c>
      <c r="AK1" t="s">
        <v>266</v>
      </c>
      <c r="AL1" t="s">
        <v>267</v>
      </c>
      <c r="AM1" t="s">
        <v>268</v>
      </c>
      <c r="AN1" t="s">
        <v>269</v>
      </c>
      <c r="AO1" t="s">
        <v>270</v>
      </c>
      <c r="AP1" t="s">
        <v>271</v>
      </c>
      <c r="AQ1" t="s">
        <v>272</v>
      </c>
      <c r="AR1" t="s">
        <v>273</v>
      </c>
      <c r="AS1" t="s">
        <v>274</v>
      </c>
      <c r="AT1" t="s">
        <v>275</v>
      </c>
      <c r="AU1" t="s">
        <v>276</v>
      </c>
      <c r="AV1" t="s">
        <v>277</v>
      </c>
      <c r="AW1" t="s">
        <v>278</v>
      </c>
      <c r="AX1" t="s">
        <v>279</v>
      </c>
      <c r="AY1" t="s">
        <v>280</v>
      </c>
      <c r="AZ1" t="s">
        <v>281</v>
      </c>
      <c r="BA1" t="s">
        <v>282</v>
      </c>
      <c r="BB1" t="s">
        <v>283</v>
      </c>
      <c r="BC1" t="s">
        <v>284</v>
      </c>
      <c r="BD1" t="s">
        <v>285</v>
      </c>
      <c r="BE1" t="s">
        <v>286</v>
      </c>
      <c r="BF1" t="s">
        <v>287</v>
      </c>
      <c r="BG1" t="s">
        <v>288</v>
      </c>
      <c r="BH1" t="s">
        <v>289</v>
      </c>
      <c r="BI1" t="s">
        <v>290</v>
      </c>
      <c r="BJ1" t="s">
        <v>291</v>
      </c>
      <c r="BK1" t="s">
        <v>292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293</v>
      </c>
      <c r="BV1" t="s">
        <v>294</v>
      </c>
      <c r="BW1" t="s">
        <v>295</v>
      </c>
      <c r="BX1" t="s">
        <v>296</v>
      </c>
      <c r="BY1" t="s">
        <v>297</v>
      </c>
      <c r="BZ1" t="s">
        <v>298</v>
      </c>
      <c r="CA1" t="s">
        <v>299</v>
      </c>
      <c r="CB1" t="s">
        <v>300</v>
      </c>
      <c r="CC1" t="s">
        <v>301</v>
      </c>
    </row>
    <row r="2" spans="1:81">
      <c r="A2" t="s">
        <v>228</v>
      </c>
      <c r="B2" t="s">
        <v>302</v>
      </c>
      <c r="C2">
        <v>200</v>
      </c>
      <c r="D2" t="s">
        <v>303</v>
      </c>
      <c r="E2" t="s">
        <v>80</v>
      </c>
      <c r="G2" t="s">
        <v>74</v>
      </c>
      <c r="H2">
        <v>15</v>
      </c>
      <c r="I2">
        <v>157</v>
      </c>
      <c r="K2">
        <v>0</v>
      </c>
      <c r="L2">
        <v>0</v>
      </c>
      <c r="N2">
        <v>0</v>
      </c>
      <c r="O2" t="s">
        <v>74</v>
      </c>
      <c r="P2">
        <v>15</v>
      </c>
      <c r="R2">
        <v>0</v>
      </c>
      <c r="S2" t="s">
        <v>304</v>
      </c>
      <c r="T2">
        <v>4</v>
      </c>
      <c r="U2" t="s">
        <v>305</v>
      </c>
      <c r="V2">
        <v>10</v>
      </c>
      <c r="Z2" t="s">
        <v>228</v>
      </c>
      <c r="AF2">
        <v>697593</v>
      </c>
      <c r="AG2">
        <v>124600</v>
      </c>
      <c r="AH2">
        <v>333</v>
      </c>
      <c r="AI2">
        <v>195</v>
      </c>
      <c r="AJ2">
        <v>1.708</v>
      </c>
      <c r="AK2">
        <v>100</v>
      </c>
      <c r="AL2" t="s">
        <v>306</v>
      </c>
      <c r="AM2">
        <v>0.497</v>
      </c>
      <c r="AN2">
        <v>0</v>
      </c>
      <c r="AO2">
        <v>0</v>
      </c>
      <c r="AQ2">
        <v>94</v>
      </c>
      <c r="AR2">
        <v>30</v>
      </c>
      <c r="AS2">
        <v>0</v>
      </c>
      <c r="AT2">
        <v>93.75</v>
      </c>
      <c r="AU2">
        <v>148</v>
      </c>
      <c r="AV2">
        <v>60</v>
      </c>
      <c r="AW2">
        <v>0</v>
      </c>
      <c r="BE2" t="s">
        <v>307</v>
      </c>
      <c r="BF2">
        <v>0.20699999999999999</v>
      </c>
      <c r="BK2">
        <v>1.1000000000000001</v>
      </c>
      <c r="BL2" t="s">
        <v>74</v>
      </c>
      <c r="BM2" t="s">
        <v>74</v>
      </c>
      <c r="BN2" t="s">
        <v>73</v>
      </c>
      <c r="BO2" t="s">
        <v>74</v>
      </c>
      <c r="BQ2" t="s">
        <v>228</v>
      </c>
      <c r="BR2" t="s">
        <v>76</v>
      </c>
      <c r="BS2" t="s">
        <v>74</v>
      </c>
      <c r="BV2" t="s">
        <v>78</v>
      </c>
      <c r="BX2" t="s">
        <v>228</v>
      </c>
      <c r="BY2" s="20">
        <v>46128.602766203701</v>
      </c>
      <c r="BZ2" t="s">
        <v>230</v>
      </c>
      <c r="CA2" t="s">
        <v>231</v>
      </c>
    </row>
    <row r="3" spans="1:81" ht="66">
      <c r="A3" t="s">
        <v>154</v>
      </c>
      <c r="B3" t="s">
        <v>302</v>
      </c>
      <c r="C3">
        <v>200</v>
      </c>
      <c r="D3" t="s">
        <v>303</v>
      </c>
      <c r="E3" t="s">
        <v>80</v>
      </c>
      <c r="G3" s="21" t="s">
        <v>151</v>
      </c>
      <c r="H3">
        <v>26</v>
      </c>
      <c r="I3">
        <v>242</v>
      </c>
      <c r="K3">
        <v>0</v>
      </c>
      <c r="L3">
        <v>0</v>
      </c>
      <c r="N3">
        <v>0</v>
      </c>
      <c r="O3" t="s">
        <v>153</v>
      </c>
      <c r="P3">
        <v>6</v>
      </c>
      <c r="R3">
        <v>0</v>
      </c>
      <c r="S3" t="s">
        <v>304</v>
      </c>
      <c r="T3">
        <v>4</v>
      </c>
      <c r="U3" t="s">
        <v>305</v>
      </c>
      <c r="V3">
        <v>10</v>
      </c>
      <c r="Z3" t="s">
        <v>154</v>
      </c>
      <c r="AF3">
        <v>532180</v>
      </c>
      <c r="AG3">
        <v>115111</v>
      </c>
      <c r="AH3">
        <v>149</v>
      </c>
      <c r="AI3">
        <v>79</v>
      </c>
      <c r="AJ3">
        <v>1.8859999999999999</v>
      </c>
      <c r="AK3">
        <v>100</v>
      </c>
      <c r="AL3" t="s">
        <v>306</v>
      </c>
      <c r="AM3">
        <v>0.436</v>
      </c>
      <c r="AN3">
        <v>0</v>
      </c>
      <c r="AO3">
        <v>1</v>
      </c>
      <c r="AQ3">
        <v>52</v>
      </c>
      <c r="AR3">
        <v>30</v>
      </c>
      <c r="AS3">
        <v>0</v>
      </c>
      <c r="AT3">
        <v>93.75</v>
      </c>
      <c r="AU3">
        <v>118</v>
      </c>
      <c r="AV3">
        <v>51</v>
      </c>
      <c r="AW3">
        <v>0</v>
      </c>
      <c r="BE3" t="s">
        <v>308</v>
      </c>
      <c r="BF3">
        <v>0.52</v>
      </c>
      <c r="BK3">
        <v>1.1000000000000001</v>
      </c>
      <c r="BL3" t="s">
        <v>155</v>
      </c>
      <c r="BM3" t="s">
        <v>74</v>
      </c>
      <c r="BN3" t="s">
        <v>73</v>
      </c>
      <c r="BO3" t="s">
        <v>74</v>
      </c>
      <c r="BQ3" t="s">
        <v>154</v>
      </c>
      <c r="BR3" t="s">
        <v>76</v>
      </c>
      <c r="BS3" t="s">
        <v>155</v>
      </c>
      <c r="BV3" t="s">
        <v>78</v>
      </c>
      <c r="BX3" t="s">
        <v>154</v>
      </c>
      <c r="BY3" s="20">
        <v>46128.602685185186</v>
      </c>
    </row>
    <row r="4" spans="1:81" ht="66">
      <c r="A4" t="s">
        <v>84</v>
      </c>
      <c r="B4" t="s">
        <v>302</v>
      </c>
      <c r="C4">
        <v>200</v>
      </c>
      <c r="D4" t="s">
        <v>303</v>
      </c>
      <c r="E4" t="s">
        <v>80</v>
      </c>
      <c r="G4" s="21" t="s">
        <v>81</v>
      </c>
      <c r="H4">
        <v>27</v>
      </c>
      <c r="I4">
        <v>251</v>
      </c>
      <c r="K4">
        <v>0</v>
      </c>
      <c r="L4">
        <v>0</v>
      </c>
      <c r="N4">
        <v>0</v>
      </c>
      <c r="O4" t="s">
        <v>83</v>
      </c>
      <c r="P4">
        <v>8</v>
      </c>
      <c r="R4">
        <v>0</v>
      </c>
      <c r="S4" t="s">
        <v>304</v>
      </c>
      <c r="T4">
        <v>4</v>
      </c>
      <c r="U4" t="s">
        <v>305</v>
      </c>
      <c r="V4">
        <v>10</v>
      </c>
      <c r="Z4" t="s">
        <v>84</v>
      </c>
      <c r="AF4">
        <v>530986</v>
      </c>
      <c r="AG4">
        <v>113301</v>
      </c>
      <c r="AH4">
        <v>263</v>
      </c>
      <c r="AI4">
        <v>129</v>
      </c>
      <c r="AJ4">
        <v>2.0390000000000001</v>
      </c>
      <c r="AK4">
        <v>100</v>
      </c>
      <c r="AL4" t="s">
        <v>306</v>
      </c>
      <c r="AM4">
        <v>0.46800000000000003</v>
      </c>
      <c r="AN4">
        <v>0</v>
      </c>
      <c r="AO4">
        <v>1</v>
      </c>
      <c r="AQ4">
        <v>37</v>
      </c>
      <c r="AR4">
        <v>30</v>
      </c>
      <c r="AS4">
        <v>0</v>
      </c>
      <c r="AT4">
        <v>93.75</v>
      </c>
      <c r="AU4">
        <v>154</v>
      </c>
      <c r="AV4">
        <v>52</v>
      </c>
      <c r="AW4">
        <v>0</v>
      </c>
      <c r="BE4" t="s">
        <v>309</v>
      </c>
      <c r="BF4">
        <v>0.35499999999999998</v>
      </c>
      <c r="BK4">
        <v>1.1000000000000001</v>
      </c>
      <c r="BL4" t="s">
        <v>85</v>
      </c>
      <c r="BM4" t="s">
        <v>74</v>
      </c>
      <c r="BN4" t="s">
        <v>73</v>
      </c>
      <c r="BO4" t="s">
        <v>74</v>
      </c>
      <c r="BQ4" t="s">
        <v>84</v>
      </c>
      <c r="BR4" t="s">
        <v>76</v>
      </c>
      <c r="BS4" t="s">
        <v>85</v>
      </c>
      <c r="BV4" t="s">
        <v>78</v>
      </c>
      <c r="BX4" t="s">
        <v>84</v>
      </c>
      <c r="BY4" s="20">
        <v>46128.602696759262</v>
      </c>
    </row>
    <row r="5" spans="1:81" ht="66">
      <c r="A5" t="s">
        <v>110</v>
      </c>
      <c r="B5" t="s">
        <v>302</v>
      </c>
      <c r="C5">
        <v>200</v>
      </c>
      <c r="D5" t="s">
        <v>303</v>
      </c>
      <c r="E5" t="s">
        <v>80</v>
      </c>
      <c r="G5" s="21" t="s">
        <v>108</v>
      </c>
      <c r="H5">
        <v>29</v>
      </c>
      <c r="I5">
        <v>260</v>
      </c>
      <c r="K5">
        <v>0</v>
      </c>
      <c r="L5">
        <v>0</v>
      </c>
      <c r="N5">
        <v>0</v>
      </c>
      <c r="O5" t="s">
        <v>109</v>
      </c>
      <c r="P5">
        <v>5</v>
      </c>
      <c r="R5">
        <v>0</v>
      </c>
      <c r="S5" t="s">
        <v>304</v>
      </c>
      <c r="T5">
        <v>4</v>
      </c>
      <c r="U5" t="s">
        <v>305</v>
      </c>
      <c r="V5">
        <v>10</v>
      </c>
      <c r="Z5" t="s">
        <v>110</v>
      </c>
      <c r="AF5">
        <v>519000</v>
      </c>
      <c r="AG5">
        <v>111802</v>
      </c>
      <c r="AH5">
        <v>148</v>
      </c>
      <c r="AI5">
        <v>72</v>
      </c>
      <c r="AJ5">
        <v>2.056</v>
      </c>
      <c r="AK5">
        <v>100</v>
      </c>
      <c r="AL5" t="s">
        <v>306</v>
      </c>
      <c r="AM5">
        <v>0.41399999999999998</v>
      </c>
      <c r="AN5">
        <v>0</v>
      </c>
      <c r="AO5">
        <v>1</v>
      </c>
      <c r="AQ5">
        <v>15</v>
      </c>
      <c r="AR5">
        <v>4</v>
      </c>
      <c r="AS5">
        <v>0</v>
      </c>
      <c r="AT5">
        <v>12.5</v>
      </c>
      <c r="AU5">
        <v>116</v>
      </c>
      <c r="AV5">
        <v>57</v>
      </c>
      <c r="AW5">
        <v>0</v>
      </c>
      <c r="BE5" t="s">
        <v>310</v>
      </c>
      <c r="BF5">
        <v>0.36599999999999999</v>
      </c>
      <c r="BK5">
        <v>1.1000000000000001</v>
      </c>
      <c r="BL5" t="s">
        <v>111</v>
      </c>
      <c r="BM5" t="s">
        <v>74</v>
      </c>
      <c r="BN5" t="s">
        <v>73</v>
      </c>
      <c r="BO5" t="s">
        <v>74</v>
      </c>
      <c r="BQ5" t="s">
        <v>110</v>
      </c>
      <c r="BR5" t="s">
        <v>76</v>
      </c>
      <c r="BS5" t="s">
        <v>111</v>
      </c>
      <c r="BV5" t="s">
        <v>78</v>
      </c>
      <c r="BX5" t="s">
        <v>110</v>
      </c>
      <c r="BY5" s="20">
        <v>46128.602766203701</v>
      </c>
    </row>
    <row r="6" spans="1:81" ht="66">
      <c r="A6" t="s">
        <v>105</v>
      </c>
      <c r="B6" t="s">
        <v>302</v>
      </c>
      <c r="C6">
        <v>200</v>
      </c>
      <c r="D6" t="s">
        <v>303</v>
      </c>
      <c r="E6" t="s">
        <v>80</v>
      </c>
      <c r="G6" s="21" t="s">
        <v>103</v>
      </c>
      <c r="H6">
        <v>29</v>
      </c>
      <c r="I6">
        <v>257</v>
      </c>
      <c r="K6">
        <v>0</v>
      </c>
      <c r="L6">
        <v>0</v>
      </c>
      <c r="N6">
        <v>0</v>
      </c>
      <c r="O6" t="s">
        <v>104</v>
      </c>
      <c r="P6">
        <v>6</v>
      </c>
      <c r="R6">
        <v>0</v>
      </c>
      <c r="S6" t="s">
        <v>304</v>
      </c>
      <c r="T6">
        <v>4</v>
      </c>
      <c r="U6" t="s">
        <v>305</v>
      </c>
      <c r="V6">
        <v>10</v>
      </c>
      <c r="Z6" t="s">
        <v>105</v>
      </c>
      <c r="AF6">
        <v>519540</v>
      </c>
      <c r="AG6">
        <v>112778</v>
      </c>
      <c r="AH6">
        <v>138</v>
      </c>
      <c r="AI6">
        <v>68</v>
      </c>
      <c r="AJ6">
        <v>2.0289999999999999</v>
      </c>
      <c r="AK6">
        <v>100</v>
      </c>
      <c r="AL6" t="s">
        <v>306</v>
      </c>
      <c r="AM6">
        <v>0.39300000000000002</v>
      </c>
      <c r="AN6">
        <v>0</v>
      </c>
      <c r="AO6">
        <v>1</v>
      </c>
      <c r="AQ6">
        <v>16</v>
      </c>
      <c r="AR6">
        <v>4</v>
      </c>
      <c r="AS6">
        <v>0</v>
      </c>
      <c r="AT6">
        <v>12.5</v>
      </c>
      <c r="AU6">
        <v>116</v>
      </c>
      <c r="AV6">
        <v>57</v>
      </c>
      <c r="AW6">
        <v>0</v>
      </c>
      <c r="BE6" t="s">
        <v>311</v>
      </c>
      <c r="BF6">
        <v>0.36599999999999999</v>
      </c>
      <c r="BK6">
        <v>1.1000000000000001</v>
      </c>
      <c r="BL6" t="s">
        <v>106</v>
      </c>
      <c r="BM6" t="s">
        <v>74</v>
      </c>
      <c r="BN6" t="s">
        <v>73</v>
      </c>
      <c r="BO6" t="s">
        <v>74</v>
      </c>
      <c r="BQ6" t="s">
        <v>105</v>
      </c>
      <c r="BR6" t="s">
        <v>76</v>
      </c>
      <c r="BS6" t="s">
        <v>106</v>
      </c>
      <c r="BV6" t="s">
        <v>78</v>
      </c>
      <c r="BX6" t="s">
        <v>105</v>
      </c>
      <c r="BY6" s="20">
        <v>46128.602685185186</v>
      </c>
    </row>
    <row r="7" spans="1:81" ht="66">
      <c r="A7" t="s">
        <v>137</v>
      </c>
      <c r="B7" t="s">
        <v>302</v>
      </c>
      <c r="C7">
        <v>200</v>
      </c>
      <c r="D7" t="s">
        <v>303</v>
      </c>
      <c r="E7" t="s">
        <v>80</v>
      </c>
      <c r="G7" s="21" t="s">
        <v>134</v>
      </c>
      <c r="H7">
        <v>22</v>
      </c>
      <c r="I7">
        <v>210</v>
      </c>
      <c r="K7">
        <v>0</v>
      </c>
      <c r="L7">
        <v>0</v>
      </c>
      <c r="N7">
        <v>0</v>
      </c>
      <c r="O7" t="s">
        <v>136</v>
      </c>
      <c r="P7">
        <v>7</v>
      </c>
      <c r="R7">
        <v>0</v>
      </c>
      <c r="S7" t="s">
        <v>304</v>
      </c>
      <c r="T7">
        <v>4</v>
      </c>
      <c r="U7" t="s">
        <v>305</v>
      </c>
      <c r="V7">
        <v>10</v>
      </c>
      <c r="Z7" t="s">
        <v>137</v>
      </c>
      <c r="AF7">
        <v>567771</v>
      </c>
      <c r="AG7">
        <v>115641</v>
      </c>
      <c r="AH7">
        <v>223</v>
      </c>
      <c r="AI7">
        <v>153</v>
      </c>
      <c r="AJ7">
        <v>1.458</v>
      </c>
      <c r="AK7">
        <v>100</v>
      </c>
      <c r="AL7" t="s">
        <v>306</v>
      </c>
      <c r="AM7">
        <v>0.75</v>
      </c>
      <c r="AN7">
        <v>0</v>
      </c>
      <c r="AO7">
        <v>1</v>
      </c>
      <c r="AQ7">
        <v>52</v>
      </c>
      <c r="AR7">
        <v>30</v>
      </c>
      <c r="AS7">
        <v>0</v>
      </c>
      <c r="AT7">
        <v>93.75</v>
      </c>
      <c r="AU7">
        <v>118</v>
      </c>
      <c r="AV7">
        <v>51</v>
      </c>
      <c r="AW7">
        <v>0</v>
      </c>
      <c r="BE7" t="s">
        <v>312</v>
      </c>
      <c r="BF7">
        <v>0.34</v>
      </c>
      <c r="BK7">
        <v>1.1000000000000001</v>
      </c>
      <c r="BL7" t="s">
        <v>138</v>
      </c>
      <c r="BM7" t="s">
        <v>74</v>
      </c>
      <c r="BN7" t="s">
        <v>73</v>
      </c>
      <c r="BO7" t="s">
        <v>74</v>
      </c>
      <c r="BQ7" t="s">
        <v>137</v>
      </c>
      <c r="BR7" t="s">
        <v>76</v>
      </c>
      <c r="BS7" t="s">
        <v>138</v>
      </c>
      <c r="BV7" t="s">
        <v>78</v>
      </c>
      <c r="BX7" t="s">
        <v>137</v>
      </c>
      <c r="BY7" s="20">
        <v>46128.602800925924</v>
      </c>
    </row>
    <row r="8" spans="1:81" ht="82.5">
      <c r="A8" t="s">
        <v>143</v>
      </c>
      <c r="B8" t="s">
        <v>302</v>
      </c>
      <c r="C8">
        <v>200</v>
      </c>
      <c r="D8" t="s">
        <v>303</v>
      </c>
      <c r="E8" t="s">
        <v>80</v>
      </c>
      <c r="G8" s="21" t="s">
        <v>140</v>
      </c>
      <c r="H8">
        <v>34</v>
      </c>
      <c r="I8">
        <v>322</v>
      </c>
      <c r="K8">
        <v>0</v>
      </c>
      <c r="L8">
        <v>0</v>
      </c>
      <c r="N8">
        <v>0</v>
      </c>
      <c r="O8" t="s">
        <v>142</v>
      </c>
      <c r="P8">
        <v>9</v>
      </c>
      <c r="R8">
        <v>0</v>
      </c>
      <c r="S8" t="s">
        <v>304</v>
      </c>
      <c r="T8">
        <v>4</v>
      </c>
      <c r="U8" t="s">
        <v>305</v>
      </c>
      <c r="V8">
        <v>10</v>
      </c>
      <c r="Z8" t="s">
        <v>143</v>
      </c>
      <c r="AF8">
        <v>527405</v>
      </c>
      <c r="AG8">
        <v>114240</v>
      </c>
      <c r="AH8">
        <v>180</v>
      </c>
      <c r="AI8">
        <v>93</v>
      </c>
      <c r="AJ8">
        <v>1.9350000000000001</v>
      </c>
      <c r="AK8">
        <v>100</v>
      </c>
      <c r="AL8" t="s">
        <v>306</v>
      </c>
      <c r="AM8">
        <v>0.61099999999999999</v>
      </c>
      <c r="AN8">
        <v>0</v>
      </c>
      <c r="AO8">
        <v>1</v>
      </c>
      <c r="AQ8">
        <v>52</v>
      </c>
      <c r="AR8">
        <v>30</v>
      </c>
      <c r="AS8">
        <v>0</v>
      </c>
      <c r="AT8">
        <v>93.75</v>
      </c>
      <c r="AU8">
        <v>119</v>
      </c>
      <c r="AV8">
        <v>51</v>
      </c>
      <c r="AW8">
        <v>0</v>
      </c>
      <c r="BE8" t="s">
        <v>313</v>
      </c>
      <c r="BF8">
        <v>0.753</v>
      </c>
      <c r="BK8">
        <v>1.1000000000000001</v>
      </c>
      <c r="BL8" t="s">
        <v>144</v>
      </c>
      <c r="BM8" t="s">
        <v>74</v>
      </c>
      <c r="BN8" t="s">
        <v>73</v>
      </c>
      <c r="BO8" t="s">
        <v>74</v>
      </c>
      <c r="BQ8" t="s">
        <v>143</v>
      </c>
      <c r="BR8" t="s">
        <v>76</v>
      </c>
      <c r="BS8" t="s">
        <v>144</v>
      </c>
      <c r="BV8" t="s">
        <v>78</v>
      </c>
      <c r="BX8" t="s">
        <v>143</v>
      </c>
      <c r="BY8" s="20">
        <v>46128.602627314816</v>
      </c>
    </row>
    <row r="9" spans="1:81" ht="82.5">
      <c r="A9" t="s">
        <v>126</v>
      </c>
      <c r="B9" t="s">
        <v>302</v>
      </c>
      <c r="C9">
        <v>200</v>
      </c>
      <c r="D9" t="s">
        <v>303</v>
      </c>
      <c r="E9" t="s">
        <v>80</v>
      </c>
      <c r="G9" s="21" t="s">
        <v>123</v>
      </c>
      <c r="H9">
        <v>29</v>
      </c>
      <c r="I9">
        <v>284</v>
      </c>
      <c r="K9">
        <v>0</v>
      </c>
      <c r="L9">
        <v>0</v>
      </c>
      <c r="N9">
        <v>0</v>
      </c>
      <c r="O9" t="s">
        <v>125</v>
      </c>
      <c r="P9">
        <v>7</v>
      </c>
      <c r="R9">
        <v>0</v>
      </c>
      <c r="S9" t="s">
        <v>304</v>
      </c>
      <c r="T9">
        <v>4</v>
      </c>
      <c r="U9" t="s">
        <v>305</v>
      </c>
      <c r="V9">
        <v>10</v>
      </c>
      <c r="Z9" t="s">
        <v>126</v>
      </c>
      <c r="AF9">
        <v>529474</v>
      </c>
      <c r="AG9">
        <v>114847</v>
      </c>
      <c r="AH9">
        <v>211</v>
      </c>
      <c r="AI9">
        <v>103</v>
      </c>
      <c r="AJ9">
        <v>2.0489999999999999</v>
      </c>
      <c r="AK9">
        <v>100</v>
      </c>
      <c r="AL9" t="s">
        <v>306</v>
      </c>
      <c r="AM9">
        <v>0.63600000000000001</v>
      </c>
      <c r="AN9">
        <v>0</v>
      </c>
      <c r="AO9">
        <v>1</v>
      </c>
      <c r="AQ9">
        <v>155</v>
      </c>
      <c r="AR9">
        <v>30</v>
      </c>
      <c r="AS9">
        <v>0</v>
      </c>
      <c r="AT9">
        <v>93.75</v>
      </c>
      <c r="AU9">
        <v>119</v>
      </c>
      <c r="AV9">
        <v>51</v>
      </c>
      <c r="AW9">
        <v>0</v>
      </c>
      <c r="BE9" t="s">
        <v>314</v>
      </c>
      <c r="BF9">
        <v>0.46</v>
      </c>
      <c r="BK9">
        <v>1.1000000000000001</v>
      </c>
      <c r="BL9" t="s">
        <v>127</v>
      </c>
      <c r="BM9" t="s">
        <v>74</v>
      </c>
      <c r="BN9" t="s">
        <v>73</v>
      </c>
      <c r="BO9" t="s">
        <v>74</v>
      </c>
      <c r="BQ9" t="s">
        <v>126</v>
      </c>
      <c r="BR9" t="s">
        <v>76</v>
      </c>
      <c r="BS9" t="s">
        <v>127</v>
      </c>
      <c r="BV9" t="s">
        <v>78</v>
      </c>
      <c r="BX9" t="s">
        <v>126</v>
      </c>
      <c r="BY9" s="20">
        <v>46128.602731481478</v>
      </c>
    </row>
    <row r="10" spans="1:81" ht="82.5">
      <c r="A10" t="s">
        <v>148</v>
      </c>
      <c r="B10" t="s">
        <v>302</v>
      </c>
      <c r="C10">
        <v>200</v>
      </c>
      <c r="D10" t="s">
        <v>303</v>
      </c>
      <c r="E10" t="s">
        <v>80</v>
      </c>
      <c r="G10" s="21" t="s">
        <v>146</v>
      </c>
      <c r="H10">
        <v>31</v>
      </c>
      <c r="I10">
        <v>284</v>
      </c>
      <c r="K10">
        <v>0</v>
      </c>
      <c r="L10">
        <v>0</v>
      </c>
      <c r="N10">
        <v>0</v>
      </c>
      <c r="O10" t="s">
        <v>147</v>
      </c>
      <c r="P10">
        <v>7</v>
      </c>
      <c r="R10">
        <v>0</v>
      </c>
      <c r="S10" t="s">
        <v>304</v>
      </c>
      <c r="T10">
        <v>4</v>
      </c>
      <c r="U10" t="s">
        <v>305</v>
      </c>
      <c r="V10">
        <v>10</v>
      </c>
      <c r="Z10" t="s">
        <v>148</v>
      </c>
      <c r="AF10">
        <v>523711</v>
      </c>
      <c r="AG10">
        <v>113662</v>
      </c>
      <c r="AH10">
        <v>138</v>
      </c>
      <c r="AI10">
        <v>68</v>
      </c>
      <c r="AJ10">
        <v>2.0289999999999999</v>
      </c>
      <c r="AK10">
        <v>100</v>
      </c>
      <c r="AL10" t="s">
        <v>306</v>
      </c>
      <c r="AM10">
        <v>0.39100000000000001</v>
      </c>
      <c r="AN10">
        <v>0</v>
      </c>
      <c r="AO10">
        <v>1</v>
      </c>
      <c r="AQ10">
        <v>15</v>
      </c>
      <c r="AR10">
        <v>4</v>
      </c>
      <c r="AS10">
        <v>0</v>
      </c>
      <c r="AT10">
        <v>12.5</v>
      </c>
      <c r="AU10">
        <v>116</v>
      </c>
      <c r="AV10">
        <v>57</v>
      </c>
      <c r="AW10">
        <v>0</v>
      </c>
      <c r="BE10" t="s">
        <v>315</v>
      </c>
      <c r="BF10">
        <v>0.32300000000000001</v>
      </c>
      <c r="BK10">
        <v>1.1000000000000001</v>
      </c>
      <c r="BL10" t="s">
        <v>149</v>
      </c>
      <c r="BM10" t="s">
        <v>74</v>
      </c>
      <c r="BN10" t="s">
        <v>73</v>
      </c>
      <c r="BO10" t="s">
        <v>74</v>
      </c>
      <c r="BQ10" t="s">
        <v>148</v>
      </c>
      <c r="BR10" t="s">
        <v>76</v>
      </c>
      <c r="BS10" t="s">
        <v>149</v>
      </c>
      <c r="BV10" t="s">
        <v>78</v>
      </c>
      <c r="BX10" t="s">
        <v>148</v>
      </c>
      <c r="BY10" s="20">
        <v>46128.602696759262</v>
      </c>
    </row>
    <row r="11" spans="1:81" ht="82.5">
      <c r="A11" t="s">
        <v>92</v>
      </c>
      <c r="B11" t="s">
        <v>302</v>
      </c>
      <c r="C11">
        <v>200</v>
      </c>
      <c r="D11" t="s">
        <v>303</v>
      </c>
      <c r="E11" t="s">
        <v>80</v>
      </c>
      <c r="G11" s="21" t="s">
        <v>89</v>
      </c>
      <c r="H11">
        <v>33</v>
      </c>
      <c r="I11">
        <v>312</v>
      </c>
      <c r="K11">
        <v>0</v>
      </c>
      <c r="L11">
        <v>0</v>
      </c>
      <c r="N11">
        <v>0</v>
      </c>
      <c r="O11" t="s">
        <v>91</v>
      </c>
      <c r="P11">
        <v>7</v>
      </c>
      <c r="R11">
        <v>0</v>
      </c>
      <c r="S11" t="s">
        <v>304</v>
      </c>
      <c r="T11">
        <v>4</v>
      </c>
      <c r="U11" t="s">
        <v>305</v>
      </c>
      <c r="V11">
        <v>10</v>
      </c>
      <c r="Z11" t="s">
        <v>92</v>
      </c>
      <c r="AF11">
        <v>529563</v>
      </c>
      <c r="AG11">
        <v>114714</v>
      </c>
      <c r="AH11">
        <v>242</v>
      </c>
      <c r="AI11">
        <v>126</v>
      </c>
      <c r="AJ11">
        <v>1.921</v>
      </c>
      <c r="AK11">
        <v>100</v>
      </c>
      <c r="AL11" t="s">
        <v>306</v>
      </c>
      <c r="AM11">
        <v>0.69499999999999995</v>
      </c>
      <c r="AN11">
        <v>0</v>
      </c>
      <c r="AO11">
        <v>1</v>
      </c>
      <c r="AQ11">
        <v>52</v>
      </c>
      <c r="AR11">
        <v>30</v>
      </c>
      <c r="AS11">
        <v>0</v>
      </c>
      <c r="AT11">
        <v>93.75</v>
      </c>
      <c r="AU11">
        <v>119</v>
      </c>
      <c r="AV11">
        <v>51</v>
      </c>
      <c r="AW11">
        <v>0</v>
      </c>
      <c r="BE11" t="s">
        <v>316</v>
      </c>
      <c r="BF11">
        <v>0.33100000000000002</v>
      </c>
      <c r="BK11">
        <v>1.1000000000000001</v>
      </c>
      <c r="BL11" t="s">
        <v>93</v>
      </c>
      <c r="BM11" t="s">
        <v>74</v>
      </c>
      <c r="BN11" t="s">
        <v>73</v>
      </c>
      <c r="BO11" t="s">
        <v>74</v>
      </c>
      <c r="BQ11" t="s">
        <v>92</v>
      </c>
      <c r="BR11" t="s">
        <v>76</v>
      </c>
      <c r="BS11" t="s">
        <v>93</v>
      </c>
      <c r="BV11" t="s">
        <v>78</v>
      </c>
      <c r="BX11" t="s">
        <v>92</v>
      </c>
      <c r="BY11" s="20">
        <v>46128.602800925924</v>
      </c>
    </row>
    <row r="12" spans="1:81" ht="99">
      <c r="A12" t="s">
        <v>170</v>
      </c>
      <c r="B12" t="s">
        <v>302</v>
      </c>
      <c r="C12">
        <v>200</v>
      </c>
      <c r="D12" t="s">
        <v>303</v>
      </c>
      <c r="E12" t="s">
        <v>80</v>
      </c>
      <c r="G12" s="21" t="s">
        <v>169</v>
      </c>
      <c r="H12">
        <v>40</v>
      </c>
      <c r="I12">
        <v>376</v>
      </c>
      <c r="K12">
        <v>0</v>
      </c>
      <c r="L12">
        <v>0</v>
      </c>
      <c r="N12">
        <v>0</v>
      </c>
      <c r="P12">
        <v>0</v>
      </c>
      <c r="R12">
        <v>0</v>
      </c>
      <c r="S12" t="s">
        <v>304</v>
      </c>
      <c r="T12">
        <v>4</v>
      </c>
      <c r="U12" t="s">
        <v>305</v>
      </c>
      <c r="V12">
        <v>10</v>
      </c>
      <c r="Z12" t="s">
        <v>170</v>
      </c>
      <c r="AF12">
        <v>512305</v>
      </c>
      <c r="AG12">
        <v>112066</v>
      </c>
      <c r="AH12">
        <v>136</v>
      </c>
      <c r="AI12">
        <v>66</v>
      </c>
      <c r="AJ12">
        <v>2.0609999999999999</v>
      </c>
      <c r="AK12">
        <v>100</v>
      </c>
      <c r="AL12" t="s">
        <v>306</v>
      </c>
      <c r="AM12">
        <v>0.374</v>
      </c>
      <c r="AN12">
        <v>0</v>
      </c>
      <c r="AO12">
        <v>1</v>
      </c>
      <c r="AQ12">
        <v>7</v>
      </c>
      <c r="AR12">
        <v>1</v>
      </c>
      <c r="AS12">
        <v>0</v>
      </c>
      <c r="AT12">
        <v>3.13</v>
      </c>
      <c r="AU12">
        <v>104</v>
      </c>
      <c r="AV12">
        <v>52</v>
      </c>
      <c r="AW12">
        <v>0</v>
      </c>
      <c r="BE12" t="s">
        <v>317</v>
      </c>
      <c r="BF12">
        <v>0.32400000000000001</v>
      </c>
      <c r="BK12">
        <v>1.1000000000000001</v>
      </c>
      <c r="BL12" t="s">
        <v>171</v>
      </c>
      <c r="BM12" t="s">
        <v>74</v>
      </c>
      <c r="BN12" t="s">
        <v>73</v>
      </c>
      <c r="BO12" t="s">
        <v>74</v>
      </c>
      <c r="BQ12" t="s">
        <v>170</v>
      </c>
      <c r="BR12" t="s">
        <v>76</v>
      </c>
      <c r="BS12" t="s">
        <v>171</v>
      </c>
      <c r="BV12" t="s">
        <v>78</v>
      </c>
      <c r="BX12" t="s">
        <v>170</v>
      </c>
      <c r="BY12" s="20">
        <v>46128.602650462963</v>
      </c>
    </row>
    <row r="13" spans="1:81" ht="99">
      <c r="A13" t="s">
        <v>318</v>
      </c>
      <c r="B13" t="s">
        <v>302</v>
      </c>
      <c r="C13">
        <v>200</v>
      </c>
      <c r="D13" t="s">
        <v>303</v>
      </c>
      <c r="E13" t="s">
        <v>80</v>
      </c>
      <c r="G13" s="21" t="s">
        <v>319</v>
      </c>
      <c r="H13">
        <v>32</v>
      </c>
      <c r="I13">
        <v>277</v>
      </c>
      <c r="J13" t="s">
        <v>320</v>
      </c>
      <c r="K13">
        <v>59</v>
      </c>
      <c r="L13">
        <v>351</v>
      </c>
      <c r="N13">
        <v>0</v>
      </c>
      <c r="O13" t="s">
        <v>321</v>
      </c>
      <c r="P13">
        <v>9</v>
      </c>
      <c r="R13">
        <v>0</v>
      </c>
      <c r="T13">
        <v>0</v>
      </c>
      <c r="V13">
        <v>0</v>
      </c>
      <c r="Z13" t="s">
        <v>318</v>
      </c>
      <c r="AF13">
        <v>447666</v>
      </c>
      <c r="AG13">
        <v>109380</v>
      </c>
      <c r="AH13">
        <v>82</v>
      </c>
      <c r="AI13">
        <v>13</v>
      </c>
      <c r="AJ13">
        <v>6.3079999999999998</v>
      </c>
      <c r="AK13">
        <v>100</v>
      </c>
      <c r="AL13" t="s">
        <v>306</v>
      </c>
      <c r="AM13">
        <v>8.4000000000000005E-2</v>
      </c>
      <c r="AN13">
        <v>0</v>
      </c>
      <c r="AO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BE13" t="s">
        <v>322</v>
      </c>
      <c r="BF13">
        <v>0.313</v>
      </c>
      <c r="BK13">
        <v>1.1000000000000001</v>
      </c>
      <c r="BL13" t="s">
        <v>323</v>
      </c>
      <c r="BM13" t="s">
        <v>320</v>
      </c>
      <c r="BN13" t="s">
        <v>73</v>
      </c>
      <c r="BO13" t="s">
        <v>74</v>
      </c>
      <c r="BQ13" t="s">
        <v>318</v>
      </c>
      <c r="BR13" t="s">
        <v>76</v>
      </c>
      <c r="BS13" t="s">
        <v>323</v>
      </c>
      <c r="BX13" t="s">
        <v>318</v>
      </c>
      <c r="BY13" s="20">
        <v>46128.602731481478</v>
      </c>
    </row>
    <row r="14" spans="1:81">
      <c r="A14" t="s">
        <v>167</v>
      </c>
      <c r="B14" t="s">
        <v>302</v>
      </c>
      <c r="C14">
        <v>200</v>
      </c>
      <c r="D14" t="s">
        <v>303</v>
      </c>
      <c r="E14" t="s">
        <v>80</v>
      </c>
      <c r="G14" t="s">
        <v>164</v>
      </c>
      <c r="H14">
        <v>29</v>
      </c>
      <c r="I14">
        <v>275</v>
      </c>
      <c r="J14" t="s">
        <v>165</v>
      </c>
      <c r="K14">
        <v>129</v>
      </c>
      <c r="L14">
        <v>813</v>
      </c>
      <c r="N14">
        <v>0</v>
      </c>
      <c r="O14" t="s">
        <v>164</v>
      </c>
      <c r="P14">
        <v>29</v>
      </c>
      <c r="Q14" t="s">
        <v>166</v>
      </c>
      <c r="R14">
        <v>16</v>
      </c>
      <c r="S14" t="s">
        <v>304</v>
      </c>
      <c r="T14">
        <v>4</v>
      </c>
      <c r="U14" t="s">
        <v>305</v>
      </c>
      <c r="V14">
        <v>10</v>
      </c>
      <c r="Z14" t="s">
        <v>167</v>
      </c>
      <c r="AF14">
        <v>570849</v>
      </c>
      <c r="AG14">
        <v>123432</v>
      </c>
      <c r="AH14">
        <v>256</v>
      </c>
      <c r="AI14">
        <v>134</v>
      </c>
      <c r="AJ14">
        <v>1.91</v>
      </c>
      <c r="AK14">
        <v>100</v>
      </c>
      <c r="AL14" t="s">
        <v>306</v>
      </c>
      <c r="AM14">
        <v>0.67100000000000004</v>
      </c>
      <c r="AN14">
        <v>0</v>
      </c>
      <c r="AO14">
        <v>1</v>
      </c>
      <c r="AQ14">
        <v>133</v>
      </c>
      <c r="AR14">
        <v>30</v>
      </c>
      <c r="AS14">
        <v>0</v>
      </c>
      <c r="AT14">
        <v>93.75</v>
      </c>
      <c r="AU14">
        <v>107</v>
      </c>
      <c r="AV14">
        <v>51</v>
      </c>
      <c r="AW14">
        <v>0</v>
      </c>
      <c r="BE14" t="s">
        <v>324</v>
      </c>
      <c r="BF14">
        <v>0.45500000000000002</v>
      </c>
      <c r="BK14">
        <v>1.1000000000000001</v>
      </c>
      <c r="BL14" t="s">
        <v>164</v>
      </c>
      <c r="BM14" t="s">
        <v>165</v>
      </c>
      <c r="BN14" t="s">
        <v>73</v>
      </c>
      <c r="BO14" t="s">
        <v>74</v>
      </c>
      <c r="BQ14" t="s">
        <v>167</v>
      </c>
      <c r="BR14" t="s">
        <v>76</v>
      </c>
      <c r="BS14" t="s">
        <v>164</v>
      </c>
      <c r="BV14" t="s">
        <v>78</v>
      </c>
      <c r="BX14" t="s">
        <v>167</v>
      </c>
      <c r="BY14" s="20">
        <v>46128.602650462963</v>
      </c>
    </row>
    <row r="15" spans="1:81">
      <c r="A15" t="s">
        <v>161</v>
      </c>
      <c r="B15" t="s">
        <v>302</v>
      </c>
      <c r="C15">
        <v>200</v>
      </c>
      <c r="D15" t="s">
        <v>303</v>
      </c>
      <c r="E15" t="s">
        <v>80</v>
      </c>
      <c r="G15" t="s">
        <v>162</v>
      </c>
      <c r="H15">
        <v>56</v>
      </c>
      <c r="I15">
        <v>506</v>
      </c>
      <c r="J15" t="s">
        <v>158</v>
      </c>
      <c r="K15">
        <v>127</v>
      </c>
      <c r="L15">
        <v>785</v>
      </c>
      <c r="N15">
        <v>0</v>
      </c>
      <c r="O15" t="s">
        <v>159</v>
      </c>
      <c r="P15">
        <v>38</v>
      </c>
      <c r="Q15" t="s">
        <v>160</v>
      </c>
      <c r="R15">
        <v>13</v>
      </c>
      <c r="S15" t="s">
        <v>304</v>
      </c>
      <c r="T15">
        <v>4</v>
      </c>
      <c r="U15" t="s">
        <v>305</v>
      </c>
      <c r="V15">
        <v>10</v>
      </c>
      <c r="Z15" t="s">
        <v>161</v>
      </c>
      <c r="AF15">
        <v>571548</v>
      </c>
      <c r="AG15">
        <v>121669</v>
      </c>
      <c r="AH15">
        <v>277</v>
      </c>
      <c r="AI15">
        <v>154</v>
      </c>
      <c r="AJ15">
        <v>1.7989999999999999</v>
      </c>
      <c r="AK15">
        <v>100</v>
      </c>
      <c r="AL15" t="s">
        <v>306</v>
      </c>
      <c r="AM15">
        <v>0.72699999999999998</v>
      </c>
      <c r="AN15">
        <v>0</v>
      </c>
      <c r="AO15">
        <v>1</v>
      </c>
      <c r="AQ15">
        <v>102</v>
      </c>
      <c r="AR15">
        <v>30</v>
      </c>
      <c r="AS15">
        <v>0</v>
      </c>
      <c r="AT15">
        <v>93.75</v>
      </c>
      <c r="AU15">
        <v>107</v>
      </c>
      <c r="AV15">
        <v>51</v>
      </c>
      <c r="AW15">
        <v>0</v>
      </c>
      <c r="BE15" t="s">
        <v>325</v>
      </c>
      <c r="BF15">
        <v>0.28399999999999997</v>
      </c>
      <c r="BK15">
        <v>1.1000000000000001</v>
      </c>
      <c r="BL15" t="s">
        <v>162</v>
      </c>
      <c r="BM15" t="s">
        <v>158</v>
      </c>
      <c r="BN15" t="s">
        <v>73</v>
      </c>
      <c r="BO15" t="s">
        <v>74</v>
      </c>
      <c r="BQ15" t="s">
        <v>161</v>
      </c>
      <c r="BR15" t="s">
        <v>76</v>
      </c>
      <c r="BS15" t="s">
        <v>162</v>
      </c>
      <c r="BV15" t="s">
        <v>78</v>
      </c>
      <c r="BX15" t="s">
        <v>161</v>
      </c>
      <c r="BY15" s="20">
        <v>46128.602754629632</v>
      </c>
    </row>
    <row r="16" spans="1:81" ht="82.5">
      <c r="A16" t="s">
        <v>70</v>
      </c>
      <c r="B16" t="s">
        <v>302</v>
      </c>
      <c r="C16">
        <v>200</v>
      </c>
      <c r="D16" t="s">
        <v>303</v>
      </c>
      <c r="E16" t="s">
        <v>80</v>
      </c>
      <c r="G16" s="21" t="s">
        <v>67</v>
      </c>
      <c r="H16">
        <v>32</v>
      </c>
      <c r="I16">
        <v>293</v>
      </c>
      <c r="J16" t="s">
        <v>68</v>
      </c>
      <c r="K16">
        <v>51</v>
      </c>
      <c r="L16">
        <v>317</v>
      </c>
      <c r="N16">
        <v>0</v>
      </c>
      <c r="P16">
        <v>0</v>
      </c>
      <c r="R16">
        <v>0</v>
      </c>
      <c r="S16" t="s">
        <v>304</v>
      </c>
      <c r="T16">
        <v>4</v>
      </c>
      <c r="U16" t="s">
        <v>305</v>
      </c>
      <c r="V16">
        <v>10</v>
      </c>
      <c r="Z16" t="s">
        <v>70</v>
      </c>
      <c r="AF16">
        <v>522179</v>
      </c>
      <c r="AG16">
        <v>112638</v>
      </c>
      <c r="AH16">
        <v>136</v>
      </c>
      <c r="AI16">
        <v>66</v>
      </c>
      <c r="AJ16">
        <v>2.0609999999999999</v>
      </c>
      <c r="AK16">
        <v>100</v>
      </c>
      <c r="AL16" t="s">
        <v>306</v>
      </c>
      <c r="AM16">
        <v>0.40400000000000003</v>
      </c>
      <c r="AN16">
        <v>0</v>
      </c>
      <c r="AO16">
        <v>1</v>
      </c>
      <c r="AQ16">
        <v>7</v>
      </c>
      <c r="AR16">
        <v>1</v>
      </c>
      <c r="AS16">
        <v>0</v>
      </c>
      <c r="AT16">
        <v>3.13</v>
      </c>
      <c r="AU16">
        <v>118</v>
      </c>
      <c r="AV16">
        <v>52</v>
      </c>
      <c r="AW16">
        <v>0</v>
      </c>
      <c r="BE16" t="s">
        <v>326</v>
      </c>
      <c r="BF16">
        <v>0.34799999999999998</v>
      </c>
      <c r="BK16">
        <v>1.1000000000000001</v>
      </c>
      <c r="BL16" t="s">
        <v>71</v>
      </c>
      <c r="BM16" t="s">
        <v>68</v>
      </c>
      <c r="BN16" t="s">
        <v>73</v>
      </c>
      <c r="BO16" t="s">
        <v>74</v>
      </c>
      <c r="BQ16" t="s">
        <v>70</v>
      </c>
      <c r="BR16" t="s">
        <v>76</v>
      </c>
      <c r="BS16" t="s">
        <v>71</v>
      </c>
      <c r="BV16" t="s">
        <v>78</v>
      </c>
      <c r="BX16" t="s">
        <v>70</v>
      </c>
      <c r="BY16" s="20">
        <v>46128.602824074071</v>
      </c>
    </row>
    <row r="17" spans="1:81" ht="66">
      <c r="A17" t="s">
        <v>115</v>
      </c>
      <c r="B17" t="s">
        <v>302</v>
      </c>
      <c r="C17">
        <v>200</v>
      </c>
      <c r="D17" t="s">
        <v>303</v>
      </c>
      <c r="E17" t="s">
        <v>80</v>
      </c>
      <c r="G17" s="21" t="s">
        <v>113</v>
      </c>
      <c r="H17">
        <v>25</v>
      </c>
      <c r="I17">
        <v>243</v>
      </c>
      <c r="K17">
        <v>0</v>
      </c>
      <c r="L17">
        <v>0</v>
      </c>
      <c r="N17">
        <v>0</v>
      </c>
      <c r="O17" t="s">
        <v>114</v>
      </c>
      <c r="P17">
        <v>5</v>
      </c>
      <c r="R17">
        <v>0</v>
      </c>
      <c r="S17" t="s">
        <v>304</v>
      </c>
      <c r="T17">
        <v>4</v>
      </c>
      <c r="U17" t="s">
        <v>305</v>
      </c>
      <c r="V17">
        <v>10</v>
      </c>
      <c r="Z17" t="s">
        <v>115</v>
      </c>
      <c r="AF17">
        <v>521981</v>
      </c>
      <c r="AG17">
        <v>113310</v>
      </c>
      <c r="AH17">
        <v>146</v>
      </c>
      <c r="AI17">
        <v>74</v>
      </c>
      <c r="AJ17">
        <v>1.9730000000000001</v>
      </c>
      <c r="AK17">
        <v>100</v>
      </c>
      <c r="AL17" t="s">
        <v>306</v>
      </c>
      <c r="AM17">
        <v>0.40699999999999997</v>
      </c>
      <c r="AN17">
        <v>0</v>
      </c>
      <c r="AO17">
        <v>1</v>
      </c>
      <c r="AQ17">
        <v>15</v>
      </c>
      <c r="AR17">
        <v>4</v>
      </c>
      <c r="AS17">
        <v>0</v>
      </c>
      <c r="AT17">
        <v>12.5</v>
      </c>
      <c r="AU17">
        <v>118</v>
      </c>
      <c r="AV17">
        <v>57</v>
      </c>
      <c r="AW17">
        <v>0</v>
      </c>
      <c r="BE17" t="s">
        <v>327</v>
      </c>
      <c r="BF17">
        <v>0.375</v>
      </c>
      <c r="BK17">
        <v>1.1000000000000001</v>
      </c>
      <c r="BL17" t="s">
        <v>116</v>
      </c>
      <c r="BM17" t="s">
        <v>74</v>
      </c>
      <c r="BN17" t="s">
        <v>73</v>
      </c>
      <c r="BO17" t="s">
        <v>74</v>
      </c>
      <c r="BQ17" t="s">
        <v>115</v>
      </c>
      <c r="BR17" t="s">
        <v>76</v>
      </c>
      <c r="BS17" t="s">
        <v>116</v>
      </c>
      <c r="BV17" t="s">
        <v>78</v>
      </c>
      <c r="BX17" t="s">
        <v>115</v>
      </c>
      <c r="BY17" s="20">
        <v>46128.602800925924</v>
      </c>
    </row>
    <row r="18" spans="1:81" ht="99">
      <c r="A18" t="s">
        <v>328</v>
      </c>
      <c r="B18" t="s">
        <v>302</v>
      </c>
      <c r="C18">
        <v>200</v>
      </c>
      <c r="D18" t="s">
        <v>303</v>
      </c>
      <c r="E18" t="s">
        <v>80</v>
      </c>
      <c r="G18" s="21" t="s">
        <v>329</v>
      </c>
      <c r="H18">
        <v>32</v>
      </c>
      <c r="I18">
        <v>294</v>
      </c>
      <c r="K18">
        <v>0</v>
      </c>
      <c r="L18">
        <v>0</v>
      </c>
      <c r="N18">
        <v>0</v>
      </c>
      <c r="O18" t="s">
        <v>330</v>
      </c>
      <c r="P18">
        <v>17</v>
      </c>
      <c r="R18">
        <v>0</v>
      </c>
      <c r="S18" t="s">
        <v>331</v>
      </c>
      <c r="T18">
        <v>17</v>
      </c>
      <c r="U18" t="s">
        <v>332</v>
      </c>
      <c r="V18">
        <v>9</v>
      </c>
      <c r="Z18" t="s">
        <v>328</v>
      </c>
      <c r="AF18">
        <v>606008</v>
      </c>
      <c r="AG18">
        <v>143560</v>
      </c>
      <c r="AH18">
        <v>3325</v>
      </c>
      <c r="AI18">
        <v>1507</v>
      </c>
      <c r="AJ18">
        <v>2.206</v>
      </c>
      <c r="AK18">
        <v>47.15</v>
      </c>
      <c r="AL18" t="s">
        <v>333</v>
      </c>
      <c r="AM18">
        <v>7.702</v>
      </c>
      <c r="AN18">
        <v>0</v>
      </c>
      <c r="AO18">
        <v>1</v>
      </c>
      <c r="AQ18">
        <v>31</v>
      </c>
      <c r="AR18">
        <v>1</v>
      </c>
      <c r="AS18">
        <v>0</v>
      </c>
      <c r="AT18">
        <v>3.13</v>
      </c>
      <c r="AU18">
        <v>31</v>
      </c>
      <c r="AV18">
        <v>1</v>
      </c>
      <c r="AW18">
        <v>0</v>
      </c>
      <c r="BE18" t="s">
        <v>334</v>
      </c>
      <c r="BF18">
        <v>2.8969999999999998</v>
      </c>
      <c r="BK18">
        <v>1.1000000000000001</v>
      </c>
      <c r="BL18" t="s">
        <v>335</v>
      </c>
      <c r="BM18" t="s">
        <v>74</v>
      </c>
      <c r="BN18" t="s">
        <v>73</v>
      </c>
      <c r="BO18" t="s">
        <v>74</v>
      </c>
      <c r="BQ18" t="s">
        <v>328</v>
      </c>
      <c r="BR18" t="s">
        <v>76</v>
      </c>
      <c r="BS18" t="s">
        <v>335</v>
      </c>
      <c r="BX18" t="s">
        <v>328</v>
      </c>
      <c r="BY18" s="20">
        <v>46128.602685185186</v>
      </c>
    </row>
    <row r="19" spans="1:81" ht="99">
      <c r="A19" t="s">
        <v>131</v>
      </c>
      <c r="B19" t="s">
        <v>302</v>
      </c>
      <c r="C19">
        <v>200</v>
      </c>
      <c r="D19" t="s">
        <v>303</v>
      </c>
      <c r="E19" t="s">
        <v>80</v>
      </c>
      <c r="G19" s="21" t="s">
        <v>129</v>
      </c>
      <c r="H19">
        <v>31</v>
      </c>
      <c r="I19">
        <v>413</v>
      </c>
      <c r="J19" t="s">
        <v>130</v>
      </c>
      <c r="K19">
        <v>320</v>
      </c>
      <c r="L19">
        <v>3782</v>
      </c>
      <c r="N19">
        <v>0</v>
      </c>
      <c r="P19">
        <v>0</v>
      </c>
      <c r="R19">
        <v>0</v>
      </c>
      <c r="S19" t="s">
        <v>304</v>
      </c>
      <c r="T19">
        <v>4</v>
      </c>
      <c r="U19" t="s">
        <v>305</v>
      </c>
      <c r="V19">
        <v>10</v>
      </c>
      <c r="Z19" t="s">
        <v>131</v>
      </c>
      <c r="AF19">
        <v>517038</v>
      </c>
      <c r="AG19">
        <v>113724</v>
      </c>
      <c r="AH19">
        <v>146</v>
      </c>
      <c r="AI19">
        <v>70</v>
      </c>
      <c r="AJ19">
        <v>2.0859999999999999</v>
      </c>
      <c r="AK19">
        <v>100</v>
      </c>
      <c r="AL19" t="s">
        <v>306</v>
      </c>
      <c r="AM19">
        <v>0.39400000000000002</v>
      </c>
      <c r="AN19">
        <v>0</v>
      </c>
      <c r="AO19">
        <v>1</v>
      </c>
      <c r="AQ19">
        <v>7</v>
      </c>
      <c r="AR19">
        <v>1</v>
      </c>
      <c r="AS19">
        <v>0</v>
      </c>
      <c r="AT19">
        <v>3.13</v>
      </c>
      <c r="AU19">
        <v>104</v>
      </c>
      <c r="AV19">
        <v>52</v>
      </c>
      <c r="AW19">
        <v>0</v>
      </c>
      <c r="BE19" t="s">
        <v>336</v>
      </c>
      <c r="BF19">
        <v>0.33600000000000002</v>
      </c>
      <c r="BK19">
        <v>1.1000000000000001</v>
      </c>
      <c r="BL19" t="s">
        <v>132</v>
      </c>
      <c r="BM19" t="s">
        <v>130</v>
      </c>
      <c r="BN19" t="s">
        <v>73</v>
      </c>
      <c r="BO19" t="s">
        <v>74</v>
      </c>
      <c r="BQ19" t="s">
        <v>131</v>
      </c>
      <c r="BR19" t="s">
        <v>76</v>
      </c>
      <c r="BS19" t="s">
        <v>132</v>
      </c>
      <c r="BV19" t="s">
        <v>78</v>
      </c>
      <c r="BX19" t="s">
        <v>131</v>
      </c>
      <c r="BY19" s="20">
        <v>46128.602719907409</v>
      </c>
    </row>
    <row r="20" spans="1:81" ht="66">
      <c r="A20" t="s">
        <v>98</v>
      </c>
      <c r="B20" t="s">
        <v>302</v>
      </c>
      <c r="C20">
        <v>200</v>
      </c>
      <c r="D20" t="s">
        <v>303</v>
      </c>
      <c r="E20" t="s">
        <v>80</v>
      </c>
      <c r="G20" s="21" t="s">
        <v>95</v>
      </c>
      <c r="H20">
        <v>28</v>
      </c>
      <c r="I20">
        <v>256</v>
      </c>
      <c r="K20">
        <v>0</v>
      </c>
      <c r="L20">
        <v>0</v>
      </c>
      <c r="N20">
        <v>0</v>
      </c>
      <c r="O20" t="s">
        <v>97</v>
      </c>
      <c r="P20">
        <v>9</v>
      </c>
      <c r="R20">
        <v>0</v>
      </c>
      <c r="S20" t="s">
        <v>304</v>
      </c>
      <c r="T20">
        <v>4</v>
      </c>
      <c r="U20" t="s">
        <v>305</v>
      </c>
      <c r="V20">
        <v>10</v>
      </c>
      <c r="Z20" t="s">
        <v>98</v>
      </c>
      <c r="AF20">
        <v>525736</v>
      </c>
      <c r="AG20">
        <v>112767</v>
      </c>
      <c r="AH20">
        <v>187</v>
      </c>
      <c r="AI20">
        <v>89</v>
      </c>
      <c r="AJ20">
        <v>2.101</v>
      </c>
      <c r="AK20">
        <v>100</v>
      </c>
      <c r="AL20" t="s">
        <v>306</v>
      </c>
      <c r="AM20">
        <v>0.44900000000000001</v>
      </c>
      <c r="AN20">
        <v>0</v>
      </c>
      <c r="AO20">
        <v>1</v>
      </c>
      <c r="AQ20">
        <v>68</v>
      </c>
      <c r="AR20">
        <v>30</v>
      </c>
      <c r="AS20">
        <v>0</v>
      </c>
      <c r="AT20">
        <v>93.75</v>
      </c>
      <c r="AU20">
        <v>112</v>
      </c>
      <c r="AV20">
        <v>51</v>
      </c>
      <c r="AW20">
        <v>0</v>
      </c>
      <c r="BE20" t="s">
        <v>337</v>
      </c>
      <c r="BF20">
        <v>0.373</v>
      </c>
      <c r="BK20">
        <v>1.1000000000000001</v>
      </c>
      <c r="BL20" t="s">
        <v>99</v>
      </c>
      <c r="BM20" t="s">
        <v>74</v>
      </c>
      <c r="BN20" t="s">
        <v>73</v>
      </c>
      <c r="BO20" t="s">
        <v>74</v>
      </c>
      <c r="BQ20" t="s">
        <v>98</v>
      </c>
      <c r="BR20" t="s">
        <v>76</v>
      </c>
      <c r="BS20" t="s">
        <v>99</v>
      </c>
      <c r="BV20" t="s">
        <v>78</v>
      </c>
      <c r="BX20" t="s">
        <v>98</v>
      </c>
      <c r="BY20" s="20">
        <v>46128.602685185186</v>
      </c>
    </row>
    <row r="21" spans="1:81" ht="82.5">
      <c r="A21" t="s">
        <v>120</v>
      </c>
      <c r="B21" t="s">
        <v>302</v>
      </c>
      <c r="C21">
        <v>200</v>
      </c>
      <c r="D21" t="s">
        <v>303</v>
      </c>
      <c r="E21" t="s">
        <v>80</v>
      </c>
      <c r="G21" s="21" t="s">
        <v>118</v>
      </c>
      <c r="H21">
        <v>29</v>
      </c>
      <c r="I21">
        <v>276</v>
      </c>
      <c r="K21">
        <v>0</v>
      </c>
      <c r="L21">
        <v>0</v>
      </c>
      <c r="N21">
        <v>0</v>
      </c>
      <c r="O21" t="s">
        <v>119</v>
      </c>
      <c r="P21">
        <v>7</v>
      </c>
      <c r="R21">
        <v>0</v>
      </c>
      <c r="S21" t="s">
        <v>304</v>
      </c>
      <c r="T21">
        <v>4</v>
      </c>
      <c r="U21" t="s">
        <v>305</v>
      </c>
      <c r="V21">
        <v>10</v>
      </c>
      <c r="Z21" t="s">
        <v>120</v>
      </c>
      <c r="AF21">
        <v>516170</v>
      </c>
      <c r="AG21">
        <v>112223</v>
      </c>
      <c r="AH21">
        <v>148</v>
      </c>
      <c r="AI21">
        <v>71</v>
      </c>
      <c r="AJ21">
        <v>2.085</v>
      </c>
      <c r="AK21">
        <v>100</v>
      </c>
      <c r="AL21" t="s">
        <v>306</v>
      </c>
      <c r="AM21">
        <v>0.39900000000000002</v>
      </c>
      <c r="AN21">
        <v>0</v>
      </c>
      <c r="AO21">
        <v>1</v>
      </c>
      <c r="AQ21">
        <v>15</v>
      </c>
      <c r="AR21">
        <v>5</v>
      </c>
      <c r="AS21">
        <v>0</v>
      </c>
      <c r="AT21">
        <v>15.63</v>
      </c>
      <c r="AU21">
        <v>106</v>
      </c>
      <c r="AV21">
        <v>53</v>
      </c>
      <c r="AW21">
        <v>0</v>
      </c>
      <c r="BE21" t="s">
        <v>338</v>
      </c>
      <c r="BF21">
        <v>0.38600000000000001</v>
      </c>
      <c r="BK21">
        <v>1.1000000000000001</v>
      </c>
      <c r="BL21" t="s">
        <v>121</v>
      </c>
      <c r="BM21" t="s">
        <v>74</v>
      </c>
      <c r="BN21" t="s">
        <v>73</v>
      </c>
      <c r="BO21" t="s">
        <v>74</v>
      </c>
      <c r="BQ21" t="s">
        <v>120</v>
      </c>
      <c r="BR21" t="s">
        <v>76</v>
      </c>
      <c r="BS21" t="s">
        <v>121</v>
      </c>
      <c r="BV21" t="s">
        <v>78</v>
      </c>
      <c r="BX21" t="s">
        <v>120</v>
      </c>
      <c r="BY21" s="20">
        <v>46128.602824074071</v>
      </c>
    </row>
    <row r="22" spans="1:81" ht="66">
      <c r="A22" t="s">
        <v>339</v>
      </c>
      <c r="B22" t="s">
        <v>302</v>
      </c>
      <c r="C22">
        <v>200</v>
      </c>
      <c r="D22" t="s">
        <v>303</v>
      </c>
      <c r="E22" t="s">
        <v>80</v>
      </c>
      <c r="G22" s="21" t="s">
        <v>340</v>
      </c>
      <c r="H22">
        <v>27</v>
      </c>
      <c r="I22">
        <v>249</v>
      </c>
      <c r="K22">
        <v>0</v>
      </c>
      <c r="L22">
        <v>0</v>
      </c>
      <c r="N22">
        <v>0</v>
      </c>
      <c r="O22" t="s">
        <v>341</v>
      </c>
      <c r="P22">
        <v>8</v>
      </c>
      <c r="R22">
        <v>0</v>
      </c>
      <c r="S22" t="s">
        <v>304</v>
      </c>
      <c r="T22">
        <v>4</v>
      </c>
      <c r="U22" t="s">
        <v>305</v>
      </c>
      <c r="V22">
        <v>10</v>
      </c>
      <c r="Z22" t="s">
        <v>339</v>
      </c>
      <c r="AF22">
        <v>514548</v>
      </c>
      <c r="AG22">
        <v>112304</v>
      </c>
      <c r="AH22">
        <v>146</v>
      </c>
      <c r="AI22">
        <v>70</v>
      </c>
      <c r="AJ22">
        <v>2.0859999999999999</v>
      </c>
      <c r="AK22">
        <v>100</v>
      </c>
      <c r="AL22" t="s">
        <v>306</v>
      </c>
      <c r="AM22">
        <v>0.38500000000000001</v>
      </c>
      <c r="AN22">
        <v>0</v>
      </c>
      <c r="AO22">
        <v>1</v>
      </c>
      <c r="AQ22">
        <v>7</v>
      </c>
      <c r="AR22">
        <v>1</v>
      </c>
      <c r="AS22">
        <v>0</v>
      </c>
      <c r="AT22">
        <v>3.13</v>
      </c>
      <c r="AU22">
        <v>107</v>
      </c>
      <c r="AV22">
        <v>52</v>
      </c>
      <c r="AW22">
        <v>0</v>
      </c>
      <c r="BE22" t="s">
        <v>342</v>
      </c>
      <c r="BF22">
        <v>0.34499999999999997</v>
      </c>
      <c r="BK22">
        <v>1.1000000000000001</v>
      </c>
      <c r="BL22" t="s">
        <v>343</v>
      </c>
      <c r="BM22" t="s">
        <v>74</v>
      </c>
      <c r="BN22" t="s">
        <v>73</v>
      </c>
      <c r="BO22" t="s">
        <v>74</v>
      </c>
      <c r="BQ22" t="s">
        <v>339</v>
      </c>
      <c r="BR22" t="s">
        <v>76</v>
      </c>
      <c r="BS22" t="s">
        <v>343</v>
      </c>
      <c r="BV22" t="s">
        <v>78</v>
      </c>
      <c r="BX22" t="s">
        <v>339</v>
      </c>
      <c r="BY22" s="20">
        <v>46128.602800925924</v>
      </c>
    </row>
    <row r="23" spans="1:81" ht="66">
      <c r="A23" t="s">
        <v>204</v>
      </c>
      <c r="B23" t="s">
        <v>302</v>
      </c>
      <c r="C23">
        <v>200</v>
      </c>
      <c r="D23" t="s">
        <v>303</v>
      </c>
      <c r="E23" t="s">
        <v>80</v>
      </c>
      <c r="G23" s="21" t="s">
        <v>201</v>
      </c>
      <c r="H23">
        <v>25</v>
      </c>
      <c r="I23">
        <v>230</v>
      </c>
      <c r="K23">
        <v>0</v>
      </c>
      <c r="L23">
        <v>0</v>
      </c>
      <c r="N23">
        <v>0</v>
      </c>
      <c r="O23" t="s">
        <v>203</v>
      </c>
      <c r="P23">
        <v>4</v>
      </c>
      <c r="R23">
        <v>0</v>
      </c>
      <c r="S23" t="s">
        <v>304</v>
      </c>
      <c r="T23">
        <v>4</v>
      </c>
      <c r="U23" t="s">
        <v>305</v>
      </c>
      <c r="V23">
        <v>10</v>
      </c>
      <c r="Z23" t="s">
        <v>204</v>
      </c>
      <c r="AF23">
        <v>523935</v>
      </c>
      <c r="AG23">
        <v>113164</v>
      </c>
      <c r="AH23">
        <v>141</v>
      </c>
      <c r="AI23">
        <v>70</v>
      </c>
      <c r="AJ23">
        <v>2.0139999999999998</v>
      </c>
      <c r="AK23">
        <v>100</v>
      </c>
      <c r="AL23" t="s">
        <v>306</v>
      </c>
      <c r="AM23">
        <v>0.40799999999999997</v>
      </c>
      <c r="AN23">
        <v>0</v>
      </c>
      <c r="AO23">
        <v>1</v>
      </c>
      <c r="AQ23">
        <v>52</v>
      </c>
      <c r="AR23">
        <v>30</v>
      </c>
      <c r="AS23">
        <v>0</v>
      </c>
      <c r="AT23">
        <v>93.75</v>
      </c>
      <c r="AU23">
        <v>118</v>
      </c>
      <c r="AV23">
        <v>51</v>
      </c>
      <c r="AW23">
        <v>0</v>
      </c>
      <c r="BE23" t="s">
        <v>344</v>
      </c>
      <c r="BF23">
        <v>0.36899999999999999</v>
      </c>
      <c r="BK23">
        <v>1.1000000000000001</v>
      </c>
      <c r="BL23" t="s">
        <v>205</v>
      </c>
      <c r="BM23" t="s">
        <v>74</v>
      </c>
      <c r="BN23" t="s">
        <v>73</v>
      </c>
      <c r="BO23" t="s">
        <v>74</v>
      </c>
      <c r="BQ23" t="s">
        <v>204</v>
      </c>
      <c r="BR23" t="s">
        <v>76</v>
      </c>
      <c r="BS23" t="s">
        <v>205</v>
      </c>
      <c r="BV23" t="s">
        <v>78</v>
      </c>
      <c r="BW23" t="s">
        <v>345</v>
      </c>
      <c r="BX23" t="s">
        <v>204</v>
      </c>
      <c r="BY23" s="20">
        <v>46128.602719907409</v>
      </c>
    </row>
    <row r="24" spans="1:81" ht="66">
      <c r="A24" t="s">
        <v>224</v>
      </c>
      <c r="B24" t="s">
        <v>302</v>
      </c>
      <c r="C24">
        <v>200</v>
      </c>
      <c r="D24" t="s">
        <v>303</v>
      </c>
      <c r="E24" t="s">
        <v>80</v>
      </c>
      <c r="G24" s="21" t="s">
        <v>221</v>
      </c>
      <c r="H24">
        <v>24</v>
      </c>
      <c r="I24">
        <v>222</v>
      </c>
      <c r="K24">
        <v>0</v>
      </c>
      <c r="L24">
        <v>0</v>
      </c>
      <c r="N24">
        <v>0</v>
      </c>
      <c r="O24" t="s">
        <v>223</v>
      </c>
      <c r="P24">
        <v>4</v>
      </c>
      <c r="R24">
        <v>0</v>
      </c>
      <c r="S24" t="s">
        <v>304</v>
      </c>
      <c r="T24">
        <v>4</v>
      </c>
      <c r="U24" t="s">
        <v>305</v>
      </c>
      <c r="V24">
        <v>10</v>
      </c>
      <c r="Z24" t="s">
        <v>224</v>
      </c>
      <c r="AF24">
        <v>525641</v>
      </c>
      <c r="AG24">
        <v>113524</v>
      </c>
      <c r="AH24">
        <v>177</v>
      </c>
      <c r="AI24">
        <v>83</v>
      </c>
      <c r="AJ24">
        <v>2.133</v>
      </c>
      <c r="AK24">
        <v>100</v>
      </c>
      <c r="AL24" t="s">
        <v>306</v>
      </c>
      <c r="AM24">
        <v>0.48299999999999998</v>
      </c>
      <c r="AN24">
        <v>0</v>
      </c>
      <c r="AO24">
        <v>1</v>
      </c>
      <c r="AQ24">
        <v>7</v>
      </c>
      <c r="AR24">
        <v>1</v>
      </c>
      <c r="AS24">
        <v>0</v>
      </c>
      <c r="AT24">
        <v>3.13</v>
      </c>
      <c r="AU24">
        <v>112</v>
      </c>
      <c r="AV24">
        <v>58</v>
      </c>
      <c r="AW24">
        <v>0</v>
      </c>
      <c r="BE24" t="s">
        <v>346</v>
      </c>
      <c r="BF24">
        <v>0.39600000000000002</v>
      </c>
      <c r="BK24">
        <v>1.1000000000000001</v>
      </c>
      <c r="BL24" t="s">
        <v>225</v>
      </c>
      <c r="BM24" t="s">
        <v>74</v>
      </c>
      <c r="BN24" t="s">
        <v>73</v>
      </c>
      <c r="BO24" t="s">
        <v>74</v>
      </c>
      <c r="BQ24" t="s">
        <v>224</v>
      </c>
      <c r="BR24" t="s">
        <v>76</v>
      </c>
      <c r="BS24" t="s">
        <v>225</v>
      </c>
      <c r="BV24" t="s">
        <v>78</v>
      </c>
      <c r="BW24" t="s">
        <v>347</v>
      </c>
      <c r="BX24" t="s">
        <v>224</v>
      </c>
      <c r="BY24" s="20">
        <v>46128.602800925924</v>
      </c>
    </row>
    <row r="25" spans="1:81" ht="132">
      <c r="A25" t="s">
        <v>198</v>
      </c>
      <c r="B25" t="s">
        <v>302</v>
      </c>
      <c r="C25">
        <v>200</v>
      </c>
      <c r="D25" t="s">
        <v>303</v>
      </c>
      <c r="E25" t="s">
        <v>80</v>
      </c>
      <c r="G25" s="21" t="s">
        <v>195</v>
      </c>
      <c r="H25">
        <v>56</v>
      </c>
      <c r="I25">
        <v>512</v>
      </c>
      <c r="J25" t="s">
        <v>196</v>
      </c>
      <c r="K25">
        <v>152</v>
      </c>
      <c r="L25">
        <v>920</v>
      </c>
      <c r="N25">
        <v>0</v>
      </c>
      <c r="O25" t="s">
        <v>197</v>
      </c>
      <c r="P25">
        <v>10</v>
      </c>
      <c r="R25">
        <v>0</v>
      </c>
      <c r="S25" t="s">
        <v>304</v>
      </c>
      <c r="T25">
        <v>4</v>
      </c>
      <c r="U25" t="s">
        <v>305</v>
      </c>
      <c r="V25">
        <v>10</v>
      </c>
      <c r="Z25" t="s">
        <v>198</v>
      </c>
      <c r="AF25">
        <v>525317</v>
      </c>
      <c r="AG25">
        <v>114781</v>
      </c>
      <c r="AH25">
        <v>210</v>
      </c>
      <c r="AI25">
        <v>101</v>
      </c>
      <c r="AJ25">
        <v>2.0790000000000002</v>
      </c>
      <c r="AK25">
        <v>100</v>
      </c>
      <c r="AL25" t="s">
        <v>306</v>
      </c>
      <c r="AM25">
        <v>0.71199999999999997</v>
      </c>
      <c r="AN25">
        <v>0</v>
      </c>
      <c r="AO25">
        <v>1</v>
      </c>
      <c r="AQ25">
        <v>102</v>
      </c>
      <c r="AR25">
        <v>30</v>
      </c>
      <c r="AS25">
        <v>0</v>
      </c>
      <c r="AT25">
        <v>93.75</v>
      </c>
      <c r="AU25">
        <v>112</v>
      </c>
      <c r="AV25">
        <v>54</v>
      </c>
      <c r="AW25">
        <v>0</v>
      </c>
      <c r="BE25" t="s">
        <v>348</v>
      </c>
      <c r="BF25">
        <v>0.35899999999999999</v>
      </c>
      <c r="BK25">
        <v>1.1000000000000001</v>
      </c>
      <c r="BL25" t="s">
        <v>199</v>
      </c>
      <c r="BM25" t="s">
        <v>196</v>
      </c>
      <c r="BN25" t="s">
        <v>73</v>
      </c>
      <c r="BO25" t="s">
        <v>74</v>
      </c>
      <c r="BQ25" t="s">
        <v>198</v>
      </c>
      <c r="BR25" t="s">
        <v>76</v>
      </c>
      <c r="BS25" t="s">
        <v>199</v>
      </c>
      <c r="BV25" t="s">
        <v>78</v>
      </c>
      <c r="BW25" t="s">
        <v>349</v>
      </c>
      <c r="BX25" t="s">
        <v>198</v>
      </c>
      <c r="BY25" s="20">
        <v>46128.602743055555</v>
      </c>
    </row>
    <row r="26" spans="1:81" ht="115.5">
      <c r="A26" t="s">
        <v>350</v>
      </c>
      <c r="B26" t="s">
        <v>302</v>
      </c>
      <c r="C26">
        <v>200</v>
      </c>
      <c r="D26" t="s">
        <v>303</v>
      </c>
      <c r="E26" t="s">
        <v>80</v>
      </c>
      <c r="G26" s="21" t="s">
        <v>351</v>
      </c>
      <c r="H26">
        <v>42</v>
      </c>
      <c r="I26">
        <v>386</v>
      </c>
      <c r="K26">
        <v>0</v>
      </c>
      <c r="L26">
        <v>0</v>
      </c>
      <c r="N26">
        <v>0</v>
      </c>
      <c r="O26" t="s">
        <v>352</v>
      </c>
      <c r="P26">
        <v>23</v>
      </c>
      <c r="R26">
        <v>0</v>
      </c>
      <c r="S26" t="s">
        <v>304</v>
      </c>
      <c r="T26">
        <v>4</v>
      </c>
      <c r="U26" t="s">
        <v>305</v>
      </c>
      <c r="V26">
        <v>10</v>
      </c>
      <c r="Z26" t="s">
        <v>350</v>
      </c>
      <c r="AF26">
        <v>521957</v>
      </c>
      <c r="AG26">
        <v>114229</v>
      </c>
      <c r="AH26">
        <v>145</v>
      </c>
      <c r="AI26">
        <v>71</v>
      </c>
      <c r="AJ26">
        <v>2.0419999999999998</v>
      </c>
      <c r="AK26">
        <v>100</v>
      </c>
      <c r="AL26" t="s">
        <v>306</v>
      </c>
      <c r="AM26">
        <v>0.38500000000000001</v>
      </c>
      <c r="AN26">
        <v>0</v>
      </c>
      <c r="AO26">
        <v>2</v>
      </c>
      <c r="AQ26">
        <v>8</v>
      </c>
      <c r="AR26">
        <v>2</v>
      </c>
      <c r="AS26">
        <v>0</v>
      </c>
      <c r="AT26">
        <v>6.25</v>
      </c>
      <c r="AU26">
        <v>107</v>
      </c>
      <c r="AV26">
        <v>52</v>
      </c>
      <c r="AW26">
        <v>0</v>
      </c>
      <c r="BE26" t="s">
        <v>353</v>
      </c>
      <c r="BF26">
        <v>0.30199999999999999</v>
      </c>
      <c r="BK26">
        <v>1.1000000000000001</v>
      </c>
      <c r="BL26" t="s">
        <v>354</v>
      </c>
      <c r="BM26" t="s">
        <v>74</v>
      </c>
      <c r="BN26" t="s">
        <v>177</v>
      </c>
      <c r="BO26" t="s">
        <v>74</v>
      </c>
      <c r="BP26" t="s">
        <v>355</v>
      </c>
      <c r="BQ26" t="s">
        <v>350</v>
      </c>
      <c r="BR26" t="s">
        <v>76</v>
      </c>
      <c r="BS26" t="s">
        <v>354</v>
      </c>
      <c r="BV26" t="s">
        <v>78</v>
      </c>
      <c r="BW26" t="s">
        <v>347</v>
      </c>
      <c r="BX26" t="s">
        <v>350</v>
      </c>
      <c r="BY26" s="20">
        <v>46128.602766203701</v>
      </c>
      <c r="BZ26" t="s">
        <v>179</v>
      </c>
      <c r="CA26" t="s">
        <v>180</v>
      </c>
      <c r="CB26" t="s">
        <v>181</v>
      </c>
      <c r="CC26" t="s">
        <v>78</v>
      </c>
    </row>
    <row r="27" spans="1:81" ht="115.5">
      <c r="A27" t="s">
        <v>356</v>
      </c>
      <c r="B27" t="s">
        <v>302</v>
      </c>
      <c r="C27">
        <v>200</v>
      </c>
      <c r="D27" t="s">
        <v>303</v>
      </c>
      <c r="E27" t="s">
        <v>80</v>
      </c>
      <c r="G27" s="21" t="s">
        <v>357</v>
      </c>
      <c r="H27">
        <v>44</v>
      </c>
      <c r="I27">
        <v>402</v>
      </c>
      <c r="K27">
        <v>0</v>
      </c>
      <c r="L27">
        <v>0</v>
      </c>
      <c r="N27">
        <v>0</v>
      </c>
      <c r="O27" t="s">
        <v>358</v>
      </c>
      <c r="P27">
        <v>25</v>
      </c>
      <c r="R27">
        <v>0</v>
      </c>
      <c r="S27" t="s">
        <v>304</v>
      </c>
      <c r="T27">
        <v>4</v>
      </c>
      <c r="U27" t="s">
        <v>305</v>
      </c>
      <c r="V27">
        <v>10</v>
      </c>
      <c r="Z27" t="s">
        <v>356</v>
      </c>
      <c r="AF27">
        <v>521515</v>
      </c>
      <c r="AG27">
        <v>114458</v>
      </c>
      <c r="AH27">
        <v>145</v>
      </c>
      <c r="AI27">
        <v>71</v>
      </c>
      <c r="AJ27">
        <v>2.0419999999999998</v>
      </c>
      <c r="AK27">
        <v>100</v>
      </c>
      <c r="AL27" t="s">
        <v>306</v>
      </c>
      <c r="AM27">
        <v>0.38600000000000001</v>
      </c>
      <c r="AN27">
        <v>0</v>
      </c>
      <c r="AO27">
        <v>2</v>
      </c>
      <c r="AQ27">
        <v>8</v>
      </c>
      <c r="AR27">
        <v>2</v>
      </c>
      <c r="AS27">
        <v>0</v>
      </c>
      <c r="AT27">
        <v>6.25</v>
      </c>
      <c r="AU27">
        <v>107</v>
      </c>
      <c r="AV27">
        <v>53</v>
      </c>
      <c r="AW27">
        <v>0</v>
      </c>
      <c r="BE27" t="s">
        <v>359</v>
      </c>
      <c r="BF27">
        <v>0.36</v>
      </c>
      <c r="BK27">
        <v>1.1000000000000001</v>
      </c>
      <c r="BL27" t="s">
        <v>360</v>
      </c>
      <c r="BM27" t="s">
        <v>74</v>
      </c>
      <c r="BN27" t="s">
        <v>177</v>
      </c>
      <c r="BO27" t="s">
        <v>74</v>
      </c>
      <c r="BQ27" t="s">
        <v>356</v>
      </c>
      <c r="BR27" t="s">
        <v>76</v>
      </c>
      <c r="BS27" t="s">
        <v>360</v>
      </c>
      <c r="BV27" t="s">
        <v>78</v>
      </c>
      <c r="BW27" t="s">
        <v>347</v>
      </c>
      <c r="BX27" t="s">
        <v>356</v>
      </c>
      <c r="BY27" s="20">
        <v>46128.602638888886</v>
      </c>
      <c r="BZ27" t="s">
        <v>179</v>
      </c>
      <c r="CA27" t="s">
        <v>180</v>
      </c>
      <c r="CB27" t="s">
        <v>181</v>
      </c>
      <c r="CC27" t="s">
        <v>78</v>
      </c>
    </row>
    <row r="28" spans="1:81" ht="115.5">
      <c r="A28" t="s">
        <v>361</v>
      </c>
      <c r="B28" t="s">
        <v>302</v>
      </c>
      <c r="C28">
        <v>200</v>
      </c>
      <c r="D28" t="s">
        <v>303</v>
      </c>
      <c r="E28" t="s">
        <v>80</v>
      </c>
      <c r="G28" s="21" t="s">
        <v>362</v>
      </c>
      <c r="H28">
        <v>43</v>
      </c>
      <c r="I28">
        <v>397</v>
      </c>
      <c r="J28" t="s">
        <v>363</v>
      </c>
      <c r="K28">
        <v>104</v>
      </c>
      <c r="L28">
        <v>1411</v>
      </c>
      <c r="N28">
        <v>0</v>
      </c>
      <c r="O28" t="s">
        <v>364</v>
      </c>
      <c r="P28">
        <v>24</v>
      </c>
      <c r="R28">
        <v>0</v>
      </c>
      <c r="S28" t="s">
        <v>304</v>
      </c>
      <c r="T28">
        <v>4</v>
      </c>
      <c r="U28" t="s">
        <v>305</v>
      </c>
      <c r="V28">
        <v>10</v>
      </c>
      <c r="Z28" t="s">
        <v>361</v>
      </c>
      <c r="AF28">
        <v>524115</v>
      </c>
      <c r="AG28">
        <v>115287</v>
      </c>
      <c r="AH28">
        <v>157</v>
      </c>
      <c r="AI28">
        <v>76</v>
      </c>
      <c r="AJ28">
        <v>2.0659999999999998</v>
      </c>
      <c r="AK28">
        <v>100</v>
      </c>
      <c r="AL28" t="s">
        <v>306</v>
      </c>
      <c r="AM28">
        <v>0.432</v>
      </c>
      <c r="AN28">
        <v>0</v>
      </c>
      <c r="AO28">
        <v>2</v>
      </c>
      <c r="AQ28">
        <v>8</v>
      </c>
      <c r="AR28">
        <v>2</v>
      </c>
      <c r="AS28">
        <v>0</v>
      </c>
      <c r="AT28">
        <v>6.25</v>
      </c>
      <c r="AU28">
        <v>107</v>
      </c>
      <c r="AV28">
        <v>52</v>
      </c>
      <c r="AW28">
        <v>0</v>
      </c>
      <c r="BE28" t="s">
        <v>365</v>
      </c>
      <c r="BF28">
        <v>0.42699999999999999</v>
      </c>
      <c r="BK28">
        <v>1.1000000000000001</v>
      </c>
      <c r="BL28" t="s">
        <v>366</v>
      </c>
      <c r="BM28" t="s">
        <v>363</v>
      </c>
      <c r="BN28" t="s">
        <v>177</v>
      </c>
      <c r="BO28" t="s">
        <v>74</v>
      </c>
      <c r="BP28" t="s">
        <v>367</v>
      </c>
      <c r="BQ28" t="s">
        <v>361</v>
      </c>
      <c r="BR28" t="s">
        <v>76</v>
      </c>
      <c r="BS28" t="s">
        <v>366</v>
      </c>
      <c r="BV28" t="s">
        <v>78</v>
      </c>
      <c r="BW28" t="s">
        <v>347</v>
      </c>
      <c r="BX28" t="s">
        <v>361</v>
      </c>
      <c r="BY28" s="20">
        <v>46128.602696759262</v>
      </c>
      <c r="BZ28" t="s">
        <v>179</v>
      </c>
      <c r="CA28" t="s">
        <v>180</v>
      </c>
      <c r="CB28" t="s">
        <v>181</v>
      </c>
      <c r="CC28" t="s">
        <v>78</v>
      </c>
    </row>
    <row r="29" spans="1:81">
      <c r="A29" t="s">
        <v>193</v>
      </c>
      <c r="B29" t="s">
        <v>302</v>
      </c>
      <c r="C29">
        <v>200</v>
      </c>
      <c r="D29" t="s">
        <v>303</v>
      </c>
      <c r="E29" t="s">
        <v>80</v>
      </c>
      <c r="G29" t="s">
        <v>188</v>
      </c>
      <c r="H29">
        <v>45</v>
      </c>
      <c r="I29">
        <v>475</v>
      </c>
      <c r="J29" t="s">
        <v>190</v>
      </c>
      <c r="K29">
        <v>55</v>
      </c>
      <c r="L29">
        <v>422</v>
      </c>
      <c r="N29">
        <v>0</v>
      </c>
      <c r="O29" t="s">
        <v>368</v>
      </c>
      <c r="P29">
        <v>32</v>
      </c>
      <c r="Q29" t="s">
        <v>369</v>
      </c>
      <c r="R29">
        <v>26</v>
      </c>
      <c r="S29" t="s">
        <v>304</v>
      </c>
      <c r="T29">
        <v>4</v>
      </c>
      <c r="U29" t="s">
        <v>305</v>
      </c>
      <c r="V29">
        <v>10</v>
      </c>
      <c r="Z29" t="s">
        <v>193</v>
      </c>
      <c r="AF29">
        <v>561878</v>
      </c>
      <c r="AG29">
        <v>119734</v>
      </c>
      <c r="AH29">
        <v>342</v>
      </c>
      <c r="AI29">
        <v>169</v>
      </c>
      <c r="AJ29">
        <v>2.024</v>
      </c>
      <c r="AK29">
        <v>100</v>
      </c>
      <c r="AL29" t="s">
        <v>306</v>
      </c>
      <c r="AM29">
        <v>0.69499999999999995</v>
      </c>
      <c r="AN29">
        <v>0</v>
      </c>
      <c r="AO29">
        <v>2</v>
      </c>
      <c r="AQ29">
        <v>8</v>
      </c>
      <c r="AR29">
        <v>2</v>
      </c>
      <c r="AS29">
        <v>0</v>
      </c>
      <c r="AT29">
        <v>6.25</v>
      </c>
      <c r="AU29">
        <v>105</v>
      </c>
      <c r="AV29">
        <v>53</v>
      </c>
      <c r="AW29">
        <v>0</v>
      </c>
      <c r="BE29" t="s">
        <v>370</v>
      </c>
      <c r="BF29">
        <v>0.34799999999999998</v>
      </c>
      <c r="BK29">
        <v>1.1000000000000001</v>
      </c>
      <c r="BL29" t="s">
        <v>188</v>
      </c>
      <c r="BM29" t="s">
        <v>190</v>
      </c>
      <c r="BN29" t="s">
        <v>177</v>
      </c>
      <c r="BO29" t="s">
        <v>74</v>
      </c>
      <c r="BP29" t="s">
        <v>235</v>
      </c>
      <c r="BQ29" t="s">
        <v>193</v>
      </c>
      <c r="BR29" t="s">
        <v>76</v>
      </c>
      <c r="BS29" t="s">
        <v>188</v>
      </c>
      <c r="BV29" t="s">
        <v>78</v>
      </c>
      <c r="BW29" t="s">
        <v>349</v>
      </c>
      <c r="BX29" t="s">
        <v>193</v>
      </c>
      <c r="BY29" s="20">
        <v>46128.602708333332</v>
      </c>
      <c r="BZ29" t="s">
        <v>179</v>
      </c>
      <c r="CA29" t="s">
        <v>180</v>
      </c>
      <c r="CB29" t="s">
        <v>181</v>
      </c>
      <c r="CC29" t="s">
        <v>78</v>
      </c>
    </row>
    <row r="30" spans="1:81">
      <c r="A30" t="s">
        <v>186</v>
      </c>
      <c r="B30" t="s">
        <v>302</v>
      </c>
      <c r="C30">
        <v>200</v>
      </c>
      <c r="D30" t="s">
        <v>303</v>
      </c>
      <c r="E30" t="s">
        <v>80</v>
      </c>
      <c r="G30" t="s">
        <v>183</v>
      </c>
      <c r="H30">
        <v>57</v>
      </c>
      <c r="I30">
        <v>557</v>
      </c>
      <c r="J30" t="s">
        <v>184</v>
      </c>
      <c r="K30">
        <v>135</v>
      </c>
      <c r="L30">
        <v>853</v>
      </c>
      <c r="N30">
        <v>0</v>
      </c>
      <c r="O30" t="s">
        <v>185</v>
      </c>
      <c r="P30">
        <v>39</v>
      </c>
      <c r="R30">
        <v>0</v>
      </c>
      <c r="S30" t="s">
        <v>304</v>
      </c>
      <c r="T30">
        <v>4</v>
      </c>
      <c r="U30" t="s">
        <v>305</v>
      </c>
      <c r="V30">
        <v>10</v>
      </c>
      <c r="Z30" t="s">
        <v>186</v>
      </c>
      <c r="AF30">
        <v>600964</v>
      </c>
      <c r="AG30">
        <v>124122</v>
      </c>
      <c r="AH30">
        <v>369</v>
      </c>
      <c r="AI30">
        <v>185</v>
      </c>
      <c r="AJ30">
        <v>1.9950000000000001</v>
      </c>
      <c r="AK30">
        <v>100</v>
      </c>
      <c r="AL30" t="s">
        <v>306</v>
      </c>
      <c r="AM30">
        <v>0.67700000000000005</v>
      </c>
      <c r="AN30">
        <v>0</v>
      </c>
      <c r="AO30">
        <v>2</v>
      </c>
      <c r="AQ30">
        <v>8</v>
      </c>
      <c r="AR30">
        <v>2</v>
      </c>
      <c r="AS30">
        <v>0</v>
      </c>
      <c r="AT30">
        <v>6.25</v>
      </c>
      <c r="AU30">
        <v>111</v>
      </c>
      <c r="AV30">
        <v>58</v>
      </c>
      <c r="AW30">
        <v>0</v>
      </c>
      <c r="BE30" t="s">
        <v>371</v>
      </c>
      <c r="BF30">
        <v>0.35799999999999998</v>
      </c>
      <c r="BK30">
        <v>1.1000000000000001</v>
      </c>
      <c r="BL30" t="s">
        <v>183</v>
      </c>
      <c r="BM30" t="s">
        <v>184</v>
      </c>
      <c r="BN30" t="s">
        <v>177</v>
      </c>
      <c r="BO30" t="s">
        <v>74</v>
      </c>
      <c r="BP30" t="s">
        <v>234</v>
      </c>
      <c r="BQ30" t="s">
        <v>186</v>
      </c>
      <c r="BR30" t="s">
        <v>76</v>
      </c>
      <c r="BS30" t="s">
        <v>183</v>
      </c>
      <c r="BV30" t="s">
        <v>78</v>
      </c>
      <c r="BW30" t="s">
        <v>349</v>
      </c>
      <c r="BX30" t="s">
        <v>186</v>
      </c>
      <c r="BY30" s="20">
        <v>46128.602708333332</v>
      </c>
      <c r="BZ30" t="s">
        <v>179</v>
      </c>
      <c r="CA30" t="s">
        <v>180</v>
      </c>
      <c r="CB30" t="s">
        <v>181</v>
      </c>
      <c r="CC30" t="s">
        <v>78</v>
      </c>
    </row>
    <row r="31" spans="1:81" ht="148.5">
      <c r="A31" t="s">
        <v>216</v>
      </c>
      <c r="B31" t="s">
        <v>302</v>
      </c>
      <c r="C31">
        <v>200</v>
      </c>
      <c r="D31" t="s">
        <v>303</v>
      </c>
      <c r="E31" t="s">
        <v>80</v>
      </c>
      <c r="G31" s="21" t="s">
        <v>213</v>
      </c>
      <c r="H31">
        <v>51</v>
      </c>
      <c r="I31">
        <v>580</v>
      </c>
      <c r="J31" t="s">
        <v>214</v>
      </c>
      <c r="K31">
        <v>187</v>
      </c>
      <c r="L31">
        <v>2072</v>
      </c>
      <c r="N31">
        <v>0</v>
      </c>
      <c r="O31" t="s">
        <v>215</v>
      </c>
      <c r="P31">
        <v>32</v>
      </c>
      <c r="R31">
        <v>0</v>
      </c>
      <c r="S31" t="s">
        <v>304</v>
      </c>
      <c r="T31">
        <v>4</v>
      </c>
      <c r="U31" t="s">
        <v>305</v>
      </c>
      <c r="V31">
        <v>10</v>
      </c>
      <c r="Z31" t="s">
        <v>216</v>
      </c>
      <c r="AF31">
        <v>524851</v>
      </c>
      <c r="AG31">
        <v>115824</v>
      </c>
      <c r="AH31">
        <v>158</v>
      </c>
      <c r="AI31">
        <v>82</v>
      </c>
      <c r="AJ31">
        <v>1.927</v>
      </c>
      <c r="AK31">
        <v>100</v>
      </c>
      <c r="AL31" t="s">
        <v>306</v>
      </c>
      <c r="AM31">
        <v>0.45100000000000001</v>
      </c>
      <c r="AN31">
        <v>0</v>
      </c>
      <c r="AO31">
        <v>2</v>
      </c>
      <c r="AQ31">
        <v>9</v>
      </c>
      <c r="AR31">
        <v>3</v>
      </c>
      <c r="AS31">
        <v>0</v>
      </c>
      <c r="AT31">
        <v>9.3800000000000008</v>
      </c>
      <c r="AU31">
        <v>107</v>
      </c>
      <c r="AV31">
        <v>52</v>
      </c>
      <c r="AW31">
        <v>0</v>
      </c>
      <c r="BE31" t="s">
        <v>372</v>
      </c>
      <c r="BF31">
        <v>0.309</v>
      </c>
      <c r="BK31">
        <v>1.1000000000000001</v>
      </c>
      <c r="BL31" t="s">
        <v>217</v>
      </c>
      <c r="BM31" t="s">
        <v>214</v>
      </c>
      <c r="BN31" t="s">
        <v>177</v>
      </c>
      <c r="BO31" t="s">
        <v>74</v>
      </c>
      <c r="BP31" t="s">
        <v>218</v>
      </c>
      <c r="BQ31" t="s">
        <v>219</v>
      </c>
      <c r="BR31" t="s">
        <v>76</v>
      </c>
      <c r="BS31" t="s">
        <v>217</v>
      </c>
      <c r="BV31" t="s">
        <v>78</v>
      </c>
      <c r="BW31" t="s">
        <v>347</v>
      </c>
      <c r="BX31" t="s">
        <v>373</v>
      </c>
      <c r="BY31" s="20">
        <v>46128.602743055555</v>
      </c>
      <c r="BZ31" t="s">
        <v>179</v>
      </c>
      <c r="CA31" t="s">
        <v>180</v>
      </c>
      <c r="CB31" t="s">
        <v>181</v>
      </c>
      <c r="CC31" t="s">
        <v>78</v>
      </c>
    </row>
    <row r="32" spans="1:81" ht="181.5">
      <c r="A32" t="s">
        <v>175</v>
      </c>
      <c r="B32" t="s">
        <v>302</v>
      </c>
      <c r="C32">
        <v>200</v>
      </c>
      <c r="D32" t="s">
        <v>303</v>
      </c>
      <c r="E32" t="s">
        <v>80</v>
      </c>
      <c r="G32" s="21" t="s">
        <v>173</v>
      </c>
      <c r="H32">
        <v>63</v>
      </c>
      <c r="I32">
        <v>755</v>
      </c>
      <c r="J32" t="s">
        <v>174</v>
      </c>
      <c r="K32">
        <v>320</v>
      </c>
      <c r="L32">
        <v>3966</v>
      </c>
      <c r="N32">
        <v>0</v>
      </c>
      <c r="P32">
        <v>0</v>
      </c>
      <c r="R32">
        <v>0</v>
      </c>
      <c r="S32" t="s">
        <v>304</v>
      </c>
      <c r="T32">
        <v>4</v>
      </c>
      <c r="U32" t="s">
        <v>305</v>
      </c>
      <c r="V32">
        <v>10</v>
      </c>
      <c r="Z32" t="s">
        <v>175</v>
      </c>
      <c r="AF32">
        <v>534439</v>
      </c>
      <c r="AG32">
        <v>117566</v>
      </c>
      <c r="AH32">
        <v>213</v>
      </c>
      <c r="AI32">
        <v>110</v>
      </c>
      <c r="AJ32">
        <v>1.9359999999999999</v>
      </c>
      <c r="AK32">
        <v>100</v>
      </c>
      <c r="AL32" t="s">
        <v>306</v>
      </c>
      <c r="AM32">
        <v>0.84199999999999997</v>
      </c>
      <c r="AN32">
        <v>0</v>
      </c>
      <c r="AO32">
        <v>2</v>
      </c>
      <c r="AQ32">
        <v>8</v>
      </c>
      <c r="AR32">
        <v>2</v>
      </c>
      <c r="AS32">
        <v>0</v>
      </c>
      <c r="AT32">
        <v>6.25</v>
      </c>
      <c r="AU32">
        <v>104</v>
      </c>
      <c r="AV32">
        <v>52</v>
      </c>
      <c r="AW32">
        <v>0</v>
      </c>
      <c r="BE32" t="s">
        <v>374</v>
      </c>
      <c r="BF32">
        <v>0.496</v>
      </c>
      <c r="BK32">
        <v>1.1000000000000001</v>
      </c>
      <c r="BL32" t="s">
        <v>176</v>
      </c>
      <c r="BM32" t="s">
        <v>174</v>
      </c>
      <c r="BN32" t="s">
        <v>177</v>
      </c>
      <c r="BO32" t="s">
        <v>74</v>
      </c>
      <c r="BP32" t="s">
        <v>86</v>
      </c>
      <c r="BQ32" t="s">
        <v>178</v>
      </c>
      <c r="BR32" t="s">
        <v>76</v>
      </c>
      <c r="BS32" t="s">
        <v>176</v>
      </c>
      <c r="BV32" t="s">
        <v>78</v>
      </c>
      <c r="BW32" t="s">
        <v>349</v>
      </c>
      <c r="BX32" t="s">
        <v>375</v>
      </c>
      <c r="BY32" s="20">
        <v>46128.602638888886</v>
      </c>
      <c r="BZ32" t="s">
        <v>179</v>
      </c>
      <c r="CA32" t="s">
        <v>180</v>
      </c>
      <c r="CB32" t="s">
        <v>181</v>
      </c>
      <c r="CC32" t="s">
        <v>78</v>
      </c>
    </row>
    <row r="33" spans="1:81" ht="148.5">
      <c r="A33" t="s">
        <v>209</v>
      </c>
      <c r="B33" t="s">
        <v>302</v>
      </c>
      <c r="C33">
        <v>200</v>
      </c>
      <c r="D33" t="s">
        <v>303</v>
      </c>
      <c r="E33" t="s">
        <v>80</v>
      </c>
      <c r="G33" s="21" t="s">
        <v>207</v>
      </c>
      <c r="H33">
        <v>41</v>
      </c>
      <c r="I33">
        <v>600</v>
      </c>
      <c r="J33" t="s">
        <v>208</v>
      </c>
      <c r="K33">
        <v>95</v>
      </c>
      <c r="L33">
        <v>1246</v>
      </c>
      <c r="N33">
        <v>0</v>
      </c>
      <c r="P33">
        <v>0</v>
      </c>
      <c r="R33">
        <v>0</v>
      </c>
      <c r="S33" t="s">
        <v>304</v>
      </c>
      <c r="T33">
        <v>4</v>
      </c>
      <c r="U33" t="s">
        <v>305</v>
      </c>
      <c r="V33">
        <v>10</v>
      </c>
      <c r="Z33" t="s">
        <v>209</v>
      </c>
      <c r="AF33">
        <v>525417</v>
      </c>
      <c r="AG33">
        <v>115175</v>
      </c>
      <c r="AH33">
        <v>145</v>
      </c>
      <c r="AI33">
        <v>72</v>
      </c>
      <c r="AJ33">
        <v>2.0139999999999998</v>
      </c>
      <c r="AK33">
        <v>100</v>
      </c>
      <c r="AL33" t="s">
        <v>306</v>
      </c>
      <c r="AM33">
        <v>0.40100000000000002</v>
      </c>
      <c r="AN33">
        <v>0</v>
      </c>
      <c r="AO33">
        <v>2</v>
      </c>
      <c r="AQ33">
        <v>8</v>
      </c>
      <c r="AR33">
        <v>2</v>
      </c>
      <c r="AS33">
        <v>0</v>
      </c>
      <c r="AT33">
        <v>6.25</v>
      </c>
      <c r="AU33">
        <v>113</v>
      </c>
      <c r="AV33">
        <v>55</v>
      </c>
      <c r="AW33">
        <v>0</v>
      </c>
      <c r="BE33" t="s">
        <v>376</v>
      </c>
      <c r="BF33">
        <v>0.33300000000000002</v>
      </c>
      <c r="BK33">
        <v>1.1000000000000001</v>
      </c>
      <c r="BL33" t="s">
        <v>210</v>
      </c>
      <c r="BM33" t="s">
        <v>208</v>
      </c>
      <c r="BN33" t="s">
        <v>177</v>
      </c>
      <c r="BO33" t="s">
        <v>74</v>
      </c>
      <c r="BQ33" t="s">
        <v>211</v>
      </c>
      <c r="BR33" t="s">
        <v>76</v>
      </c>
      <c r="BS33" t="s">
        <v>210</v>
      </c>
      <c r="BV33" t="s">
        <v>78</v>
      </c>
      <c r="BW33" t="s">
        <v>347</v>
      </c>
      <c r="BX33" t="s">
        <v>377</v>
      </c>
      <c r="BY33" s="20">
        <v>46128.602685185186</v>
      </c>
      <c r="BZ33" t="s">
        <v>179</v>
      </c>
      <c r="CA33" t="s">
        <v>180</v>
      </c>
      <c r="CB33" t="s">
        <v>181</v>
      </c>
      <c r="CC33" t="s">
        <v>78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66"/>
  <sheetViews>
    <sheetView topLeftCell="A145" zoomScaleNormal="100" workbookViewId="0">
      <selection activeCell="G175" sqref="G175"/>
    </sheetView>
  </sheetViews>
  <sheetFormatPr defaultColWidth="9" defaultRowHeight="16.5"/>
  <cols>
    <col min="1" max="1" width="80" style="1" customWidth="1"/>
    <col min="2" max="16384" width="9" style="1"/>
  </cols>
  <sheetData>
    <row r="1" spans="1:91">
      <c r="A1" s="1" t="s">
        <v>30</v>
      </c>
      <c r="B1" s="1" t="s">
        <v>237</v>
      </c>
      <c r="C1" s="1" t="s">
        <v>34</v>
      </c>
      <c r="D1" s="1" t="s">
        <v>238</v>
      </c>
      <c r="E1" s="1" t="s">
        <v>33</v>
      </c>
      <c r="F1" s="1" t="s">
        <v>239</v>
      </c>
      <c r="G1" s="1" t="s">
        <v>36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42</v>
      </c>
      <c r="P1" s="1" t="s">
        <v>247</v>
      </c>
      <c r="Q1" s="1" t="s">
        <v>43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45</v>
      </c>
      <c r="AA1" s="1" t="s">
        <v>256</v>
      </c>
      <c r="AB1" s="1" t="s">
        <v>257</v>
      </c>
      <c r="AC1" s="1" t="s">
        <v>258</v>
      </c>
      <c r="AD1" s="1" t="s">
        <v>259</v>
      </c>
      <c r="AE1" s="1" t="s">
        <v>260</v>
      </c>
      <c r="AF1" s="1" t="s">
        <v>261</v>
      </c>
      <c r="AG1" s="1" t="s">
        <v>262</v>
      </c>
      <c r="AH1" s="1" t="s">
        <v>378</v>
      </c>
      <c r="AI1" s="1" t="s">
        <v>379</v>
      </c>
      <c r="AJ1" s="1" t="s">
        <v>380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  <c r="AP1" s="1" t="s">
        <v>268</v>
      </c>
      <c r="AQ1" s="1" t="s">
        <v>269</v>
      </c>
      <c r="AR1" s="1" t="s">
        <v>270</v>
      </c>
      <c r="AS1" s="1" t="s">
        <v>271</v>
      </c>
      <c r="AT1" s="1" t="s">
        <v>272</v>
      </c>
      <c r="AU1" s="1" t="s">
        <v>273</v>
      </c>
      <c r="AV1" s="1" t="s">
        <v>274</v>
      </c>
      <c r="AW1" s="1" t="s">
        <v>275</v>
      </c>
      <c r="AX1" s="1" t="s">
        <v>276</v>
      </c>
      <c r="AY1" s="1" t="s">
        <v>277</v>
      </c>
      <c r="AZ1" s="1" t="s">
        <v>278</v>
      </c>
      <c r="BA1" s="1" t="s">
        <v>279</v>
      </c>
      <c r="BB1" s="1" t="s">
        <v>280</v>
      </c>
      <c r="BC1" s="1" t="s">
        <v>281</v>
      </c>
      <c r="BD1" s="1" t="s">
        <v>381</v>
      </c>
      <c r="BE1" s="1" t="s">
        <v>283</v>
      </c>
      <c r="BF1" s="1" t="s">
        <v>284</v>
      </c>
      <c r="BG1" s="1" t="s">
        <v>285</v>
      </c>
      <c r="BH1" s="1" t="s">
        <v>286</v>
      </c>
      <c r="BI1" s="1" t="s">
        <v>287</v>
      </c>
      <c r="BJ1" s="1" t="s">
        <v>288</v>
      </c>
      <c r="BK1" s="1" t="s">
        <v>289</v>
      </c>
      <c r="BL1" s="1" t="s">
        <v>290</v>
      </c>
      <c r="BM1" s="1" t="s">
        <v>291</v>
      </c>
      <c r="BN1" s="1" t="s">
        <v>382</v>
      </c>
      <c r="BO1" s="1" t="s">
        <v>292</v>
      </c>
      <c r="BP1" s="1" t="s">
        <v>47</v>
      </c>
      <c r="BQ1" s="1" t="s">
        <v>48</v>
      </c>
      <c r="BR1" s="1" t="s">
        <v>49</v>
      </c>
      <c r="BS1" s="1" t="s">
        <v>50</v>
      </c>
      <c r="BT1" s="1" t="s">
        <v>51</v>
      </c>
      <c r="BU1" s="1" t="s">
        <v>52</v>
      </c>
      <c r="BV1" s="1" t="s">
        <v>53</v>
      </c>
      <c r="BW1" s="1" t="s">
        <v>54</v>
      </c>
      <c r="BX1" s="1" t="s">
        <v>55</v>
      </c>
      <c r="BY1" s="1" t="s">
        <v>293</v>
      </c>
      <c r="BZ1" s="1" t="s">
        <v>383</v>
      </c>
      <c r="CA1" s="1" t="s">
        <v>384</v>
      </c>
      <c r="CB1" s="1" t="s">
        <v>385</v>
      </c>
      <c r="CC1" s="1" t="s">
        <v>295</v>
      </c>
      <c r="CD1" s="1" t="s">
        <v>386</v>
      </c>
      <c r="CE1" s="1" t="s">
        <v>387</v>
      </c>
      <c r="CF1" s="1" t="s">
        <v>388</v>
      </c>
      <c r="CG1" s="1" t="s">
        <v>389</v>
      </c>
      <c r="CH1" s="1" t="s">
        <v>390</v>
      </c>
      <c r="CI1" s="1" t="s">
        <v>391</v>
      </c>
      <c r="CJ1" s="1" t="s">
        <v>392</v>
      </c>
      <c r="CK1" s="1" t="s">
        <v>393</v>
      </c>
      <c r="CL1" s="1" t="s">
        <v>296</v>
      </c>
      <c r="CM1" s="1" t="s">
        <v>297</v>
      </c>
    </row>
    <row r="2" spans="1:91">
      <c r="A2" s="1" t="s">
        <v>394</v>
      </c>
      <c r="B2" s="1" t="s">
        <v>395</v>
      </c>
      <c r="C2" s="1">
        <v>200</v>
      </c>
      <c r="D2" s="1" t="s">
        <v>303</v>
      </c>
      <c r="E2" s="1" t="s">
        <v>80</v>
      </c>
      <c r="G2" s="3" t="s">
        <v>396</v>
      </c>
      <c r="H2" s="1">
        <v>15</v>
      </c>
      <c r="I2" s="1">
        <v>121</v>
      </c>
      <c r="J2" s="3" t="s">
        <v>397</v>
      </c>
      <c r="K2" s="1">
        <v>35</v>
      </c>
      <c r="L2" s="1">
        <v>180</v>
      </c>
      <c r="N2" s="1">
        <v>0</v>
      </c>
      <c r="O2" s="3" t="s">
        <v>398</v>
      </c>
      <c r="P2" s="1">
        <v>16</v>
      </c>
      <c r="R2" s="1">
        <v>0</v>
      </c>
      <c r="S2" s="3" t="s">
        <v>399</v>
      </c>
      <c r="T2" s="1">
        <v>44</v>
      </c>
      <c r="U2" s="3" t="s">
        <v>400</v>
      </c>
      <c r="V2" s="1">
        <v>32</v>
      </c>
      <c r="Z2" s="1" t="s">
        <v>394</v>
      </c>
      <c r="AF2" s="1">
        <v>51366</v>
      </c>
      <c r="AG2" s="1">
        <v>12322</v>
      </c>
      <c r="AH2" s="1">
        <v>12322</v>
      </c>
      <c r="AI2" s="1">
        <v>4.8016739260000003</v>
      </c>
      <c r="AK2" s="1">
        <v>382</v>
      </c>
      <c r="AL2" s="1">
        <v>133</v>
      </c>
      <c r="AM2" s="1">
        <v>2.8721804511278202</v>
      </c>
      <c r="AN2" s="1">
        <v>100</v>
      </c>
      <c r="AO2" s="1" t="s">
        <v>306</v>
      </c>
      <c r="AP2" s="1">
        <v>4.05895948410034</v>
      </c>
      <c r="AQ2" s="1">
        <v>0</v>
      </c>
      <c r="AR2" s="1">
        <v>5</v>
      </c>
      <c r="AT2" s="1">
        <v>4</v>
      </c>
      <c r="AU2" s="1">
        <v>1</v>
      </c>
      <c r="AV2" s="1">
        <v>0</v>
      </c>
      <c r="AW2" s="1">
        <v>0.61</v>
      </c>
      <c r="AX2" s="1">
        <v>18</v>
      </c>
      <c r="AY2" s="1">
        <v>13</v>
      </c>
      <c r="AZ2" s="1">
        <v>0</v>
      </c>
      <c r="BA2" s="1">
        <v>4</v>
      </c>
      <c r="BB2" s="1">
        <v>3</v>
      </c>
      <c r="BC2" s="1">
        <v>0</v>
      </c>
      <c r="BH2" s="1" t="s">
        <v>401</v>
      </c>
      <c r="BI2" s="1">
        <v>6.0000000000000001E-3</v>
      </c>
      <c r="BJ2" s="1" t="s">
        <v>402</v>
      </c>
      <c r="BN2" s="1" t="s">
        <v>403</v>
      </c>
      <c r="BO2" s="1" t="s">
        <v>404</v>
      </c>
      <c r="BP2" s="3" t="s">
        <v>396</v>
      </c>
      <c r="BQ2" s="3" t="s">
        <v>397</v>
      </c>
      <c r="BR2" s="1" t="s">
        <v>73</v>
      </c>
      <c r="BS2" s="3" t="s">
        <v>405</v>
      </c>
      <c r="BT2" s="1" t="s">
        <v>406</v>
      </c>
      <c r="BU2" s="1" t="s">
        <v>394</v>
      </c>
      <c r="BV2" s="1" t="s">
        <v>76</v>
      </c>
      <c r="BW2" s="3" t="s">
        <v>396</v>
      </c>
      <c r="BY2" s="1" t="s">
        <v>394</v>
      </c>
      <c r="BZ2" s="1" t="s">
        <v>407</v>
      </c>
      <c r="CD2" s="1" t="s">
        <v>408</v>
      </c>
      <c r="CL2" s="1" t="s">
        <v>394</v>
      </c>
      <c r="CM2" s="1" t="s">
        <v>409</v>
      </c>
    </row>
    <row r="3" spans="1:91">
      <c r="A3" s="1" t="s">
        <v>410</v>
      </c>
      <c r="B3" s="1" t="s">
        <v>395</v>
      </c>
      <c r="C3" s="1">
        <v>200</v>
      </c>
      <c r="D3" s="1" t="s">
        <v>303</v>
      </c>
      <c r="E3" s="1" t="s">
        <v>80</v>
      </c>
      <c r="G3" s="3" t="s">
        <v>411</v>
      </c>
      <c r="H3" s="1">
        <v>20</v>
      </c>
      <c r="I3" s="1">
        <v>156</v>
      </c>
      <c r="J3" s="3" t="s">
        <v>412</v>
      </c>
      <c r="K3" s="1">
        <v>32</v>
      </c>
      <c r="L3" s="1">
        <v>179</v>
      </c>
      <c r="N3" s="1">
        <v>0</v>
      </c>
      <c r="O3" s="3" t="s">
        <v>413</v>
      </c>
      <c r="P3" s="1">
        <v>17</v>
      </c>
      <c r="R3" s="1">
        <v>0</v>
      </c>
      <c r="S3" s="1" t="s">
        <v>414</v>
      </c>
      <c r="T3" s="1">
        <v>44</v>
      </c>
      <c r="U3" s="3" t="s">
        <v>415</v>
      </c>
      <c r="V3" s="1">
        <v>14</v>
      </c>
      <c r="Z3" s="1" t="s">
        <v>410</v>
      </c>
      <c r="AF3" s="1">
        <v>49869</v>
      </c>
      <c r="AG3" s="1">
        <v>11814</v>
      </c>
      <c r="AH3" s="1">
        <v>11814</v>
      </c>
      <c r="AI3" s="1">
        <v>4.6037149619999997</v>
      </c>
      <c r="AK3" s="1">
        <v>360</v>
      </c>
      <c r="AL3" s="1">
        <v>110</v>
      </c>
      <c r="AM3" s="1">
        <v>3.2727272727272698</v>
      </c>
      <c r="AN3" s="1">
        <v>100</v>
      </c>
      <c r="AO3" s="1" t="s">
        <v>306</v>
      </c>
      <c r="AP3" s="1">
        <v>3.7907693386077899</v>
      </c>
      <c r="AQ3" s="1">
        <v>0</v>
      </c>
      <c r="AR3" s="1">
        <v>5</v>
      </c>
      <c r="AT3" s="1">
        <v>4</v>
      </c>
      <c r="AU3" s="1">
        <v>1</v>
      </c>
      <c r="AV3" s="1">
        <v>0</v>
      </c>
      <c r="AW3" s="1">
        <v>0.61</v>
      </c>
      <c r="AX3" s="1">
        <v>16</v>
      </c>
      <c r="AY3" s="1">
        <v>11</v>
      </c>
      <c r="AZ3" s="1">
        <v>0</v>
      </c>
      <c r="BA3" s="1">
        <v>2</v>
      </c>
      <c r="BB3" s="1">
        <v>2</v>
      </c>
      <c r="BC3" s="1">
        <v>0</v>
      </c>
      <c r="BH3" s="1" t="s">
        <v>416</v>
      </c>
      <c r="BI3" s="1">
        <v>7.0000000000000001E-3</v>
      </c>
      <c r="BJ3" s="1" t="s">
        <v>402</v>
      </c>
      <c r="BN3" s="1" t="s">
        <v>403</v>
      </c>
      <c r="BO3" s="1" t="s">
        <v>404</v>
      </c>
      <c r="BP3" s="3" t="s">
        <v>411</v>
      </c>
      <c r="BQ3" s="3" t="s">
        <v>412</v>
      </c>
      <c r="BR3" s="1" t="s">
        <v>73</v>
      </c>
      <c r="BS3" s="3" t="s">
        <v>405</v>
      </c>
      <c r="BT3" s="1" t="s">
        <v>417</v>
      </c>
      <c r="BU3" s="1" t="s">
        <v>410</v>
      </c>
      <c r="BV3" s="1" t="s">
        <v>76</v>
      </c>
      <c r="BW3" s="3" t="s">
        <v>411</v>
      </c>
      <c r="BY3" s="1" t="s">
        <v>410</v>
      </c>
      <c r="BZ3" s="1" t="s">
        <v>407</v>
      </c>
      <c r="CD3" s="1" t="s">
        <v>408</v>
      </c>
      <c r="CL3" s="1" t="s">
        <v>410</v>
      </c>
      <c r="CM3" s="1" t="s">
        <v>418</v>
      </c>
    </row>
    <row r="4" spans="1:91">
      <c r="A4" s="1" t="s">
        <v>419</v>
      </c>
      <c r="B4" s="1" t="s">
        <v>395</v>
      </c>
      <c r="C4" s="1">
        <v>200</v>
      </c>
      <c r="D4" s="1" t="s">
        <v>303</v>
      </c>
      <c r="E4" s="1" t="s">
        <v>80</v>
      </c>
      <c r="G4" s="1" t="s">
        <v>420</v>
      </c>
      <c r="H4" s="1">
        <v>16</v>
      </c>
      <c r="I4" s="1">
        <v>136</v>
      </c>
      <c r="J4" s="1" t="s">
        <v>421</v>
      </c>
      <c r="K4" s="1">
        <v>77</v>
      </c>
      <c r="L4" s="1">
        <v>417</v>
      </c>
      <c r="N4" s="1">
        <v>0</v>
      </c>
      <c r="O4" s="3" t="s">
        <v>422</v>
      </c>
      <c r="P4" s="1">
        <v>9</v>
      </c>
      <c r="R4" s="1">
        <v>0</v>
      </c>
      <c r="S4" s="3" t="s">
        <v>423</v>
      </c>
      <c r="T4" s="1">
        <v>15</v>
      </c>
      <c r="U4" s="1" t="s">
        <v>424</v>
      </c>
      <c r="V4" s="1">
        <v>25</v>
      </c>
      <c r="Z4" s="1" t="s">
        <v>419</v>
      </c>
      <c r="AF4" s="1">
        <v>72205</v>
      </c>
      <c r="AG4" s="1">
        <v>12796</v>
      </c>
      <c r="AH4" s="1">
        <v>12796</v>
      </c>
      <c r="AI4" s="1">
        <v>4.9863836680000002</v>
      </c>
      <c r="AK4" s="1">
        <v>516</v>
      </c>
      <c r="AL4" s="1">
        <v>179</v>
      </c>
      <c r="AM4" s="1">
        <v>2.8826815642458099</v>
      </c>
      <c r="AN4" s="1">
        <v>100</v>
      </c>
      <c r="AO4" s="1" t="s">
        <v>306</v>
      </c>
      <c r="AP4" s="1">
        <v>3.5115416049957302</v>
      </c>
      <c r="AQ4" s="1">
        <v>0</v>
      </c>
      <c r="AR4" s="1">
        <v>5</v>
      </c>
      <c r="AT4" s="1">
        <v>4</v>
      </c>
      <c r="AU4" s="1">
        <v>1</v>
      </c>
      <c r="AV4" s="1">
        <v>0</v>
      </c>
      <c r="AW4" s="1">
        <v>0.61</v>
      </c>
      <c r="AX4" s="1">
        <v>23</v>
      </c>
      <c r="AY4" s="1">
        <v>18</v>
      </c>
      <c r="AZ4" s="1">
        <v>0</v>
      </c>
      <c r="BA4" s="1">
        <v>9</v>
      </c>
      <c r="BB4" s="1">
        <v>9</v>
      </c>
      <c r="BC4" s="1">
        <v>0</v>
      </c>
      <c r="BH4" s="1" t="s">
        <v>425</v>
      </c>
      <c r="BI4" s="1">
        <v>0.03</v>
      </c>
      <c r="BJ4" s="1" t="s">
        <v>402</v>
      </c>
      <c r="BN4" s="1" t="s">
        <v>403</v>
      </c>
      <c r="BO4" s="1" t="s">
        <v>404</v>
      </c>
      <c r="BP4" s="1" t="s">
        <v>420</v>
      </c>
      <c r="BQ4" s="1" t="s">
        <v>421</v>
      </c>
      <c r="BR4" s="1" t="s">
        <v>73</v>
      </c>
      <c r="BS4" s="3" t="s">
        <v>405</v>
      </c>
      <c r="BT4" s="1" t="s">
        <v>426</v>
      </c>
      <c r="BU4" s="1" t="s">
        <v>419</v>
      </c>
      <c r="BV4" s="1" t="s">
        <v>76</v>
      </c>
      <c r="BW4" s="1" t="s">
        <v>420</v>
      </c>
      <c r="BY4" s="1" t="s">
        <v>419</v>
      </c>
      <c r="BZ4" s="1" t="s">
        <v>407</v>
      </c>
      <c r="CD4" s="1" t="s">
        <v>408</v>
      </c>
      <c r="CL4" s="1" t="s">
        <v>419</v>
      </c>
      <c r="CM4" s="1" t="s">
        <v>427</v>
      </c>
    </row>
    <row r="5" spans="1:91">
      <c r="A5" s="1" t="s">
        <v>428</v>
      </c>
      <c r="B5" s="1" t="s">
        <v>395</v>
      </c>
      <c r="C5" s="1">
        <v>200</v>
      </c>
      <c r="D5" s="1" t="s">
        <v>303</v>
      </c>
      <c r="E5" s="1" t="s">
        <v>80</v>
      </c>
      <c r="G5" s="3" t="s">
        <v>429</v>
      </c>
      <c r="H5" s="1">
        <v>27</v>
      </c>
      <c r="I5" s="1">
        <v>210</v>
      </c>
      <c r="J5" s="3" t="s">
        <v>430</v>
      </c>
      <c r="K5" s="1">
        <v>57</v>
      </c>
      <c r="L5" s="1">
        <v>322</v>
      </c>
      <c r="N5" s="1">
        <v>0</v>
      </c>
      <c r="O5" s="3" t="s">
        <v>431</v>
      </c>
      <c r="P5" s="1">
        <v>72</v>
      </c>
      <c r="R5" s="1">
        <v>0</v>
      </c>
      <c r="S5" s="3" t="s">
        <v>432</v>
      </c>
      <c r="T5" s="1">
        <v>40</v>
      </c>
      <c r="U5" s="3" t="s">
        <v>433</v>
      </c>
      <c r="V5" s="1">
        <v>9</v>
      </c>
      <c r="Z5" s="1" t="s">
        <v>428</v>
      </c>
      <c r="AF5" s="1">
        <v>47036</v>
      </c>
      <c r="AG5" s="1">
        <v>10839</v>
      </c>
      <c r="AH5" s="1">
        <v>10839</v>
      </c>
      <c r="AI5" s="1">
        <v>4.2237740370000001</v>
      </c>
      <c r="AK5" s="1">
        <v>362</v>
      </c>
      <c r="AL5" s="1">
        <v>128</v>
      </c>
      <c r="AM5" s="1">
        <v>2.828125</v>
      </c>
      <c r="AN5" s="1">
        <v>100</v>
      </c>
      <c r="AO5" s="1" t="s">
        <v>306</v>
      </c>
      <c r="AP5" s="1">
        <v>3.8650083541870099</v>
      </c>
      <c r="AQ5" s="1">
        <v>0</v>
      </c>
      <c r="AR5" s="1">
        <v>5</v>
      </c>
      <c r="AT5" s="1">
        <v>4</v>
      </c>
      <c r="AU5" s="1">
        <v>1</v>
      </c>
      <c r="AV5" s="1">
        <v>0</v>
      </c>
      <c r="AW5" s="1">
        <v>0.61</v>
      </c>
      <c r="AX5" s="1">
        <v>17</v>
      </c>
      <c r="AY5" s="1">
        <v>12</v>
      </c>
      <c r="AZ5" s="1">
        <v>0</v>
      </c>
      <c r="BA5" s="1">
        <v>3</v>
      </c>
      <c r="BB5" s="1">
        <v>3</v>
      </c>
      <c r="BC5" s="1">
        <v>0</v>
      </c>
      <c r="BH5" s="1" t="s">
        <v>434</v>
      </c>
      <c r="BI5" s="1">
        <v>8.9999999999999993E-3</v>
      </c>
      <c r="BJ5" s="1" t="s">
        <v>402</v>
      </c>
      <c r="BN5" s="1" t="s">
        <v>403</v>
      </c>
      <c r="BO5" s="1" t="s">
        <v>404</v>
      </c>
      <c r="BP5" s="3" t="s">
        <v>429</v>
      </c>
      <c r="BQ5" s="3" t="s">
        <v>430</v>
      </c>
      <c r="BR5" s="1" t="s">
        <v>73</v>
      </c>
      <c r="BS5" s="3" t="s">
        <v>405</v>
      </c>
      <c r="BT5" s="1" t="s">
        <v>435</v>
      </c>
      <c r="BU5" s="1" t="s">
        <v>428</v>
      </c>
      <c r="BV5" s="1" t="s">
        <v>76</v>
      </c>
      <c r="BW5" s="3" t="s">
        <v>429</v>
      </c>
      <c r="BY5" s="1" t="s">
        <v>428</v>
      </c>
      <c r="BZ5" s="1" t="s">
        <v>407</v>
      </c>
      <c r="CD5" s="1" t="s">
        <v>408</v>
      </c>
      <c r="CL5" s="1" t="s">
        <v>428</v>
      </c>
      <c r="CM5" s="1" t="s">
        <v>436</v>
      </c>
    </row>
    <row r="6" spans="1:91">
      <c r="A6" s="1" t="s">
        <v>437</v>
      </c>
      <c r="B6" s="1" t="s">
        <v>395</v>
      </c>
      <c r="C6" s="1">
        <v>200</v>
      </c>
      <c r="D6" s="1" t="s">
        <v>303</v>
      </c>
      <c r="E6" s="1" t="s">
        <v>80</v>
      </c>
      <c r="G6" s="1" t="s">
        <v>438</v>
      </c>
      <c r="H6" s="1">
        <v>15</v>
      </c>
      <c r="I6" s="1">
        <v>127</v>
      </c>
      <c r="J6" s="1" t="s">
        <v>439</v>
      </c>
      <c r="K6" s="1">
        <v>80</v>
      </c>
      <c r="L6" s="1">
        <v>467</v>
      </c>
      <c r="N6" s="1">
        <v>0</v>
      </c>
      <c r="O6" s="1" t="s">
        <v>440</v>
      </c>
      <c r="P6" s="1">
        <v>31</v>
      </c>
      <c r="R6" s="1">
        <v>0</v>
      </c>
      <c r="S6" s="3" t="s">
        <v>441</v>
      </c>
      <c r="T6" s="1">
        <v>46</v>
      </c>
      <c r="U6" s="3" t="s">
        <v>442</v>
      </c>
      <c r="V6" s="1">
        <v>13</v>
      </c>
      <c r="Z6" s="1" t="s">
        <v>437</v>
      </c>
      <c r="AF6" s="1">
        <v>38412</v>
      </c>
      <c r="AG6" s="1">
        <v>9567</v>
      </c>
      <c r="AH6" s="1">
        <v>9567</v>
      </c>
      <c r="AI6" s="1">
        <v>3.7280972609999998</v>
      </c>
      <c r="AK6" s="1">
        <v>135</v>
      </c>
      <c r="AL6" s="1">
        <v>44</v>
      </c>
      <c r="AM6" s="1">
        <v>3.0681818181818201</v>
      </c>
      <c r="AN6" s="1">
        <v>100</v>
      </c>
      <c r="AO6" s="1" t="s">
        <v>306</v>
      </c>
      <c r="AP6" s="1">
        <v>2.0465734004974401</v>
      </c>
      <c r="AQ6" s="1">
        <v>0</v>
      </c>
      <c r="AR6" s="1">
        <v>5</v>
      </c>
      <c r="AT6" s="1">
        <v>4</v>
      </c>
      <c r="AU6" s="1">
        <v>1</v>
      </c>
      <c r="AV6" s="1">
        <v>0</v>
      </c>
      <c r="AW6" s="1">
        <v>0.61</v>
      </c>
      <c r="AX6" s="1">
        <v>16</v>
      </c>
      <c r="AY6" s="1">
        <v>11</v>
      </c>
      <c r="AZ6" s="1">
        <v>0</v>
      </c>
      <c r="BA6" s="1">
        <v>4</v>
      </c>
      <c r="BB6" s="1">
        <v>4</v>
      </c>
      <c r="BC6" s="1">
        <v>0</v>
      </c>
      <c r="BH6" s="1" t="s">
        <v>443</v>
      </c>
      <c r="BI6" s="1">
        <v>8.0000000000000002E-3</v>
      </c>
      <c r="BJ6" s="1" t="s">
        <v>402</v>
      </c>
      <c r="BN6" s="1" t="s">
        <v>403</v>
      </c>
      <c r="BO6" s="1" t="s">
        <v>404</v>
      </c>
      <c r="BP6" s="1" t="s">
        <v>438</v>
      </c>
      <c r="BQ6" s="1" t="s">
        <v>439</v>
      </c>
      <c r="BR6" s="1" t="s">
        <v>73</v>
      </c>
      <c r="BS6" s="3" t="s">
        <v>405</v>
      </c>
      <c r="BT6" s="1" t="s">
        <v>444</v>
      </c>
      <c r="BU6" s="1" t="s">
        <v>437</v>
      </c>
      <c r="BV6" s="1" t="s">
        <v>76</v>
      </c>
      <c r="BW6" s="1" t="s">
        <v>438</v>
      </c>
      <c r="BY6" s="1" t="s">
        <v>437</v>
      </c>
      <c r="BZ6" s="1" t="s">
        <v>407</v>
      </c>
      <c r="CD6" s="1" t="s">
        <v>408</v>
      </c>
      <c r="CL6" s="1" t="s">
        <v>437</v>
      </c>
      <c r="CM6" s="1" t="s">
        <v>445</v>
      </c>
    </row>
    <row r="7" spans="1:91">
      <c r="A7" s="1" t="s">
        <v>446</v>
      </c>
      <c r="B7" s="1" t="s">
        <v>395</v>
      </c>
      <c r="C7" s="1">
        <v>200</v>
      </c>
      <c r="D7" s="1" t="s">
        <v>303</v>
      </c>
      <c r="E7" s="1" t="s">
        <v>80</v>
      </c>
      <c r="G7" s="3" t="s">
        <v>447</v>
      </c>
      <c r="H7" s="1">
        <v>23</v>
      </c>
      <c r="I7" s="1">
        <v>179</v>
      </c>
      <c r="J7" s="3" t="s">
        <v>448</v>
      </c>
      <c r="K7" s="1">
        <v>64</v>
      </c>
      <c r="L7" s="1">
        <v>343</v>
      </c>
      <c r="N7" s="1">
        <v>0</v>
      </c>
      <c r="O7" s="3" t="s">
        <v>449</v>
      </c>
      <c r="P7" s="1">
        <v>17</v>
      </c>
      <c r="R7" s="1">
        <v>0</v>
      </c>
      <c r="S7" s="1" t="s">
        <v>450</v>
      </c>
      <c r="T7" s="1">
        <v>16</v>
      </c>
      <c r="U7" s="3" t="s">
        <v>451</v>
      </c>
      <c r="V7" s="1">
        <v>14</v>
      </c>
      <c r="Z7" s="1" t="s">
        <v>446</v>
      </c>
      <c r="AF7" s="1">
        <v>34834</v>
      </c>
      <c r="AG7" s="1">
        <v>9049</v>
      </c>
      <c r="AH7" s="1">
        <v>9049</v>
      </c>
      <c r="AI7" s="1">
        <v>3.5262414670000002</v>
      </c>
      <c r="AK7" s="1">
        <v>112</v>
      </c>
      <c r="AL7" s="1">
        <v>37</v>
      </c>
      <c r="AM7" s="1">
        <v>3.0270270270270299</v>
      </c>
      <c r="AN7" s="1">
        <v>100</v>
      </c>
      <c r="AO7" s="1" t="s">
        <v>306</v>
      </c>
      <c r="AP7" s="1">
        <v>1.81697249412537</v>
      </c>
      <c r="AQ7" s="1">
        <v>0</v>
      </c>
      <c r="AR7" s="1">
        <v>5</v>
      </c>
      <c r="AT7" s="1">
        <v>4</v>
      </c>
      <c r="AU7" s="1">
        <v>1</v>
      </c>
      <c r="AV7" s="1">
        <v>0</v>
      </c>
      <c r="AW7" s="1">
        <v>0.61</v>
      </c>
      <c r="AX7" s="1">
        <v>17</v>
      </c>
      <c r="AY7" s="1">
        <v>12</v>
      </c>
      <c r="AZ7" s="1">
        <v>0</v>
      </c>
      <c r="BA7" s="1">
        <v>3</v>
      </c>
      <c r="BB7" s="1">
        <v>3</v>
      </c>
      <c r="BC7" s="1">
        <v>0</v>
      </c>
      <c r="BH7" s="1" t="s">
        <v>452</v>
      </c>
      <c r="BI7" s="1">
        <v>8.0000000000000002E-3</v>
      </c>
      <c r="BJ7" s="1" t="s">
        <v>402</v>
      </c>
      <c r="BN7" s="1" t="s">
        <v>403</v>
      </c>
      <c r="BO7" s="1" t="s">
        <v>404</v>
      </c>
      <c r="BP7" s="3" t="s">
        <v>447</v>
      </c>
      <c r="BQ7" s="3" t="s">
        <v>448</v>
      </c>
      <c r="BR7" s="1" t="s">
        <v>73</v>
      </c>
      <c r="BS7" s="3" t="s">
        <v>405</v>
      </c>
      <c r="BT7" s="1" t="s">
        <v>453</v>
      </c>
      <c r="BU7" s="1" t="s">
        <v>446</v>
      </c>
      <c r="BV7" s="1" t="s">
        <v>76</v>
      </c>
      <c r="BW7" s="3" t="s">
        <v>447</v>
      </c>
      <c r="BY7" s="1" t="s">
        <v>446</v>
      </c>
      <c r="BZ7" s="1" t="s">
        <v>407</v>
      </c>
      <c r="CD7" s="1" t="s">
        <v>408</v>
      </c>
      <c r="CL7" s="1" t="s">
        <v>446</v>
      </c>
      <c r="CM7" s="1" t="s">
        <v>454</v>
      </c>
    </row>
    <row r="8" spans="1:91">
      <c r="A8" s="1" t="s">
        <v>455</v>
      </c>
      <c r="B8" s="1" t="s">
        <v>395</v>
      </c>
      <c r="C8" s="1">
        <v>200</v>
      </c>
      <c r="D8" s="1" t="s">
        <v>303</v>
      </c>
      <c r="E8" s="1" t="s">
        <v>80</v>
      </c>
      <c r="G8" s="3" t="s">
        <v>456</v>
      </c>
      <c r="H8" s="1">
        <v>16</v>
      </c>
      <c r="I8" s="1">
        <v>124</v>
      </c>
      <c r="J8" s="3" t="s">
        <v>457</v>
      </c>
      <c r="K8" s="1">
        <v>76</v>
      </c>
      <c r="L8" s="1">
        <v>401</v>
      </c>
      <c r="M8" s="3" t="s">
        <v>458</v>
      </c>
      <c r="N8" s="1">
        <v>25</v>
      </c>
      <c r="O8" s="1" t="s">
        <v>459</v>
      </c>
      <c r="P8" s="1">
        <v>7</v>
      </c>
      <c r="R8" s="1">
        <v>0</v>
      </c>
      <c r="T8" s="1">
        <v>0</v>
      </c>
      <c r="V8" s="1">
        <v>0</v>
      </c>
      <c r="Z8" s="1" t="s">
        <v>455</v>
      </c>
      <c r="AF8" s="1">
        <v>35679</v>
      </c>
      <c r="AG8" s="1">
        <v>9120</v>
      </c>
      <c r="AH8" s="1">
        <v>9120</v>
      </c>
      <c r="AI8" s="1">
        <v>3.5539089599999998</v>
      </c>
      <c r="AK8" s="1">
        <v>56</v>
      </c>
      <c r="AL8" s="1">
        <v>28</v>
      </c>
      <c r="AM8" s="1">
        <v>2</v>
      </c>
      <c r="AN8" s="1">
        <v>100</v>
      </c>
      <c r="AO8" s="1" t="s">
        <v>306</v>
      </c>
      <c r="AP8" s="1">
        <v>1.0172258615493801</v>
      </c>
      <c r="AQ8" s="1">
        <v>0</v>
      </c>
      <c r="AR8" s="1">
        <v>5</v>
      </c>
      <c r="AT8" s="1">
        <v>4</v>
      </c>
      <c r="AU8" s="1">
        <v>1</v>
      </c>
      <c r="AV8" s="1">
        <v>0</v>
      </c>
      <c r="AW8" s="1">
        <v>0.61</v>
      </c>
      <c r="AX8" s="1">
        <v>23</v>
      </c>
      <c r="AY8" s="1">
        <v>18</v>
      </c>
      <c r="AZ8" s="1">
        <v>0</v>
      </c>
      <c r="BA8" s="1">
        <v>2</v>
      </c>
      <c r="BB8" s="1">
        <v>2</v>
      </c>
      <c r="BC8" s="1">
        <v>0</v>
      </c>
      <c r="BH8" s="1" t="s">
        <v>460</v>
      </c>
      <c r="BI8" s="1">
        <v>0.01</v>
      </c>
      <c r="BJ8" s="1" t="s">
        <v>461</v>
      </c>
      <c r="BN8" s="1" t="s">
        <v>403</v>
      </c>
      <c r="BO8" s="1" t="s">
        <v>404</v>
      </c>
      <c r="BP8" s="3" t="s">
        <v>456</v>
      </c>
      <c r="BQ8" s="3" t="s">
        <v>457</v>
      </c>
      <c r="BR8" s="1" t="s">
        <v>73</v>
      </c>
      <c r="BS8" s="3" t="s">
        <v>405</v>
      </c>
      <c r="BT8" s="1" t="s">
        <v>462</v>
      </c>
      <c r="BU8" s="1" t="s">
        <v>455</v>
      </c>
      <c r="BV8" s="1" t="s">
        <v>76</v>
      </c>
      <c r="BW8" s="3" t="s">
        <v>456</v>
      </c>
      <c r="BY8" s="1" t="s">
        <v>455</v>
      </c>
      <c r="BZ8" s="1" t="s">
        <v>407</v>
      </c>
      <c r="CD8" s="1" t="s">
        <v>408</v>
      </c>
      <c r="CL8" s="1" t="s">
        <v>455</v>
      </c>
      <c r="CM8" s="1" t="s">
        <v>463</v>
      </c>
    </row>
    <row r="9" spans="1:91">
      <c r="A9" s="1" t="s">
        <v>464</v>
      </c>
      <c r="B9" s="1" t="s">
        <v>395</v>
      </c>
      <c r="C9" s="1">
        <v>200</v>
      </c>
      <c r="D9" s="1" t="s">
        <v>303</v>
      </c>
      <c r="E9" s="1" t="s">
        <v>80</v>
      </c>
      <c r="G9" s="3" t="s">
        <v>465</v>
      </c>
      <c r="H9" s="1">
        <v>15</v>
      </c>
      <c r="I9" s="1">
        <v>122</v>
      </c>
      <c r="J9" s="3" t="s">
        <v>466</v>
      </c>
      <c r="K9" s="1">
        <v>36</v>
      </c>
      <c r="L9" s="1">
        <v>193</v>
      </c>
      <c r="N9" s="1">
        <v>0</v>
      </c>
      <c r="O9" s="3" t="s">
        <v>467</v>
      </c>
      <c r="P9" s="1">
        <v>12</v>
      </c>
      <c r="R9" s="1">
        <v>0</v>
      </c>
      <c r="S9" s="3" t="s">
        <v>468</v>
      </c>
      <c r="T9" s="1">
        <v>15</v>
      </c>
      <c r="V9" s="1">
        <v>0</v>
      </c>
      <c r="Z9" s="1" t="s">
        <v>464</v>
      </c>
      <c r="AF9" s="1">
        <v>55661</v>
      </c>
      <c r="AG9" s="1">
        <v>13029</v>
      </c>
      <c r="AH9" s="1">
        <v>13029</v>
      </c>
      <c r="AI9" s="1">
        <v>5.0771798070000003</v>
      </c>
      <c r="AK9" s="1">
        <v>455</v>
      </c>
      <c r="AL9" s="1">
        <v>145</v>
      </c>
      <c r="AM9" s="1">
        <v>3.1379310344827598</v>
      </c>
      <c r="AN9" s="1">
        <v>100</v>
      </c>
      <c r="AO9" s="1" t="s">
        <v>306</v>
      </c>
      <c r="AP9" s="1">
        <v>4.6122708320617702</v>
      </c>
      <c r="AQ9" s="1">
        <v>0</v>
      </c>
      <c r="AR9" s="1">
        <v>5</v>
      </c>
      <c r="AT9" s="1">
        <v>4</v>
      </c>
      <c r="AU9" s="1">
        <v>1</v>
      </c>
      <c r="AV9" s="1">
        <v>0</v>
      </c>
      <c r="AW9" s="1">
        <v>0.61</v>
      </c>
      <c r="AX9" s="1">
        <v>18</v>
      </c>
      <c r="AY9" s="1">
        <v>13</v>
      </c>
      <c r="AZ9" s="1">
        <v>0</v>
      </c>
      <c r="BA9" s="1">
        <v>6</v>
      </c>
      <c r="BB9" s="1">
        <v>4</v>
      </c>
      <c r="BC9" s="1">
        <v>0</v>
      </c>
      <c r="BH9" s="1" t="s">
        <v>469</v>
      </c>
      <c r="BI9" s="1">
        <v>7.0000000000000001E-3</v>
      </c>
      <c r="BJ9" s="1" t="s">
        <v>402</v>
      </c>
      <c r="BN9" s="1" t="s">
        <v>403</v>
      </c>
      <c r="BO9" s="1" t="s">
        <v>404</v>
      </c>
      <c r="BP9" s="3" t="s">
        <v>465</v>
      </c>
      <c r="BQ9" s="3" t="s">
        <v>466</v>
      </c>
      <c r="BR9" s="1" t="s">
        <v>73</v>
      </c>
      <c r="BS9" s="3" t="s">
        <v>405</v>
      </c>
      <c r="BT9" s="1" t="s">
        <v>470</v>
      </c>
      <c r="BU9" s="1" t="s">
        <v>464</v>
      </c>
      <c r="BV9" s="1" t="s">
        <v>76</v>
      </c>
      <c r="BW9" s="3" t="s">
        <v>465</v>
      </c>
      <c r="BY9" s="1" t="s">
        <v>464</v>
      </c>
      <c r="BZ9" s="1" t="s">
        <v>407</v>
      </c>
      <c r="CD9" s="1" t="s">
        <v>408</v>
      </c>
      <c r="CL9" s="1" t="s">
        <v>464</v>
      </c>
      <c r="CM9" s="1" t="s">
        <v>471</v>
      </c>
    </row>
    <row r="10" spans="1:91">
      <c r="A10" s="1" t="s">
        <v>472</v>
      </c>
      <c r="B10" s="1" t="s">
        <v>395</v>
      </c>
      <c r="C10" s="1">
        <v>200</v>
      </c>
      <c r="D10" s="1" t="s">
        <v>303</v>
      </c>
      <c r="E10" s="1" t="s">
        <v>80</v>
      </c>
      <c r="G10" s="3" t="s">
        <v>473</v>
      </c>
      <c r="H10" s="1">
        <v>37</v>
      </c>
      <c r="I10" s="1">
        <v>293</v>
      </c>
      <c r="J10" s="3" t="s">
        <v>474</v>
      </c>
      <c r="K10" s="1">
        <v>69</v>
      </c>
      <c r="L10" s="1">
        <v>368</v>
      </c>
      <c r="N10" s="1">
        <v>0</v>
      </c>
      <c r="O10" s="1" t="s">
        <v>475</v>
      </c>
      <c r="P10" s="1">
        <v>53</v>
      </c>
      <c r="R10" s="1">
        <v>0</v>
      </c>
      <c r="S10" s="3" t="s">
        <v>476</v>
      </c>
      <c r="T10" s="1">
        <v>12</v>
      </c>
      <c r="U10" s="1" t="s">
        <v>477</v>
      </c>
      <c r="V10" s="1">
        <v>7</v>
      </c>
      <c r="Z10" s="1" t="s">
        <v>472</v>
      </c>
      <c r="AF10" s="1">
        <v>61251</v>
      </c>
      <c r="AG10" s="1">
        <v>13424</v>
      </c>
      <c r="AH10" s="1">
        <v>13424</v>
      </c>
      <c r="AI10" s="1">
        <v>5.2311045920000003</v>
      </c>
      <c r="AK10" s="1">
        <v>640</v>
      </c>
      <c r="AL10" s="1">
        <v>150</v>
      </c>
      <c r="AM10" s="1">
        <v>4.2666666666666702</v>
      </c>
      <c r="AN10" s="1">
        <v>100</v>
      </c>
      <c r="AO10" s="1" t="s">
        <v>306</v>
      </c>
      <c r="AP10" s="1">
        <v>4.8207488059997603</v>
      </c>
      <c r="AQ10" s="1">
        <v>0</v>
      </c>
      <c r="AR10" s="1">
        <v>5</v>
      </c>
      <c r="AT10" s="1">
        <v>4</v>
      </c>
      <c r="AU10" s="1">
        <v>1</v>
      </c>
      <c r="AV10" s="1">
        <v>0</v>
      </c>
      <c r="AW10" s="1">
        <v>0.61</v>
      </c>
      <c r="AX10" s="1">
        <v>17</v>
      </c>
      <c r="AY10" s="1">
        <v>12</v>
      </c>
      <c r="AZ10" s="1">
        <v>0</v>
      </c>
      <c r="BA10" s="1">
        <v>2</v>
      </c>
      <c r="BB10" s="1">
        <v>2</v>
      </c>
      <c r="BC10" s="1">
        <v>0</v>
      </c>
      <c r="BH10" s="1" t="s">
        <v>478</v>
      </c>
      <c r="BI10" s="1">
        <v>1.4E-2</v>
      </c>
      <c r="BJ10" s="1" t="s">
        <v>402</v>
      </c>
      <c r="BN10" s="1" t="s">
        <v>403</v>
      </c>
      <c r="BO10" s="1" t="s">
        <v>404</v>
      </c>
      <c r="BP10" s="3" t="s">
        <v>473</v>
      </c>
      <c r="BQ10" s="3" t="s">
        <v>474</v>
      </c>
      <c r="BR10" s="1" t="s">
        <v>73</v>
      </c>
      <c r="BS10" s="3" t="s">
        <v>405</v>
      </c>
      <c r="BT10" s="1" t="s">
        <v>479</v>
      </c>
      <c r="BU10" s="1" t="s">
        <v>472</v>
      </c>
      <c r="BV10" s="1" t="s">
        <v>76</v>
      </c>
      <c r="BW10" s="3" t="s">
        <v>473</v>
      </c>
      <c r="BY10" s="1" t="s">
        <v>472</v>
      </c>
      <c r="BZ10" s="1" t="s">
        <v>407</v>
      </c>
      <c r="CD10" s="1" t="s">
        <v>408</v>
      </c>
      <c r="CL10" s="1" t="s">
        <v>472</v>
      </c>
      <c r="CM10" s="1" t="s">
        <v>480</v>
      </c>
    </row>
    <row r="11" spans="1:91">
      <c r="A11" s="1" t="s">
        <v>481</v>
      </c>
      <c r="B11" s="1" t="s">
        <v>395</v>
      </c>
      <c r="C11" s="1">
        <v>200</v>
      </c>
      <c r="D11" s="1" t="s">
        <v>303</v>
      </c>
      <c r="E11" s="1" t="s">
        <v>80</v>
      </c>
      <c r="G11" s="3" t="s">
        <v>482</v>
      </c>
      <c r="H11" s="1">
        <v>17</v>
      </c>
      <c r="I11" s="1">
        <v>137</v>
      </c>
      <c r="J11" s="1" t="s">
        <v>483</v>
      </c>
      <c r="K11" s="1">
        <v>27</v>
      </c>
      <c r="L11" s="1">
        <v>207</v>
      </c>
      <c r="N11" s="1">
        <v>0</v>
      </c>
      <c r="O11" s="1" t="s">
        <v>484</v>
      </c>
      <c r="P11" s="1">
        <v>40</v>
      </c>
      <c r="R11" s="1">
        <v>0</v>
      </c>
      <c r="T11" s="1">
        <v>0</v>
      </c>
      <c r="V11" s="1">
        <v>0</v>
      </c>
      <c r="Z11" s="1" t="s">
        <v>481</v>
      </c>
      <c r="AF11" s="1">
        <v>30799</v>
      </c>
      <c r="AG11" s="1">
        <v>8612</v>
      </c>
      <c r="AH11" s="1">
        <v>8612</v>
      </c>
      <c r="AI11" s="1">
        <v>3.3559499960000001</v>
      </c>
      <c r="AK11" s="1">
        <v>77</v>
      </c>
      <c r="AL11" s="1">
        <v>34</v>
      </c>
      <c r="AM11" s="1">
        <v>2.2647058823529398</v>
      </c>
      <c r="AN11" s="1">
        <v>100</v>
      </c>
      <c r="AO11" s="1" t="s">
        <v>306</v>
      </c>
      <c r="AP11" s="1">
        <v>1.5408008098602299</v>
      </c>
      <c r="AQ11" s="1">
        <v>0</v>
      </c>
      <c r="AR11" s="1">
        <v>5</v>
      </c>
      <c r="AT11" s="1">
        <v>4</v>
      </c>
      <c r="AU11" s="1">
        <v>1</v>
      </c>
      <c r="AV11" s="1">
        <v>0</v>
      </c>
      <c r="AW11" s="1">
        <v>0.61</v>
      </c>
      <c r="AX11" s="1">
        <v>16</v>
      </c>
      <c r="AY11" s="1">
        <v>11</v>
      </c>
      <c r="AZ11" s="1">
        <v>0</v>
      </c>
      <c r="BA11" s="1">
        <v>2</v>
      </c>
      <c r="BB11" s="1">
        <v>2</v>
      </c>
      <c r="BC11" s="1">
        <v>0</v>
      </c>
      <c r="BH11" s="1" t="s">
        <v>485</v>
      </c>
      <c r="BI11" s="1">
        <v>6.0000000000000001E-3</v>
      </c>
      <c r="BJ11" s="1" t="s">
        <v>402</v>
      </c>
      <c r="BN11" s="1" t="s">
        <v>403</v>
      </c>
      <c r="BO11" s="1" t="s">
        <v>404</v>
      </c>
      <c r="BP11" s="3" t="s">
        <v>482</v>
      </c>
      <c r="BQ11" s="1" t="s">
        <v>483</v>
      </c>
      <c r="BR11" s="1" t="s">
        <v>73</v>
      </c>
      <c r="BS11" s="3" t="s">
        <v>405</v>
      </c>
      <c r="BT11" s="1" t="s">
        <v>486</v>
      </c>
      <c r="BU11" s="1" t="s">
        <v>481</v>
      </c>
      <c r="BV11" s="1" t="s">
        <v>76</v>
      </c>
      <c r="BW11" s="3" t="s">
        <v>482</v>
      </c>
      <c r="BY11" s="1" t="s">
        <v>481</v>
      </c>
      <c r="BZ11" s="1" t="s">
        <v>407</v>
      </c>
      <c r="CD11" s="1" t="s">
        <v>408</v>
      </c>
      <c r="CL11" s="1" t="s">
        <v>481</v>
      </c>
      <c r="CM11" s="1" t="s">
        <v>487</v>
      </c>
    </row>
    <row r="12" spans="1:91">
      <c r="A12" s="1" t="s">
        <v>488</v>
      </c>
      <c r="B12" s="1" t="s">
        <v>395</v>
      </c>
      <c r="C12" s="1">
        <v>200</v>
      </c>
      <c r="D12" s="1" t="s">
        <v>303</v>
      </c>
      <c r="E12" s="1" t="s">
        <v>80</v>
      </c>
      <c r="G12" s="3" t="s">
        <v>489</v>
      </c>
      <c r="H12" s="1">
        <v>18</v>
      </c>
      <c r="I12" s="1">
        <v>142</v>
      </c>
      <c r="J12" s="3" t="s">
        <v>490</v>
      </c>
      <c r="K12" s="1">
        <v>72</v>
      </c>
      <c r="L12" s="1">
        <v>371</v>
      </c>
      <c r="N12" s="1">
        <v>0</v>
      </c>
      <c r="O12" s="3" t="s">
        <v>491</v>
      </c>
      <c r="P12" s="1">
        <v>12</v>
      </c>
      <c r="R12" s="1">
        <v>0</v>
      </c>
      <c r="S12" s="3" t="s">
        <v>492</v>
      </c>
      <c r="T12" s="1">
        <v>19</v>
      </c>
      <c r="U12" s="3" t="s">
        <v>493</v>
      </c>
      <c r="V12" s="1">
        <v>17</v>
      </c>
      <c r="Z12" s="1" t="s">
        <v>488</v>
      </c>
      <c r="AF12" s="1">
        <v>56736</v>
      </c>
      <c r="AG12" s="1">
        <v>12343</v>
      </c>
      <c r="AH12" s="1">
        <v>12343</v>
      </c>
      <c r="AI12" s="1">
        <v>4.8098572690000001</v>
      </c>
      <c r="AK12" s="1">
        <v>162</v>
      </c>
      <c r="AL12" s="1">
        <v>66</v>
      </c>
      <c r="AM12" s="1">
        <v>2.4545454545454599</v>
      </c>
      <c r="AN12" s="1">
        <v>100</v>
      </c>
      <c r="AO12" s="1" t="s">
        <v>306</v>
      </c>
      <c r="AP12" s="1">
        <v>1.4729080200195299</v>
      </c>
      <c r="AQ12" s="1">
        <v>0</v>
      </c>
      <c r="AR12" s="1">
        <v>5</v>
      </c>
      <c r="AT12" s="1">
        <v>4</v>
      </c>
      <c r="AU12" s="1">
        <v>1</v>
      </c>
      <c r="AV12" s="1">
        <v>0</v>
      </c>
      <c r="AW12" s="1">
        <v>0.61</v>
      </c>
      <c r="AX12" s="1">
        <v>16</v>
      </c>
      <c r="AY12" s="1">
        <v>11</v>
      </c>
      <c r="AZ12" s="1">
        <v>0</v>
      </c>
      <c r="BA12" s="1">
        <v>5</v>
      </c>
      <c r="BB12" s="1">
        <v>5</v>
      </c>
      <c r="BC12" s="1">
        <v>0</v>
      </c>
      <c r="BH12" s="1" t="s">
        <v>494</v>
      </c>
      <c r="BI12" s="1">
        <v>6.0000000000000001E-3</v>
      </c>
      <c r="BJ12" s="1" t="s">
        <v>402</v>
      </c>
      <c r="BN12" s="1" t="s">
        <v>403</v>
      </c>
      <c r="BO12" s="1" t="s">
        <v>404</v>
      </c>
      <c r="BP12" s="3" t="s">
        <v>489</v>
      </c>
      <c r="BQ12" s="3" t="s">
        <v>490</v>
      </c>
      <c r="BR12" s="1" t="s">
        <v>73</v>
      </c>
      <c r="BS12" s="3" t="s">
        <v>405</v>
      </c>
      <c r="BT12" s="1" t="s">
        <v>495</v>
      </c>
      <c r="BU12" s="1" t="s">
        <v>488</v>
      </c>
      <c r="BV12" s="1" t="s">
        <v>76</v>
      </c>
      <c r="BW12" s="3" t="s">
        <v>489</v>
      </c>
      <c r="BY12" s="1" t="s">
        <v>488</v>
      </c>
      <c r="BZ12" s="1" t="s">
        <v>407</v>
      </c>
      <c r="CD12" s="1" t="s">
        <v>408</v>
      </c>
      <c r="CL12" s="1" t="s">
        <v>488</v>
      </c>
      <c r="CM12" s="1" t="s">
        <v>496</v>
      </c>
    </row>
    <row r="13" spans="1:91">
      <c r="A13" s="1" t="s">
        <v>497</v>
      </c>
      <c r="B13" s="1" t="s">
        <v>395</v>
      </c>
      <c r="C13" s="1">
        <v>200</v>
      </c>
      <c r="D13" s="1" t="s">
        <v>303</v>
      </c>
      <c r="E13" s="1" t="s">
        <v>80</v>
      </c>
      <c r="G13" s="3" t="s">
        <v>498</v>
      </c>
      <c r="H13" s="1">
        <v>15</v>
      </c>
      <c r="I13" s="1">
        <v>119</v>
      </c>
      <c r="J13" s="3" t="s">
        <v>499</v>
      </c>
      <c r="K13" s="1">
        <v>17</v>
      </c>
      <c r="L13" s="1">
        <v>93</v>
      </c>
      <c r="N13" s="1">
        <v>0</v>
      </c>
      <c r="P13" s="1">
        <v>0</v>
      </c>
      <c r="R13" s="1">
        <v>0</v>
      </c>
      <c r="T13" s="1">
        <v>0</v>
      </c>
      <c r="V13" s="1">
        <v>0</v>
      </c>
      <c r="Z13" s="1" t="s">
        <v>497</v>
      </c>
      <c r="AF13" s="1">
        <v>32589</v>
      </c>
      <c r="AG13" s="1">
        <v>8980</v>
      </c>
      <c r="AH13" s="1">
        <v>8980</v>
      </c>
      <c r="AI13" s="1">
        <v>3.4993533399999999</v>
      </c>
      <c r="AK13" s="1">
        <v>101</v>
      </c>
      <c r="AL13" s="1">
        <v>46</v>
      </c>
      <c r="AM13" s="1">
        <v>2.1956521739130399</v>
      </c>
      <c r="AN13" s="1">
        <v>100</v>
      </c>
      <c r="AO13" s="1" t="s">
        <v>306</v>
      </c>
      <c r="AP13" s="1">
        <v>1.7215108871460001</v>
      </c>
      <c r="AQ13" s="1">
        <v>0</v>
      </c>
      <c r="AR13" s="1">
        <v>5</v>
      </c>
      <c r="AT13" s="1">
        <v>4</v>
      </c>
      <c r="AU13" s="1">
        <v>1</v>
      </c>
      <c r="AV13" s="1">
        <v>0</v>
      </c>
      <c r="AW13" s="1">
        <v>0.61</v>
      </c>
      <c r="AX13" s="1">
        <v>16</v>
      </c>
      <c r="AY13" s="1">
        <v>11</v>
      </c>
      <c r="AZ13" s="1">
        <v>0</v>
      </c>
      <c r="BA13" s="1">
        <v>4</v>
      </c>
      <c r="BB13" s="1">
        <v>4</v>
      </c>
      <c r="BC13" s="1">
        <v>0</v>
      </c>
      <c r="BH13" s="1" t="s">
        <v>500</v>
      </c>
      <c r="BI13" s="1">
        <v>8.0000000000000002E-3</v>
      </c>
      <c r="BJ13" s="1" t="s">
        <v>402</v>
      </c>
      <c r="BN13" s="1" t="s">
        <v>403</v>
      </c>
      <c r="BO13" s="1" t="s">
        <v>404</v>
      </c>
      <c r="BP13" s="3" t="s">
        <v>498</v>
      </c>
      <c r="BQ13" s="3" t="s">
        <v>499</v>
      </c>
      <c r="BR13" s="1" t="s">
        <v>73</v>
      </c>
      <c r="BS13" s="3" t="s">
        <v>405</v>
      </c>
      <c r="BT13" s="1" t="s">
        <v>501</v>
      </c>
      <c r="BU13" s="1" t="s">
        <v>497</v>
      </c>
      <c r="BV13" s="1" t="s">
        <v>76</v>
      </c>
      <c r="BW13" s="3" t="s">
        <v>498</v>
      </c>
      <c r="BY13" s="1" t="s">
        <v>497</v>
      </c>
      <c r="BZ13" s="1" t="s">
        <v>407</v>
      </c>
      <c r="CD13" s="1" t="s">
        <v>408</v>
      </c>
      <c r="CL13" s="1" t="s">
        <v>497</v>
      </c>
      <c r="CM13" s="1" t="s">
        <v>463</v>
      </c>
    </row>
    <row r="14" spans="1:91">
      <c r="A14" s="1" t="s">
        <v>502</v>
      </c>
      <c r="B14" s="1" t="s">
        <v>395</v>
      </c>
      <c r="C14" s="1">
        <v>200</v>
      </c>
      <c r="D14" s="1" t="s">
        <v>303</v>
      </c>
      <c r="E14" s="1" t="s">
        <v>80</v>
      </c>
      <c r="G14" s="3" t="s">
        <v>503</v>
      </c>
      <c r="H14" s="1">
        <v>32</v>
      </c>
      <c r="I14" s="1">
        <v>276</v>
      </c>
      <c r="J14" s="3" t="s">
        <v>504</v>
      </c>
      <c r="K14" s="1">
        <v>71</v>
      </c>
      <c r="L14" s="1">
        <v>391</v>
      </c>
      <c r="N14" s="1">
        <v>0</v>
      </c>
      <c r="O14" s="3" t="s">
        <v>505</v>
      </c>
      <c r="P14" s="1">
        <v>29</v>
      </c>
      <c r="R14" s="1">
        <v>0</v>
      </c>
      <c r="S14" s="3" t="s">
        <v>506</v>
      </c>
      <c r="T14" s="1">
        <v>32</v>
      </c>
      <c r="U14" s="3" t="s">
        <v>507</v>
      </c>
      <c r="V14" s="1">
        <v>6</v>
      </c>
      <c r="Z14" s="1" t="s">
        <v>502</v>
      </c>
      <c r="AF14" s="1">
        <v>89981</v>
      </c>
      <c r="AG14" s="1">
        <v>15626</v>
      </c>
      <c r="AH14" s="1">
        <v>15626</v>
      </c>
      <c r="AI14" s="1">
        <v>6.0891865579999997</v>
      </c>
      <c r="AK14" s="1">
        <v>408</v>
      </c>
      <c r="AL14" s="1">
        <v>117</v>
      </c>
      <c r="AM14" s="1">
        <v>3.4871794871794899</v>
      </c>
      <c r="AN14" s="1">
        <v>100</v>
      </c>
      <c r="AO14" s="1" t="s">
        <v>306</v>
      </c>
      <c r="AP14" s="1">
        <v>2.0814425945282</v>
      </c>
      <c r="AQ14" s="1">
        <v>0</v>
      </c>
      <c r="AR14" s="1">
        <v>5</v>
      </c>
      <c r="AT14" s="1">
        <v>5</v>
      </c>
      <c r="AU14" s="1">
        <v>2</v>
      </c>
      <c r="AV14" s="1">
        <v>0</v>
      </c>
      <c r="AW14" s="1">
        <v>1.21</v>
      </c>
      <c r="AX14" s="1">
        <v>21</v>
      </c>
      <c r="AY14" s="1">
        <v>16</v>
      </c>
      <c r="AZ14" s="1">
        <v>0</v>
      </c>
      <c r="BA14" s="1">
        <v>2</v>
      </c>
      <c r="BB14" s="1">
        <v>2</v>
      </c>
      <c r="BC14" s="1">
        <v>0</v>
      </c>
      <c r="BH14" s="1" t="s">
        <v>508</v>
      </c>
      <c r="BI14" s="1">
        <v>7.0000000000000001E-3</v>
      </c>
      <c r="BJ14" s="1" t="s">
        <v>402</v>
      </c>
      <c r="BN14" s="1" t="s">
        <v>403</v>
      </c>
      <c r="BO14" s="1" t="s">
        <v>404</v>
      </c>
      <c r="BP14" s="3" t="s">
        <v>503</v>
      </c>
      <c r="BQ14" s="3" t="s">
        <v>504</v>
      </c>
      <c r="BR14" s="1" t="s">
        <v>73</v>
      </c>
      <c r="BS14" s="3" t="s">
        <v>405</v>
      </c>
      <c r="BT14" s="1" t="s">
        <v>509</v>
      </c>
      <c r="BU14" s="1" t="s">
        <v>502</v>
      </c>
      <c r="BV14" s="1" t="s">
        <v>76</v>
      </c>
      <c r="BW14" s="3" t="s">
        <v>503</v>
      </c>
      <c r="BY14" s="1" t="s">
        <v>502</v>
      </c>
      <c r="BZ14" s="1" t="s">
        <v>407</v>
      </c>
      <c r="CD14" s="1" t="s">
        <v>408</v>
      </c>
      <c r="CL14" s="1" t="s">
        <v>502</v>
      </c>
      <c r="CM14" s="1" t="s">
        <v>510</v>
      </c>
    </row>
    <row r="15" spans="1:91">
      <c r="A15" s="1" t="s">
        <v>511</v>
      </c>
      <c r="B15" s="1" t="s">
        <v>395</v>
      </c>
      <c r="C15" s="1">
        <v>200</v>
      </c>
      <c r="D15" s="1" t="s">
        <v>303</v>
      </c>
      <c r="E15" s="1" t="s">
        <v>80</v>
      </c>
      <c r="G15" s="1" t="s">
        <v>512</v>
      </c>
      <c r="H15" s="1">
        <v>18</v>
      </c>
      <c r="I15" s="1">
        <v>156</v>
      </c>
      <c r="J15" s="3" t="s">
        <v>513</v>
      </c>
      <c r="K15" s="1">
        <v>25</v>
      </c>
      <c r="L15" s="1">
        <v>126</v>
      </c>
      <c r="N15" s="1">
        <v>0</v>
      </c>
      <c r="P15" s="1">
        <v>0</v>
      </c>
      <c r="R15" s="1">
        <v>0</v>
      </c>
      <c r="T15" s="1">
        <v>0</v>
      </c>
      <c r="V15" s="1">
        <v>0</v>
      </c>
      <c r="Z15" s="1" t="s">
        <v>511</v>
      </c>
      <c r="AF15" s="1">
        <v>62976</v>
      </c>
      <c r="AG15" s="1">
        <v>14944</v>
      </c>
      <c r="AH15" s="1">
        <v>14944</v>
      </c>
      <c r="AI15" s="1">
        <v>5.8234227519999999</v>
      </c>
      <c r="AK15" s="1">
        <v>792</v>
      </c>
      <c r="AL15" s="1">
        <v>176</v>
      </c>
      <c r="AM15" s="1">
        <v>4.5</v>
      </c>
      <c r="AN15" s="1">
        <v>100</v>
      </c>
      <c r="AO15" s="1" t="s">
        <v>306</v>
      </c>
      <c r="AP15" s="1">
        <v>6.3172578811645499</v>
      </c>
      <c r="AQ15" s="1">
        <v>0</v>
      </c>
      <c r="AR15" s="1">
        <v>5</v>
      </c>
      <c r="AT15" s="1">
        <v>4</v>
      </c>
      <c r="AU15" s="1">
        <v>1</v>
      </c>
      <c r="AV15" s="1">
        <v>0</v>
      </c>
      <c r="AW15" s="1">
        <v>0.61</v>
      </c>
      <c r="AX15" s="1">
        <v>16</v>
      </c>
      <c r="AY15" s="1">
        <v>11</v>
      </c>
      <c r="AZ15" s="1">
        <v>0</v>
      </c>
      <c r="BA15" s="1">
        <v>5</v>
      </c>
      <c r="BB15" s="1">
        <v>5</v>
      </c>
      <c r="BC15" s="1">
        <v>0</v>
      </c>
      <c r="BH15" s="1" t="s">
        <v>514</v>
      </c>
      <c r="BI15" s="1">
        <v>7.0000000000000001E-3</v>
      </c>
      <c r="BJ15" s="1" t="s">
        <v>402</v>
      </c>
      <c r="BN15" s="1" t="s">
        <v>403</v>
      </c>
      <c r="BO15" s="1" t="s">
        <v>404</v>
      </c>
      <c r="BP15" s="1" t="s">
        <v>512</v>
      </c>
      <c r="BQ15" s="3" t="s">
        <v>513</v>
      </c>
      <c r="BR15" s="1" t="s">
        <v>73</v>
      </c>
      <c r="BS15" s="3" t="s">
        <v>405</v>
      </c>
      <c r="BT15" s="1" t="s">
        <v>515</v>
      </c>
      <c r="BU15" s="1" t="s">
        <v>511</v>
      </c>
      <c r="BV15" s="1" t="s">
        <v>76</v>
      </c>
      <c r="BW15" s="1" t="s">
        <v>512</v>
      </c>
      <c r="BY15" s="1" t="s">
        <v>511</v>
      </c>
      <c r="BZ15" s="1" t="s">
        <v>407</v>
      </c>
      <c r="CD15" s="1" t="s">
        <v>408</v>
      </c>
      <c r="CL15" s="1" t="s">
        <v>511</v>
      </c>
      <c r="CM15" s="1" t="s">
        <v>516</v>
      </c>
    </row>
    <row r="16" spans="1:91">
      <c r="A16" s="1" t="s">
        <v>517</v>
      </c>
      <c r="B16" s="1" t="s">
        <v>395</v>
      </c>
      <c r="C16" s="1">
        <v>200</v>
      </c>
      <c r="D16" s="1" t="s">
        <v>303</v>
      </c>
      <c r="E16" s="1" t="s">
        <v>80</v>
      </c>
      <c r="G16" s="3" t="s">
        <v>518</v>
      </c>
      <c r="H16" s="1">
        <v>20</v>
      </c>
      <c r="I16" s="1">
        <v>158</v>
      </c>
      <c r="J16" s="3" t="s">
        <v>519</v>
      </c>
      <c r="K16" s="1">
        <v>32</v>
      </c>
      <c r="L16" s="1">
        <v>180</v>
      </c>
      <c r="N16" s="1">
        <v>0</v>
      </c>
      <c r="O16" s="1" t="s">
        <v>459</v>
      </c>
      <c r="P16" s="1">
        <v>7</v>
      </c>
      <c r="R16" s="1">
        <v>0</v>
      </c>
      <c r="T16" s="1">
        <v>0</v>
      </c>
      <c r="V16" s="1">
        <v>0</v>
      </c>
      <c r="Z16" s="1" t="s">
        <v>517</v>
      </c>
      <c r="AF16" s="1">
        <v>34992</v>
      </c>
      <c r="AG16" s="1">
        <v>9044</v>
      </c>
      <c r="AH16" s="1">
        <v>9044</v>
      </c>
      <c r="AI16" s="1">
        <v>3.524293052</v>
      </c>
      <c r="AK16" s="1">
        <v>54</v>
      </c>
      <c r="AL16" s="1">
        <v>27</v>
      </c>
      <c r="AM16" s="1">
        <v>2</v>
      </c>
      <c r="AN16" s="1">
        <v>100</v>
      </c>
      <c r="AO16" s="1" t="s">
        <v>306</v>
      </c>
      <c r="AP16" s="1">
        <v>1.0117993354797401</v>
      </c>
      <c r="AQ16" s="1">
        <v>0</v>
      </c>
      <c r="AR16" s="1">
        <v>6</v>
      </c>
      <c r="AT16" s="1">
        <v>7</v>
      </c>
      <c r="AU16" s="1">
        <v>3</v>
      </c>
      <c r="AV16" s="1">
        <v>0</v>
      </c>
      <c r="AW16" s="1">
        <v>1.82</v>
      </c>
      <c r="AX16" s="1">
        <v>22</v>
      </c>
      <c r="AY16" s="1">
        <v>16</v>
      </c>
      <c r="AZ16" s="1">
        <v>0</v>
      </c>
      <c r="BA16" s="1">
        <v>2</v>
      </c>
      <c r="BB16" s="1">
        <v>2</v>
      </c>
      <c r="BC16" s="1">
        <v>0</v>
      </c>
      <c r="BH16" s="1" t="s">
        <v>520</v>
      </c>
      <c r="BI16" s="1">
        <v>8.0000000000000002E-3</v>
      </c>
      <c r="BJ16" s="1" t="s">
        <v>521</v>
      </c>
      <c r="BN16" s="1" t="s">
        <v>403</v>
      </c>
      <c r="BO16" s="1" t="s">
        <v>404</v>
      </c>
      <c r="BP16" s="3" t="s">
        <v>518</v>
      </c>
      <c r="BQ16" s="3" t="s">
        <v>519</v>
      </c>
      <c r="BR16" s="1" t="s">
        <v>73</v>
      </c>
      <c r="BS16" s="3" t="s">
        <v>405</v>
      </c>
      <c r="BT16" s="1" t="s">
        <v>462</v>
      </c>
      <c r="BU16" s="1" t="s">
        <v>517</v>
      </c>
      <c r="BV16" s="1" t="s">
        <v>76</v>
      </c>
      <c r="BW16" s="3" t="s">
        <v>518</v>
      </c>
      <c r="BY16" s="1" t="s">
        <v>517</v>
      </c>
      <c r="BZ16" s="1" t="s">
        <v>407</v>
      </c>
      <c r="CD16" s="1" t="s">
        <v>408</v>
      </c>
      <c r="CL16" s="1" t="s">
        <v>517</v>
      </c>
      <c r="CM16" s="1" t="s">
        <v>522</v>
      </c>
    </row>
    <row r="17" spans="1:91">
      <c r="A17" s="1" t="s">
        <v>523</v>
      </c>
      <c r="B17" s="1" t="s">
        <v>395</v>
      </c>
      <c r="C17" s="1">
        <v>200</v>
      </c>
      <c r="D17" s="1" t="s">
        <v>303</v>
      </c>
      <c r="E17" s="1" t="s">
        <v>80</v>
      </c>
      <c r="G17" s="3" t="s">
        <v>524</v>
      </c>
      <c r="H17" s="1">
        <v>26</v>
      </c>
      <c r="I17" s="1">
        <v>215</v>
      </c>
      <c r="J17" s="3" t="s">
        <v>525</v>
      </c>
      <c r="K17" s="1">
        <v>39</v>
      </c>
      <c r="L17" s="1">
        <v>221</v>
      </c>
      <c r="N17" s="1">
        <v>0</v>
      </c>
      <c r="O17" s="1" t="s">
        <v>459</v>
      </c>
      <c r="P17" s="1">
        <v>7</v>
      </c>
      <c r="R17" s="1">
        <v>0</v>
      </c>
      <c r="T17" s="1">
        <v>0</v>
      </c>
      <c r="V17" s="1">
        <v>0</v>
      </c>
      <c r="Z17" s="1" t="s">
        <v>523</v>
      </c>
      <c r="AF17" s="1">
        <v>35322</v>
      </c>
      <c r="AG17" s="1">
        <v>9052</v>
      </c>
      <c r="AH17" s="1">
        <v>9052</v>
      </c>
      <c r="AI17" s="1">
        <v>3.5274105160000002</v>
      </c>
      <c r="AK17" s="1">
        <v>54</v>
      </c>
      <c r="AL17" s="1">
        <v>27</v>
      </c>
      <c r="AM17" s="1">
        <v>2</v>
      </c>
      <c r="AN17" s="1">
        <v>100</v>
      </c>
      <c r="AO17" s="1" t="s">
        <v>306</v>
      </c>
      <c r="AP17" s="1">
        <v>1.0020449161529501</v>
      </c>
      <c r="AQ17" s="1">
        <v>0</v>
      </c>
      <c r="AR17" s="1">
        <v>6</v>
      </c>
      <c r="AT17" s="1">
        <v>7</v>
      </c>
      <c r="AU17" s="1">
        <v>3</v>
      </c>
      <c r="AV17" s="1">
        <v>0</v>
      </c>
      <c r="AW17" s="1">
        <v>1.82</v>
      </c>
      <c r="AX17" s="1">
        <v>22</v>
      </c>
      <c r="AY17" s="1">
        <v>16</v>
      </c>
      <c r="AZ17" s="1">
        <v>0</v>
      </c>
      <c r="BA17" s="1">
        <v>2</v>
      </c>
      <c r="BB17" s="1">
        <v>2</v>
      </c>
      <c r="BC17" s="1">
        <v>0</v>
      </c>
      <c r="BH17" s="1" t="s">
        <v>526</v>
      </c>
      <c r="BI17" s="1">
        <v>8.0000000000000002E-3</v>
      </c>
      <c r="BJ17" s="1" t="s">
        <v>527</v>
      </c>
      <c r="BN17" s="1" t="s">
        <v>403</v>
      </c>
      <c r="BO17" s="1" t="s">
        <v>404</v>
      </c>
      <c r="BP17" s="3" t="s">
        <v>524</v>
      </c>
      <c r="BQ17" s="3" t="s">
        <v>525</v>
      </c>
      <c r="BR17" s="1" t="s">
        <v>73</v>
      </c>
      <c r="BS17" s="3" t="s">
        <v>405</v>
      </c>
      <c r="BT17" s="1" t="s">
        <v>462</v>
      </c>
      <c r="BU17" s="1" t="s">
        <v>523</v>
      </c>
      <c r="BV17" s="1" t="s">
        <v>76</v>
      </c>
      <c r="BW17" s="3" t="s">
        <v>524</v>
      </c>
      <c r="BY17" s="1" t="s">
        <v>523</v>
      </c>
      <c r="BZ17" s="1" t="s">
        <v>407</v>
      </c>
      <c r="CD17" s="1" t="s">
        <v>408</v>
      </c>
      <c r="CL17" s="1" t="s">
        <v>523</v>
      </c>
      <c r="CM17" s="1" t="s">
        <v>528</v>
      </c>
    </row>
    <row r="18" spans="1:91">
      <c r="A18" s="1" t="s">
        <v>529</v>
      </c>
      <c r="B18" s="1" t="s">
        <v>395</v>
      </c>
      <c r="C18" s="1">
        <v>200</v>
      </c>
      <c r="D18" s="1" t="s">
        <v>303</v>
      </c>
      <c r="E18" s="1" t="s">
        <v>80</v>
      </c>
      <c r="G18" s="3" t="s">
        <v>530</v>
      </c>
      <c r="H18" s="1">
        <v>40</v>
      </c>
      <c r="I18" s="1">
        <v>306</v>
      </c>
      <c r="J18" s="3" t="s">
        <v>531</v>
      </c>
      <c r="K18" s="1">
        <v>73</v>
      </c>
      <c r="L18" s="1">
        <v>386</v>
      </c>
      <c r="N18" s="1">
        <v>0</v>
      </c>
      <c r="O18" s="3" t="s">
        <v>532</v>
      </c>
      <c r="P18" s="1">
        <v>26</v>
      </c>
      <c r="R18" s="1">
        <v>0</v>
      </c>
      <c r="S18" s="3" t="s">
        <v>533</v>
      </c>
      <c r="T18" s="1">
        <v>24</v>
      </c>
      <c r="U18" s="1" t="s">
        <v>534</v>
      </c>
      <c r="V18" s="1">
        <v>32</v>
      </c>
      <c r="Z18" s="1" t="s">
        <v>529</v>
      </c>
      <c r="AF18" s="1">
        <v>54403</v>
      </c>
      <c r="AG18" s="1">
        <v>10682</v>
      </c>
      <c r="AH18" s="1">
        <v>10682</v>
      </c>
      <c r="AI18" s="1">
        <v>4.1625938060000003</v>
      </c>
      <c r="AK18" s="1">
        <v>422</v>
      </c>
      <c r="AL18" s="1">
        <v>87</v>
      </c>
      <c r="AM18" s="1">
        <v>4.85057471264368</v>
      </c>
      <c r="AN18" s="1">
        <v>100</v>
      </c>
      <c r="AO18" s="1" t="s">
        <v>306</v>
      </c>
      <c r="AP18" s="1">
        <v>3.5965707302093501</v>
      </c>
      <c r="AQ18" s="1">
        <v>0</v>
      </c>
      <c r="AR18" s="1">
        <v>4</v>
      </c>
      <c r="AT18" s="1">
        <v>4</v>
      </c>
      <c r="AU18" s="1">
        <v>1</v>
      </c>
      <c r="AV18" s="1">
        <v>0</v>
      </c>
      <c r="AW18" s="1">
        <v>0.61</v>
      </c>
      <c r="AX18" s="1">
        <v>16</v>
      </c>
      <c r="AY18" s="1">
        <v>11</v>
      </c>
      <c r="AZ18" s="1">
        <v>0</v>
      </c>
      <c r="BA18" s="1">
        <v>2</v>
      </c>
      <c r="BB18" s="1">
        <v>2</v>
      </c>
      <c r="BC18" s="1">
        <v>0</v>
      </c>
      <c r="BH18" s="1" t="s">
        <v>535</v>
      </c>
      <c r="BI18" s="1">
        <v>6.0000000000000001E-3</v>
      </c>
      <c r="BJ18" s="1" t="s">
        <v>536</v>
      </c>
      <c r="BN18" s="1" t="s">
        <v>403</v>
      </c>
      <c r="BO18" s="1" t="s">
        <v>404</v>
      </c>
      <c r="BP18" s="3" t="s">
        <v>530</v>
      </c>
      <c r="BQ18" s="3" t="s">
        <v>531</v>
      </c>
      <c r="BR18" s="1" t="s">
        <v>73</v>
      </c>
      <c r="BS18" s="3" t="s">
        <v>405</v>
      </c>
      <c r="BT18" s="1" t="s">
        <v>462</v>
      </c>
      <c r="BU18" s="1" t="s">
        <v>529</v>
      </c>
      <c r="BV18" s="1" t="s">
        <v>76</v>
      </c>
      <c r="BW18" s="3" t="s">
        <v>530</v>
      </c>
      <c r="BY18" s="1" t="s">
        <v>529</v>
      </c>
      <c r="BZ18" s="1" t="s">
        <v>407</v>
      </c>
      <c r="CD18" s="1" t="s">
        <v>408</v>
      </c>
      <c r="CL18" s="1" t="s">
        <v>529</v>
      </c>
      <c r="CM18" s="1" t="s">
        <v>537</v>
      </c>
    </row>
    <row r="19" spans="1:91">
      <c r="A19" s="1" t="s">
        <v>538</v>
      </c>
      <c r="B19" s="1" t="s">
        <v>395</v>
      </c>
      <c r="C19" s="1">
        <v>200</v>
      </c>
      <c r="D19" s="1" t="s">
        <v>303</v>
      </c>
      <c r="E19" s="1" t="s">
        <v>80</v>
      </c>
      <c r="H19" s="1">
        <v>0</v>
      </c>
      <c r="I19" s="1">
        <v>0</v>
      </c>
      <c r="K19" s="1">
        <v>0</v>
      </c>
      <c r="L19" s="1">
        <v>0</v>
      </c>
      <c r="N19" s="1">
        <v>0</v>
      </c>
      <c r="O19" s="3" t="s">
        <v>539</v>
      </c>
      <c r="P19" s="1">
        <v>30</v>
      </c>
      <c r="R19" s="1">
        <v>0</v>
      </c>
      <c r="S19" s="3" t="s">
        <v>540</v>
      </c>
      <c r="T19" s="1">
        <v>14</v>
      </c>
      <c r="U19" s="3" t="s">
        <v>541</v>
      </c>
      <c r="V19" s="1">
        <v>28</v>
      </c>
      <c r="Z19" s="1" t="s">
        <v>538</v>
      </c>
      <c r="AF19" s="1">
        <v>33414</v>
      </c>
      <c r="AG19" s="1">
        <v>8798</v>
      </c>
      <c r="AH19" s="1">
        <v>8798</v>
      </c>
      <c r="AI19" s="1">
        <v>3.4284310339999999</v>
      </c>
      <c r="AK19" s="1">
        <v>443</v>
      </c>
      <c r="AL19" s="1">
        <v>95</v>
      </c>
      <c r="AM19" s="1">
        <v>4.6631578947368402</v>
      </c>
      <c r="AN19" s="1">
        <v>100</v>
      </c>
      <c r="AO19" s="1" t="s">
        <v>306</v>
      </c>
      <c r="AP19" s="1">
        <v>6.6241154670715297</v>
      </c>
      <c r="AQ19" s="1">
        <v>0</v>
      </c>
      <c r="AR19" s="1">
        <v>5</v>
      </c>
      <c r="AT19" s="1">
        <v>4</v>
      </c>
      <c r="AU19" s="1">
        <v>1</v>
      </c>
      <c r="AV19" s="1">
        <v>0</v>
      </c>
      <c r="AW19" s="1">
        <v>0.61</v>
      </c>
      <c r="AX19" s="1">
        <v>17</v>
      </c>
      <c r="AY19" s="1">
        <v>11</v>
      </c>
      <c r="AZ19" s="1">
        <v>0</v>
      </c>
      <c r="BA19" s="1">
        <v>2</v>
      </c>
      <c r="BB19" s="1">
        <v>2</v>
      </c>
      <c r="BC19" s="1">
        <v>0</v>
      </c>
      <c r="BH19" s="1" t="s">
        <v>542</v>
      </c>
      <c r="BI19" s="1">
        <v>7.0000000000000001E-3</v>
      </c>
      <c r="BJ19" s="1" t="s">
        <v>521</v>
      </c>
      <c r="BN19" s="1" t="s">
        <v>403</v>
      </c>
      <c r="BO19" s="1" t="s">
        <v>404</v>
      </c>
      <c r="BZ19" s="1" t="s">
        <v>407</v>
      </c>
      <c r="CD19" s="1" t="s">
        <v>408</v>
      </c>
      <c r="CL19" s="1" t="s">
        <v>538</v>
      </c>
      <c r="CM19" s="1" t="s">
        <v>543</v>
      </c>
    </row>
    <row r="20" spans="1:91">
      <c r="A20" s="1" t="s">
        <v>544</v>
      </c>
      <c r="B20" s="1" t="s">
        <v>395</v>
      </c>
      <c r="C20" s="1">
        <v>200</v>
      </c>
      <c r="D20" s="1" t="s">
        <v>303</v>
      </c>
      <c r="E20" s="1" t="s">
        <v>80</v>
      </c>
      <c r="H20" s="1">
        <v>0</v>
      </c>
      <c r="I20" s="1">
        <v>0</v>
      </c>
      <c r="K20" s="1">
        <v>0</v>
      </c>
      <c r="L20" s="1">
        <v>0</v>
      </c>
      <c r="N20" s="1">
        <v>0</v>
      </c>
      <c r="P20" s="1">
        <v>0</v>
      </c>
      <c r="R20" s="1">
        <v>0</v>
      </c>
      <c r="T20" s="1">
        <v>0</v>
      </c>
      <c r="V20" s="1">
        <v>0</v>
      </c>
      <c r="AF20" s="1">
        <v>130</v>
      </c>
      <c r="AG20" s="1">
        <v>109</v>
      </c>
      <c r="AH20" s="1">
        <v>109</v>
      </c>
      <c r="AI20" s="1">
        <v>4.2475447E-2</v>
      </c>
      <c r="AK20" s="1">
        <v>0</v>
      </c>
      <c r="AP20" s="1">
        <v>0</v>
      </c>
      <c r="AQ20" s="1">
        <v>0</v>
      </c>
      <c r="AR20" s="1">
        <v>4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H20" s="1" t="s">
        <v>545</v>
      </c>
      <c r="BI20" s="1">
        <v>1.0999999999999999E-2</v>
      </c>
      <c r="BJ20" s="1" t="s">
        <v>536</v>
      </c>
      <c r="BO20" s="1" t="s">
        <v>404</v>
      </c>
      <c r="CL20" s="1" t="s">
        <v>544</v>
      </c>
      <c r="CM20" s="1" t="s">
        <v>546</v>
      </c>
    </row>
    <row r="21" spans="1:91">
      <c r="A21" s="1" t="s">
        <v>547</v>
      </c>
      <c r="B21" s="1" t="s">
        <v>395</v>
      </c>
      <c r="C21" s="1">
        <v>200</v>
      </c>
      <c r="D21" s="1" t="s">
        <v>303</v>
      </c>
      <c r="E21" s="1" t="s">
        <v>80</v>
      </c>
      <c r="H21" s="1">
        <v>0</v>
      </c>
      <c r="I21" s="1">
        <v>0</v>
      </c>
      <c r="K21" s="1">
        <v>0</v>
      </c>
      <c r="L21" s="1">
        <v>0</v>
      </c>
      <c r="N21" s="1">
        <v>0</v>
      </c>
      <c r="O21" s="3" t="s">
        <v>548</v>
      </c>
      <c r="P21" s="1">
        <v>7</v>
      </c>
      <c r="R21" s="1">
        <v>0</v>
      </c>
      <c r="S21" s="3" t="s">
        <v>549</v>
      </c>
      <c r="T21" s="1">
        <v>21</v>
      </c>
      <c r="V21" s="1">
        <v>0</v>
      </c>
      <c r="Z21" s="1" t="s">
        <v>547</v>
      </c>
      <c r="AF21" s="1">
        <v>53695</v>
      </c>
      <c r="AG21" s="1">
        <v>11759</v>
      </c>
      <c r="AH21" s="1">
        <v>11759</v>
      </c>
      <c r="AI21" s="1">
        <v>4.5822823970000002</v>
      </c>
      <c r="AK21" s="1">
        <v>559</v>
      </c>
      <c r="AL21" s="1">
        <v>115</v>
      </c>
      <c r="AM21" s="1">
        <v>4.8608695652173903</v>
      </c>
      <c r="AN21" s="1">
        <v>100</v>
      </c>
      <c r="AO21" s="1" t="s">
        <v>306</v>
      </c>
      <c r="AP21" s="1">
        <v>5.1842622756957999</v>
      </c>
      <c r="AQ21" s="1">
        <v>0</v>
      </c>
      <c r="AR21" s="1">
        <v>5</v>
      </c>
      <c r="AT21" s="1">
        <v>4</v>
      </c>
      <c r="AU21" s="1">
        <v>1</v>
      </c>
      <c r="AV21" s="1">
        <v>0</v>
      </c>
      <c r="AW21" s="1">
        <v>0.61</v>
      </c>
      <c r="AX21" s="1">
        <v>17</v>
      </c>
      <c r="AY21" s="1">
        <v>12</v>
      </c>
      <c r="AZ21" s="1">
        <v>0</v>
      </c>
      <c r="BA21" s="1">
        <v>2</v>
      </c>
      <c r="BB21" s="1">
        <v>2</v>
      </c>
      <c r="BC21" s="1">
        <v>0</v>
      </c>
      <c r="BH21" s="1" t="s">
        <v>550</v>
      </c>
      <c r="BI21" s="1">
        <v>6.0000000000000001E-3</v>
      </c>
      <c r="BJ21" s="1" t="s">
        <v>551</v>
      </c>
      <c r="BN21" s="1" t="s">
        <v>403</v>
      </c>
      <c r="BO21" s="1" t="s">
        <v>404</v>
      </c>
      <c r="BZ21" s="1" t="s">
        <v>407</v>
      </c>
      <c r="CD21" s="1" t="s">
        <v>408</v>
      </c>
      <c r="CL21" s="1" t="s">
        <v>547</v>
      </c>
      <c r="CM21" s="1" t="s">
        <v>552</v>
      </c>
    </row>
    <row r="22" spans="1:91">
      <c r="A22" s="1" t="s">
        <v>553</v>
      </c>
      <c r="B22" s="1" t="s">
        <v>395</v>
      </c>
      <c r="C22" s="1">
        <v>200</v>
      </c>
      <c r="D22" s="1" t="s">
        <v>303</v>
      </c>
      <c r="E22" s="1" t="s">
        <v>80</v>
      </c>
      <c r="G22" s="3" t="s">
        <v>554</v>
      </c>
      <c r="H22" s="1">
        <v>15</v>
      </c>
      <c r="I22" s="1">
        <v>119</v>
      </c>
      <c r="J22" s="3" t="s">
        <v>555</v>
      </c>
      <c r="K22" s="1">
        <v>30</v>
      </c>
      <c r="L22" s="1">
        <v>178</v>
      </c>
      <c r="M22" s="3" t="s">
        <v>556</v>
      </c>
      <c r="N22" s="1">
        <v>18</v>
      </c>
      <c r="O22" s="3" t="s">
        <v>557</v>
      </c>
      <c r="P22" s="1">
        <v>6</v>
      </c>
      <c r="R22" s="1">
        <v>0</v>
      </c>
      <c r="T22" s="1">
        <v>0</v>
      </c>
      <c r="V22" s="1">
        <v>0</v>
      </c>
      <c r="Z22" s="1" t="s">
        <v>553</v>
      </c>
      <c r="AF22" s="1">
        <v>27318</v>
      </c>
      <c r="AG22" s="1">
        <v>7222</v>
      </c>
      <c r="AH22" s="1">
        <v>7222</v>
      </c>
      <c r="AI22" s="1">
        <v>2.814290626</v>
      </c>
      <c r="AK22" s="1">
        <v>47</v>
      </c>
      <c r="AL22" s="1">
        <v>22</v>
      </c>
      <c r="AM22" s="1">
        <v>2.1363636363636398</v>
      </c>
      <c r="AN22" s="1">
        <v>100</v>
      </c>
      <c r="AO22" s="1" t="s">
        <v>306</v>
      </c>
      <c r="AP22" s="1">
        <v>1.2201714515686</v>
      </c>
      <c r="AQ22" s="1">
        <v>0</v>
      </c>
      <c r="AR22" s="1">
        <v>4</v>
      </c>
      <c r="AT22" s="1">
        <v>4</v>
      </c>
      <c r="AU22" s="1">
        <v>1</v>
      </c>
      <c r="AV22" s="1">
        <v>0</v>
      </c>
      <c r="AW22" s="1">
        <v>0.61</v>
      </c>
      <c r="AX22" s="1">
        <v>20</v>
      </c>
      <c r="AY22" s="1">
        <v>15</v>
      </c>
      <c r="AZ22" s="1">
        <v>0</v>
      </c>
      <c r="BA22" s="1">
        <v>2</v>
      </c>
      <c r="BB22" s="1">
        <v>2</v>
      </c>
      <c r="BC22" s="1">
        <v>0</v>
      </c>
      <c r="BH22" s="1" t="s">
        <v>558</v>
      </c>
      <c r="BI22" s="1">
        <v>7.0000000000000001E-3</v>
      </c>
      <c r="BJ22" s="1" t="s">
        <v>521</v>
      </c>
      <c r="BN22" s="1" t="s">
        <v>403</v>
      </c>
      <c r="BO22" s="1" t="s">
        <v>404</v>
      </c>
      <c r="BP22" s="3" t="s">
        <v>554</v>
      </c>
      <c r="BQ22" s="3" t="s">
        <v>555</v>
      </c>
      <c r="BR22" s="1" t="s">
        <v>73</v>
      </c>
      <c r="BS22" s="3" t="s">
        <v>405</v>
      </c>
      <c r="BT22" s="1" t="s">
        <v>462</v>
      </c>
      <c r="BU22" s="1" t="s">
        <v>553</v>
      </c>
      <c r="BV22" s="1" t="s">
        <v>76</v>
      </c>
      <c r="BW22" s="3" t="s">
        <v>554</v>
      </c>
      <c r="BY22" s="1" t="s">
        <v>553</v>
      </c>
      <c r="BZ22" s="1" t="s">
        <v>407</v>
      </c>
      <c r="CD22" s="1" t="s">
        <v>408</v>
      </c>
      <c r="CL22" s="1" t="s">
        <v>553</v>
      </c>
      <c r="CM22" s="1" t="s">
        <v>559</v>
      </c>
    </row>
    <row r="23" spans="1:91">
      <c r="A23" s="1" t="s">
        <v>560</v>
      </c>
      <c r="B23" s="1" t="s">
        <v>395</v>
      </c>
      <c r="C23" s="1">
        <v>200</v>
      </c>
      <c r="D23" s="1" t="s">
        <v>303</v>
      </c>
      <c r="E23" s="1" t="s">
        <v>80</v>
      </c>
      <c r="G23" s="3" t="s">
        <v>561</v>
      </c>
      <c r="H23" s="1">
        <v>21</v>
      </c>
      <c r="I23" s="1">
        <v>162</v>
      </c>
      <c r="J23" s="3" t="s">
        <v>562</v>
      </c>
      <c r="K23" s="1">
        <v>94</v>
      </c>
      <c r="L23" s="1">
        <v>511</v>
      </c>
      <c r="M23" s="3" t="s">
        <v>563</v>
      </c>
      <c r="N23" s="1">
        <v>24</v>
      </c>
      <c r="O23" s="3" t="s">
        <v>564</v>
      </c>
      <c r="P23" s="1">
        <v>6</v>
      </c>
      <c r="R23" s="1">
        <v>0</v>
      </c>
      <c r="S23" s="3" t="s">
        <v>565</v>
      </c>
      <c r="T23" s="1">
        <v>13</v>
      </c>
      <c r="U23" s="3" t="s">
        <v>565</v>
      </c>
      <c r="V23" s="1">
        <v>13</v>
      </c>
      <c r="Z23" s="1" t="s">
        <v>560</v>
      </c>
      <c r="AF23" s="1">
        <v>38983</v>
      </c>
      <c r="AG23" s="1">
        <v>8245</v>
      </c>
      <c r="AH23" s="1">
        <v>8245</v>
      </c>
      <c r="AI23" s="1">
        <v>3.2129363350000002</v>
      </c>
      <c r="AK23" s="1">
        <v>272</v>
      </c>
      <c r="AL23" s="1">
        <v>116</v>
      </c>
      <c r="AM23" s="1">
        <v>2.3448275862068999</v>
      </c>
      <c r="AN23" s="1">
        <v>100</v>
      </c>
      <c r="AO23" s="1" t="s">
        <v>306</v>
      </c>
      <c r="AP23" s="1">
        <v>3.6290214061737101</v>
      </c>
      <c r="AQ23" s="1">
        <v>0</v>
      </c>
      <c r="AR23" s="1">
        <v>4</v>
      </c>
      <c r="AT23" s="1">
        <v>4</v>
      </c>
      <c r="AU23" s="1">
        <v>1</v>
      </c>
      <c r="AV23" s="1">
        <v>0</v>
      </c>
      <c r="AW23" s="1">
        <v>0.61</v>
      </c>
      <c r="AX23" s="1">
        <v>28</v>
      </c>
      <c r="AY23" s="1">
        <v>23</v>
      </c>
      <c r="AZ23" s="1">
        <v>0</v>
      </c>
      <c r="BA23" s="1">
        <v>2</v>
      </c>
      <c r="BB23" s="1">
        <v>2</v>
      </c>
      <c r="BC23" s="1">
        <v>0</v>
      </c>
      <c r="BH23" s="1" t="s">
        <v>566</v>
      </c>
      <c r="BI23" s="1">
        <v>7.0000000000000001E-3</v>
      </c>
      <c r="BJ23" s="1" t="s">
        <v>567</v>
      </c>
      <c r="BN23" s="1" t="s">
        <v>403</v>
      </c>
      <c r="BO23" s="1" t="s">
        <v>404</v>
      </c>
      <c r="BP23" s="3" t="s">
        <v>561</v>
      </c>
      <c r="BQ23" s="3" t="s">
        <v>562</v>
      </c>
      <c r="BR23" s="1" t="s">
        <v>73</v>
      </c>
      <c r="BS23" s="3" t="s">
        <v>405</v>
      </c>
      <c r="BT23" s="1" t="s">
        <v>462</v>
      </c>
      <c r="BU23" s="1" t="s">
        <v>560</v>
      </c>
      <c r="BV23" s="1" t="s">
        <v>76</v>
      </c>
      <c r="BW23" s="3" t="s">
        <v>561</v>
      </c>
      <c r="BY23" s="1" t="s">
        <v>560</v>
      </c>
      <c r="BZ23" s="1" t="s">
        <v>407</v>
      </c>
      <c r="CD23" s="1" t="s">
        <v>408</v>
      </c>
      <c r="CL23" s="1" t="s">
        <v>560</v>
      </c>
      <c r="CM23" s="1" t="s">
        <v>568</v>
      </c>
    </row>
    <row r="24" spans="1:91">
      <c r="A24" s="1" t="s">
        <v>569</v>
      </c>
      <c r="B24" s="1" t="s">
        <v>395</v>
      </c>
      <c r="C24" s="1">
        <v>200</v>
      </c>
      <c r="D24" s="1" t="s">
        <v>303</v>
      </c>
      <c r="E24" s="1" t="s">
        <v>80</v>
      </c>
      <c r="G24" s="3" t="s">
        <v>570</v>
      </c>
      <c r="H24" s="1">
        <v>19</v>
      </c>
      <c r="I24" s="1">
        <v>147</v>
      </c>
      <c r="J24" s="3" t="s">
        <v>571</v>
      </c>
      <c r="K24" s="1">
        <v>74</v>
      </c>
      <c r="L24" s="1">
        <v>394</v>
      </c>
      <c r="N24" s="1">
        <v>0</v>
      </c>
      <c r="O24" s="3" t="s">
        <v>572</v>
      </c>
      <c r="P24" s="1">
        <v>7</v>
      </c>
      <c r="R24" s="1">
        <v>0</v>
      </c>
      <c r="S24" s="3" t="s">
        <v>573</v>
      </c>
      <c r="T24" s="1">
        <v>9</v>
      </c>
      <c r="U24" s="3" t="s">
        <v>574</v>
      </c>
      <c r="V24" s="1">
        <v>14</v>
      </c>
      <c r="Z24" s="1" t="s">
        <v>569</v>
      </c>
      <c r="AF24" s="1">
        <v>27053</v>
      </c>
      <c r="AG24" s="1">
        <v>7190</v>
      </c>
      <c r="AH24" s="1">
        <v>7190</v>
      </c>
      <c r="AI24" s="1">
        <v>2.80182077</v>
      </c>
      <c r="AK24" s="1">
        <v>89</v>
      </c>
      <c r="AL24" s="1">
        <v>30</v>
      </c>
      <c r="AM24" s="1">
        <v>2.9666666666666699</v>
      </c>
      <c r="AN24" s="1">
        <v>100</v>
      </c>
      <c r="AO24" s="1" t="s">
        <v>306</v>
      </c>
      <c r="AP24" s="1">
        <v>1.995401263237</v>
      </c>
      <c r="AQ24" s="1">
        <v>0</v>
      </c>
      <c r="AR24" s="1">
        <v>4</v>
      </c>
      <c r="AT24" s="1">
        <v>6</v>
      </c>
      <c r="AU24" s="1">
        <v>3</v>
      </c>
      <c r="AV24" s="1">
        <v>0</v>
      </c>
      <c r="AW24" s="1">
        <v>1.82</v>
      </c>
      <c r="AX24" s="1">
        <v>18</v>
      </c>
      <c r="AY24" s="1">
        <v>13</v>
      </c>
      <c r="AZ24" s="1">
        <v>0</v>
      </c>
      <c r="BA24" s="1">
        <v>2</v>
      </c>
      <c r="BB24" s="1">
        <v>2</v>
      </c>
      <c r="BC24" s="1">
        <v>0</v>
      </c>
      <c r="BH24" s="1" t="s">
        <v>575</v>
      </c>
      <c r="BI24" s="1">
        <v>6.0000000000000001E-3</v>
      </c>
      <c r="BJ24" s="1" t="s">
        <v>521</v>
      </c>
      <c r="BN24" s="1" t="s">
        <v>403</v>
      </c>
      <c r="BO24" s="1" t="s">
        <v>404</v>
      </c>
      <c r="BP24" s="3" t="s">
        <v>570</v>
      </c>
      <c r="BQ24" s="3" t="s">
        <v>571</v>
      </c>
      <c r="BR24" s="1" t="s">
        <v>73</v>
      </c>
      <c r="BS24" s="3" t="s">
        <v>405</v>
      </c>
      <c r="BT24" s="1" t="s">
        <v>576</v>
      </c>
      <c r="BU24" s="1" t="s">
        <v>569</v>
      </c>
      <c r="BV24" s="1" t="s">
        <v>76</v>
      </c>
      <c r="BW24" s="3" t="s">
        <v>570</v>
      </c>
      <c r="BY24" s="1" t="s">
        <v>569</v>
      </c>
      <c r="BZ24" s="1" t="s">
        <v>407</v>
      </c>
      <c r="CD24" s="1" t="s">
        <v>408</v>
      </c>
      <c r="CL24" s="1" t="s">
        <v>569</v>
      </c>
      <c r="CM24" s="1" t="s">
        <v>577</v>
      </c>
    </row>
    <row r="25" spans="1:91">
      <c r="A25" s="1" t="s">
        <v>578</v>
      </c>
      <c r="B25" s="1" t="s">
        <v>395</v>
      </c>
      <c r="C25" s="1">
        <v>200</v>
      </c>
      <c r="D25" s="1" t="s">
        <v>303</v>
      </c>
      <c r="E25" s="1" t="s">
        <v>66</v>
      </c>
      <c r="F25" s="1" t="s">
        <v>579</v>
      </c>
      <c r="G25" s="3" t="s">
        <v>570</v>
      </c>
      <c r="H25" s="1">
        <v>19</v>
      </c>
      <c r="I25" s="1">
        <v>147</v>
      </c>
      <c r="J25" s="3" t="s">
        <v>571</v>
      </c>
      <c r="K25" s="1">
        <v>74</v>
      </c>
      <c r="L25" s="1">
        <v>394</v>
      </c>
      <c r="N25" s="1">
        <v>0</v>
      </c>
      <c r="O25" s="3" t="s">
        <v>580</v>
      </c>
      <c r="P25" s="1">
        <v>22</v>
      </c>
      <c r="R25" s="1">
        <v>0</v>
      </c>
      <c r="T25" s="1">
        <v>0</v>
      </c>
      <c r="V25" s="1">
        <v>0</v>
      </c>
      <c r="Z25" s="1" t="s">
        <v>569</v>
      </c>
      <c r="AF25" s="1">
        <v>39217</v>
      </c>
      <c r="AG25" s="1">
        <v>8779</v>
      </c>
      <c r="AH25" s="1">
        <v>8779</v>
      </c>
      <c r="AI25" s="1">
        <v>3.4210270569999999</v>
      </c>
      <c r="AK25" s="1">
        <v>204</v>
      </c>
      <c r="AL25" s="1">
        <v>54</v>
      </c>
      <c r="AM25" s="1">
        <v>3.7777777777777799</v>
      </c>
      <c r="AN25" s="1">
        <v>100</v>
      </c>
      <c r="AO25" s="1" t="s">
        <v>306</v>
      </c>
      <c r="AP25" s="1">
        <v>2.93902540206909</v>
      </c>
      <c r="AQ25" s="1">
        <v>0</v>
      </c>
      <c r="AR25" s="1">
        <v>4</v>
      </c>
      <c r="AT25" s="1">
        <v>5</v>
      </c>
      <c r="AU25" s="1">
        <v>2</v>
      </c>
      <c r="AV25" s="1">
        <v>0</v>
      </c>
      <c r="AW25" s="1">
        <v>1.21</v>
      </c>
      <c r="AX25" s="1">
        <v>17</v>
      </c>
      <c r="AY25" s="1">
        <v>12</v>
      </c>
      <c r="AZ25" s="1">
        <v>0</v>
      </c>
      <c r="BA25" s="1">
        <v>2</v>
      </c>
      <c r="BB25" s="1">
        <v>2</v>
      </c>
      <c r="BC25" s="1">
        <v>0</v>
      </c>
      <c r="BH25" s="1" t="s">
        <v>581</v>
      </c>
      <c r="BI25" s="1">
        <v>7.0000000000000001E-3</v>
      </c>
      <c r="BJ25" s="1" t="s">
        <v>521</v>
      </c>
      <c r="BN25" s="1" t="s">
        <v>403</v>
      </c>
      <c r="BO25" s="1" t="s">
        <v>404</v>
      </c>
      <c r="BP25" s="3" t="s">
        <v>570</v>
      </c>
      <c r="BQ25" s="3" t="s">
        <v>571</v>
      </c>
      <c r="BR25" s="1" t="s">
        <v>73</v>
      </c>
      <c r="BS25" s="3" t="s">
        <v>405</v>
      </c>
      <c r="BT25" s="1" t="s">
        <v>576</v>
      </c>
      <c r="BU25" s="1" t="s">
        <v>569</v>
      </c>
      <c r="BV25" s="1" t="s">
        <v>76</v>
      </c>
      <c r="BW25" s="3" t="s">
        <v>570</v>
      </c>
      <c r="BY25" s="1" t="s">
        <v>569</v>
      </c>
      <c r="BZ25" s="1" t="s">
        <v>407</v>
      </c>
      <c r="CD25" s="1" t="s">
        <v>408</v>
      </c>
      <c r="CL25" s="1" t="s">
        <v>578</v>
      </c>
      <c r="CM25" s="1" t="s">
        <v>582</v>
      </c>
    </row>
    <row r="26" spans="1:91">
      <c r="A26" s="1" t="s">
        <v>583</v>
      </c>
      <c r="B26" s="1" t="s">
        <v>395</v>
      </c>
      <c r="C26" s="1">
        <v>200</v>
      </c>
      <c r="D26" s="1" t="s">
        <v>303</v>
      </c>
      <c r="E26" s="1" t="s">
        <v>66</v>
      </c>
      <c r="F26" s="1" t="s">
        <v>579</v>
      </c>
      <c r="G26" s="3" t="s">
        <v>570</v>
      </c>
      <c r="H26" s="1">
        <v>19</v>
      </c>
      <c r="I26" s="1">
        <v>147</v>
      </c>
      <c r="J26" s="3" t="s">
        <v>571</v>
      </c>
      <c r="K26" s="1">
        <v>74</v>
      </c>
      <c r="L26" s="1">
        <v>394</v>
      </c>
      <c r="N26" s="1">
        <v>0</v>
      </c>
      <c r="O26" s="3" t="s">
        <v>584</v>
      </c>
      <c r="P26" s="1">
        <v>22</v>
      </c>
      <c r="R26" s="1">
        <v>0</v>
      </c>
      <c r="T26" s="1">
        <v>0</v>
      </c>
      <c r="V26" s="1">
        <v>0</v>
      </c>
      <c r="Z26" s="1" t="s">
        <v>569</v>
      </c>
      <c r="AF26" s="1">
        <v>72161</v>
      </c>
      <c r="AG26" s="1">
        <v>12546</v>
      </c>
      <c r="AH26" s="1">
        <v>12546</v>
      </c>
      <c r="AI26" s="1">
        <v>4.8889629179999998</v>
      </c>
      <c r="AK26" s="1">
        <v>843</v>
      </c>
      <c r="AL26" s="1">
        <v>167</v>
      </c>
      <c r="AM26" s="1">
        <v>5.0479041916167704</v>
      </c>
      <c r="AN26" s="1">
        <v>100</v>
      </c>
      <c r="AO26" s="1" t="s">
        <v>306</v>
      </c>
      <c r="AP26" s="1">
        <v>6.3074841499328604</v>
      </c>
      <c r="AQ26" s="1">
        <v>0</v>
      </c>
      <c r="AR26" s="1">
        <v>4</v>
      </c>
      <c r="AT26" s="1">
        <v>5</v>
      </c>
      <c r="AU26" s="1">
        <v>2</v>
      </c>
      <c r="AV26" s="1">
        <v>0</v>
      </c>
      <c r="AW26" s="1">
        <v>1.21</v>
      </c>
      <c r="AX26" s="1">
        <v>17</v>
      </c>
      <c r="AY26" s="1">
        <v>12</v>
      </c>
      <c r="AZ26" s="1">
        <v>0</v>
      </c>
      <c r="BA26" s="1">
        <v>2</v>
      </c>
      <c r="BB26" s="1">
        <v>2</v>
      </c>
      <c r="BC26" s="1">
        <v>0</v>
      </c>
      <c r="BH26" s="1" t="s">
        <v>585</v>
      </c>
      <c r="BI26" s="1">
        <v>8.0000000000000002E-3</v>
      </c>
      <c r="BJ26" s="1" t="s">
        <v>521</v>
      </c>
      <c r="BN26" s="1" t="s">
        <v>403</v>
      </c>
      <c r="BO26" s="1" t="s">
        <v>404</v>
      </c>
      <c r="BP26" s="3" t="s">
        <v>570</v>
      </c>
      <c r="BQ26" s="3" t="s">
        <v>571</v>
      </c>
      <c r="BR26" s="1" t="s">
        <v>73</v>
      </c>
      <c r="BS26" s="3" t="s">
        <v>405</v>
      </c>
      <c r="BT26" s="1" t="s">
        <v>576</v>
      </c>
      <c r="BU26" s="1" t="s">
        <v>569</v>
      </c>
      <c r="BV26" s="1" t="s">
        <v>76</v>
      </c>
      <c r="BW26" s="3" t="s">
        <v>570</v>
      </c>
      <c r="BY26" s="1" t="s">
        <v>569</v>
      </c>
      <c r="BZ26" s="1" t="s">
        <v>407</v>
      </c>
      <c r="CD26" s="1" t="s">
        <v>408</v>
      </c>
      <c r="CL26" s="1" t="s">
        <v>583</v>
      </c>
      <c r="CM26" s="1" t="s">
        <v>586</v>
      </c>
    </row>
    <row r="27" spans="1:91">
      <c r="A27" s="1" t="s">
        <v>587</v>
      </c>
      <c r="B27" s="1" t="s">
        <v>395</v>
      </c>
      <c r="C27" s="1">
        <v>200</v>
      </c>
      <c r="D27" s="1" t="s">
        <v>303</v>
      </c>
      <c r="E27" s="1" t="s">
        <v>80</v>
      </c>
      <c r="G27" s="3" t="s">
        <v>588</v>
      </c>
      <c r="H27" s="1">
        <v>12</v>
      </c>
      <c r="I27" s="1">
        <v>92</v>
      </c>
      <c r="J27" s="1" t="s">
        <v>589</v>
      </c>
      <c r="K27" s="1">
        <v>53</v>
      </c>
      <c r="L27" s="1">
        <v>287</v>
      </c>
      <c r="N27" s="1">
        <v>0</v>
      </c>
      <c r="O27" s="3" t="s">
        <v>590</v>
      </c>
      <c r="P27" s="1">
        <v>6</v>
      </c>
      <c r="R27" s="1">
        <v>0</v>
      </c>
      <c r="S27" s="1" t="s">
        <v>591</v>
      </c>
      <c r="T27" s="1">
        <v>40</v>
      </c>
      <c r="U27" s="1" t="s">
        <v>592</v>
      </c>
      <c r="V27" s="1">
        <v>41</v>
      </c>
      <c r="Z27" s="1" t="s">
        <v>587</v>
      </c>
      <c r="AF27" s="1">
        <v>85607</v>
      </c>
      <c r="AG27" s="1">
        <v>14654</v>
      </c>
      <c r="AH27" s="1">
        <v>14654</v>
      </c>
      <c r="AI27" s="1">
        <v>5.7104146819999997</v>
      </c>
      <c r="AK27" s="1">
        <v>667</v>
      </c>
      <c r="AL27" s="1">
        <v>177</v>
      </c>
      <c r="AM27" s="1">
        <v>3.7683615819209</v>
      </c>
      <c r="AN27" s="1">
        <v>100</v>
      </c>
      <c r="AO27" s="1" t="s">
        <v>306</v>
      </c>
      <c r="AP27" s="1">
        <v>3.74317455291748</v>
      </c>
      <c r="AQ27" s="1">
        <v>0</v>
      </c>
      <c r="AR27" s="1">
        <v>4</v>
      </c>
      <c r="AT27" s="1">
        <v>4</v>
      </c>
      <c r="AU27" s="1">
        <v>1</v>
      </c>
      <c r="AV27" s="1">
        <v>0</v>
      </c>
      <c r="AW27" s="1">
        <v>0.61</v>
      </c>
      <c r="AX27" s="1">
        <v>16</v>
      </c>
      <c r="AY27" s="1">
        <v>11</v>
      </c>
      <c r="AZ27" s="1">
        <v>0</v>
      </c>
      <c r="BA27" s="1">
        <v>2</v>
      </c>
      <c r="BB27" s="1">
        <v>2</v>
      </c>
      <c r="BC27" s="1">
        <v>0</v>
      </c>
      <c r="BH27" s="1" t="s">
        <v>593</v>
      </c>
      <c r="BI27" s="1">
        <v>7.0000000000000001E-3</v>
      </c>
      <c r="BJ27" s="1" t="s">
        <v>567</v>
      </c>
      <c r="BN27" s="1" t="s">
        <v>403</v>
      </c>
      <c r="BO27" s="1" t="s">
        <v>404</v>
      </c>
      <c r="BP27" s="3" t="s">
        <v>588</v>
      </c>
      <c r="BR27" s="1" t="s">
        <v>73</v>
      </c>
      <c r="BS27" s="3" t="s">
        <v>405</v>
      </c>
      <c r="BT27" s="1" t="s">
        <v>594</v>
      </c>
      <c r="BU27" s="1" t="s">
        <v>587</v>
      </c>
      <c r="BV27" s="1" t="s">
        <v>76</v>
      </c>
      <c r="BW27" s="3" t="s">
        <v>588</v>
      </c>
      <c r="BY27" s="1" t="s">
        <v>587</v>
      </c>
      <c r="BZ27" s="1" t="s">
        <v>407</v>
      </c>
      <c r="CD27" s="1" t="s">
        <v>408</v>
      </c>
      <c r="CL27" s="1" t="s">
        <v>587</v>
      </c>
      <c r="CM27" s="1" t="s">
        <v>595</v>
      </c>
    </row>
    <row r="28" spans="1:91">
      <c r="A28" s="1" t="s">
        <v>596</v>
      </c>
      <c r="B28" s="1" t="s">
        <v>395</v>
      </c>
      <c r="C28" s="1">
        <v>200</v>
      </c>
      <c r="D28" s="1" t="s">
        <v>303</v>
      </c>
      <c r="E28" s="1" t="s">
        <v>80</v>
      </c>
      <c r="G28" s="3" t="s">
        <v>597</v>
      </c>
      <c r="H28" s="1">
        <v>18</v>
      </c>
      <c r="I28" s="1">
        <v>142</v>
      </c>
      <c r="J28" s="3" t="s">
        <v>598</v>
      </c>
      <c r="K28" s="1">
        <v>82</v>
      </c>
      <c r="L28" s="1">
        <v>445</v>
      </c>
      <c r="M28" s="3" t="s">
        <v>599</v>
      </c>
      <c r="N28" s="1">
        <v>12</v>
      </c>
      <c r="O28" s="3" t="s">
        <v>600</v>
      </c>
      <c r="P28" s="1">
        <v>5</v>
      </c>
      <c r="R28" s="1">
        <v>0</v>
      </c>
      <c r="S28" s="1" t="s">
        <v>601</v>
      </c>
      <c r="T28" s="1">
        <v>11</v>
      </c>
      <c r="V28" s="1">
        <v>0</v>
      </c>
      <c r="Z28" s="1" t="s">
        <v>596</v>
      </c>
      <c r="AF28" s="1">
        <v>67861</v>
      </c>
      <c r="AG28" s="1">
        <v>10424</v>
      </c>
      <c r="AH28" s="1">
        <v>10424</v>
      </c>
      <c r="AI28" s="1">
        <v>4.0620555920000001</v>
      </c>
      <c r="AK28" s="1">
        <v>253</v>
      </c>
      <c r="AL28" s="1">
        <v>103</v>
      </c>
      <c r="AM28" s="1">
        <v>2.4563106796116498</v>
      </c>
      <c r="AN28" s="1">
        <v>100</v>
      </c>
      <c r="AO28" s="1" t="s">
        <v>306</v>
      </c>
      <c r="AP28" s="1">
        <v>1.90669500827789</v>
      </c>
      <c r="AQ28" s="1">
        <v>0</v>
      </c>
      <c r="AR28" s="1">
        <v>3</v>
      </c>
      <c r="AT28" s="1">
        <v>5</v>
      </c>
      <c r="AU28" s="1">
        <v>2</v>
      </c>
      <c r="AV28" s="1">
        <v>0</v>
      </c>
      <c r="AW28" s="1">
        <v>1.21</v>
      </c>
      <c r="AX28" s="1">
        <v>20</v>
      </c>
      <c r="AY28" s="1">
        <v>13</v>
      </c>
      <c r="AZ28" s="1">
        <v>0</v>
      </c>
      <c r="BA28" s="1">
        <v>14</v>
      </c>
      <c r="BB28" s="1">
        <v>8</v>
      </c>
      <c r="BC28" s="1">
        <v>0</v>
      </c>
      <c r="BH28" s="1" t="s">
        <v>602</v>
      </c>
      <c r="BI28" s="1">
        <v>7.0000000000000001E-3</v>
      </c>
      <c r="BJ28" s="1" t="s">
        <v>603</v>
      </c>
      <c r="BN28" s="1" t="s">
        <v>403</v>
      </c>
      <c r="BO28" s="1" t="s">
        <v>404</v>
      </c>
      <c r="BP28" s="3" t="s">
        <v>597</v>
      </c>
      <c r="BQ28" s="3" t="s">
        <v>598</v>
      </c>
      <c r="BR28" s="1" t="s">
        <v>73</v>
      </c>
      <c r="BS28" s="3" t="s">
        <v>405</v>
      </c>
      <c r="BT28" s="1" t="s">
        <v>462</v>
      </c>
      <c r="BU28" s="1" t="s">
        <v>596</v>
      </c>
      <c r="BV28" s="1" t="s">
        <v>76</v>
      </c>
      <c r="BW28" s="3" t="s">
        <v>597</v>
      </c>
      <c r="BY28" s="1" t="s">
        <v>596</v>
      </c>
      <c r="BZ28" s="1" t="s">
        <v>407</v>
      </c>
      <c r="CD28" s="1" t="s">
        <v>408</v>
      </c>
      <c r="CL28" s="1" t="s">
        <v>596</v>
      </c>
      <c r="CM28" s="1" t="s">
        <v>604</v>
      </c>
    </row>
    <row r="29" spans="1:91">
      <c r="A29" s="1" t="s">
        <v>605</v>
      </c>
      <c r="B29" s="1" t="s">
        <v>395</v>
      </c>
      <c r="C29" s="1">
        <v>200</v>
      </c>
      <c r="D29" s="1" t="s">
        <v>303</v>
      </c>
      <c r="E29" s="1" t="s">
        <v>80</v>
      </c>
      <c r="G29" s="3" t="s">
        <v>606</v>
      </c>
      <c r="H29" s="1">
        <v>28</v>
      </c>
      <c r="I29" s="1">
        <v>217</v>
      </c>
      <c r="J29" s="1" t="s">
        <v>421</v>
      </c>
      <c r="K29" s="1">
        <v>77</v>
      </c>
      <c r="L29" s="1">
        <v>417</v>
      </c>
      <c r="N29" s="1">
        <v>0</v>
      </c>
      <c r="O29" s="3" t="s">
        <v>422</v>
      </c>
      <c r="P29" s="1">
        <v>9</v>
      </c>
      <c r="R29" s="1">
        <v>0</v>
      </c>
      <c r="S29" s="3" t="s">
        <v>423</v>
      </c>
      <c r="T29" s="1">
        <v>15</v>
      </c>
      <c r="U29" s="1" t="s">
        <v>424</v>
      </c>
      <c r="V29" s="1">
        <v>25</v>
      </c>
      <c r="Z29" s="1" t="s">
        <v>605</v>
      </c>
      <c r="AF29" s="1">
        <v>67543</v>
      </c>
      <c r="AG29" s="1">
        <v>11376</v>
      </c>
      <c r="AH29" s="1">
        <v>11376</v>
      </c>
      <c r="AI29" s="1">
        <v>4.4330338080000002</v>
      </c>
      <c r="AK29" s="1">
        <v>514</v>
      </c>
      <c r="AL29" s="1">
        <v>177</v>
      </c>
      <c r="AM29" s="1">
        <v>2.9039548022598898</v>
      </c>
      <c r="AN29" s="1">
        <v>100</v>
      </c>
      <c r="AO29" s="1" t="s">
        <v>306</v>
      </c>
      <c r="AP29" s="1">
        <v>3.7515461444854701</v>
      </c>
      <c r="AQ29" s="1">
        <v>0</v>
      </c>
      <c r="AR29" s="1">
        <v>3</v>
      </c>
      <c r="AT29" s="1">
        <v>5</v>
      </c>
      <c r="AU29" s="1">
        <v>2</v>
      </c>
      <c r="AV29" s="1">
        <v>0</v>
      </c>
      <c r="AW29" s="1">
        <v>1.21</v>
      </c>
      <c r="AX29" s="1">
        <v>23</v>
      </c>
      <c r="AY29" s="1">
        <v>18</v>
      </c>
      <c r="AZ29" s="1">
        <v>0</v>
      </c>
      <c r="BA29" s="1">
        <v>9</v>
      </c>
      <c r="BB29" s="1">
        <v>9</v>
      </c>
      <c r="BC29" s="1">
        <v>0</v>
      </c>
      <c r="BH29" s="1" t="s">
        <v>607</v>
      </c>
      <c r="BI29" s="1">
        <v>6.0000000000000001E-3</v>
      </c>
      <c r="BJ29" s="1" t="s">
        <v>567</v>
      </c>
      <c r="BN29" s="1" t="s">
        <v>403</v>
      </c>
      <c r="BO29" s="1" t="s">
        <v>404</v>
      </c>
      <c r="BP29" s="3" t="s">
        <v>606</v>
      </c>
      <c r="BQ29" s="1" t="s">
        <v>421</v>
      </c>
      <c r="BR29" s="1" t="s">
        <v>73</v>
      </c>
      <c r="BS29" s="3" t="s">
        <v>405</v>
      </c>
      <c r="BT29" s="1" t="s">
        <v>462</v>
      </c>
      <c r="BU29" s="1" t="s">
        <v>605</v>
      </c>
      <c r="BV29" s="1" t="s">
        <v>76</v>
      </c>
      <c r="BW29" s="3" t="s">
        <v>606</v>
      </c>
      <c r="BY29" s="1" t="s">
        <v>605</v>
      </c>
      <c r="BZ29" s="1" t="s">
        <v>407</v>
      </c>
      <c r="CD29" s="1" t="s">
        <v>408</v>
      </c>
      <c r="CL29" s="1" t="s">
        <v>605</v>
      </c>
      <c r="CM29" s="1" t="s">
        <v>608</v>
      </c>
    </row>
    <row r="30" spans="1:91">
      <c r="A30" s="1" t="s">
        <v>609</v>
      </c>
      <c r="B30" s="1" t="s">
        <v>395</v>
      </c>
      <c r="C30" s="1">
        <v>200</v>
      </c>
      <c r="D30" s="1" t="s">
        <v>303</v>
      </c>
      <c r="E30" s="1" t="s">
        <v>80</v>
      </c>
      <c r="G30" s="1" t="s">
        <v>610</v>
      </c>
      <c r="H30" s="1">
        <v>23</v>
      </c>
      <c r="I30" s="1">
        <v>191</v>
      </c>
      <c r="J30" s="3" t="s">
        <v>611</v>
      </c>
      <c r="K30" s="1">
        <v>51</v>
      </c>
      <c r="L30" s="1">
        <v>282</v>
      </c>
      <c r="N30" s="1">
        <v>0</v>
      </c>
      <c r="O30" s="1" t="s">
        <v>612</v>
      </c>
      <c r="P30" s="1">
        <v>31</v>
      </c>
      <c r="R30" s="1">
        <v>0</v>
      </c>
      <c r="S30" s="1" t="s">
        <v>613</v>
      </c>
      <c r="T30" s="1">
        <v>26</v>
      </c>
      <c r="U30" s="3" t="s">
        <v>614</v>
      </c>
      <c r="V30" s="1">
        <v>17</v>
      </c>
      <c r="Z30" s="1" t="s">
        <v>609</v>
      </c>
      <c r="AF30" s="1">
        <v>58418</v>
      </c>
      <c r="AG30" s="1">
        <v>11579</v>
      </c>
      <c r="AH30" s="1">
        <v>11579</v>
      </c>
      <c r="AI30" s="1">
        <v>4.512139457</v>
      </c>
      <c r="AK30" s="1">
        <v>539</v>
      </c>
      <c r="AL30" s="1">
        <v>158</v>
      </c>
      <c r="AM30" s="1">
        <v>3.4113924050632898</v>
      </c>
      <c r="AN30" s="1">
        <v>100</v>
      </c>
      <c r="AO30" s="1" t="s">
        <v>306</v>
      </c>
      <c r="AP30" s="1">
        <v>4.54742479324341</v>
      </c>
      <c r="AQ30" s="1">
        <v>0</v>
      </c>
      <c r="AR30" s="1">
        <v>4</v>
      </c>
      <c r="AT30" s="1">
        <v>4</v>
      </c>
      <c r="AU30" s="1">
        <v>1</v>
      </c>
      <c r="AV30" s="1">
        <v>0</v>
      </c>
      <c r="AW30" s="1">
        <v>0.61</v>
      </c>
      <c r="AX30" s="1">
        <v>18</v>
      </c>
      <c r="AY30" s="1">
        <v>13</v>
      </c>
      <c r="AZ30" s="1">
        <v>0</v>
      </c>
      <c r="BA30" s="1">
        <v>4</v>
      </c>
      <c r="BB30" s="1">
        <v>4</v>
      </c>
      <c r="BC30" s="1">
        <v>0</v>
      </c>
      <c r="BH30" s="1" t="s">
        <v>615</v>
      </c>
      <c r="BI30" s="1">
        <v>0.01</v>
      </c>
      <c r="BJ30" s="1" t="s">
        <v>551</v>
      </c>
      <c r="BN30" s="1" t="s">
        <v>403</v>
      </c>
      <c r="BO30" s="1" t="s">
        <v>404</v>
      </c>
      <c r="BP30" s="1" t="s">
        <v>610</v>
      </c>
      <c r="BQ30" s="3" t="s">
        <v>611</v>
      </c>
      <c r="BR30" s="1" t="s">
        <v>73</v>
      </c>
      <c r="BS30" s="3" t="s">
        <v>405</v>
      </c>
      <c r="BT30" s="1" t="s">
        <v>462</v>
      </c>
      <c r="BU30" s="1" t="s">
        <v>609</v>
      </c>
      <c r="BV30" s="1" t="s">
        <v>76</v>
      </c>
      <c r="BW30" s="1" t="s">
        <v>610</v>
      </c>
      <c r="BY30" s="1" t="s">
        <v>609</v>
      </c>
      <c r="BZ30" s="1" t="s">
        <v>407</v>
      </c>
      <c r="CD30" s="1" t="s">
        <v>408</v>
      </c>
      <c r="CL30" s="1" t="s">
        <v>609</v>
      </c>
      <c r="CM30" s="1" t="s">
        <v>616</v>
      </c>
    </row>
    <row r="31" spans="1:91">
      <c r="A31" s="1" t="s">
        <v>617</v>
      </c>
      <c r="B31" s="1" t="s">
        <v>395</v>
      </c>
      <c r="C31" s="1">
        <v>200</v>
      </c>
      <c r="D31" s="1" t="s">
        <v>303</v>
      </c>
      <c r="E31" s="1" t="s">
        <v>80</v>
      </c>
      <c r="G31" s="1" t="s">
        <v>618</v>
      </c>
      <c r="H31" s="1">
        <v>25</v>
      </c>
      <c r="I31" s="1">
        <v>205</v>
      </c>
      <c r="J31" s="3" t="s">
        <v>619</v>
      </c>
      <c r="K31" s="1">
        <v>56</v>
      </c>
      <c r="L31" s="1">
        <v>303</v>
      </c>
      <c r="N31" s="1">
        <v>0</v>
      </c>
      <c r="O31" s="3" t="s">
        <v>413</v>
      </c>
      <c r="P31" s="1">
        <v>17</v>
      </c>
      <c r="R31" s="1">
        <v>0</v>
      </c>
      <c r="S31" s="1" t="s">
        <v>414</v>
      </c>
      <c r="T31" s="1">
        <v>44</v>
      </c>
      <c r="U31" s="3" t="s">
        <v>415</v>
      </c>
      <c r="V31" s="1">
        <v>14</v>
      </c>
      <c r="Z31" s="1" t="s">
        <v>617</v>
      </c>
      <c r="AF31" s="1">
        <v>45246</v>
      </c>
      <c r="AG31" s="1">
        <v>10440</v>
      </c>
      <c r="AH31" s="1">
        <v>10440</v>
      </c>
      <c r="AI31" s="1">
        <v>4.0682905199999997</v>
      </c>
      <c r="AK31" s="1">
        <v>363</v>
      </c>
      <c r="AL31" s="1">
        <v>110</v>
      </c>
      <c r="AM31" s="1">
        <v>3.3</v>
      </c>
      <c r="AN31" s="1">
        <v>100</v>
      </c>
      <c r="AO31" s="1" t="s">
        <v>306</v>
      </c>
      <c r="AP31" s="1">
        <v>4.2667889595031703</v>
      </c>
      <c r="AQ31" s="1">
        <v>0</v>
      </c>
      <c r="AR31" s="1">
        <v>4</v>
      </c>
      <c r="AT31" s="1">
        <v>4</v>
      </c>
      <c r="AU31" s="1">
        <v>1</v>
      </c>
      <c r="AV31" s="1">
        <v>0</v>
      </c>
      <c r="AW31" s="1">
        <v>0.61</v>
      </c>
      <c r="AX31" s="1">
        <v>17</v>
      </c>
      <c r="AY31" s="1">
        <v>12</v>
      </c>
      <c r="AZ31" s="1">
        <v>0</v>
      </c>
      <c r="BA31" s="1">
        <v>3</v>
      </c>
      <c r="BB31" s="1">
        <v>3</v>
      </c>
      <c r="BC31" s="1">
        <v>0</v>
      </c>
      <c r="BH31" s="1" t="s">
        <v>620</v>
      </c>
      <c r="BI31" s="1">
        <v>3.1E-2</v>
      </c>
      <c r="BJ31" s="1" t="s">
        <v>551</v>
      </c>
      <c r="BN31" s="1" t="s">
        <v>403</v>
      </c>
      <c r="BO31" s="1" t="s">
        <v>404</v>
      </c>
      <c r="BP31" s="1" t="s">
        <v>618</v>
      </c>
      <c r="BQ31" s="3" t="s">
        <v>619</v>
      </c>
      <c r="BR31" s="1" t="s">
        <v>73</v>
      </c>
      <c r="BS31" s="3" t="s">
        <v>405</v>
      </c>
      <c r="BT31" s="1" t="s">
        <v>462</v>
      </c>
      <c r="BU31" s="1" t="s">
        <v>617</v>
      </c>
      <c r="BV31" s="1" t="s">
        <v>76</v>
      </c>
      <c r="BW31" s="1" t="s">
        <v>618</v>
      </c>
      <c r="BY31" s="1" t="s">
        <v>617</v>
      </c>
      <c r="BZ31" s="1" t="s">
        <v>407</v>
      </c>
      <c r="CD31" s="1" t="s">
        <v>408</v>
      </c>
      <c r="CL31" s="1" t="s">
        <v>617</v>
      </c>
      <c r="CM31" s="1" t="s">
        <v>621</v>
      </c>
    </row>
    <row r="32" spans="1:91">
      <c r="A32" s="1" t="s">
        <v>622</v>
      </c>
      <c r="B32" s="1" t="s">
        <v>395</v>
      </c>
      <c r="C32" s="1">
        <v>200</v>
      </c>
      <c r="D32" s="1" t="s">
        <v>303</v>
      </c>
      <c r="E32" s="1" t="s">
        <v>80</v>
      </c>
      <c r="G32" s="1" t="s">
        <v>623</v>
      </c>
      <c r="H32" s="1">
        <v>32</v>
      </c>
      <c r="I32" s="1">
        <v>267</v>
      </c>
      <c r="J32" s="3" t="s">
        <v>624</v>
      </c>
      <c r="K32" s="1">
        <v>63</v>
      </c>
      <c r="L32" s="1">
        <v>340</v>
      </c>
      <c r="N32" s="1">
        <v>0</v>
      </c>
      <c r="O32" s="1" t="s">
        <v>625</v>
      </c>
      <c r="P32" s="1">
        <v>31</v>
      </c>
      <c r="R32" s="1">
        <v>0</v>
      </c>
      <c r="S32" s="1" t="s">
        <v>626</v>
      </c>
      <c r="T32" s="1">
        <v>31</v>
      </c>
      <c r="U32" s="3" t="s">
        <v>627</v>
      </c>
      <c r="V32" s="1">
        <v>24</v>
      </c>
      <c r="Z32" s="1" t="s">
        <v>622</v>
      </c>
      <c r="AF32" s="1">
        <v>88207</v>
      </c>
      <c r="AG32" s="1">
        <v>12317</v>
      </c>
      <c r="AH32" s="1">
        <v>12317</v>
      </c>
      <c r="AI32" s="1">
        <v>4.7997255110000001</v>
      </c>
      <c r="AK32" s="1">
        <v>530</v>
      </c>
      <c r="AL32" s="1">
        <v>167</v>
      </c>
      <c r="AM32" s="1">
        <v>3.1736526946107801</v>
      </c>
      <c r="AN32" s="1">
        <v>100</v>
      </c>
      <c r="AO32" s="1" t="s">
        <v>306</v>
      </c>
      <c r="AP32" s="1">
        <v>3.3304021358489999</v>
      </c>
      <c r="AQ32" s="1">
        <v>0</v>
      </c>
      <c r="AR32" s="1">
        <v>4</v>
      </c>
      <c r="AT32" s="1">
        <v>4</v>
      </c>
      <c r="AU32" s="1">
        <v>1</v>
      </c>
      <c r="AV32" s="1">
        <v>0</v>
      </c>
      <c r="AW32" s="1">
        <v>0.61</v>
      </c>
      <c r="AX32" s="1">
        <v>18</v>
      </c>
      <c r="AY32" s="1">
        <v>13</v>
      </c>
      <c r="AZ32" s="1">
        <v>0</v>
      </c>
      <c r="BA32" s="1">
        <v>4</v>
      </c>
      <c r="BB32" s="1">
        <v>4</v>
      </c>
      <c r="BC32" s="1">
        <v>0</v>
      </c>
      <c r="BH32" s="1" t="s">
        <v>628</v>
      </c>
      <c r="BI32" s="1">
        <v>8.0000000000000002E-3</v>
      </c>
      <c r="BJ32" s="1" t="s">
        <v>521</v>
      </c>
      <c r="BN32" s="1" t="s">
        <v>403</v>
      </c>
      <c r="BO32" s="1" t="s">
        <v>404</v>
      </c>
      <c r="BP32" s="1" t="s">
        <v>623</v>
      </c>
      <c r="BQ32" s="3" t="s">
        <v>624</v>
      </c>
      <c r="BR32" s="1" t="s">
        <v>73</v>
      </c>
      <c r="BS32" s="3" t="s">
        <v>405</v>
      </c>
      <c r="BT32" s="1" t="s">
        <v>462</v>
      </c>
      <c r="BU32" s="1" t="s">
        <v>622</v>
      </c>
      <c r="BV32" s="1" t="s">
        <v>76</v>
      </c>
      <c r="BW32" s="1" t="s">
        <v>623</v>
      </c>
      <c r="BY32" s="1" t="s">
        <v>622</v>
      </c>
      <c r="BZ32" s="1" t="s">
        <v>407</v>
      </c>
      <c r="CD32" s="1" t="s">
        <v>408</v>
      </c>
      <c r="CL32" s="1" t="s">
        <v>622</v>
      </c>
      <c r="CM32" s="1" t="s">
        <v>629</v>
      </c>
    </row>
    <row r="33" spans="1:91">
      <c r="A33" s="1" t="s">
        <v>630</v>
      </c>
      <c r="B33" s="1" t="s">
        <v>395</v>
      </c>
      <c r="C33" s="1">
        <v>200</v>
      </c>
      <c r="D33" s="1" t="s">
        <v>303</v>
      </c>
      <c r="E33" s="1" t="s">
        <v>66</v>
      </c>
      <c r="F33" s="1" t="s">
        <v>579</v>
      </c>
      <c r="G33" s="3" t="s">
        <v>631</v>
      </c>
      <c r="H33" s="1">
        <v>18</v>
      </c>
      <c r="I33" s="1">
        <v>144</v>
      </c>
      <c r="J33" s="3" t="s">
        <v>632</v>
      </c>
      <c r="K33" s="1">
        <v>75</v>
      </c>
      <c r="L33" s="1">
        <v>418</v>
      </c>
      <c r="N33" s="1">
        <v>0</v>
      </c>
      <c r="O33" s="3" t="s">
        <v>431</v>
      </c>
      <c r="P33" s="1">
        <v>72</v>
      </c>
      <c r="R33" s="1">
        <v>0</v>
      </c>
      <c r="S33" s="3" t="s">
        <v>432</v>
      </c>
      <c r="T33" s="1">
        <v>40</v>
      </c>
      <c r="U33" s="3" t="s">
        <v>433</v>
      </c>
      <c r="V33" s="1">
        <v>9</v>
      </c>
      <c r="Z33" s="1" t="s">
        <v>428</v>
      </c>
      <c r="AF33" s="1">
        <v>42382</v>
      </c>
      <c r="AG33" s="1">
        <v>9461</v>
      </c>
      <c r="AH33" s="1">
        <v>9461</v>
      </c>
      <c r="AI33" s="1">
        <v>3.6867908630000001</v>
      </c>
      <c r="AK33" s="1">
        <v>360</v>
      </c>
      <c r="AL33" s="1">
        <v>126</v>
      </c>
      <c r="AM33" s="1">
        <v>2.8571428571428599</v>
      </c>
      <c r="AN33" s="1">
        <v>100</v>
      </c>
      <c r="AO33" s="1" t="s">
        <v>306</v>
      </c>
      <c r="AP33" s="1">
        <v>4.29077100753784</v>
      </c>
      <c r="AQ33" s="1">
        <v>0</v>
      </c>
      <c r="AR33" s="1">
        <v>3</v>
      </c>
      <c r="AT33" s="1">
        <v>4</v>
      </c>
      <c r="AU33" s="1">
        <v>1</v>
      </c>
      <c r="AV33" s="1">
        <v>0</v>
      </c>
      <c r="AW33" s="1">
        <v>0.61</v>
      </c>
      <c r="AX33" s="1">
        <v>17</v>
      </c>
      <c r="AY33" s="1">
        <v>12</v>
      </c>
      <c r="AZ33" s="1">
        <v>0</v>
      </c>
      <c r="BA33" s="1">
        <v>3</v>
      </c>
      <c r="BB33" s="1">
        <v>3</v>
      </c>
      <c r="BC33" s="1">
        <v>0</v>
      </c>
      <c r="BH33" s="1" t="s">
        <v>633</v>
      </c>
      <c r="BI33" s="1">
        <v>2.3E-2</v>
      </c>
      <c r="BJ33" s="1" t="s">
        <v>567</v>
      </c>
      <c r="BN33" s="1" t="s">
        <v>403</v>
      </c>
      <c r="BO33" s="1" t="s">
        <v>404</v>
      </c>
      <c r="BP33" s="3" t="s">
        <v>631</v>
      </c>
      <c r="BQ33" s="3" t="s">
        <v>632</v>
      </c>
      <c r="BR33" s="1" t="s">
        <v>73</v>
      </c>
      <c r="BS33" s="3" t="s">
        <v>405</v>
      </c>
      <c r="BT33" s="1" t="s">
        <v>462</v>
      </c>
      <c r="BU33" s="1" t="s">
        <v>630</v>
      </c>
      <c r="BV33" s="1" t="s">
        <v>76</v>
      </c>
      <c r="BW33" s="3" t="s">
        <v>631</v>
      </c>
      <c r="BY33" s="1" t="s">
        <v>630</v>
      </c>
      <c r="BZ33" s="1" t="s">
        <v>407</v>
      </c>
      <c r="CD33" s="1" t="s">
        <v>408</v>
      </c>
      <c r="CL33" s="1" t="s">
        <v>630</v>
      </c>
      <c r="CM33" s="1" t="s">
        <v>634</v>
      </c>
    </row>
    <row r="34" spans="1:91">
      <c r="A34" s="1" t="s">
        <v>635</v>
      </c>
      <c r="B34" s="1" t="s">
        <v>395</v>
      </c>
      <c r="C34" s="1">
        <v>200</v>
      </c>
      <c r="D34" s="1" t="s">
        <v>303</v>
      </c>
      <c r="E34" s="1" t="s">
        <v>80</v>
      </c>
      <c r="G34" s="3" t="s">
        <v>636</v>
      </c>
      <c r="H34" s="1">
        <v>24</v>
      </c>
      <c r="I34" s="1">
        <v>181</v>
      </c>
      <c r="J34" s="3" t="s">
        <v>637</v>
      </c>
      <c r="K34" s="1">
        <v>51</v>
      </c>
      <c r="L34" s="1">
        <v>285</v>
      </c>
      <c r="N34" s="1">
        <v>0</v>
      </c>
      <c r="O34" s="1" t="s">
        <v>638</v>
      </c>
      <c r="P34" s="1">
        <v>30</v>
      </c>
      <c r="R34" s="1">
        <v>0</v>
      </c>
      <c r="S34" s="1" t="s">
        <v>639</v>
      </c>
      <c r="T34" s="1">
        <v>15</v>
      </c>
      <c r="V34" s="1">
        <v>0</v>
      </c>
      <c r="Z34" s="1" t="s">
        <v>635</v>
      </c>
      <c r="AF34" s="1">
        <v>100452</v>
      </c>
      <c r="AG34" s="1">
        <v>18231</v>
      </c>
      <c r="AH34" s="1">
        <v>18231</v>
      </c>
      <c r="AI34" s="1">
        <v>7.1043107729999999</v>
      </c>
      <c r="AK34" s="1">
        <v>895</v>
      </c>
      <c r="AL34" s="1">
        <v>204</v>
      </c>
      <c r="AM34" s="1">
        <v>4.38725490196079</v>
      </c>
      <c r="AN34" s="1">
        <v>100</v>
      </c>
      <c r="AO34" s="1" t="s">
        <v>306</v>
      </c>
      <c r="AP34" s="1">
        <v>4.1962599754333496</v>
      </c>
      <c r="AQ34" s="1">
        <v>0</v>
      </c>
      <c r="AR34" s="1">
        <v>4</v>
      </c>
      <c r="AT34" s="1">
        <v>6</v>
      </c>
      <c r="AU34" s="1">
        <v>3</v>
      </c>
      <c r="AV34" s="1">
        <v>0</v>
      </c>
      <c r="AW34" s="1">
        <v>1.82</v>
      </c>
      <c r="AX34" s="1">
        <v>16</v>
      </c>
      <c r="AY34" s="1">
        <v>11</v>
      </c>
      <c r="AZ34" s="1">
        <v>0</v>
      </c>
      <c r="BA34" s="1">
        <v>4</v>
      </c>
      <c r="BB34" s="1">
        <v>3</v>
      </c>
      <c r="BC34" s="1">
        <v>0</v>
      </c>
      <c r="BH34" s="1" t="s">
        <v>640</v>
      </c>
      <c r="BI34" s="1">
        <v>0.01</v>
      </c>
      <c r="BJ34" s="1" t="s">
        <v>567</v>
      </c>
      <c r="BN34" s="1" t="s">
        <v>403</v>
      </c>
      <c r="BO34" s="1" t="s">
        <v>404</v>
      </c>
      <c r="BP34" s="3" t="s">
        <v>636</v>
      </c>
      <c r="BQ34" s="3" t="s">
        <v>637</v>
      </c>
      <c r="BR34" s="1" t="s">
        <v>73</v>
      </c>
      <c r="BS34" s="3" t="s">
        <v>405</v>
      </c>
      <c r="BT34" s="1" t="s">
        <v>462</v>
      </c>
      <c r="BU34" s="1" t="s">
        <v>635</v>
      </c>
      <c r="BV34" s="1" t="s">
        <v>76</v>
      </c>
      <c r="BW34" s="3" t="s">
        <v>636</v>
      </c>
      <c r="BY34" s="1" t="s">
        <v>635</v>
      </c>
      <c r="BZ34" s="1" t="s">
        <v>407</v>
      </c>
      <c r="CD34" s="1" t="s">
        <v>408</v>
      </c>
      <c r="CL34" s="1" t="s">
        <v>635</v>
      </c>
      <c r="CM34" s="1" t="s">
        <v>641</v>
      </c>
    </row>
    <row r="35" spans="1:91">
      <c r="A35" s="1" t="s">
        <v>642</v>
      </c>
      <c r="B35" s="1" t="s">
        <v>395</v>
      </c>
      <c r="C35" s="1">
        <v>200</v>
      </c>
      <c r="D35" s="1" t="s">
        <v>303</v>
      </c>
      <c r="E35" s="1" t="s">
        <v>80</v>
      </c>
      <c r="G35" s="3" t="s">
        <v>643</v>
      </c>
      <c r="H35" s="1">
        <v>27</v>
      </c>
      <c r="I35" s="1">
        <v>215</v>
      </c>
      <c r="J35" s="3" t="s">
        <v>644</v>
      </c>
      <c r="K35" s="1">
        <v>55</v>
      </c>
      <c r="L35" s="1">
        <v>303</v>
      </c>
      <c r="N35" s="1">
        <v>0</v>
      </c>
      <c r="O35" s="1" t="s">
        <v>645</v>
      </c>
      <c r="P35" s="1">
        <v>30</v>
      </c>
      <c r="R35" s="1">
        <v>0</v>
      </c>
      <c r="S35" s="1" t="s">
        <v>646</v>
      </c>
      <c r="T35" s="1">
        <v>18</v>
      </c>
      <c r="V35" s="1">
        <v>0</v>
      </c>
      <c r="Z35" s="1" t="s">
        <v>642</v>
      </c>
      <c r="AF35" s="1">
        <v>172848</v>
      </c>
      <c r="AG35" s="1">
        <v>22366</v>
      </c>
      <c r="AH35" s="1">
        <v>22366</v>
      </c>
      <c r="AI35" s="1">
        <v>8.7156499780000001</v>
      </c>
      <c r="AK35" s="1">
        <v>1371</v>
      </c>
      <c r="AL35" s="1">
        <v>275</v>
      </c>
      <c r="AM35" s="1">
        <v>4.9854545454545498</v>
      </c>
      <c r="AN35" s="1">
        <v>100</v>
      </c>
      <c r="AO35" s="1" t="s">
        <v>306</v>
      </c>
      <c r="AP35" s="1">
        <v>3.90389823913574</v>
      </c>
      <c r="AQ35" s="1">
        <v>0</v>
      </c>
      <c r="AR35" s="1">
        <v>4</v>
      </c>
      <c r="AT35" s="1">
        <v>6</v>
      </c>
      <c r="AU35" s="1">
        <v>3</v>
      </c>
      <c r="AV35" s="1">
        <v>0</v>
      </c>
      <c r="AW35" s="1">
        <v>1.82</v>
      </c>
      <c r="AX35" s="1">
        <v>16</v>
      </c>
      <c r="AY35" s="1">
        <v>11</v>
      </c>
      <c r="AZ35" s="1">
        <v>0</v>
      </c>
      <c r="BA35" s="1">
        <v>4</v>
      </c>
      <c r="BB35" s="1">
        <v>3</v>
      </c>
      <c r="BC35" s="1">
        <v>0</v>
      </c>
      <c r="BH35" s="1" t="s">
        <v>647</v>
      </c>
      <c r="BI35" s="1">
        <v>7.0000000000000001E-3</v>
      </c>
      <c r="BJ35" s="1" t="s">
        <v>567</v>
      </c>
      <c r="BN35" s="1" t="s">
        <v>403</v>
      </c>
      <c r="BO35" s="1" t="s">
        <v>404</v>
      </c>
      <c r="BP35" s="3" t="s">
        <v>643</v>
      </c>
      <c r="BQ35" s="3" t="s">
        <v>644</v>
      </c>
      <c r="BR35" s="1" t="s">
        <v>73</v>
      </c>
      <c r="BS35" s="3" t="s">
        <v>405</v>
      </c>
      <c r="BT35" s="1" t="s">
        <v>462</v>
      </c>
      <c r="BU35" s="1" t="s">
        <v>642</v>
      </c>
      <c r="BV35" s="1" t="s">
        <v>76</v>
      </c>
      <c r="BW35" s="3" t="s">
        <v>643</v>
      </c>
      <c r="BY35" s="1" t="s">
        <v>642</v>
      </c>
      <c r="BZ35" s="1" t="s">
        <v>407</v>
      </c>
      <c r="CD35" s="1" t="s">
        <v>408</v>
      </c>
      <c r="CL35" s="1" t="s">
        <v>642</v>
      </c>
      <c r="CM35" s="1" t="s">
        <v>648</v>
      </c>
    </row>
    <row r="36" spans="1:91">
      <c r="A36" s="1" t="s">
        <v>649</v>
      </c>
      <c r="B36" s="1" t="s">
        <v>395</v>
      </c>
      <c r="C36" s="1">
        <v>200</v>
      </c>
      <c r="D36" s="1" t="s">
        <v>303</v>
      </c>
      <c r="E36" s="1" t="s">
        <v>80</v>
      </c>
      <c r="G36" s="3" t="s">
        <v>650</v>
      </c>
      <c r="H36" s="1">
        <v>32</v>
      </c>
      <c r="I36" s="1">
        <v>252</v>
      </c>
      <c r="J36" s="3" t="s">
        <v>651</v>
      </c>
      <c r="K36" s="1">
        <v>59</v>
      </c>
      <c r="L36" s="1">
        <v>325</v>
      </c>
      <c r="M36" s="3" t="s">
        <v>652</v>
      </c>
      <c r="N36" s="1">
        <v>35</v>
      </c>
      <c r="O36" s="3" t="s">
        <v>653</v>
      </c>
      <c r="P36" s="1">
        <v>22</v>
      </c>
      <c r="Q36" s="3" t="s">
        <v>654</v>
      </c>
      <c r="R36" s="1">
        <v>5</v>
      </c>
      <c r="T36" s="1">
        <v>0</v>
      </c>
      <c r="V36" s="1">
        <v>0</v>
      </c>
      <c r="Z36" s="1" t="s">
        <v>649</v>
      </c>
      <c r="AF36" s="1">
        <v>102786</v>
      </c>
      <c r="AG36" s="1">
        <v>22341</v>
      </c>
      <c r="AH36" s="1">
        <v>22341</v>
      </c>
      <c r="AI36" s="1">
        <v>8.7059079029999999</v>
      </c>
      <c r="AK36" s="1">
        <v>427</v>
      </c>
      <c r="AL36" s="1">
        <v>103</v>
      </c>
      <c r="AM36" s="1">
        <v>4.1456310679611699</v>
      </c>
      <c r="AN36" s="1">
        <v>100</v>
      </c>
      <c r="AO36" s="1" t="s">
        <v>306</v>
      </c>
      <c r="AP36" s="1">
        <v>1.96240901947022</v>
      </c>
      <c r="AQ36" s="1">
        <v>0</v>
      </c>
      <c r="AR36" s="1">
        <v>4</v>
      </c>
      <c r="AT36" s="1">
        <v>5</v>
      </c>
      <c r="AU36" s="1">
        <v>1</v>
      </c>
      <c r="AV36" s="1">
        <v>0</v>
      </c>
      <c r="AW36" s="1">
        <v>0.61</v>
      </c>
      <c r="AX36" s="1">
        <v>19</v>
      </c>
      <c r="AY36" s="1">
        <v>13</v>
      </c>
      <c r="AZ36" s="1">
        <v>0</v>
      </c>
      <c r="BA36" s="1">
        <v>3</v>
      </c>
      <c r="BB36" s="1">
        <v>3</v>
      </c>
      <c r="BC36" s="1">
        <v>0</v>
      </c>
      <c r="BH36" s="1" t="s">
        <v>655</v>
      </c>
      <c r="BI36" s="1">
        <v>2.5000000000000001E-2</v>
      </c>
      <c r="BJ36" s="1" t="s">
        <v>521</v>
      </c>
      <c r="BN36" s="1" t="s">
        <v>403</v>
      </c>
      <c r="BO36" s="1" t="s">
        <v>404</v>
      </c>
      <c r="BP36" s="3" t="s">
        <v>650</v>
      </c>
      <c r="BQ36" s="3" t="s">
        <v>651</v>
      </c>
      <c r="BR36" s="1" t="s">
        <v>73</v>
      </c>
      <c r="BS36" s="3" t="s">
        <v>405</v>
      </c>
      <c r="BT36" s="1" t="s">
        <v>462</v>
      </c>
      <c r="BU36" s="1" t="s">
        <v>649</v>
      </c>
      <c r="BV36" s="1" t="s">
        <v>76</v>
      </c>
      <c r="BW36" s="3" t="s">
        <v>650</v>
      </c>
      <c r="BY36" s="1" t="s">
        <v>649</v>
      </c>
      <c r="BZ36" s="1" t="s">
        <v>407</v>
      </c>
      <c r="CD36" s="1" t="s">
        <v>408</v>
      </c>
      <c r="CL36" s="1" t="s">
        <v>649</v>
      </c>
      <c r="CM36" s="1" t="s">
        <v>656</v>
      </c>
    </row>
    <row r="37" spans="1:91">
      <c r="A37" s="1" t="s">
        <v>657</v>
      </c>
      <c r="B37" s="1" t="s">
        <v>395</v>
      </c>
      <c r="C37" s="1">
        <v>200</v>
      </c>
      <c r="D37" s="1" t="s">
        <v>303</v>
      </c>
      <c r="E37" s="1" t="s">
        <v>80</v>
      </c>
      <c r="G37" s="3" t="s">
        <v>658</v>
      </c>
      <c r="H37" s="1">
        <v>18</v>
      </c>
      <c r="I37" s="1">
        <v>142</v>
      </c>
      <c r="J37" s="3" t="s">
        <v>659</v>
      </c>
      <c r="K37" s="1">
        <v>47</v>
      </c>
      <c r="L37" s="1">
        <v>262</v>
      </c>
      <c r="N37" s="1">
        <v>0</v>
      </c>
      <c r="O37" s="3" t="s">
        <v>660</v>
      </c>
      <c r="P37" s="1">
        <v>8</v>
      </c>
      <c r="R37" s="1">
        <v>0</v>
      </c>
      <c r="S37" s="1" t="s">
        <v>661</v>
      </c>
      <c r="T37" s="1">
        <v>20</v>
      </c>
      <c r="U37" s="1" t="s">
        <v>638</v>
      </c>
      <c r="V37" s="1">
        <v>30</v>
      </c>
      <c r="Z37" s="1" t="s">
        <v>657</v>
      </c>
      <c r="AF37" s="1">
        <v>38840</v>
      </c>
      <c r="AG37" s="1">
        <v>10122</v>
      </c>
      <c r="AH37" s="1">
        <v>10122</v>
      </c>
      <c r="AI37" s="1">
        <v>3.9443713260000002</v>
      </c>
      <c r="AK37" s="1">
        <v>65</v>
      </c>
      <c r="AL37" s="1">
        <v>30</v>
      </c>
      <c r="AM37" s="1">
        <v>2.1666666666666701</v>
      </c>
      <c r="AN37" s="1">
        <v>100</v>
      </c>
      <c r="AO37" s="1" t="s">
        <v>306</v>
      </c>
      <c r="AP37" s="1">
        <v>1.1147261857986499</v>
      </c>
      <c r="AQ37" s="1">
        <v>0</v>
      </c>
      <c r="AR37" s="1">
        <v>4</v>
      </c>
      <c r="AT37" s="1">
        <v>5</v>
      </c>
      <c r="AU37" s="1">
        <v>2</v>
      </c>
      <c r="AV37" s="1">
        <v>0</v>
      </c>
      <c r="AW37" s="1">
        <v>1.21</v>
      </c>
      <c r="AX37" s="1">
        <v>18</v>
      </c>
      <c r="AY37" s="1">
        <v>13</v>
      </c>
      <c r="AZ37" s="1">
        <v>0</v>
      </c>
      <c r="BA37" s="1">
        <v>2</v>
      </c>
      <c r="BB37" s="1">
        <v>2</v>
      </c>
      <c r="BC37" s="1">
        <v>0</v>
      </c>
      <c r="BH37" s="1" t="s">
        <v>662</v>
      </c>
      <c r="BI37" s="1">
        <v>6.0000000000000001E-3</v>
      </c>
      <c r="BJ37" s="1" t="s">
        <v>551</v>
      </c>
      <c r="BN37" s="1" t="s">
        <v>403</v>
      </c>
      <c r="BO37" s="1" t="s">
        <v>404</v>
      </c>
      <c r="BP37" s="3" t="s">
        <v>658</v>
      </c>
      <c r="BQ37" s="3" t="s">
        <v>659</v>
      </c>
      <c r="BR37" s="1" t="s">
        <v>73</v>
      </c>
      <c r="BS37" s="3" t="s">
        <v>405</v>
      </c>
      <c r="BT37" s="1" t="s">
        <v>462</v>
      </c>
      <c r="BU37" s="1" t="s">
        <v>657</v>
      </c>
      <c r="BV37" s="1" t="s">
        <v>76</v>
      </c>
      <c r="BW37" s="3" t="s">
        <v>658</v>
      </c>
      <c r="BY37" s="1" t="s">
        <v>657</v>
      </c>
      <c r="BZ37" s="1" t="s">
        <v>407</v>
      </c>
      <c r="CD37" s="1" t="s">
        <v>408</v>
      </c>
      <c r="CL37" s="1" t="s">
        <v>657</v>
      </c>
      <c r="CM37" s="1" t="s">
        <v>663</v>
      </c>
    </row>
    <row r="38" spans="1:91">
      <c r="A38" s="1" t="s">
        <v>664</v>
      </c>
      <c r="B38" s="1" t="s">
        <v>395</v>
      </c>
      <c r="C38" s="1">
        <v>200</v>
      </c>
      <c r="D38" s="1" t="s">
        <v>303</v>
      </c>
      <c r="E38" s="1" t="s">
        <v>80</v>
      </c>
      <c r="G38" s="3" t="s">
        <v>665</v>
      </c>
      <c r="H38" s="1">
        <v>27</v>
      </c>
      <c r="I38" s="1">
        <v>208</v>
      </c>
      <c r="J38" s="3" t="s">
        <v>666</v>
      </c>
      <c r="K38" s="1">
        <v>47</v>
      </c>
      <c r="L38" s="1">
        <v>262</v>
      </c>
      <c r="N38" s="1">
        <v>0</v>
      </c>
      <c r="O38" s="3" t="s">
        <v>667</v>
      </c>
      <c r="P38" s="1">
        <v>10</v>
      </c>
      <c r="R38" s="1">
        <v>0</v>
      </c>
      <c r="S38" s="1" t="s">
        <v>668</v>
      </c>
      <c r="T38" s="1">
        <v>14</v>
      </c>
      <c r="U38" s="3" t="s">
        <v>669</v>
      </c>
      <c r="V38" s="1">
        <v>11</v>
      </c>
      <c r="Z38" s="1" t="s">
        <v>664</v>
      </c>
      <c r="AF38" s="1">
        <v>60946</v>
      </c>
      <c r="AG38" s="1">
        <v>12668</v>
      </c>
      <c r="AH38" s="1">
        <v>12668</v>
      </c>
      <c r="AI38" s="1">
        <v>4.936504244</v>
      </c>
      <c r="AK38" s="1">
        <v>223</v>
      </c>
      <c r="AL38" s="1">
        <v>56</v>
      </c>
      <c r="AM38" s="1">
        <v>3.9821428571428599</v>
      </c>
      <c r="AN38" s="1">
        <v>100</v>
      </c>
      <c r="AO38" s="1" t="s">
        <v>306</v>
      </c>
      <c r="AP38" s="1">
        <v>1.90082788467407</v>
      </c>
      <c r="AQ38" s="1">
        <v>0</v>
      </c>
      <c r="AR38" s="1">
        <v>3</v>
      </c>
      <c r="AT38" s="1">
        <v>4</v>
      </c>
      <c r="AU38" s="1">
        <v>1</v>
      </c>
      <c r="AV38" s="1">
        <v>0</v>
      </c>
      <c r="AW38" s="1">
        <v>0.61</v>
      </c>
      <c r="AX38" s="1">
        <v>17</v>
      </c>
      <c r="AY38" s="1">
        <v>12</v>
      </c>
      <c r="AZ38" s="1">
        <v>0</v>
      </c>
      <c r="BA38" s="1">
        <v>2</v>
      </c>
      <c r="BB38" s="1">
        <v>2</v>
      </c>
      <c r="BC38" s="1">
        <v>0</v>
      </c>
      <c r="BH38" s="1" t="s">
        <v>670</v>
      </c>
      <c r="BI38" s="1">
        <v>7.0000000000000001E-3</v>
      </c>
      <c r="BJ38" s="1" t="s">
        <v>536</v>
      </c>
      <c r="BN38" s="1" t="s">
        <v>403</v>
      </c>
      <c r="BO38" s="1" t="s">
        <v>404</v>
      </c>
      <c r="BP38" s="3" t="s">
        <v>665</v>
      </c>
      <c r="BQ38" s="3" t="s">
        <v>666</v>
      </c>
      <c r="BR38" s="1" t="s">
        <v>73</v>
      </c>
      <c r="BS38" s="3" t="s">
        <v>405</v>
      </c>
      <c r="BT38" s="1" t="s">
        <v>462</v>
      </c>
      <c r="BU38" s="1" t="s">
        <v>664</v>
      </c>
      <c r="BV38" s="1" t="s">
        <v>76</v>
      </c>
      <c r="BW38" s="3" t="s">
        <v>665</v>
      </c>
      <c r="BY38" s="1" t="s">
        <v>664</v>
      </c>
      <c r="BZ38" s="1" t="s">
        <v>407</v>
      </c>
      <c r="CD38" s="1" t="s">
        <v>408</v>
      </c>
      <c r="CL38" s="1" t="s">
        <v>664</v>
      </c>
      <c r="CM38" s="1" t="s">
        <v>671</v>
      </c>
    </row>
    <row r="39" spans="1:91">
      <c r="A39" s="1" t="s">
        <v>672</v>
      </c>
      <c r="B39" s="1" t="s">
        <v>395</v>
      </c>
      <c r="C39" s="1">
        <v>200</v>
      </c>
      <c r="D39" s="1" t="s">
        <v>303</v>
      </c>
      <c r="E39" s="1" t="s">
        <v>80</v>
      </c>
      <c r="G39" s="3" t="s">
        <v>673</v>
      </c>
      <c r="H39" s="1">
        <v>31</v>
      </c>
      <c r="I39" s="1">
        <v>243</v>
      </c>
      <c r="J39" s="3" t="s">
        <v>674</v>
      </c>
      <c r="K39" s="1">
        <v>37</v>
      </c>
      <c r="L39" s="1">
        <v>210</v>
      </c>
      <c r="M39" s="3" t="s">
        <v>675</v>
      </c>
      <c r="N39" s="1">
        <v>58</v>
      </c>
      <c r="O39" s="3" t="s">
        <v>676</v>
      </c>
      <c r="P39" s="1">
        <v>6</v>
      </c>
      <c r="R39" s="1">
        <v>0</v>
      </c>
      <c r="S39" s="3" t="s">
        <v>677</v>
      </c>
      <c r="T39" s="1">
        <v>6</v>
      </c>
      <c r="U39" s="3" t="s">
        <v>678</v>
      </c>
      <c r="V39" s="1">
        <v>6</v>
      </c>
      <c r="Z39" s="1" t="s">
        <v>672</v>
      </c>
      <c r="AF39" s="1">
        <v>72333</v>
      </c>
      <c r="AG39" s="1">
        <v>14644</v>
      </c>
      <c r="AH39" s="1">
        <v>14644</v>
      </c>
      <c r="AI39" s="1">
        <v>5.7065178520000002</v>
      </c>
      <c r="AK39" s="1">
        <v>301</v>
      </c>
      <c r="AL39" s="1">
        <v>102</v>
      </c>
      <c r="AM39" s="1">
        <v>2.9509803921568598</v>
      </c>
      <c r="AN39" s="1">
        <v>100</v>
      </c>
      <c r="AO39" s="1" t="s">
        <v>306</v>
      </c>
      <c r="AP39" s="1">
        <v>2.39694023132324</v>
      </c>
      <c r="AQ39" s="1">
        <v>0</v>
      </c>
      <c r="AR39" s="1">
        <v>2</v>
      </c>
      <c r="AT39" s="1">
        <v>496</v>
      </c>
      <c r="AU39" s="1">
        <v>164</v>
      </c>
      <c r="AV39" s="1">
        <v>0</v>
      </c>
      <c r="AW39" s="1">
        <v>99.39</v>
      </c>
      <c r="AX39" s="1">
        <v>36</v>
      </c>
      <c r="AY39" s="1">
        <v>24</v>
      </c>
      <c r="AZ39" s="1">
        <v>0</v>
      </c>
      <c r="BA39" s="1">
        <v>3</v>
      </c>
      <c r="BB39" s="1">
        <v>3</v>
      </c>
      <c r="BC39" s="1">
        <v>0</v>
      </c>
      <c r="BH39" s="1" t="s">
        <v>679</v>
      </c>
      <c r="BI39" s="1">
        <v>7.0000000000000001E-3</v>
      </c>
      <c r="BJ39" s="1" t="s">
        <v>680</v>
      </c>
      <c r="BN39" s="1" t="s">
        <v>403</v>
      </c>
      <c r="BO39" s="1" t="s">
        <v>404</v>
      </c>
      <c r="BP39" s="3" t="s">
        <v>673</v>
      </c>
      <c r="BQ39" s="3" t="s">
        <v>674</v>
      </c>
      <c r="BR39" s="1" t="s">
        <v>73</v>
      </c>
      <c r="BS39" s="3" t="s">
        <v>405</v>
      </c>
      <c r="BT39" s="1" t="s">
        <v>462</v>
      </c>
      <c r="BU39" s="1" t="s">
        <v>672</v>
      </c>
      <c r="BV39" s="1" t="s">
        <v>76</v>
      </c>
      <c r="BW39" s="3" t="s">
        <v>673</v>
      </c>
      <c r="BY39" s="1" t="s">
        <v>672</v>
      </c>
      <c r="BZ39" s="1" t="s">
        <v>407</v>
      </c>
      <c r="CA39" s="1" t="s">
        <v>407</v>
      </c>
      <c r="CD39" s="1" t="s">
        <v>78</v>
      </c>
      <c r="CE39" s="1" t="s">
        <v>230</v>
      </c>
      <c r="CL39" s="1" t="s">
        <v>672</v>
      </c>
      <c r="CM39" s="1" t="s">
        <v>681</v>
      </c>
    </row>
    <row r="40" spans="1:91">
      <c r="A40" s="1" t="s">
        <v>682</v>
      </c>
      <c r="B40" s="1" t="s">
        <v>395</v>
      </c>
      <c r="C40" s="1">
        <v>200</v>
      </c>
      <c r="D40" s="1" t="s">
        <v>303</v>
      </c>
      <c r="E40" s="1" t="s">
        <v>80</v>
      </c>
      <c r="G40" s="3" t="s">
        <v>683</v>
      </c>
      <c r="H40" s="1">
        <v>12</v>
      </c>
      <c r="I40" s="1">
        <v>92</v>
      </c>
      <c r="J40" s="3" t="s">
        <v>684</v>
      </c>
      <c r="K40" s="1">
        <v>32</v>
      </c>
      <c r="L40" s="1">
        <v>167</v>
      </c>
      <c r="N40" s="1">
        <v>0</v>
      </c>
      <c r="O40" s="3" t="s">
        <v>539</v>
      </c>
      <c r="P40" s="1">
        <v>30</v>
      </c>
      <c r="R40" s="1">
        <v>0</v>
      </c>
      <c r="S40" s="3" t="s">
        <v>540</v>
      </c>
      <c r="T40" s="1">
        <v>14</v>
      </c>
      <c r="U40" s="3" t="s">
        <v>541</v>
      </c>
      <c r="V40" s="1">
        <v>28</v>
      </c>
      <c r="Z40" s="1" t="s">
        <v>682</v>
      </c>
      <c r="AF40" s="1">
        <v>33760</v>
      </c>
      <c r="AG40" s="1">
        <v>8806</v>
      </c>
      <c r="AH40" s="1">
        <v>8806</v>
      </c>
      <c r="AI40" s="1">
        <v>3.4315484980000002</v>
      </c>
      <c r="AK40" s="1">
        <v>443</v>
      </c>
      <c r="AL40" s="1">
        <v>95</v>
      </c>
      <c r="AM40" s="1">
        <v>4.6631578947368402</v>
      </c>
      <c r="AN40" s="1">
        <v>100</v>
      </c>
      <c r="AO40" s="1" t="s">
        <v>306</v>
      </c>
      <c r="AP40" s="1">
        <v>6.5831856727600098</v>
      </c>
      <c r="AQ40" s="1">
        <v>0</v>
      </c>
      <c r="AR40" s="1">
        <v>4</v>
      </c>
      <c r="AT40" s="1">
        <v>4</v>
      </c>
      <c r="AU40" s="1">
        <v>1</v>
      </c>
      <c r="AV40" s="1">
        <v>0</v>
      </c>
      <c r="AW40" s="1">
        <v>0.61</v>
      </c>
      <c r="AX40" s="1">
        <v>17</v>
      </c>
      <c r="AY40" s="1">
        <v>11</v>
      </c>
      <c r="AZ40" s="1">
        <v>0</v>
      </c>
      <c r="BA40" s="1">
        <v>2</v>
      </c>
      <c r="BB40" s="1">
        <v>2</v>
      </c>
      <c r="BC40" s="1">
        <v>0</v>
      </c>
      <c r="BH40" s="1" t="s">
        <v>685</v>
      </c>
      <c r="BI40" s="1">
        <v>7.0000000000000001E-3</v>
      </c>
      <c r="BJ40" s="1" t="s">
        <v>551</v>
      </c>
      <c r="BN40" s="1" t="s">
        <v>403</v>
      </c>
      <c r="BO40" s="1" t="s">
        <v>404</v>
      </c>
      <c r="BP40" s="3" t="s">
        <v>683</v>
      </c>
      <c r="BQ40" s="3" t="s">
        <v>684</v>
      </c>
      <c r="BR40" s="1" t="s">
        <v>73</v>
      </c>
      <c r="BS40" s="3" t="s">
        <v>405</v>
      </c>
      <c r="BT40" s="1" t="s">
        <v>462</v>
      </c>
      <c r="BU40" s="1" t="s">
        <v>682</v>
      </c>
      <c r="BV40" s="1" t="s">
        <v>76</v>
      </c>
      <c r="BW40" s="3" t="s">
        <v>683</v>
      </c>
      <c r="BY40" s="1" t="s">
        <v>682</v>
      </c>
      <c r="CL40" s="1" t="s">
        <v>682</v>
      </c>
      <c r="CM40" s="1" t="s">
        <v>671</v>
      </c>
    </row>
    <row r="41" spans="1:91">
      <c r="A41" s="1" t="s">
        <v>686</v>
      </c>
      <c r="B41" s="1" t="s">
        <v>395</v>
      </c>
      <c r="C41" s="1">
        <v>200</v>
      </c>
      <c r="D41" s="1" t="s">
        <v>303</v>
      </c>
      <c r="E41" s="1" t="s">
        <v>80</v>
      </c>
      <c r="G41" s="3" t="s">
        <v>687</v>
      </c>
      <c r="H41" s="1">
        <v>26</v>
      </c>
      <c r="I41" s="1">
        <v>199</v>
      </c>
      <c r="J41" s="3" t="s">
        <v>688</v>
      </c>
      <c r="K41" s="1">
        <v>92</v>
      </c>
      <c r="L41" s="1">
        <v>514</v>
      </c>
      <c r="N41" s="1">
        <v>0</v>
      </c>
      <c r="O41" s="1" t="s">
        <v>689</v>
      </c>
      <c r="P41" s="1">
        <v>27</v>
      </c>
      <c r="R41" s="1">
        <v>0</v>
      </c>
      <c r="S41" s="3" t="s">
        <v>690</v>
      </c>
      <c r="T41" s="1">
        <v>19</v>
      </c>
      <c r="U41" s="3" t="s">
        <v>691</v>
      </c>
      <c r="V41" s="1">
        <v>20</v>
      </c>
      <c r="Z41" s="1" t="s">
        <v>686</v>
      </c>
      <c r="AF41" s="1">
        <v>45656</v>
      </c>
      <c r="AG41" s="1">
        <v>11069</v>
      </c>
      <c r="AH41" s="1">
        <v>11069</v>
      </c>
      <c r="AI41" s="1">
        <v>4.3134011269999997</v>
      </c>
      <c r="AK41" s="1">
        <v>499</v>
      </c>
      <c r="AL41" s="1">
        <v>87</v>
      </c>
      <c r="AM41" s="1">
        <v>5.7356321839080504</v>
      </c>
      <c r="AN41" s="1">
        <v>100</v>
      </c>
      <c r="AO41" s="1" t="s">
        <v>306</v>
      </c>
      <c r="AP41" s="1">
        <v>5.2997331619262704</v>
      </c>
      <c r="AQ41" s="1">
        <v>0</v>
      </c>
      <c r="AR41" s="1">
        <v>5</v>
      </c>
      <c r="AT41" s="1">
        <v>5</v>
      </c>
      <c r="AU41" s="1">
        <v>2</v>
      </c>
      <c r="AV41" s="1">
        <v>0</v>
      </c>
      <c r="AW41" s="1">
        <v>1.21</v>
      </c>
      <c r="AX41" s="1">
        <v>16</v>
      </c>
      <c r="AY41" s="1">
        <v>11</v>
      </c>
      <c r="AZ41" s="1">
        <v>0</v>
      </c>
      <c r="BA41" s="1">
        <v>3</v>
      </c>
      <c r="BB41" s="1">
        <v>3</v>
      </c>
      <c r="BC41" s="1">
        <v>0</v>
      </c>
      <c r="BH41" s="1" t="s">
        <v>692</v>
      </c>
      <c r="BI41" s="1">
        <v>7.0000000000000001E-3</v>
      </c>
      <c r="BJ41" s="1" t="s">
        <v>521</v>
      </c>
      <c r="BN41" s="1" t="s">
        <v>403</v>
      </c>
      <c r="BO41" s="1" t="s">
        <v>404</v>
      </c>
      <c r="BP41" s="3" t="s">
        <v>687</v>
      </c>
      <c r="BQ41" s="3" t="s">
        <v>688</v>
      </c>
      <c r="BR41" s="1" t="s">
        <v>73</v>
      </c>
      <c r="BS41" s="3" t="s">
        <v>405</v>
      </c>
      <c r="BT41" s="1" t="s">
        <v>462</v>
      </c>
      <c r="BU41" s="1" t="s">
        <v>686</v>
      </c>
      <c r="BV41" s="1" t="s">
        <v>76</v>
      </c>
      <c r="BW41" s="3" t="s">
        <v>687</v>
      </c>
      <c r="BY41" s="1" t="s">
        <v>686</v>
      </c>
      <c r="BZ41" s="1" t="s">
        <v>407</v>
      </c>
      <c r="CD41" s="1" t="s">
        <v>408</v>
      </c>
      <c r="CL41" s="1" t="s">
        <v>686</v>
      </c>
      <c r="CM41" s="1" t="s">
        <v>528</v>
      </c>
    </row>
    <row r="42" spans="1:91">
      <c r="A42" s="1" t="s">
        <v>693</v>
      </c>
      <c r="B42" s="1" t="s">
        <v>395</v>
      </c>
      <c r="C42" s="1">
        <v>200</v>
      </c>
      <c r="D42" s="1" t="s">
        <v>303</v>
      </c>
      <c r="E42" s="1" t="s">
        <v>80</v>
      </c>
      <c r="G42" s="3" t="s">
        <v>694</v>
      </c>
      <c r="H42" s="1">
        <v>23</v>
      </c>
      <c r="I42" s="1">
        <v>176</v>
      </c>
      <c r="J42" s="3" t="s">
        <v>695</v>
      </c>
      <c r="K42" s="1">
        <v>85</v>
      </c>
      <c r="L42" s="1">
        <v>475</v>
      </c>
      <c r="N42" s="1">
        <v>0</v>
      </c>
      <c r="O42" s="3" t="s">
        <v>696</v>
      </c>
      <c r="P42" s="1">
        <v>12</v>
      </c>
      <c r="R42" s="1">
        <v>0</v>
      </c>
      <c r="S42" s="1" t="s">
        <v>697</v>
      </c>
      <c r="T42" s="1">
        <v>23</v>
      </c>
      <c r="U42" s="3" t="s">
        <v>698</v>
      </c>
      <c r="V42" s="1">
        <v>26</v>
      </c>
      <c r="Z42" s="1" t="s">
        <v>693</v>
      </c>
      <c r="AF42" s="1">
        <v>42803</v>
      </c>
      <c r="AG42" s="1">
        <v>10851</v>
      </c>
      <c r="AH42" s="1">
        <v>10851</v>
      </c>
      <c r="AI42" s="1">
        <v>4.2284502330000002</v>
      </c>
      <c r="AK42" s="1">
        <v>394</v>
      </c>
      <c r="AL42" s="1">
        <v>82</v>
      </c>
      <c r="AM42" s="1">
        <v>4.8048780487804903</v>
      </c>
      <c r="AN42" s="1">
        <v>100</v>
      </c>
      <c r="AO42" s="1" t="s">
        <v>306</v>
      </c>
      <c r="AP42" s="1">
        <v>4.7817845344543501</v>
      </c>
      <c r="AQ42" s="1">
        <v>0</v>
      </c>
      <c r="AR42" s="1">
        <v>5</v>
      </c>
      <c r="AT42" s="1">
        <v>5</v>
      </c>
      <c r="AU42" s="1">
        <v>2</v>
      </c>
      <c r="AV42" s="1">
        <v>0</v>
      </c>
      <c r="AW42" s="1">
        <v>1.21</v>
      </c>
      <c r="AX42" s="1">
        <v>16</v>
      </c>
      <c r="AY42" s="1">
        <v>11</v>
      </c>
      <c r="AZ42" s="1">
        <v>0</v>
      </c>
      <c r="BA42" s="1">
        <v>3</v>
      </c>
      <c r="BB42" s="1">
        <v>3</v>
      </c>
      <c r="BC42" s="1">
        <v>0</v>
      </c>
      <c r="BH42" s="1" t="s">
        <v>699</v>
      </c>
      <c r="BI42" s="1">
        <v>8.9999999999999993E-3</v>
      </c>
      <c r="BJ42" s="1" t="s">
        <v>551</v>
      </c>
      <c r="BN42" s="1" t="s">
        <v>403</v>
      </c>
      <c r="BO42" s="1" t="s">
        <v>404</v>
      </c>
      <c r="BP42" s="3" t="s">
        <v>694</v>
      </c>
      <c r="BQ42" s="3" t="s">
        <v>695</v>
      </c>
      <c r="BR42" s="1" t="s">
        <v>73</v>
      </c>
      <c r="BS42" s="3" t="s">
        <v>405</v>
      </c>
      <c r="BT42" s="1" t="s">
        <v>462</v>
      </c>
      <c r="BU42" s="1" t="s">
        <v>693</v>
      </c>
      <c r="BV42" s="1" t="s">
        <v>76</v>
      </c>
      <c r="BW42" s="3" t="s">
        <v>694</v>
      </c>
      <c r="BY42" s="1" t="s">
        <v>693</v>
      </c>
      <c r="BZ42" s="1" t="s">
        <v>407</v>
      </c>
      <c r="CD42" s="1" t="s">
        <v>408</v>
      </c>
      <c r="CL42" s="1" t="s">
        <v>693</v>
      </c>
      <c r="CM42" s="1" t="s">
        <v>700</v>
      </c>
    </row>
    <row r="43" spans="1:91">
      <c r="A43" s="1" t="s">
        <v>701</v>
      </c>
      <c r="B43" s="1" t="s">
        <v>395</v>
      </c>
      <c r="C43" s="1">
        <v>200</v>
      </c>
      <c r="D43" s="1" t="s">
        <v>303</v>
      </c>
      <c r="E43" s="1" t="s">
        <v>80</v>
      </c>
      <c r="G43" s="3" t="s">
        <v>702</v>
      </c>
      <c r="H43" s="1">
        <v>21</v>
      </c>
      <c r="I43" s="1">
        <v>158</v>
      </c>
      <c r="J43" s="3" t="s">
        <v>703</v>
      </c>
      <c r="K43" s="1">
        <v>101</v>
      </c>
      <c r="L43" s="1">
        <v>547</v>
      </c>
      <c r="M43" s="3" t="s">
        <v>704</v>
      </c>
      <c r="N43" s="1">
        <v>36</v>
      </c>
      <c r="O43" s="3" t="s">
        <v>705</v>
      </c>
      <c r="P43" s="1">
        <v>9</v>
      </c>
      <c r="R43" s="1">
        <v>0</v>
      </c>
      <c r="S43" s="3" t="s">
        <v>706</v>
      </c>
      <c r="T43" s="1">
        <v>6</v>
      </c>
      <c r="U43" s="3" t="s">
        <v>707</v>
      </c>
      <c r="V43" s="1">
        <v>61</v>
      </c>
      <c r="Z43" s="1" t="s">
        <v>701</v>
      </c>
      <c r="AF43" s="1">
        <v>38303</v>
      </c>
      <c r="AG43" s="1">
        <v>9794</v>
      </c>
      <c r="AH43" s="1">
        <v>9794</v>
      </c>
      <c r="AI43" s="1">
        <v>3.8165553019999998</v>
      </c>
      <c r="AK43" s="1">
        <v>197</v>
      </c>
      <c r="AL43" s="1">
        <v>51</v>
      </c>
      <c r="AM43" s="1">
        <v>3.8627450980392202</v>
      </c>
      <c r="AN43" s="1">
        <v>100</v>
      </c>
      <c r="AO43" s="1" t="s">
        <v>306</v>
      </c>
      <c r="AP43" s="1">
        <v>2.7109858989715598</v>
      </c>
      <c r="AQ43" s="1">
        <v>0</v>
      </c>
      <c r="AR43" s="1">
        <v>5</v>
      </c>
      <c r="AT43" s="1">
        <v>6</v>
      </c>
      <c r="AU43" s="1">
        <v>2</v>
      </c>
      <c r="AV43" s="1">
        <v>0</v>
      </c>
      <c r="AW43" s="1">
        <v>1.21</v>
      </c>
      <c r="AX43" s="1">
        <v>17</v>
      </c>
      <c r="AY43" s="1">
        <v>11</v>
      </c>
      <c r="AZ43" s="1">
        <v>0</v>
      </c>
      <c r="BA43" s="1">
        <v>2</v>
      </c>
      <c r="BB43" s="1">
        <v>2</v>
      </c>
      <c r="BC43" s="1">
        <v>0</v>
      </c>
      <c r="BH43" s="1" t="s">
        <v>708</v>
      </c>
      <c r="BI43" s="1">
        <v>0.01</v>
      </c>
      <c r="BJ43" s="1" t="s">
        <v>521</v>
      </c>
      <c r="BN43" s="1" t="s">
        <v>403</v>
      </c>
      <c r="BO43" s="1" t="s">
        <v>404</v>
      </c>
      <c r="BP43" s="3" t="s">
        <v>702</v>
      </c>
      <c r="BQ43" s="3" t="s">
        <v>703</v>
      </c>
      <c r="BR43" s="1" t="s">
        <v>73</v>
      </c>
      <c r="BS43" s="3" t="s">
        <v>405</v>
      </c>
      <c r="BT43" s="1" t="s">
        <v>462</v>
      </c>
      <c r="BU43" s="1" t="s">
        <v>701</v>
      </c>
      <c r="BV43" s="1" t="s">
        <v>76</v>
      </c>
      <c r="BW43" s="3" t="s">
        <v>702</v>
      </c>
      <c r="BY43" s="1" t="s">
        <v>701</v>
      </c>
      <c r="CL43" s="1" t="s">
        <v>701</v>
      </c>
      <c r="CM43" s="1" t="s">
        <v>709</v>
      </c>
    </row>
    <row r="44" spans="1:91">
      <c r="A44" s="1" t="s">
        <v>710</v>
      </c>
      <c r="B44" s="1" t="s">
        <v>395</v>
      </c>
      <c r="C44" s="1">
        <v>200</v>
      </c>
      <c r="D44" s="1" t="s">
        <v>303</v>
      </c>
      <c r="E44" s="1" t="s">
        <v>80</v>
      </c>
      <c r="G44" s="3" t="s">
        <v>711</v>
      </c>
      <c r="H44" s="1">
        <v>23</v>
      </c>
      <c r="I44" s="1">
        <v>176</v>
      </c>
      <c r="J44" s="3" t="s">
        <v>712</v>
      </c>
      <c r="K44" s="1">
        <v>107</v>
      </c>
      <c r="L44" s="1">
        <v>584</v>
      </c>
      <c r="N44" s="1">
        <v>0</v>
      </c>
      <c r="O44" s="1" t="s">
        <v>713</v>
      </c>
      <c r="P44" s="1">
        <v>13</v>
      </c>
      <c r="R44" s="1">
        <v>0</v>
      </c>
      <c r="S44" s="3" t="s">
        <v>714</v>
      </c>
      <c r="T44" s="1">
        <v>17</v>
      </c>
      <c r="U44" s="3" t="s">
        <v>714</v>
      </c>
      <c r="V44" s="1">
        <v>17</v>
      </c>
      <c r="Z44" s="1" t="s">
        <v>710</v>
      </c>
      <c r="AF44" s="1">
        <v>46494</v>
      </c>
      <c r="AG44" s="1">
        <v>11119</v>
      </c>
      <c r="AH44" s="1">
        <v>11119</v>
      </c>
      <c r="AI44" s="1">
        <v>4.3328852769999999</v>
      </c>
      <c r="AK44" s="1">
        <v>317</v>
      </c>
      <c r="AL44" s="1">
        <v>74</v>
      </c>
      <c r="AM44" s="1">
        <v>4.2837837837837798</v>
      </c>
      <c r="AN44" s="1">
        <v>100</v>
      </c>
      <c r="AO44" s="1" t="s">
        <v>306</v>
      </c>
      <c r="AP44" s="1">
        <v>3.4013919830322301</v>
      </c>
      <c r="AQ44" s="1">
        <v>0</v>
      </c>
      <c r="AR44" s="1">
        <v>5</v>
      </c>
      <c r="AT44" s="1">
        <v>5</v>
      </c>
      <c r="AU44" s="1">
        <v>2</v>
      </c>
      <c r="AV44" s="1">
        <v>0</v>
      </c>
      <c r="AW44" s="1">
        <v>1.21</v>
      </c>
      <c r="AX44" s="1">
        <v>16</v>
      </c>
      <c r="AY44" s="1">
        <v>11</v>
      </c>
      <c r="AZ44" s="1">
        <v>0</v>
      </c>
      <c r="BA44" s="1">
        <v>2</v>
      </c>
      <c r="BB44" s="1">
        <v>2</v>
      </c>
      <c r="BC44" s="1">
        <v>0</v>
      </c>
      <c r="BH44" s="1" t="s">
        <v>715</v>
      </c>
      <c r="BI44" s="1">
        <v>6.0000000000000001E-3</v>
      </c>
      <c r="BJ44" s="1" t="s">
        <v>527</v>
      </c>
      <c r="BN44" s="1" t="s">
        <v>403</v>
      </c>
      <c r="BO44" s="1" t="s">
        <v>404</v>
      </c>
      <c r="BP44" s="3" t="s">
        <v>711</v>
      </c>
      <c r="BQ44" s="3" t="s">
        <v>712</v>
      </c>
      <c r="BR44" s="1" t="s">
        <v>73</v>
      </c>
      <c r="BS44" s="3" t="s">
        <v>405</v>
      </c>
      <c r="BT44" s="1" t="s">
        <v>462</v>
      </c>
      <c r="BU44" s="1" t="s">
        <v>710</v>
      </c>
      <c r="BV44" s="1" t="s">
        <v>76</v>
      </c>
      <c r="BW44" s="3" t="s">
        <v>711</v>
      </c>
      <c r="BY44" s="1" t="s">
        <v>710</v>
      </c>
      <c r="BZ44" s="1" t="s">
        <v>407</v>
      </c>
      <c r="CD44" s="1" t="s">
        <v>408</v>
      </c>
      <c r="CL44" s="1" t="s">
        <v>710</v>
      </c>
      <c r="CM44" s="1" t="s">
        <v>716</v>
      </c>
    </row>
    <row r="45" spans="1:91">
      <c r="A45" s="1" t="s">
        <v>717</v>
      </c>
      <c r="B45" s="1" t="s">
        <v>395</v>
      </c>
      <c r="C45" s="1">
        <v>200</v>
      </c>
      <c r="D45" s="1" t="s">
        <v>303</v>
      </c>
      <c r="E45" s="1" t="s">
        <v>80</v>
      </c>
      <c r="G45" s="3" t="s">
        <v>718</v>
      </c>
      <c r="H45" s="1">
        <v>9</v>
      </c>
      <c r="I45" s="1">
        <v>69</v>
      </c>
      <c r="J45" s="3" t="s">
        <v>719</v>
      </c>
      <c r="K45" s="1">
        <v>94</v>
      </c>
      <c r="L45" s="1">
        <v>497</v>
      </c>
      <c r="N45" s="1">
        <v>0</v>
      </c>
      <c r="P45" s="1">
        <v>0</v>
      </c>
      <c r="R45" s="1">
        <v>0</v>
      </c>
      <c r="T45" s="1">
        <v>0</v>
      </c>
      <c r="V45" s="1">
        <v>0</v>
      </c>
      <c r="Z45" s="1" t="s">
        <v>717</v>
      </c>
      <c r="AF45" s="1">
        <v>25725</v>
      </c>
      <c r="AG45" s="1">
        <v>6943</v>
      </c>
      <c r="AH45" s="1">
        <v>6943</v>
      </c>
      <c r="AI45" s="1">
        <v>2.705569069</v>
      </c>
      <c r="AK45" s="1">
        <v>47</v>
      </c>
      <c r="AL45" s="1">
        <v>22</v>
      </c>
      <c r="AM45" s="1">
        <v>2.1363636363636398</v>
      </c>
      <c r="AN45" s="1">
        <v>100</v>
      </c>
      <c r="AO45" s="1" t="s">
        <v>306</v>
      </c>
      <c r="AP45" s="1">
        <v>1.31460404396057</v>
      </c>
      <c r="AQ45" s="1">
        <v>0</v>
      </c>
      <c r="AR45" s="1">
        <v>3</v>
      </c>
      <c r="AT45" s="1">
        <v>4</v>
      </c>
      <c r="AU45" s="1">
        <v>1</v>
      </c>
      <c r="AV45" s="1">
        <v>0</v>
      </c>
      <c r="AW45" s="1">
        <v>0.61</v>
      </c>
      <c r="AX45" s="1">
        <v>16</v>
      </c>
      <c r="AY45" s="1">
        <v>11</v>
      </c>
      <c r="AZ45" s="1">
        <v>0</v>
      </c>
      <c r="BA45" s="1">
        <v>5</v>
      </c>
      <c r="BB45" s="1">
        <v>5</v>
      </c>
      <c r="BC45" s="1">
        <v>0</v>
      </c>
      <c r="BH45" s="1" t="s">
        <v>720</v>
      </c>
      <c r="BI45" s="1">
        <v>6.0000000000000001E-3</v>
      </c>
      <c r="BJ45" s="1" t="s">
        <v>567</v>
      </c>
      <c r="BN45" s="1" t="s">
        <v>403</v>
      </c>
      <c r="BO45" s="1" t="s">
        <v>404</v>
      </c>
      <c r="BP45" s="3" t="s">
        <v>718</v>
      </c>
      <c r="BQ45" s="3" t="s">
        <v>719</v>
      </c>
      <c r="BR45" s="1" t="s">
        <v>73</v>
      </c>
      <c r="BS45" s="3" t="s">
        <v>405</v>
      </c>
      <c r="BT45" s="1" t="s">
        <v>462</v>
      </c>
      <c r="BU45" s="1" t="s">
        <v>717</v>
      </c>
      <c r="BV45" s="1" t="s">
        <v>76</v>
      </c>
      <c r="BW45" s="3" t="s">
        <v>718</v>
      </c>
      <c r="BY45" s="1" t="s">
        <v>717</v>
      </c>
      <c r="CL45" s="1" t="s">
        <v>717</v>
      </c>
      <c r="CM45" s="1" t="s">
        <v>634</v>
      </c>
    </row>
    <row r="46" spans="1:91">
      <c r="A46" s="1" t="s">
        <v>721</v>
      </c>
      <c r="B46" s="1" t="s">
        <v>395</v>
      </c>
      <c r="C46" s="1">
        <v>200</v>
      </c>
      <c r="D46" s="1" t="s">
        <v>303</v>
      </c>
      <c r="E46" s="1" t="s">
        <v>80</v>
      </c>
      <c r="G46" s="3" t="s">
        <v>722</v>
      </c>
      <c r="H46" s="1">
        <v>11</v>
      </c>
      <c r="I46" s="1">
        <v>83</v>
      </c>
      <c r="J46" s="3" t="s">
        <v>723</v>
      </c>
      <c r="K46" s="1">
        <v>9</v>
      </c>
      <c r="L46" s="1">
        <v>48</v>
      </c>
      <c r="M46" s="3" t="s">
        <v>724</v>
      </c>
      <c r="N46" s="1">
        <v>14</v>
      </c>
      <c r="O46" s="1" t="s">
        <v>725</v>
      </c>
      <c r="P46" s="1">
        <v>6</v>
      </c>
      <c r="R46" s="1">
        <v>0</v>
      </c>
      <c r="T46" s="1">
        <v>0</v>
      </c>
      <c r="V46" s="1">
        <v>0</v>
      </c>
      <c r="Z46" s="1" t="s">
        <v>721</v>
      </c>
      <c r="AF46" s="1">
        <v>36513</v>
      </c>
      <c r="AG46" s="1">
        <v>8789</v>
      </c>
      <c r="AH46" s="1">
        <v>8789</v>
      </c>
      <c r="AI46" s="1">
        <v>3.4249238869999998</v>
      </c>
      <c r="AK46" s="1">
        <v>44</v>
      </c>
      <c r="AL46" s="1">
        <v>20</v>
      </c>
      <c r="AM46" s="1">
        <v>2.2000000000000002</v>
      </c>
      <c r="AN46" s="1">
        <v>100</v>
      </c>
      <c r="AO46" s="1" t="s">
        <v>306</v>
      </c>
      <c r="AP46" s="1">
        <v>0.87997978925705</v>
      </c>
      <c r="AQ46" s="1">
        <v>0</v>
      </c>
      <c r="AR46" s="1">
        <v>4</v>
      </c>
      <c r="AT46" s="1">
        <v>4</v>
      </c>
      <c r="AU46" s="1">
        <v>1</v>
      </c>
      <c r="AV46" s="1">
        <v>0</v>
      </c>
      <c r="AW46" s="1">
        <v>0.61</v>
      </c>
      <c r="AX46" s="1">
        <v>16</v>
      </c>
      <c r="AY46" s="1">
        <v>11</v>
      </c>
      <c r="AZ46" s="1">
        <v>0</v>
      </c>
      <c r="BA46" s="1">
        <v>2</v>
      </c>
      <c r="BB46" s="1">
        <v>2</v>
      </c>
      <c r="BC46" s="1">
        <v>0</v>
      </c>
      <c r="BH46" s="1" t="s">
        <v>726</v>
      </c>
      <c r="BI46" s="1">
        <v>8.9999999999999993E-3</v>
      </c>
      <c r="BJ46" s="1" t="s">
        <v>527</v>
      </c>
      <c r="BN46" s="1" t="s">
        <v>403</v>
      </c>
      <c r="BO46" s="1" t="s">
        <v>404</v>
      </c>
      <c r="BP46" s="3" t="s">
        <v>723</v>
      </c>
      <c r="BR46" s="1" t="s">
        <v>73</v>
      </c>
      <c r="BS46" s="3" t="s">
        <v>405</v>
      </c>
      <c r="BT46" s="1" t="s">
        <v>462</v>
      </c>
      <c r="BU46" s="1" t="s">
        <v>721</v>
      </c>
      <c r="BV46" s="1" t="s">
        <v>76</v>
      </c>
      <c r="BW46" s="3" t="s">
        <v>723</v>
      </c>
      <c r="BY46" s="1" t="s">
        <v>721</v>
      </c>
      <c r="CL46" s="1" t="s">
        <v>721</v>
      </c>
      <c r="CM46" s="1" t="s">
        <v>727</v>
      </c>
    </row>
    <row r="47" spans="1:91">
      <c r="A47" s="1" t="s">
        <v>728</v>
      </c>
      <c r="B47" s="1" t="s">
        <v>395</v>
      </c>
      <c r="C47" s="1">
        <v>200</v>
      </c>
      <c r="D47" s="1" t="s">
        <v>303</v>
      </c>
      <c r="E47" s="1" t="s">
        <v>80</v>
      </c>
      <c r="G47" s="3" t="s">
        <v>729</v>
      </c>
      <c r="H47" s="1">
        <v>10</v>
      </c>
      <c r="I47" s="1">
        <v>78</v>
      </c>
      <c r="J47" s="3" t="s">
        <v>730</v>
      </c>
      <c r="K47" s="1">
        <v>38</v>
      </c>
      <c r="L47" s="1">
        <v>211</v>
      </c>
      <c r="M47" s="3" t="s">
        <v>731</v>
      </c>
      <c r="N47" s="1">
        <v>15</v>
      </c>
      <c r="O47" s="1" t="s">
        <v>732</v>
      </c>
      <c r="P47" s="1">
        <v>7</v>
      </c>
      <c r="R47" s="1">
        <v>0</v>
      </c>
      <c r="S47" s="1" t="s">
        <v>733</v>
      </c>
      <c r="T47" s="1">
        <v>7</v>
      </c>
      <c r="U47" s="1" t="s">
        <v>733</v>
      </c>
      <c r="V47" s="1">
        <v>7</v>
      </c>
      <c r="Z47" s="1" t="s">
        <v>728</v>
      </c>
      <c r="AF47" s="1">
        <v>25474</v>
      </c>
      <c r="AG47" s="1">
        <v>6747</v>
      </c>
      <c r="AH47" s="1">
        <v>6747</v>
      </c>
      <c r="AI47" s="1">
        <v>2.6291912009999998</v>
      </c>
      <c r="AK47" s="1">
        <v>49</v>
      </c>
      <c r="AL47" s="1">
        <v>25</v>
      </c>
      <c r="AM47" s="1">
        <v>1.96</v>
      </c>
      <c r="AN47" s="1">
        <v>100</v>
      </c>
      <c r="AO47" s="1" t="s">
        <v>306</v>
      </c>
      <c r="AP47" s="1">
        <v>1.35785353183746</v>
      </c>
      <c r="AQ47" s="1">
        <v>0</v>
      </c>
      <c r="AR47" s="1">
        <v>4</v>
      </c>
      <c r="AT47" s="1">
        <v>4</v>
      </c>
      <c r="AU47" s="1">
        <v>1</v>
      </c>
      <c r="AV47" s="1">
        <v>0</v>
      </c>
      <c r="AW47" s="1">
        <v>0.61</v>
      </c>
      <c r="AX47" s="1">
        <v>18</v>
      </c>
      <c r="AY47" s="1">
        <v>11</v>
      </c>
      <c r="AZ47" s="1">
        <v>0</v>
      </c>
      <c r="BA47" s="1">
        <v>4</v>
      </c>
      <c r="BB47" s="1">
        <v>2</v>
      </c>
      <c r="BC47" s="1">
        <v>0</v>
      </c>
      <c r="BH47" s="1" t="s">
        <v>734</v>
      </c>
      <c r="BI47" s="1">
        <v>6.0000000000000001E-3</v>
      </c>
      <c r="BJ47" s="1" t="s">
        <v>521</v>
      </c>
      <c r="BN47" s="1" t="s">
        <v>403</v>
      </c>
      <c r="BO47" s="1" t="s">
        <v>404</v>
      </c>
      <c r="BP47" s="3" t="s">
        <v>729</v>
      </c>
      <c r="BQ47" s="3" t="s">
        <v>730</v>
      </c>
      <c r="BR47" s="1" t="s">
        <v>73</v>
      </c>
      <c r="BS47" s="3" t="s">
        <v>405</v>
      </c>
      <c r="BT47" s="1" t="s">
        <v>462</v>
      </c>
      <c r="BU47" s="1" t="s">
        <v>728</v>
      </c>
      <c r="BV47" s="1" t="s">
        <v>76</v>
      </c>
      <c r="BW47" s="3" t="s">
        <v>729</v>
      </c>
      <c r="BY47" s="1" t="s">
        <v>728</v>
      </c>
      <c r="CL47" s="1" t="s">
        <v>728</v>
      </c>
      <c r="CM47" s="1" t="s">
        <v>409</v>
      </c>
    </row>
    <row r="48" spans="1:91">
      <c r="A48" s="1" t="s">
        <v>735</v>
      </c>
      <c r="B48" s="1" t="s">
        <v>395</v>
      </c>
      <c r="C48" s="1">
        <v>200</v>
      </c>
      <c r="D48" s="1" t="s">
        <v>303</v>
      </c>
      <c r="E48" s="1" t="s">
        <v>80</v>
      </c>
      <c r="G48" s="3" t="s">
        <v>736</v>
      </c>
      <c r="H48" s="1">
        <v>10</v>
      </c>
      <c r="I48" s="1">
        <v>78</v>
      </c>
      <c r="J48" s="3" t="s">
        <v>737</v>
      </c>
      <c r="K48" s="1">
        <v>55</v>
      </c>
      <c r="L48" s="1">
        <v>305</v>
      </c>
      <c r="M48" s="3" t="s">
        <v>738</v>
      </c>
      <c r="N48" s="1">
        <v>11</v>
      </c>
      <c r="O48" s="1" t="s">
        <v>739</v>
      </c>
      <c r="P48" s="1">
        <v>14</v>
      </c>
      <c r="R48" s="1">
        <v>0</v>
      </c>
      <c r="T48" s="1">
        <v>0</v>
      </c>
      <c r="V48" s="1">
        <v>0</v>
      </c>
      <c r="Z48" s="1" t="s">
        <v>735</v>
      </c>
      <c r="AF48" s="1">
        <v>24410</v>
      </c>
      <c r="AG48" s="1">
        <v>6765</v>
      </c>
      <c r="AH48" s="1">
        <v>6765</v>
      </c>
      <c r="AI48" s="1">
        <v>2.636205495</v>
      </c>
      <c r="AK48" s="1">
        <v>53</v>
      </c>
      <c r="AL48" s="1">
        <v>20</v>
      </c>
      <c r="AM48" s="1">
        <v>2.65</v>
      </c>
      <c r="AN48" s="1">
        <v>100</v>
      </c>
      <c r="AO48" s="1" t="s">
        <v>306</v>
      </c>
      <c r="AP48" s="1">
        <v>1.4848949909210201</v>
      </c>
      <c r="AQ48" s="1">
        <v>0</v>
      </c>
      <c r="AR48" s="1">
        <v>4</v>
      </c>
      <c r="AT48" s="1">
        <v>237</v>
      </c>
      <c r="AU48" s="1">
        <v>164</v>
      </c>
      <c r="AV48" s="1">
        <v>0</v>
      </c>
      <c r="AW48" s="1">
        <v>99.39</v>
      </c>
      <c r="AX48" s="1">
        <v>17</v>
      </c>
      <c r="AY48" s="1">
        <v>10</v>
      </c>
      <c r="AZ48" s="1">
        <v>0</v>
      </c>
      <c r="BA48" s="1">
        <v>2</v>
      </c>
      <c r="BB48" s="1">
        <v>2</v>
      </c>
      <c r="BC48" s="1">
        <v>0</v>
      </c>
      <c r="BH48" s="1" t="s">
        <v>740</v>
      </c>
      <c r="BI48" s="1">
        <v>6.0000000000000001E-3</v>
      </c>
      <c r="BJ48" s="1" t="s">
        <v>536</v>
      </c>
      <c r="BN48" s="1" t="s">
        <v>403</v>
      </c>
      <c r="BO48" s="1" t="s">
        <v>404</v>
      </c>
      <c r="BP48" s="3" t="s">
        <v>736</v>
      </c>
      <c r="BQ48" s="3" t="s">
        <v>737</v>
      </c>
      <c r="BR48" s="1" t="s">
        <v>73</v>
      </c>
      <c r="BS48" s="3" t="s">
        <v>405</v>
      </c>
      <c r="BT48" s="1" t="s">
        <v>462</v>
      </c>
      <c r="BU48" s="1" t="s">
        <v>735</v>
      </c>
      <c r="BV48" s="1" t="s">
        <v>76</v>
      </c>
      <c r="BW48" s="3" t="s">
        <v>736</v>
      </c>
      <c r="BY48" s="1" t="s">
        <v>735</v>
      </c>
      <c r="CL48" s="1" t="s">
        <v>735</v>
      </c>
      <c r="CM48" s="1" t="s">
        <v>741</v>
      </c>
    </row>
    <row r="49" spans="1:91">
      <c r="A49" s="1" t="s">
        <v>742</v>
      </c>
      <c r="B49" s="1" t="s">
        <v>395</v>
      </c>
      <c r="C49" s="1">
        <v>200</v>
      </c>
      <c r="D49" s="1" t="s">
        <v>303</v>
      </c>
      <c r="E49" s="1" t="s">
        <v>80</v>
      </c>
      <c r="G49" s="3" t="s">
        <v>743</v>
      </c>
      <c r="H49" s="1">
        <v>32</v>
      </c>
      <c r="I49" s="1">
        <v>270</v>
      </c>
      <c r="J49" s="3" t="s">
        <v>744</v>
      </c>
      <c r="K49" s="1">
        <v>103</v>
      </c>
      <c r="L49" s="1">
        <v>568</v>
      </c>
      <c r="M49" s="3" t="s">
        <v>745</v>
      </c>
      <c r="N49" s="1">
        <v>51</v>
      </c>
      <c r="O49" s="3" t="s">
        <v>746</v>
      </c>
      <c r="P49" s="1">
        <v>57</v>
      </c>
      <c r="R49" s="1">
        <v>0</v>
      </c>
      <c r="S49" s="3" t="s">
        <v>747</v>
      </c>
      <c r="T49" s="1">
        <v>7</v>
      </c>
      <c r="U49" s="3" t="s">
        <v>748</v>
      </c>
      <c r="V49" s="1">
        <v>5</v>
      </c>
      <c r="Z49" s="1" t="s">
        <v>742</v>
      </c>
      <c r="AF49" s="1">
        <v>99649</v>
      </c>
      <c r="AG49" s="1">
        <v>20327</v>
      </c>
      <c r="AH49" s="1">
        <v>20327</v>
      </c>
      <c r="AI49" s="1">
        <v>7.9210863409999996</v>
      </c>
      <c r="AK49" s="1">
        <v>715</v>
      </c>
      <c r="AL49" s="1">
        <v>207</v>
      </c>
      <c r="AM49" s="1">
        <v>3.4541062801932401</v>
      </c>
      <c r="AN49" s="1">
        <v>100</v>
      </c>
      <c r="AO49" s="1" t="s">
        <v>306</v>
      </c>
      <c r="AP49" s="1">
        <v>3.6613638401031499</v>
      </c>
      <c r="AQ49" s="1">
        <v>0</v>
      </c>
      <c r="AR49" s="1">
        <v>3</v>
      </c>
      <c r="AT49" s="1">
        <v>8</v>
      </c>
      <c r="AU49" s="1">
        <v>2</v>
      </c>
      <c r="AV49" s="1">
        <v>0</v>
      </c>
      <c r="AW49" s="1">
        <v>1.21</v>
      </c>
      <c r="AX49" s="1">
        <v>20</v>
      </c>
      <c r="AY49" s="1">
        <v>11</v>
      </c>
      <c r="AZ49" s="1">
        <v>0</v>
      </c>
      <c r="BA49" s="1">
        <v>2</v>
      </c>
      <c r="BB49" s="1">
        <v>2</v>
      </c>
      <c r="BC49" s="1">
        <v>0</v>
      </c>
      <c r="BH49" s="1" t="s">
        <v>749</v>
      </c>
      <c r="BI49" s="1">
        <v>5.0000000000000001E-3</v>
      </c>
      <c r="BJ49" s="1" t="s">
        <v>750</v>
      </c>
      <c r="BN49" s="1" t="s">
        <v>403</v>
      </c>
      <c r="BO49" s="1" t="s">
        <v>404</v>
      </c>
      <c r="BP49" s="3" t="s">
        <v>743</v>
      </c>
      <c r="BQ49" s="3" t="s">
        <v>744</v>
      </c>
      <c r="BR49" s="1" t="s">
        <v>73</v>
      </c>
      <c r="BS49" s="3" t="s">
        <v>405</v>
      </c>
      <c r="BT49" s="1" t="s">
        <v>751</v>
      </c>
      <c r="BU49" s="1" t="s">
        <v>742</v>
      </c>
      <c r="BV49" s="1" t="s">
        <v>76</v>
      </c>
      <c r="BW49" s="3" t="s">
        <v>743</v>
      </c>
      <c r="BY49" s="1" t="s">
        <v>742</v>
      </c>
      <c r="BZ49" s="1" t="s">
        <v>407</v>
      </c>
      <c r="CA49" s="1" t="s">
        <v>407</v>
      </c>
      <c r="CD49" s="1" t="s">
        <v>408</v>
      </c>
      <c r="CE49" s="1" t="s">
        <v>752</v>
      </c>
      <c r="CL49" s="1" t="s">
        <v>742</v>
      </c>
      <c r="CM49" s="1" t="s">
        <v>681</v>
      </c>
    </row>
    <row r="50" spans="1:91">
      <c r="A50" s="1" t="s">
        <v>753</v>
      </c>
      <c r="B50" s="1" t="s">
        <v>395</v>
      </c>
      <c r="C50" s="1">
        <v>200</v>
      </c>
      <c r="D50" s="1" t="s">
        <v>303</v>
      </c>
      <c r="E50" s="1" t="s">
        <v>80</v>
      </c>
      <c r="G50" s="3" t="s">
        <v>754</v>
      </c>
      <c r="H50" s="1">
        <v>9</v>
      </c>
      <c r="I50" s="1">
        <v>69</v>
      </c>
      <c r="J50" s="3" t="s">
        <v>755</v>
      </c>
      <c r="K50" s="1">
        <v>78</v>
      </c>
      <c r="L50" s="1">
        <v>423</v>
      </c>
      <c r="M50" s="3" t="s">
        <v>756</v>
      </c>
      <c r="N50" s="1">
        <v>19</v>
      </c>
      <c r="O50" s="3" t="s">
        <v>757</v>
      </c>
      <c r="P50" s="1">
        <v>19</v>
      </c>
      <c r="R50" s="1">
        <v>0</v>
      </c>
      <c r="S50" s="3" t="s">
        <v>747</v>
      </c>
      <c r="T50" s="1">
        <v>7</v>
      </c>
      <c r="U50" s="3" t="s">
        <v>758</v>
      </c>
      <c r="V50" s="1">
        <v>2</v>
      </c>
      <c r="Z50" s="1" t="s">
        <v>753</v>
      </c>
      <c r="AF50" s="1">
        <v>90219</v>
      </c>
      <c r="AG50" s="1">
        <v>18891</v>
      </c>
      <c r="AH50" s="1">
        <v>18891</v>
      </c>
      <c r="AI50" s="1">
        <v>7.3615015530000001</v>
      </c>
      <c r="AK50" s="1">
        <v>387</v>
      </c>
      <c r="AL50" s="1">
        <v>101</v>
      </c>
      <c r="AM50" s="1">
        <v>3.8316831683168302</v>
      </c>
      <c r="AN50" s="1">
        <v>100</v>
      </c>
      <c r="AO50" s="1" t="s">
        <v>306</v>
      </c>
      <c r="AP50" s="1">
        <v>2.1495227813720699</v>
      </c>
      <c r="AQ50" s="1">
        <v>0</v>
      </c>
      <c r="AR50" s="1">
        <v>3</v>
      </c>
      <c r="AT50" s="1">
        <v>8</v>
      </c>
      <c r="AU50" s="1">
        <v>2</v>
      </c>
      <c r="AV50" s="1">
        <v>0</v>
      </c>
      <c r="AW50" s="1">
        <v>1.21</v>
      </c>
      <c r="AX50" s="1">
        <v>23</v>
      </c>
      <c r="AY50" s="1">
        <v>14</v>
      </c>
      <c r="AZ50" s="1">
        <v>0</v>
      </c>
      <c r="BA50" s="1">
        <v>2</v>
      </c>
      <c r="BB50" s="1">
        <v>2</v>
      </c>
      <c r="BC50" s="1">
        <v>0</v>
      </c>
      <c r="BH50" s="1" t="s">
        <v>759</v>
      </c>
      <c r="BI50" s="1">
        <v>7.0000000000000001E-3</v>
      </c>
      <c r="BJ50" s="1" t="s">
        <v>760</v>
      </c>
      <c r="BN50" s="1" t="s">
        <v>403</v>
      </c>
      <c r="BO50" s="1" t="s">
        <v>404</v>
      </c>
      <c r="BP50" s="3" t="s">
        <v>754</v>
      </c>
      <c r="BQ50" s="3" t="s">
        <v>755</v>
      </c>
      <c r="BR50" s="1" t="s">
        <v>73</v>
      </c>
      <c r="BS50" s="3" t="s">
        <v>405</v>
      </c>
      <c r="BT50" s="1" t="s">
        <v>761</v>
      </c>
      <c r="BU50" s="1" t="s">
        <v>753</v>
      </c>
      <c r="BV50" s="1" t="s">
        <v>76</v>
      </c>
      <c r="BW50" s="3" t="s">
        <v>754</v>
      </c>
      <c r="BY50" s="1" t="s">
        <v>753</v>
      </c>
      <c r="BZ50" s="1" t="s">
        <v>407</v>
      </c>
      <c r="CA50" s="1" t="s">
        <v>407</v>
      </c>
      <c r="CB50" s="1" t="s">
        <v>407</v>
      </c>
      <c r="CD50" s="1" t="s">
        <v>408</v>
      </c>
      <c r="CE50" s="1" t="s">
        <v>752</v>
      </c>
      <c r="CF50" s="1" t="s">
        <v>762</v>
      </c>
      <c r="CL50" s="1" t="s">
        <v>753</v>
      </c>
      <c r="CM50" s="1" t="s">
        <v>510</v>
      </c>
    </row>
    <row r="51" spans="1:91">
      <c r="A51" s="1" t="s">
        <v>763</v>
      </c>
      <c r="B51" s="1" t="s">
        <v>395</v>
      </c>
      <c r="C51" s="1">
        <v>200</v>
      </c>
      <c r="D51" s="1" t="s">
        <v>303</v>
      </c>
      <c r="E51" s="1" t="s">
        <v>80</v>
      </c>
      <c r="G51" s="3" t="s">
        <v>764</v>
      </c>
      <c r="H51" s="1">
        <v>17</v>
      </c>
      <c r="I51" s="1">
        <v>137</v>
      </c>
      <c r="J51" s="3" t="s">
        <v>765</v>
      </c>
      <c r="K51" s="1">
        <v>87</v>
      </c>
      <c r="L51" s="1">
        <v>476</v>
      </c>
      <c r="M51" s="3" t="s">
        <v>766</v>
      </c>
      <c r="N51" s="1">
        <v>41</v>
      </c>
      <c r="O51" s="3" t="s">
        <v>767</v>
      </c>
      <c r="P51" s="1">
        <v>50</v>
      </c>
      <c r="R51" s="1">
        <v>0</v>
      </c>
      <c r="S51" s="3" t="s">
        <v>747</v>
      </c>
      <c r="T51" s="1">
        <v>7</v>
      </c>
      <c r="U51" s="3" t="s">
        <v>758</v>
      </c>
      <c r="V51" s="1">
        <v>2</v>
      </c>
      <c r="Z51" s="1" t="s">
        <v>763</v>
      </c>
      <c r="AF51" s="1">
        <v>88573</v>
      </c>
      <c r="AG51" s="1">
        <v>18986</v>
      </c>
      <c r="AH51" s="1">
        <v>18986</v>
      </c>
      <c r="AI51" s="1">
        <v>7.3985214380000004</v>
      </c>
      <c r="AK51" s="1">
        <v>474</v>
      </c>
      <c r="AL51" s="1">
        <v>154</v>
      </c>
      <c r="AM51" s="1">
        <v>3.0779220779220799</v>
      </c>
      <c r="AN51" s="1">
        <v>100</v>
      </c>
      <c r="AO51" s="1" t="s">
        <v>306</v>
      </c>
      <c r="AP51" s="1">
        <v>3.0459666252136199</v>
      </c>
      <c r="AQ51" s="1">
        <v>0</v>
      </c>
      <c r="AR51" s="1">
        <v>3</v>
      </c>
      <c r="AT51" s="1">
        <v>8</v>
      </c>
      <c r="AU51" s="1">
        <v>2</v>
      </c>
      <c r="AV51" s="1">
        <v>0</v>
      </c>
      <c r="AW51" s="1">
        <v>1.21</v>
      </c>
      <c r="AX51" s="1">
        <v>21</v>
      </c>
      <c r="AY51" s="1">
        <v>12</v>
      </c>
      <c r="AZ51" s="1">
        <v>0</v>
      </c>
      <c r="BA51" s="1">
        <v>2</v>
      </c>
      <c r="BB51" s="1">
        <v>2</v>
      </c>
      <c r="BC51" s="1">
        <v>0</v>
      </c>
      <c r="BH51" s="1" t="s">
        <v>768</v>
      </c>
      <c r="BI51" s="1">
        <v>0.01</v>
      </c>
      <c r="BJ51" s="1" t="s">
        <v>769</v>
      </c>
      <c r="BN51" s="1" t="s">
        <v>403</v>
      </c>
      <c r="BO51" s="1" t="s">
        <v>404</v>
      </c>
      <c r="BP51" s="3" t="s">
        <v>764</v>
      </c>
      <c r="BQ51" s="3" t="s">
        <v>765</v>
      </c>
      <c r="BR51" s="1" t="s">
        <v>73</v>
      </c>
      <c r="BS51" s="3" t="s">
        <v>405</v>
      </c>
      <c r="BT51" s="1" t="s">
        <v>770</v>
      </c>
      <c r="BU51" s="1" t="s">
        <v>763</v>
      </c>
      <c r="BV51" s="1" t="s">
        <v>76</v>
      </c>
      <c r="BW51" s="3" t="s">
        <v>764</v>
      </c>
      <c r="BY51" s="1" t="s">
        <v>763</v>
      </c>
      <c r="BZ51" s="1" t="s">
        <v>407</v>
      </c>
      <c r="CA51" s="1" t="s">
        <v>407</v>
      </c>
      <c r="CD51" s="1" t="s">
        <v>408</v>
      </c>
      <c r="CE51" s="1" t="s">
        <v>752</v>
      </c>
      <c r="CL51" s="1" t="s">
        <v>763</v>
      </c>
      <c r="CM51" s="1" t="s">
        <v>552</v>
      </c>
    </row>
    <row r="52" spans="1:91">
      <c r="A52" s="1" t="s">
        <v>771</v>
      </c>
      <c r="B52" s="1" t="s">
        <v>395</v>
      </c>
      <c r="C52" s="1">
        <v>200</v>
      </c>
      <c r="D52" s="1" t="s">
        <v>303</v>
      </c>
      <c r="E52" s="1" t="s">
        <v>80</v>
      </c>
      <c r="G52" s="3" t="s">
        <v>772</v>
      </c>
      <c r="H52" s="1">
        <v>17</v>
      </c>
      <c r="I52" s="1">
        <v>137</v>
      </c>
      <c r="J52" s="3" t="s">
        <v>773</v>
      </c>
      <c r="K52" s="1">
        <v>85</v>
      </c>
      <c r="L52" s="1">
        <v>462</v>
      </c>
      <c r="M52" s="3" t="s">
        <v>766</v>
      </c>
      <c r="N52" s="1">
        <v>41</v>
      </c>
      <c r="O52" s="3" t="s">
        <v>774</v>
      </c>
      <c r="P52" s="1">
        <v>57</v>
      </c>
      <c r="R52" s="1">
        <v>0</v>
      </c>
      <c r="S52" s="3" t="s">
        <v>747</v>
      </c>
      <c r="T52" s="1">
        <v>7</v>
      </c>
      <c r="U52" s="3" t="s">
        <v>758</v>
      </c>
      <c r="V52" s="1">
        <v>2</v>
      </c>
      <c r="Z52" s="1" t="s">
        <v>771</v>
      </c>
      <c r="AF52" s="1">
        <v>91141</v>
      </c>
      <c r="AG52" s="1">
        <v>19324</v>
      </c>
      <c r="AH52" s="1">
        <v>19324</v>
      </c>
      <c r="AI52" s="1">
        <v>7.5302342920000003</v>
      </c>
      <c r="AK52" s="1">
        <v>520</v>
      </c>
      <c r="AL52" s="1">
        <v>157</v>
      </c>
      <c r="AM52" s="1">
        <v>3.3121019108280301</v>
      </c>
      <c r="AN52" s="1">
        <v>100</v>
      </c>
      <c r="AO52" s="1" t="s">
        <v>306</v>
      </c>
      <c r="AP52" s="1">
        <v>3.1769335269928001</v>
      </c>
      <c r="AQ52" s="1">
        <v>0</v>
      </c>
      <c r="AR52" s="1">
        <v>3</v>
      </c>
      <c r="AT52" s="1">
        <v>8</v>
      </c>
      <c r="AU52" s="1">
        <v>2</v>
      </c>
      <c r="AV52" s="1">
        <v>0</v>
      </c>
      <c r="AW52" s="1">
        <v>1.21</v>
      </c>
      <c r="AX52" s="1">
        <v>21</v>
      </c>
      <c r="AY52" s="1">
        <v>12</v>
      </c>
      <c r="AZ52" s="1">
        <v>0</v>
      </c>
      <c r="BA52" s="1">
        <v>2</v>
      </c>
      <c r="BB52" s="1">
        <v>2</v>
      </c>
      <c r="BC52" s="1">
        <v>0</v>
      </c>
      <c r="BH52" s="1" t="s">
        <v>775</v>
      </c>
      <c r="BI52" s="1">
        <v>8.0000000000000002E-3</v>
      </c>
      <c r="BJ52" s="1" t="s">
        <v>769</v>
      </c>
      <c r="BN52" s="1" t="s">
        <v>403</v>
      </c>
      <c r="BO52" s="1" t="s">
        <v>404</v>
      </c>
      <c r="BP52" s="3" t="s">
        <v>772</v>
      </c>
      <c r="BQ52" s="3" t="s">
        <v>773</v>
      </c>
      <c r="BR52" s="1" t="s">
        <v>73</v>
      </c>
      <c r="BS52" s="3" t="s">
        <v>405</v>
      </c>
      <c r="BT52" s="1" t="s">
        <v>776</v>
      </c>
      <c r="BU52" s="1" t="s">
        <v>771</v>
      </c>
      <c r="BV52" s="1" t="s">
        <v>76</v>
      </c>
      <c r="BW52" s="3" t="s">
        <v>772</v>
      </c>
      <c r="BY52" s="1" t="s">
        <v>771</v>
      </c>
      <c r="BZ52" s="1" t="s">
        <v>407</v>
      </c>
      <c r="CA52" s="1" t="s">
        <v>407</v>
      </c>
      <c r="CD52" s="1" t="s">
        <v>408</v>
      </c>
      <c r="CE52" s="1" t="s">
        <v>752</v>
      </c>
      <c r="CL52" s="1" t="s">
        <v>771</v>
      </c>
      <c r="CM52" s="1" t="s">
        <v>777</v>
      </c>
    </row>
    <row r="53" spans="1:91">
      <c r="A53" s="1" t="s">
        <v>778</v>
      </c>
      <c r="B53" s="1" t="s">
        <v>395</v>
      </c>
      <c r="C53" s="1">
        <v>200</v>
      </c>
      <c r="D53" s="1" t="s">
        <v>303</v>
      </c>
      <c r="E53" s="1" t="s">
        <v>80</v>
      </c>
      <c r="G53" s="3" t="s">
        <v>779</v>
      </c>
      <c r="H53" s="1">
        <v>11</v>
      </c>
      <c r="I53" s="1">
        <v>87</v>
      </c>
      <c r="J53" s="3" t="s">
        <v>780</v>
      </c>
      <c r="K53" s="1">
        <v>109</v>
      </c>
      <c r="L53" s="1">
        <v>589</v>
      </c>
      <c r="M53" s="3" t="s">
        <v>781</v>
      </c>
      <c r="N53" s="1">
        <v>54</v>
      </c>
      <c r="O53" s="3" t="s">
        <v>782</v>
      </c>
      <c r="P53" s="1">
        <v>47</v>
      </c>
      <c r="R53" s="1">
        <v>0</v>
      </c>
      <c r="S53" s="3" t="s">
        <v>747</v>
      </c>
      <c r="T53" s="1">
        <v>7</v>
      </c>
      <c r="U53" s="3" t="s">
        <v>783</v>
      </c>
      <c r="V53" s="1">
        <v>8</v>
      </c>
      <c r="Z53" s="1" t="s">
        <v>778</v>
      </c>
      <c r="AF53" s="1">
        <v>140351</v>
      </c>
      <c r="AG53" s="1">
        <v>23092</v>
      </c>
      <c r="AH53" s="1">
        <v>23092</v>
      </c>
      <c r="AI53" s="1">
        <v>8.9985598360000001</v>
      </c>
      <c r="AK53" s="1">
        <v>639</v>
      </c>
      <c r="AL53" s="1">
        <v>201</v>
      </c>
      <c r="AM53" s="1">
        <v>3.1791044776119399</v>
      </c>
      <c r="AN53" s="1">
        <v>100</v>
      </c>
      <c r="AO53" s="1" t="s">
        <v>306</v>
      </c>
      <c r="AP53" s="1">
        <v>2.28425264358521</v>
      </c>
      <c r="AQ53" s="1">
        <v>0</v>
      </c>
      <c r="AR53" s="1">
        <v>3</v>
      </c>
      <c r="AT53" s="1">
        <v>16</v>
      </c>
      <c r="AU53" s="1">
        <v>9</v>
      </c>
      <c r="AV53" s="1">
        <v>0</v>
      </c>
      <c r="AW53" s="1">
        <v>5.45</v>
      </c>
      <c r="AX53" s="1">
        <v>26</v>
      </c>
      <c r="AY53" s="1">
        <v>17</v>
      </c>
      <c r="AZ53" s="1">
        <v>0</v>
      </c>
      <c r="BA53" s="1">
        <v>2</v>
      </c>
      <c r="BB53" s="1">
        <v>2</v>
      </c>
      <c r="BC53" s="1">
        <v>0</v>
      </c>
      <c r="BH53" s="1" t="s">
        <v>784</v>
      </c>
      <c r="BI53" s="1">
        <v>8.0000000000000002E-3</v>
      </c>
      <c r="BJ53" s="1" t="s">
        <v>785</v>
      </c>
      <c r="BN53" s="1" t="s">
        <v>403</v>
      </c>
      <c r="BO53" s="1" t="s">
        <v>404</v>
      </c>
      <c r="BP53" s="3" t="s">
        <v>779</v>
      </c>
      <c r="BQ53" s="3" t="s">
        <v>780</v>
      </c>
      <c r="BR53" s="1" t="s">
        <v>73</v>
      </c>
      <c r="BS53" s="3" t="s">
        <v>405</v>
      </c>
      <c r="BT53" s="1" t="s">
        <v>786</v>
      </c>
      <c r="BU53" s="1" t="s">
        <v>778</v>
      </c>
      <c r="BV53" s="1" t="s">
        <v>76</v>
      </c>
      <c r="BW53" s="3" t="s">
        <v>779</v>
      </c>
      <c r="BY53" s="1" t="s">
        <v>778</v>
      </c>
      <c r="BZ53" s="1" t="s">
        <v>407</v>
      </c>
      <c r="CA53" s="1" t="s">
        <v>407</v>
      </c>
      <c r="CD53" s="1" t="s">
        <v>408</v>
      </c>
      <c r="CE53" s="1" t="s">
        <v>752</v>
      </c>
      <c r="CL53" s="1" t="s">
        <v>778</v>
      </c>
      <c r="CM53" s="1" t="s">
        <v>787</v>
      </c>
    </row>
    <row r="54" spans="1:91">
      <c r="A54" s="1" t="s">
        <v>788</v>
      </c>
      <c r="B54" s="1" t="s">
        <v>395</v>
      </c>
      <c r="C54" s="1">
        <v>200</v>
      </c>
      <c r="D54" s="1" t="s">
        <v>303</v>
      </c>
      <c r="E54" s="1" t="s">
        <v>80</v>
      </c>
      <c r="G54" s="3" t="s">
        <v>789</v>
      </c>
      <c r="H54" s="1">
        <v>13</v>
      </c>
      <c r="I54" s="1">
        <v>105</v>
      </c>
      <c r="J54" s="3" t="s">
        <v>790</v>
      </c>
      <c r="K54" s="1">
        <v>73</v>
      </c>
      <c r="L54" s="1">
        <v>404</v>
      </c>
      <c r="M54" s="3" t="s">
        <v>791</v>
      </c>
      <c r="N54" s="1">
        <v>49</v>
      </c>
      <c r="O54" s="3" t="s">
        <v>792</v>
      </c>
      <c r="P54" s="1">
        <v>56</v>
      </c>
      <c r="R54" s="1">
        <v>0</v>
      </c>
      <c r="S54" s="3" t="s">
        <v>747</v>
      </c>
      <c r="T54" s="1">
        <v>7</v>
      </c>
      <c r="U54" s="3" t="s">
        <v>793</v>
      </c>
      <c r="V54" s="1">
        <v>14</v>
      </c>
      <c r="Z54" s="1" t="s">
        <v>788</v>
      </c>
      <c r="AF54" s="1">
        <v>94697</v>
      </c>
      <c r="AG54" s="1">
        <v>19137</v>
      </c>
      <c r="AH54" s="1">
        <v>19137</v>
      </c>
      <c r="AI54" s="1">
        <v>7.4573635710000001</v>
      </c>
      <c r="AK54" s="1">
        <v>642</v>
      </c>
      <c r="AL54" s="1">
        <v>168</v>
      </c>
      <c r="AM54" s="1">
        <v>3.8214285714285698</v>
      </c>
      <c r="AN54" s="1">
        <v>100</v>
      </c>
      <c r="AO54" s="1" t="s">
        <v>306</v>
      </c>
      <c r="AP54" s="1">
        <v>3.5777006149292001</v>
      </c>
      <c r="AQ54" s="1">
        <v>0</v>
      </c>
      <c r="AR54" s="1">
        <v>3</v>
      </c>
      <c r="AT54" s="1">
        <v>7</v>
      </c>
      <c r="AU54" s="1">
        <v>1</v>
      </c>
      <c r="AV54" s="1">
        <v>0</v>
      </c>
      <c r="AW54" s="1">
        <v>0.61</v>
      </c>
      <c r="AX54" s="1">
        <v>23</v>
      </c>
      <c r="AY54" s="1">
        <v>14</v>
      </c>
      <c r="AZ54" s="1">
        <v>0</v>
      </c>
      <c r="BA54" s="1">
        <v>2</v>
      </c>
      <c r="BB54" s="1">
        <v>2</v>
      </c>
      <c r="BC54" s="1">
        <v>0</v>
      </c>
      <c r="BH54" s="1" t="s">
        <v>794</v>
      </c>
      <c r="BI54" s="1">
        <v>7.0000000000000001E-3</v>
      </c>
      <c r="BJ54" s="1" t="s">
        <v>795</v>
      </c>
      <c r="BN54" s="1" t="s">
        <v>403</v>
      </c>
      <c r="BO54" s="1" t="s">
        <v>404</v>
      </c>
      <c r="BP54" s="3" t="s">
        <v>789</v>
      </c>
      <c r="BQ54" s="3" t="s">
        <v>790</v>
      </c>
      <c r="BR54" s="1" t="s">
        <v>73</v>
      </c>
      <c r="BS54" s="3" t="s">
        <v>405</v>
      </c>
      <c r="BT54" s="1" t="s">
        <v>796</v>
      </c>
      <c r="BU54" s="1" t="s">
        <v>788</v>
      </c>
      <c r="BV54" s="1" t="s">
        <v>76</v>
      </c>
      <c r="BW54" s="3" t="s">
        <v>789</v>
      </c>
      <c r="BY54" s="1" t="s">
        <v>788</v>
      </c>
      <c r="BZ54" s="1" t="s">
        <v>407</v>
      </c>
      <c r="CA54" s="1" t="s">
        <v>407</v>
      </c>
      <c r="CD54" s="1" t="s">
        <v>408</v>
      </c>
      <c r="CE54" s="1" t="s">
        <v>752</v>
      </c>
      <c r="CL54" s="1" t="s">
        <v>788</v>
      </c>
      <c r="CM54" s="1" t="s">
        <v>797</v>
      </c>
    </row>
    <row r="55" spans="1:91">
      <c r="A55" s="1" t="s">
        <v>798</v>
      </c>
      <c r="B55" s="1" t="s">
        <v>395</v>
      </c>
      <c r="C55" s="1">
        <v>200</v>
      </c>
      <c r="D55" s="1" t="s">
        <v>303</v>
      </c>
      <c r="E55" s="1" t="s">
        <v>80</v>
      </c>
      <c r="G55" s="3" t="s">
        <v>799</v>
      </c>
      <c r="H55" s="1">
        <v>11</v>
      </c>
      <c r="I55" s="1">
        <v>87</v>
      </c>
      <c r="J55" s="3" t="s">
        <v>800</v>
      </c>
      <c r="K55" s="1">
        <v>77</v>
      </c>
      <c r="L55" s="1">
        <v>420</v>
      </c>
      <c r="M55" s="3" t="s">
        <v>801</v>
      </c>
      <c r="N55" s="1">
        <v>50</v>
      </c>
      <c r="O55" s="3" t="s">
        <v>802</v>
      </c>
      <c r="P55" s="1">
        <v>45</v>
      </c>
      <c r="R55" s="1">
        <v>0</v>
      </c>
      <c r="S55" s="3" t="s">
        <v>747</v>
      </c>
      <c r="T55" s="1">
        <v>7</v>
      </c>
      <c r="U55" s="3" t="s">
        <v>758</v>
      </c>
      <c r="V55" s="1">
        <v>2</v>
      </c>
      <c r="Z55" s="1" t="s">
        <v>798</v>
      </c>
      <c r="AF55" s="1">
        <v>159574</v>
      </c>
      <c r="AG55" s="1">
        <v>24238</v>
      </c>
      <c r="AH55" s="1">
        <v>24238</v>
      </c>
      <c r="AI55" s="1">
        <v>9.4451365539999994</v>
      </c>
      <c r="AK55" s="1">
        <v>879</v>
      </c>
      <c r="AL55" s="1">
        <v>250</v>
      </c>
      <c r="AM55" s="1">
        <v>3.516</v>
      </c>
      <c r="AN55" s="1">
        <v>100</v>
      </c>
      <c r="AO55" s="1" t="s">
        <v>306</v>
      </c>
      <c r="AP55" s="1">
        <v>2.66326928138733</v>
      </c>
      <c r="AQ55" s="1">
        <v>0</v>
      </c>
      <c r="AR55" s="1">
        <v>3</v>
      </c>
      <c r="AT55" s="1">
        <v>19</v>
      </c>
      <c r="AU55" s="1">
        <v>13</v>
      </c>
      <c r="AV55" s="1">
        <v>0</v>
      </c>
      <c r="AW55" s="1">
        <v>7.88</v>
      </c>
      <c r="AX55" s="1">
        <v>26</v>
      </c>
      <c r="AY55" s="1">
        <v>17</v>
      </c>
      <c r="AZ55" s="1">
        <v>0</v>
      </c>
      <c r="BA55" s="1">
        <v>2</v>
      </c>
      <c r="BB55" s="1">
        <v>2</v>
      </c>
      <c r="BC55" s="1">
        <v>0</v>
      </c>
      <c r="BH55" s="1" t="s">
        <v>803</v>
      </c>
      <c r="BI55" s="1">
        <v>6.0000000000000001E-3</v>
      </c>
      <c r="BJ55" s="1" t="s">
        <v>804</v>
      </c>
      <c r="BN55" s="1" t="s">
        <v>403</v>
      </c>
      <c r="BO55" s="1" t="s">
        <v>404</v>
      </c>
      <c r="BP55" s="3" t="s">
        <v>799</v>
      </c>
      <c r="BQ55" s="3" t="s">
        <v>800</v>
      </c>
      <c r="BR55" s="1" t="s">
        <v>73</v>
      </c>
      <c r="BS55" s="3" t="s">
        <v>405</v>
      </c>
      <c r="BT55" s="1" t="s">
        <v>805</v>
      </c>
      <c r="BU55" s="1" t="s">
        <v>798</v>
      </c>
      <c r="BV55" s="1" t="s">
        <v>76</v>
      </c>
      <c r="BW55" s="3" t="s">
        <v>799</v>
      </c>
      <c r="BY55" s="1" t="s">
        <v>798</v>
      </c>
      <c r="BZ55" s="1" t="s">
        <v>407</v>
      </c>
      <c r="CA55" s="1" t="s">
        <v>407</v>
      </c>
      <c r="CD55" s="1" t="s">
        <v>408</v>
      </c>
      <c r="CE55" s="1" t="s">
        <v>752</v>
      </c>
      <c r="CL55" s="1" t="s">
        <v>798</v>
      </c>
      <c r="CM55" s="1" t="s">
        <v>806</v>
      </c>
    </row>
    <row r="56" spans="1:91">
      <c r="A56" s="1" t="s">
        <v>807</v>
      </c>
      <c r="B56" s="1" t="s">
        <v>395</v>
      </c>
      <c r="C56" s="1">
        <v>200</v>
      </c>
      <c r="D56" s="1" t="s">
        <v>303</v>
      </c>
      <c r="E56" s="1" t="s">
        <v>80</v>
      </c>
      <c r="G56" s="3" t="s">
        <v>808</v>
      </c>
      <c r="H56" s="1">
        <v>18</v>
      </c>
      <c r="I56" s="1">
        <v>142</v>
      </c>
      <c r="J56" s="3" t="s">
        <v>809</v>
      </c>
      <c r="K56" s="1">
        <v>123</v>
      </c>
      <c r="L56" s="1">
        <v>657</v>
      </c>
      <c r="M56" s="3" t="s">
        <v>801</v>
      </c>
      <c r="N56" s="1">
        <v>50</v>
      </c>
      <c r="O56" s="3" t="s">
        <v>810</v>
      </c>
      <c r="P56" s="1">
        <v>68</v>
      </c>
      <c r="R56" s="1">
        <v>0</v>
      </c>
      <c r="S56" s="3" t="s">
        <v>747</v>
      </c>
      <c r="T56" s="1">
        <v>7</v>
      </c>
      <c r="U56" s="1" t="s">
        <v>811</v>
      </c>
      <c r="V56" s="1">
        <v>16</v>
      </c>
      <c r="Z56" s="1" t="s">
        <v>807</v>
      </c>
      <c r="AF56" s="1">
        <v>135970</v>
      </c>
      <c r="AG56" s="1">
        <v>23026</v>
      </c>
      <c r="AH56" s="1">
        <v>23026</v>
      </c>
      <c r="AI56" s="1">
        <v>8.9728407580000002</v>
      </c>
      <c r="AK56" s="1">
        <v>746</v>
      </c>
      <c r="AL56" s="1">
        <v>205</v>
      </c>
      <c r="AM56" s="1">
        <v>3.6390243902438999</v>
      </c>
      <c r="AN56" s="1">
        <v>100</v>
      </c>
      <c r="AO56" s="1" t="s">
        <v>306</v>
      </c>
      <c r="AP56" s="1">
        <v>2.8657488822936998</v>
      </c>
      <c r="AQ56" s="1">
        <v>0</v>
      </c>
      <c r="AR56" s="1">
        <v>3</v>
      </c>
      <c r="AT56" s="1">
        <v>6</v>
      </c>
      <c r="AU56" s="1">
        <v>1</v>
      </c>
      <c r="AV56" s="1">
        <v>0</v>
      </c>
      <c r="AW56" s="1">
        <v>0.61</v>
      </c>
      <c r="AX56" s="1">
        <v>25</v>
      </c>
      <c r="AY56" s="1">
        <v>17</v>
      </c>
      <c r="AZ56" s="1">
        <v>0</v>
      </c>
      <c r="BA56" s="1">
        <v>2</v>
      </c>
      <c r="BB56" s="1">
        <v>2</v>
      </c>
      <c r="BC56" s="1">
        <v>0</v>
      </c>
      <c r="BH56" s="1" t="s">
        <v>812</v>
      </c>
      <c r="BI56" s="1">
        <v>7.0000000000000001E-3</v>
      </c>
      <c r="BJ56" s="1" t="s">
        <v>813</v>
      </c>
      <c r="BN56" s="1" t="s">
        <v>403</v>
      </c>
      <c r="BO56" s="1" t="s">
        <v>404</v>
      </c>
      <c r="BP56" s="3" t="s">
        <v>808</v>
      </c>
      <c r="BQ56" s="3" t="s">
        <v>809</v>
      </c>
      <c r="BR56" s="1" t="s">
        <v>73</v>
      </c>
      <c r="BS56" s="3" t="s">
        <v>405</v>
      </c>
      <c r="BT56" s="1" t="s">
        <v>814</v>
      </c>
      <c r="BU56" s="1" t="s">
        <v>807</v>
      </c>
      <c r="BV56" s="1" t="s">
        <v>76</v>
      </c>
      <c r="BW56" s="3" t="s">
        <v>808</v>
      </c>
      <c r="BY56" s="1" t="s">
        <v>807</v>
      </c>
      <c r="BZ56" s="1" t="s">
        <v>407</v>
      </c>
      <c r="CA56" s="1" t="s">
        <v>407</v>
      </c>
      <c r="CD56" s="1" t="s">
        <v>408</v>
      </c>
      <c r="CE56" s="1" t="s">
        <v>752</v>
      </c>
      <c r="CL56" s="1" t="s">
        <v>807</v>
      </c>
      <c r="CM56" s="1" t="s">
        <v>815</v>
      </c>
    </row>
    <row r="57" spans="1:91">
      <c r="A57" s="1" t="s">
        <v>816</v>
      </c>
      <c r="B57" s="1" t="s">
        <v>395</v>
      </c>
      <c r="C57" s="1">
        <v>200</v>
      </c>
      <c r="D57" s="1" t="s">
        <v>303</v>
      </c>
      <c r="E57" s="1" t="s">
        <v>80</v>
      </c>
      <c r="G57" s="3" t="s">
        <v>817</v>
      </c>
      <c r="H57" s="1">
        <v>14</v>
      </c>
      <c r="I57" s="1">
        <v>110</v>
      </c>
      <c r="J57" s="3" t="s">
        <v>818</v>
      </c>
      <c r="K57" s="1">
        <v>80</v>
      </c>
      <c r="L57" s="1">
        <v>435</v>
      </c>
      <c r="M57" s="3" t="s">
        <v>801</v>
      </c>
      <c r="N57" s="1">
        <v>50</v>
      </c>
      <c r="O57" s="3" t="s">
        <v>819</v>
      </c>
      <c r="P57" s="1">
        <v>53</v>
      </c>
      <c r="R57" s="1">
        <v>0</v>
      </c>
      <c r="S57" s="3" t="s">
        <v>747</v>
      </c>
      <c r="T57" s="1">
        <v>7</v>
      </c>
      <c r="U57" s="3" t="s">
        <v>758</v>
      </c>
      <c r="V57" s="1">
        <v>2</v>
      </c>
      <c r="Z57" s="1" t="s">
        <v>816</v>
      </c>
      <c r="AF57" s="1">
        <v>163330</v>
      </c>
      <c r="AG57" s="1">
        <v>24704</v>
      </c>
      <c r="AH57" s="1">
        <v>24704</v>
      </c>
      <c r="AI57" s="1">
        <v>9.6267288319999995</v>
      </c>
      <c r="AK57" s="1">
        <v>807</v>
      </c>
      <c r="AL57" s="1">
        <v>231</v>
      </c>
      <c r="AM57" s="1">
        <v>3.4935064935064899</v>
      </c>
      <c r="AN57" s="1">
        <v>100</v>
      </c>
      <c r="AO57" s="1" t="s">
        <v>306</v>
      </c>
      <c r="AP57" s="1">
        <v>2.5542900562286399</v>
      </c>
      <c r="AQ57" s="1">
        <v>0</v>
      </c>
      <c r="AR57" s="1">
        <v>3</v>
      </c>
      <c r="AT57" s="1">
        <v>12</v>
      </c>
      <c r="AU57" s="1">
        <v>5</v>
      </c>
      <c r="AV57" s="1">
        <v>0</v>
      </c>
      <c r="AW57" s="1">
        <v>3.03</v>
      </c>
      <c r="AX57" s="1">
        <v>26</v>
      </c>
      <c r="AY57" s="1">
        <v>17</v>
      </c>
      <c r="AZ57" s="1">
        <v>0</v>
      </c>
      <c r="BA57" s="1">
        <v>2</v>
      </c>
      <c r="BB57" s="1">
        <v>2</v>
      </c>
      <c r="BC57" s="1">
        <v>0</v>
      </c>
      <c r="BH57" s="1" t="s">
        <v>820</v>
      </c>
      <c r="BI57" s="1">
        <v>8.0000000000000002E-3</v>
      </c>
      <c r="BJ57" s="1" t="s">
        <v>804</v>
      </c>
      <c r="BN57" s="1" t="s">
        <v>403</v>
      </c>
      <c r="BO57" s="1" t="s">
        <v>404</v>
      </c>
      <c r="BP57" s="3" t="s">
        <v>817</v>
      </c>
      <c r="BQ57" s="3" t="s">
        <v>818</v>
      </c>
      <c r="BR57" s="1" t="s">
        <v>73</v>
      </c>
      <c r="BS57" s="3" t="s">
        <v>405</v>
      </c>
      <c r="BT57" s="1" t="s">
        <v>821</v>
      </c>
      <c r="BU57" s="1" t="s">
        <v>816</v>
      </c>
      <c r="BV57" s="1" t="s">
        <v>76</v>
      </c>
      <c r="BW57" s="3" t="s">
        <v>817</v>
      </c>
      <c r="BY57" s="1" t="s">
        <v>816</v>
      </c>
      <c r="BZ57" s="1" t="s">
        <v>407</v>
      </c>
      <c r="CA57" s="1" t="s">
        <v>407</v>
      </c>
      <c r="CD57" s="1" t="s">
        <v>408</v>
      </c>
      <c r="CE57" s="1" t="s">
        <v>752</v>
      </c>
      <c r="CL57" s="1" t="s">
        <v>816</v>
      </c>
      <c r="CM57" s="1" t="s">
        <v>641</v>
      </c>
    </row>
    <row r="58" spans="1:91">
      <c r="A58" s="1" t="s">
        <v>822</v>
      </c>
      <c r="B58" s="1" t="s">
        <v>395</v>
      </c>
      <c r="C58" s="1">
        <v>200</v>
      </c>
      <c r="D58" s="1" t="s">
        <v>303</v>
      </c>
      <c r="E58" s="1" t="s">
        <v>80</v>
      </c>
      <c r="G58" s="3" t="s">
        <v>823</v>
      </c>
      <c r="H58" s="1">
        <v>11</v>
      </c>
      <c r="I58" s="1">
        <v>87</v>
      </c>
      <c r="J58" s="3" t="s">
        <v>824</v>
      </c>
      <c r="K58" s="1">
        <v>74</v>
      </c>
      <c r="L58" s="1">
        <v>401</v>
      </c>
      <c r="M58" s="3" t="s">
        <v>825</v>
      </c>
      <c r="N58" s="1">
        <v>55</v>
      </c>
      <c r="O58" s="3" t="s">
        <v>826</v>
      </c>
      <c r="P58" s="1">
        <v>48</v>
      </c>
      <c r="R58" s="1">
        <v>0</v>
      </c>
      <c r="S58" s="3" t="s">
        <v>747</v>
      </c>
      <c r="T58" s="1">
        <v>7</v>
      </c>
      <c r="U58" s="3" t="s">
        <v>827</v>
      </c>
      <c r="V58" s="1">
        <v>8</v>
      </c>
      <c r="Z58" s="1" t="s">
        <v>822</v>
      </c>
      <c r="AF58" s="1">
        <v>132583</v>
      </c>
      <c r="AG58" s="1">
        <v>22309</v>
      </c>
      <c r="AH58" s="1">
        <v>22309</v>
      </c>
      <c r="AI58" s="1">
        <v>8.6934380470000008</v>
      </c>
      <c r="AK58" s="1">
        <v>552</v>
      </c>
      <c r="AL58" s="1">
        <v>183</v>
      </c>
      <c r="AM58" s="1">
        <v>3.0163934426229502</v>
      </c>
      <c r="AN58" s="1">
        <v>100</v>
      </c>
      <c r="AO58" s="1" t="s">
        <v>306</v>
      </c>
      <c r="AP58" s="1">
        <v>2.1579239368438698</v>
      </c>
      <c r="AQ58" s="1">
        <v>0</v>
      </c>
      <c r="AR58" s="1">
        <v>3</v>
      </c>
      <c r="AT58" s="1">
        <v>17</v>
      </c>
      <c r="AU58" s="1">
        <v>11</v>
      </c>
      <c r="AV58" s="1">
        <v>0</v>
      </c>
      <c r="AW58" s="1">
        <v>6.67</v>
      </c>
      <c r="AX58" s="1">
        <v>26</v>
      </c>
      <c r="AY58" s="1">
        <v>17</v>
      </c>
      <c r="AZ58" s="1">
        <v>0</v>
      </c>
      <c r="BA58" s="1">
        <v>2</v>
      </c>
      <c r="BB58" s="1">
        <v>2</v>
      </c>
      <c r="BC58" s="1">
        <v>0</v>
      </c>
      <c r="BH58" s="1" t="s">
        <v>828</v>
      </c>
      <c r="BI58" s="1">
        <v>7.0000000000000001E-3</v>
      </c>
      <c r="BJ58" s="1" t="s">
        <v>813</v>
      </c>
      <c r="BN58" s="1" t="s">
        <v>403</v>
      </c>
      <c r="BO58" s="1" t="s">
        <v>404</v>
      </c>
      <c r="BP58" s="3" t="s">
        <v>823</v>
      </c>
      <c r="BQ58" s="3" t="s">
        <v>824</v>
      </c>
      <c r="BR58" s="1" t="s">
        <v>73</v>
      </c>
      <c r="BS58" s="3" t="s">
        <v>405</v>
      </c>
      <c r="BT58" s="1" t="s">
        <v>829</v>
      </c>
      <c r="BU58" s="1" t="s">
        <v>822</v>
      </c>
      <c r="BV58" s="1" t="s">
        <v>76</v>
      </c>
      <c r="BW58" s="3" t="s">
        <v>823</v>
      </c>
      <c r="BY58" s="1" t="s">
        <v>822</v>
      </c>
      <c r="BZ58" s="1" t="s">
        <v>407</v>
      </c>
      <c r="CA58" s="1" t="s">
        <v>407</v>
      </c>
      <c r="CD58" s="1" t="s">
        <v>408</v>
      </c>
      <c r="CE58" s="1" t="s">
        <v>752</v>
      </c>
      <c r="CL58" s="1" t="s">
        <v>822</v>
      </c>
      <c r="CM58" s="1" t="s">
        <v>830</v>
      </c>
    </row>
    <row r="59" spans="1:91">
      <c r="A59" s="1" t="s">
        <v>831</v>
      </c>
      <c r="B59" s="1" t="s">
        <v>395</v>
      </c>
      <c r="C59" s="1">
        <v>200</v>
      </c>
      <c r="D59" s="1" t="s">
        <v>303</v>
      </c>
      <c r="E59" s="1" t="s">
        <v>80</v>
      </c>
      <c r="G59" s="3" t="s">
        <v>832</v>
      </c>
      <c r="H59" s="1">
        <v>13</v>
      </c>
      <c r="I59" s="1">
        <v>105</v>
      </c>
      <c r="J59" s="3" t="s">
        <v>833</v>
      </c>
      <c r="K59" s="1">
        <v>81</v>
      </c>
      <c r="L59" s="1">
        <v>444</v>
      </c>
      <c r="M59" s="3" t="s">
        <v>834</v>
      </c>
      <c r="N59" s="1">
        <v>60</v>
      </c>
      <c r="O59" s="3" t="s">
        <v>835</v>
      </c>
      <c r="P59" s="1">
        <v>51</v>
      </c>
      <c r="R59" s="1">
        <v>0</v>
      </c>
      <c r="S59" s="3" t="s">
        <v>747</v>
      </c>
      <c r="T59" s="1">
        <v>7</v>
      </c>
      <c r="U59" s="3" t="s">
        <v>836</v>
      </c>
      <c r="V59" s="1">
        <v>10</v>
      </c>
      <c r="Z59" s="1" t="s">
        <v>831</v>
      </c>
      <c r="AF59" s="1">
        <v>141953</v>
      </c>
      <c r="AG59" s="1">
        <v>22839</v>
      </c>
      <c r="AH59" s="1">
        <v>22839</v>
      </c>
      <c r="AI59" s="1">
        <v>8.8999700369999992</v>
      </c>
      <c r="AK59" s="1">
        <v>622</v>
      </c>
      <c r="AL59" s="1">
        <v>201</v>
      </c>
      <c r="AM59" s="1">
        <v>3.0945273631840799</v>
      </c>
      <c r="AN59" s="1">
        <v>100</v>
      </c>
      <c r="AO59" s="1" t="s">
        <v>306</v>
      </c>
      <c r="AP59" s="1">
        <v>2.1972951889038099</v>
      </c>
      <c r="AQ59" s="1">
        <v>0</v>
      </c>
      <c r="AR59" s="1">
        <v>3</v>
      </c>
      <c r="AT59" s="1">
        <v>16</v>
      </c>
      <c r="AU59" s="1">
        <v>10</v>
      </c>
      <c r="AV59" s="1">
        <v>0</v>
      </c>
      <c r="AW59" s="1">
        <v>6.06</v>
      </c>
      <c r="AX59" s="1">
        <v>26</v>
      </c>
      <c r="AY59" s="1">
        <v>17</v>
      </c>
      <c r="AZ59" s="1">
        <v>0</v>
      </c>
      <c r="BA59" s="1">
        <v>2</v>
      </c>
      <c r="BB59" s="1">
        <v>2</v>
      </c>
      <c r="BC59" s="1">
        <v>0</v>
      </c>
      <c r="BH59" s="1" t="s">
        <v>837</v>
      </c>
      <c r="BI59" s="1">
        <v>7.0000000000000001E-3</v>
      </c>
      <c r="BJ59" s="1" t="s">
        <v>785</v>
      </c>
      <c r="BN59" s="1" t="s">
        <v>403</v>
      </c>
      <c r="BO59" s="1" t="s">
        <v>404</v>
      </c>
      <c r="BP59" s="3" t="s">
        <v>832</v>
      </c>
      <c r="BQ59" s="3" t="s">
        <v>833</v>
      </c>
      <c r="BR59" s="1" t="s">
        <v>73</v>
      </c>
      <c r="BS59" s="3" t="s">
        <v>405</v>
      </c>
      <c r="BT59" s="1" t="s">
        <v>838</v>
      </c>
      <c r="BU59" s="1" t="s">
        <v>831</v>
      </c>
      <c r="BV59" s="1" t="s">
        <v>76</v>
      </c>
      <c r="BW59" s="3" t="s">
        <v>832</v>
      </c>
      <c r="BY59" s="1" t="s">
        <v>831</v>
      </c>
      <c r="BZ59" s="1" t="s">
        <v>407</v>
      </c>
      <c r="CA59" s="1" t="s">
        <v>407</v>
      </c>
      <c r="CD59" s="1" t="s">
        <v>408</v>
      </c>
      <c r="CE59" s="1" t="s">
        <v>752</v>
      </c>
      <c r="CL59" s="1" t="s">
        <v>831</v>
      </c>
      <c r="CM59" s="1" t="s">
        <v>839</v>
      </c>
    </row>
    <row r="60" spans="1:91">
      <c r="A60" s="1" t="s">
        <v>840</v>
      </c>
      <c r="B60" s="1" t="s">
        <v>395</v>
      </c>
      <c r="C60" s="1">
        <v>200</v>
      </c>
      <c r="D60" s="1" t="s">
        <v>303</v>
      </c>
      <c r="E60" s="1" t="s">
        <v>80</v>
      </c>
      <c r="G60" s="3" t="s">
        <v>841</v>
      </c>
      <c r="H60" s="1">
        <v>13</v>
      </c>
      <c r="I60" s="1">
        <v>105</v>
      </c>
      <c r="J60" s="3" t="s">
        <v>842</v>
      </c>
      <c r="K60" s="1">
        <v>92</v>
      </c>
      <c r="L60" s="1">
        <v>510</v>
      </c>
      <c r="M60" s="3" t="s">
        <v>843</v>
      </c>
      <c r="N60" s="1">
        <v>50</v>
      </c>
      <c r="O60" s="3" t="s">
        <v>844</v>
      </c>
      <c r="P60" s="1">
        <v>47</v>
      </c>
      <c r="R60" s="1">
        <v>0</v>
      </c>
      <c r="S60" s="3" t="s">
        <v>747</v>
      </c>
      <c r="T60" s="1">
        <v>7</v>
      </c>
      <c r="U60" s="3" t="s">
        <v>845</v>
      </c>
      <c r="V60" s="1">
        <v>10</v>
      </c>
      <c r="Z60" s="1" t="s">
        <v>840</v>
      </c>
      <c r="AF60" s="1">
        <v>142601</v>
      </c>
      <c r="AG60" s="1">
        <v>23102</v>
      </c>
      <c r="AH60" s="1">
        <v>23102</v>
      </c>
      <c r="AI60" s="1">
        <v>9.0024566660000005</v>
      </c>
      <c r="AK60" s="1">
        <v>672</v>
      </c>
      <c r="AL60" s="1">
        <v>221</v>
      </c>
      <c r="AM60" s="1">
        <v>3.0407239819004501</v>
      </c>
      <c r="AN60" s="1">
        <v>100</v>
      </c>
      <c r="AO60" s="1" t="s">
        <v>306</v>
      </c>
      <c r="AP60" s="1">
        <v>2.35845971107483</v>
      </c>
      <c r="AQ60" s="1">
        <v>0</v>
      </c>
      <c r="AR60" s="1">
        <v>3</v>
      </c>
      <c r="AT60" s="1">
        <v>18</v>
      </c>
      <c r="AU60" s="1">
        <v>12</v>
      </c>
      <c r="AV60" s="1">
        <v>0</v>
      </c>
      <c r="AW60" s="1">
        <v>7.27</v>
      </c>
      <c r="AX60" s="1">
        <v>26</v>
      </c>
      <c r="AY60" s="1">
        <v>17</v>
      </c>
      <c r="AZ60" s="1">
        <v>0</v>
      </c>
      <c r="BA60" s="1">
        <v>2</v>
      </c>
      <c r="BB60" s="1">
        <v>2</v>
      </c>
      <c r="BC60" s="1">
        <v>0</v>
      </c>
      <c r="BH60" s="1" t="s">
        <v>846</v>
      </c>
      <c r="BI60" s="1">
        <v>5.0000000000000001E-3</v>
      </c>
      <c r="BJ60" s="1" t="s">
        <v>785</v>
      </c>
      <c r="BN60" s="1" t="s">
        <v>403</v>
      </c>
      <c r="BO60" s="1" t="s">
        <v>404</v>
      </c>
      <c r="BP60" s="3" t="s">
        <v>841</v>
      </c>
      <c r="BQ60" s="3" t="s">
        <v>842</v>
      </c>
      <c r="BR60" s="1" t="s">
        <v>73</v>
      </c>
      <c r="BS60" s="3" t="s">
        <v>405</v>
      </c>
      <c r="BT60" s="1" t="s">
        <v>847</v>
      </c>
      <c r="BU60" s="1" t="s">
        <v>840</v>
      </c>
      <c r="BV60" s="1" t="s">
        <v>76</v>
      </c>
      <c r="BW60" s="3" t="s">
        <v>841</v>
      </c>
      <c r="BY60" s="1" t="s">
        <v>840</v>
      </c>
      <c r="BZ60" s="1" t="s">
        <v>407</v>
      </c>
      <c r="CA60" s="1" t="s">
        <v>407</v>
      </c>
      <c r="CD60" s="1" t="s">
        <v>408</v>
      </c>
      <c r="CE60" s="1" t="s">
        <v>752</v>
      </c>
      <c r="CL60" s="1" t="s">
        <v>840</v>
      </c>
      <c r="CM60" s="1" t="s">
        <v>559</v>
      </c>
    </row>
    <row r="61" spans="1:91">
      <c r="A61" s="1" t="s">
        <v>848</v>
      </c>
      <c r="B61" s="1" t="s">
        <v>395</v>
      </c>
      <c r="C61" s="1">
        <v>200</v>
      </c>
      <c r="D61" s="1" t="s">
        <v>303</v>
      </c>
      <c r="E61" s="1" t="s">
        <v>80</v>
      </c>
      <c r="G61" s="3" t="s">
        <v>849</v>
      </c>
      <c r="H61" s="1">
        <v>10</v>
      </c>
      <c r="I61" s="1">
        <v>78</v>
      </c>
      <c r="J61" s="3" t="s">
        <v>850</v>
      </c>
      <c r="K61" s="1">
        <v>73</v>
      </c>
      <c r="L61" s="1">
        <v>395</v>
      </c>
      <c r="M61" s="3" t="s">
        <v>851</v>
      </c>
      <c r="N61" s="1">
        <v>59</v>
      </c>
      <c r="O61" s="3" t="s">
        <v>852</v>
      </c>
      <c r="P61" s="1">
        <v>44</v>
      </c>
      <c r="R61" s="1">
        <v>0</v>
      </c>
      <c r="S61" s="3" t="s">
        <v>747</v>
      </c>
      <c r="T61" s="1">
        <v>7</v>
      </c>
      <c r="U61" s="3" t="s">
        <v>853</v>
      </c>
      <c r="V61" s="1">
        <v>7</v>
      </c>
      <c r="Z61" s="1" t="s">
        <v>848</v>
      </c>
      <c r="AF61" s="1">
        <v>133262</v>
      </c>
      <c r="AG61" s="1">
        <v>22310</v>
      </c>
      <c r="AH61" s="1">
        <v>22310</v>
      </c>
      <c r="AI61" s="1">
        <v>8.6938277300000006</v>
      </c>
      <c r="AK61" s="1">
        <v>538</v>
      </c>
      <c r="AL61" s="1">
        <v>178</v>
      </c>
      <c r="AM61" s="1">
        <v>3.02247191011236</v>
      </c>
      <c r="AN61" s="1">
        <v>100</v>
      </c>
      <c r="AO61" s="1" t="s">
        <v>306</v>
      </c>
      <c r="AP61" s="1">
        <v>1.9985390901565601</v>
      </c>
      <c r="AQ61" s="1">
        <v>0</v>
      </c>
      <c r="AR61" s="1">
        <v>3</v>
      </c>
      <c r="AT61" s="1">
        <v>17</v>
      </c>
      <c r="AU61" s="1">
        <v>11</v>
      </c>
      <c r="AV61" s="1">
        <v>0</v>
      </c>
      <c r="AW61" s="1">
        <v>6.67</v>
      </c>
      <c r="AX61" s="1">
        <v>26</v>
      </c>
      <c r="AY61" s="1">
        <v>17</v>
      </c>
      <c r="AZ61" s="1">
        <v>0</v>
      </c>
      <c r="BA61" s="1">
        <v>2</v>
      </c>
      <c r="BB61" s="1">
        <v>2</v>
      </c>
      <c r="BC61" s="1">
        <v>0</v>
      </c>
      <c r="BH61" s="1" t="s">
        <v>854</v>
      </c>
      <c r="BI61" s="1">
        <v>6.0000000000000001E-3</v>
      </c>
      <c r="BJ61" s="1" t="s">
        <v>813</v>
      </c>
      <c r="BN61" s="1" t="s">
        <v>403</v>
      </c>
      <c r="BO61" s="1" t="s">
        <v>404</v>
      </c>
      <c r="BP61" s="3" t="s">
        <v>849</v>
      </c>
      <c r="BQ61" s="3" t="s">
        <v>850</v>
      </c>
      <c r="BR61" s="1" t="s">
        <v>73</v>
      </c>
      <c r="BS61" s="3" t="s">
        <v>405</v>
      </c>
      <c r="BT61" s="1" t="s">
        <v>855</v>
      </c>
      <c r="BU61" s="1" t="s">
        <v>848</v>
      </c>
      <c r="BV61" s="1" t="s">
        <v>76</v>
      </c>
      <c r="BW61" s="3" t="s">
        <v>849</v>
      </c>
      <c r="BY61" s="1" t="s">
        <v>848</v>
      </c>
      <c r="BZ61" s="1" t="s">
        <v>407</v>
      </c>
      <c r="CA61" s="1" t="s">
        <v>407</v>
      </c>
      <c r="CD61" s="1" t="s">
        <v>408</v>
      </c>
      <c r="CE61" s="1" t="s">
        <v>752</v>
      </c>
      <c r="CL61" s="1" t="s">
        <v>848</v>
      </c>
      <c r="CM61" s="1" t="s">
        <v>856</v>
      </c>
    </row>
    <row r="62" spans="1:91">
      <c r="A62" s="1" t="s">
        <v>857</v>
      </c>
      <c r="B62" s="1" t="s">
        <v>395</v>
      </c>
      <c r="C62" s="1">
        <v>200</v>
      </c>
      <c r="D62" s="1" t="s">
        <v>303</v>
      </c>
      <c r="E62" s="1" t="s">
        <v>80</v>
      </c>
      <c r="G62" s="3" t="s">
        <v>858</v>
      </c>
      <c r="H62" s="1">
        <v>14</v>
      </c>
      <c r="I62" s="1">
        <v>120</v>
      </c>
      <c r="J62" s="3" t="s">
        <v>859</v>
      </c>
      <c r="K62" s="1">
        <v>103</v>
      </c>
      <c r="L62" s="1">
        <v>574</v>
      </c>
      <c r="M62" s="3" t="s">
        <v>860</v>
      </c>
      <c r="N62" s="1">
        <v>58</v>
      </c>
      <c r="O62" s="3" t="s">
        <v>861</v>
      </c>
      <c r="P62" s="1">
        <v>53</v>
      </c>
      <c r="R62" s="1">
        <v>0</v>
      </c>
      <c r="S62" s="3" t="s">
        <v>747</v>
      </c>
      <c r="T62" s="1">
        <v>7</v>
      </c>
      <c r="U62" s="3" t="s">
        <v>758</v>
      </c>
      <c r="V62" s="1">
        <v>2</v>
      </c>
      <c r="Z62" s="1" t="s">
        <v>857</v>
      </c>
      <c r="AF62" s="1">
        <v>84318</v>
      </c>
      <c r="AG62" s="1">
        <v>18589</v>
      </c>
      <c r="AH62" s="1">
        <v>18589</v>
      </c>
      <c r="AI62" s="1">
        <v>7.2438172869999997</v>
      </c>
      <c r="AK62" s="1">
        <v>437</v>
      </c>
      <c r="AL62" s="1">
        <v>117</v>
      </c>
      <c r="AM62" s="1">
        <v>3.73504273504274</v>
      </c>
      <c r="AN62" s="1">
        <v>100</v>
      </c>
      <c r="AO62" s="1" t="s">
        <v>306</v>
      </c>
      <c r="AP62" s="1">
        <v>3.0008738040924099</v>
      </c>
      <c r="AQ62" s="1">
        <v>0</v>
      </c>
      <c r="AR62" s="1">
        <v>3</v>
      </c>
      <c r="AT62" s="1">
        <v>7</v>
      </c>
      <c r="AU62" s="1">
        <v>1</v>
      </c>
      <c r="AV62" s="1">
        <v>0</v>
      </c>
      <c r="AW62" s="1">
        <v>0.61</v>
      </c>
      <c r="AX62" s="1">
        <v>21</v>
      </c>
      <c r="AY62" s="1">
        <v>12</v>
      </c>
      <c r="AZ62" s="1">
        <v>0</v>
      </c>
      <c r="BA62" s="1">
        <v>2</v>
      </c>
      <c r="BB62" s="1">
        <v>2</v>
      </c>
      <c r="BC62" s="1">
        <v>0</v>
      </c>
      <c r="BH62" s="1" t="s">
        <v>862</v>
      </c>
      <c r="BI62" s="1">
        <v>1.2E-2</v>
      </c>
      <c r="BJ62" s="1" t="s">
        <v>769</v>
      </c>
      <c r="BN62" s="1" t="s">
        <v>403</v>
      </c>
      <c r="BO62" s="1" t="s">
        <v>404</v>
      </c>
      <c r="BP62" s="3" t="s">
        <v>858</v>
      </c>
      <c r="BQ62" s="3" t="s">
        <v>859</v>
      </c>
      <c r="BR62" s="1" t="s">
        <v>73</v>
      </c>
      <c r="BS62" s="3" t="s">
        <v>405</v>
      </c>
      <c r="BT62" s="1" t="s">
        <v>863</v>
      </c>
      <c r="BU62" s="1" t="s">
        <v>857</v>
      </c>
      <c r="BV62" s="1" t="s">
        <v>76</v>
      </c>
      <c r="BW62" s="3" t="s">
        <v>858</v>
      </c>
      <c r="BY62" s="1" t="s">
        <v>857</v>
      </c>
      <c r="BZ62" s="1" t="s">
        <v>407</v>
      </c>
      <c r="CA62" s="1" t="s">
        <v>407</v>
      </c>
      <c r="CD62" s="1" t="s">
        <v>408</v>
      </c>
      <c r="CE62" s="1" t="s">
        <v>752</v>
      </c>
      <c r="CL62" s="1" t="s">
        <v>857</v>
      </c>
      <c r="CM62" s="1" t="s">
        <v>864</v>
      </c>
    </row>
    <row r="63" spans="1:91">
      <c r="A63" s="1" t="s">
        <v>865</v>
      </c>
      <c r="B63" s="1" t="s">
        <v>395</v>
      </c>
      <c r="C63" s="1">
        <v>200</v>
      </c>
      <c r="D63" s="1" t="s">
        <v>303</v>
      </c>
      <c r="E63" s="1" t="s">
        <v>80</v>
      </c>
      <c r="G63" s="3" t="s">
        <v>866</v>
      </c>
      <c r="H63" s="1">
        <v>13</v>
      </c>
      <c r="I63" s="1">
        <v>107</v>
      </c>
      <c r="J63" s="3" t="s">
        <v>867</v>
      </c>
      <c r="K63" s="1">
        <v>80</v>
      </c>
      <c r="L63" s="1">
        <v>445</v>
      </c>
      <c r="M63" s="3" t="s">
        <v>868</v>
      </c>
      <c r="N63" s="1">
        <v>69</v>
      </c>
      <c r="O63" s="3" t="s">
        <v>869</v>
      </c>
      <c r="P63" s="1">
        <v>34</v>
      </c>
      <c r="R63" s="1">
        <v>0</v>
      </c>
      <c r="S63" s="3" t="s">
        <v>747</v>
      </c>
      <c r="T63" s="1">
        <v>7</v>
      </c>
      <c r="U63" s="3" t="s">
        <v>758</v>
      </c>
      <c r="V63" s="1">
        <v>2</v>
      </c>
      <c r="Z63" s="1" t="s">
        <v>865</v>
      </c>
      <c r="AF63" s="1">
        <v>118922</v>
      </c>
      <c r="AG63" s="1">
        <v>21707</v>
      </c>
      <c r="AH63" s="1">
        <v>21707</v>
      </c>
      <c r="AI63" s="1">
        <v>8.4588488809999998</v>
      </c>
      <c r="AK63" s="1">
        <v>607</v>
      </c>
      <c r="AL63" s="1">
        <v>190</v>
      </c>
      <c r="AM63" s="1">
        <v>3.19473684210526</v>
      </c>
      <c r="AN63" s="1">
        <v>100</v>
      </c>
      <c r="AO63" s="1" t="s">
        <v>306</v>
      </c>
      <c r="AP63" s="1">
        <v>2.5762979984283501</v>
      </c>
      <c r="AQ63" s="1">
        <v>0</v>
      </c>
      <c r="AR63" s="1">
        <v>3</v>
      </c>
      <c r="AT63" s="1">
        <v>9</v>
      </c>
      <c r="AU63" s="1">
        <v>3</v>
      </c>
      <c r="AV63" s="1">
        <v>0</v>
      </c>
      <c r="AW63" s="1">
        <v>1.82</v>
      </c>
      <c r="AX63" s="1">
        <v>23</v>
      </c>
      <c r="AY63" s="1">
        <v>14</v>
      </c>
      <c r="AZ63" s="1">
        <v>0</v>
      </c>
      <c r="BA63" s="1">
        <v>2</v>
      </c>
      <c r="BB63" s="1">
        <v>2</v>
      </c>
      <c r="BC63" s="1">
        <v>0</v>
      </c>
      <c r="BH63" s="1" t="s">
        <v>870</v>
      </c>
      <c r="BI63" s="1">
        <v>8.0000000000000002E-3</v>
      </c>
      <c r="BJ63" s="1" t="s">
        <v>871</v>
      </c>
      <c r="BN63" s="1" t="s">
        <v>403</v>
      </c>
      <c r="BO63" s="1" t="s">
        <v>404</v>
      </c>
      <c r="BP63" s="3" t="s">
        <v>866</v>
      </c>
      <c r="BQ63" s="3" t="s">
        <v>867</v>
      </c>
      <c r="BR63" s="1" t="s">
        <v>73</v>
      </c>
      <c r="BS63" s="3" t="s">
        <v>405</v>
      </c>
      <c r="BT63" s="1" t="s">
        <v>872</v>
      </c>
      <c r="BU63" s="1" t="s">
        <v>865</v>
      </c>
      <c r="BV63" s="1" t="s">
        <v>76</v>
      </c>
      <c r="BW63" s="3" t="s">
        <v>866</v>
      </c>
      <c r="BY63" s="1" t="s">
        <v>865</v>
      </c>
      <c r="BZ63" s="1" t="s">
        <v>407</v>
      </c>
      <c r="CA63" s="1" t="s">
        <v>407</v>
      </c>
      <c r="CD63" s="1" t="s">
        <v>408</v>
      </c>
      <c r="CE63" s="1" t="s">
        <v>752</v>
      </c>
      <c r="CL63" s="1" t="s">
        <v>865</v>
      </c>
      <c r="CM63" s="1" t="s">
        <v>806</v>
      </c>
    </row>
    <row r="64" spans="1:91">
      <c r="A64" s="1" t="s">
        <v>873</v>
      </c>
      <c r="B64" s="1" t="s">
        <v>395</v>
      </c>
      <c r="C64" s="1">
        <v>200</v>
      </c>
      <c r="D64" s="1" t="s">
        <v>303</v>
      </c>
      <c r="E64" s="1" t="s">
        <v>80</v>
      </c>
      <c r="G64" s="3" t="s">
        <v>874</v>
      </c>
      <c r="H64" s="1">
        <v>15</v>
      </c>
      <c r="I64" s="1">
        <v>125</v>
      </c>
      <c r="J64" s="3" t="s">
        <v>875</v>
      </c>
      <c r="K64" s="1">
        <v>131</v>
      </c>
      <c r="L64" s="1">
        <v>705</v>
      </c>
      <c r="M64" s="3" t="s">
        <v>876</v>
      </c>
      <c r="N64" s="1">
        <v>71</v>
      </c>
      <c r="O64" s="3" t="s">
        <v>877</v>
      </c>
      <c r="P64" s="1">
        <v>57</v>
      </c>
      <c r="R64" s="1">
        <v>0</v>
      </c>
      <c r="S64" s="3" t="s">
        <v>747</v>
      </c>
      <c r="T64" s="1">
        <v>7</v>
      </c>
      <c r="U64" s="3" t="s">
        <v>793</v>
      </c>
      <c r="V64" s="1">
        <v>14</v>
      </c>
      <c r="Z64" s="1" t="s">
        <v>873</v>
      </c>
      <c r="AF64" s="1">
        <v>133677</v>
      </c>
      <c r="AG64" s="1">
        <v>21937</v>
      </c>
      <c r="AH64" s="1">
        <v>21937</v>
      </c>
      <c r="AI64" s="1">
        <v>8.5484759710000002</v>
      </c>
      <c r="AK64" s="1">
        <v>702</v>
      </c>
      <c r="AL64" s="1">
        <v>237</v>
      </c>
      <c r="AM64" s="1">
        <v>2.9620253164557</v>
      </c>
      <c r="AN64" s="1">
        <v>100</v>
      </c>
      <c r="AO64" s="1" t="s">
        <v>306</v>
      </c>
      <c r="AP64" s="1">
        <v>2.6528384685516402</v>
      </c>
      <c r="AQ64" s="1">
        <v>0</v>
      </c>
      <c r="AR64" s="1">
        <v>3</v>
      </c>
      <c r="AT64" s="1">
        <v>8</v>
      </c>
      <c r="AU64" s="1">
        <v>3</v>
      </c>
      <c r="AV64" s="1">
        <v>0</v>
      </c>
      <c r="AW64" s="1">
        <v>1.82</v>
      </c>
      <c r="AX64" s="1">
        <v>23</v>
      </c>
      <c r="AY64" s="1">
        <v>15</v>
      </c>
      <c r="AZ64" s="1">
        <v>0</v>
      </c>
      <c r="BA64" s="1">
        <v>2</v>
      </c>
      <c r="BB64" s="1">
        <v>2</v>
      </c>
      <c r="BC64" s="1">
        <v>0</v>
      </c>
      <c r="BH64" s="1" t="s">
        <v>878</v>
      </c>
      <c r="BI64" s="1">
        <v>6.0000000000000001E-3</v>
      </c>
      <c r="BJ64" s="1" t="s">
        <v>795</v>
      </c>
      <c r="BN64" s="1" t="s">
        <v>403</v>
      </c>
      <c r="BO64" s="1" t="s">
        <v>404</v>
      </c>
      <c r="BP64" s="3" t="s">
        <v>874</v>
      </c>
      <c r="BQ64" s="3" t="s">
        <v>875</v>
      </c>
      <c r="BR64" s="1" t="s">
        <v>73</v>
      </c>
      <c r="BS64" s="3" t="s">
        <v>405</v>
      </c>
      <c r="BT64" s="1" t="s">
        <v>879</v>
      </c>
      <c r="BU64" s="1" t="s">
        <v>873</v>
      </c>
      <c r="BV64" s="1" t="s">
        <v>76</v>
      </c>
      <c r="BW64" s="3" t="s">
        <v>874</v>
      </c>
      <c r="BY64" s="1" t="s">
        <v>873</v>
      </c>
      <c r="BZ64" s="1" t="s">
        <v>407</v>
      </c>
      <c r="CA64" s="1" t="s">
        <v>407</v>
      </c>
      <c r="CD64" s="1" t="s">
        <v>408</v>
      </c>
      <c r="CE64" s="1" t="s">
        <v>752</v>
      </c>
      <c r="CL64" s="1" t="s">
        <v>873</v>
      </c>
      <c r="CM64" s="1" t="s">
        <v>880</v>
      </c>
    </row>
    <row r="65" spans="1:91">
      <c r="A65" s="1" t="s">
        <v>881</v>
      </c>
      <c r="B65" s="1" t="s">
        <v>395</v>
      </c>
      <c r="C65" s="1">
        <v>200</v>
      </c>
      <c r="D65" s="1" t="s">
        <v>303</v>
      </c>
      <c r="E65" s="1" t="s">
        <v>80</v>
      </c>
      <c r="G65" s="3" t="s">
        <v>882</v>
      </c>
      <c r="H65" s="1">
        <v>17</v>
      </c>
      <c r="I65" s="1">
        <v>139</v>
      </c>
      <c r="J65" s="3" t="s">
        <v>883</v>
      </c>
      <c r="K65" s="1">
        <v>135</v>
      </c>
      <c r="L65" s="1">
        <v>735</v>
      </c>
      <c r="M65" s="3" t="s">
        <v>884</v>
      </c>
      <c r="N65" s="1">
        <v>62</v>
      </c>
      <c r="O65" s="3" t="s">
        <v>885</v>
      </c>
      <c r="P65" s="1">
        <v>57</v>
      </c>
      <c r="R65" s="1">
        <v>0</v>
      </c>
      <c r="S65" s="3" t="s">
        <v>747</v>
      </c>
      <c r="T65" s="1">
        <v>7</v>
      </c>
      <c r="U65" s="3" t="s">
        <v>793</v>
      </c>
      <c r="V65" s="1">
        <v>14</v>
      </c>
      <c r="Z65" s="1" t="s">
        <v>881</v>
      </c>
      <c r="AF65" s="1">
        <v>118016</v>
      </c>
      <c r="AG65" s="1">
        <v>20832</v>
      </c>
      <c r="AH65" s="1">
        <v>20832</v>
      </c>
      <c r="AI65" s="1">
        <v>8.1178762560000006</v>
      </c>
      <c r="AK65" s="1">
        <v>537</v>
      </c>
      <c r="AL65" s="1">
        <v>155</v>
      </c>
      <c r="AM65" s="1">
        <v>3.4645161290322601</v>
      </c>
      <c r="AN65" s="1">
        <v>100</v>
      </c>
      <c r="AO65" s="1" t="s">
        <v>306</v>
      </c>
      <c r="AP65" s="1">
        <v>2.3155283927917498</v>
      </c>
      <c r="AQ65" s="1">
        <v>0</v>
      </c>
      <c r="AR65" s="1">
        <v>3</v>
      </c>
      <c r="AT65" s="1">
        <v>8</v>
      </c>
      <c r="AU65" s="1">
        <v>3</v>
      </c>
      <c r="AV65" s="1">
        <v>0</v>
      </c>
      <c r="AW65" s="1">
        <v>1.82</v>
      </c>
      <c r="AX65" s="1">
        <v>23</v>
      </c>
      <c r="AY65" s="1">
        <v>15</v>
      </c>
      <c r="AZ65" s="1">
        <v>0</v>
      </c>
      <c r="BA65" s="1">
        <v>2</v>
      </c>
      <c r="BB65" s="1">
        <v>2</v>
      </c>
      <c r="BC65" s="1">
        <v>0</v>
      </c>
      <c r="BH65" s="1" t="s">
        <v>886</v>
      </c>
      <c r="BI65" s="1">
        <v>6.0000000000000001E-3</v>
      </c>
      <c r="BJ65" s="1" t="s">
        <v>795</v>
      </c>
      <c r="BN65" s="1" t="s">
        <v>403</v>
      </c>
      <c r="BO65" s="1" t="s">
        <v>404</v>
      </c>
      <c r="BP65" s="3" t="s">
        <v>882</v>
      </c>
      <c r="BQ65" s="3" t="s">
        <v>883</v>
      </c>
      <c r="BR65" s="1" t="s">
        <v>73</v>
      </c>
      <c r="BS65" s="3" t="s">
        <v>405</v>
      </c>
      <c r="BT65" s="1" t="s">
        <v>887</v>
      </c>
      <c r="BU65" s="1" t="s">
        <v>881</v>
      </c>
      <c r="BV65" s="1" t="s">
        <v>76</v>
      </c>
      <c r="BW65" s="3" t="s">
        <v>882</v>
      </c>
      <c r="BY65" s="1" t="s">
        <v>881</v>
      </c>
      <c r="BZ65" s="1" t="s">
        <v>407</v>
      </c>
      <c r="CA65" s="1" t="s">
        <v>407</v>
      </c>
      <c r="CD65" s="1" t="s">
        <v>408</v>
      </c>
      <c r="CE65" s="1" t="s">
        <v>752</v>
      </c>
      <c r="CL65" s="1" t="s">
        <v>881</v>
      </c>
      <c r="CM65" s="1" t="s">
        <v>888</v>
      </c>
    </row>
    <row r="66" spans="1:91">
      <c r="A66" s="1" t="s">
        <v>889</v>
      </c>
      <c r="B66" s="1" t="s">
        <v>395</v>
      </c>
      <c r="C66" s="1">
        <v>200</v>
      </c>
      <c r="D66" s="1" t="s">
        <v>303</v>
      </c>
      <c r="E66" s="1" t="s">
        <v>80</v>
      </c>
      <c r="G66" s="3" t="s">
        <v>890</v>
      </c>
      <c r="H66" s="1">
        <v>16</v>
      </c>
      <c r="I66" s="1">
        <v>130</v>
      </c>
      <c r="J66" s="3" t="s">
        <v>891</v>
      </c>
      <c r="K66" s="1">
        <v>134</v>
      </c>
      <c r="L66" s="1">
        <v>729</v>
      </c>
      <c r="M66" s="3" t="s">
        <v>892</v>
      </c>
      <c r="N66" s="1">
        <v>60</v>
      </c>
      <c r="O66" s="3" t="s">
        <v>893</v>
      </c>
      <c r="P66" s="1">
        <v>53</v>
      </c>
      <c r="R66" s="1">
        <v>0</v>
      </c>
      <c r="S66" s="3" t="s">
        <v>747</v>
      </c>
      <c r="T66" s="1">
        <v>7</v>
      </c>
      <c r="U66" s="3" t="s">
        <v>793</v>
      </c>
      <c r="V66" s="1">
        <v>14</v>
      </c>
      <c r="Z66" s="1" t="s">
        <v>889</v>
      </c>
      <c r="AF66" s="1">
        <v>106556</v>
      </c>
      <c r="AG66" s="1">
        <v>20029</v>
      </c>
      <c r="AH66" s="1">
        <v>20029</v>
      </c>
      <c r="AI66" s="1">
        <v>7.8049608069999996</v>
      </c>
      <c r="AK66" s="1">
        <v>522</v>
      </c>
      <c r="AL66" s="1">
        <v>148</v>
      </c>
      <c r="AM66" s="1">
        <v>3.5270270270270299</v>
      </c>
      <c r="AN66" s="1">
        <v>100</v>
      </c>
      <c r="AO66" s="1" t="s">
        <v>306</v>
      </c>
      <c r="AP66" s="1">
        <v>2.3903560638427699</v>
      </c>
      <c r="AQ66" s="1">
        <v>0</v>
      </c>
      <c r="AR66" s="1">
        <v>3</v>
      </c>
      <c r="AT66" s="1">
        <v>8</v>
      </c>
      <c r="AU66" s="1">
        <v>3</v>
      </c>
      <c r="AV66" s="1">
        <v>0</v>
      </c>
      <c r="AW66" s="1">
        <v>1.82</v>
      </c>
      <c r="AX66" s="1">
        <v>23</v>
      </c>
      <c r="AY66" s="1">
        <v>15</v>
      </c>
      <c r="AZ66" s="1">
        <v>0</v>
      </c>
      <c r="BA66" s="1">
        <v>2</v>
      </c>
      <c r="BB66" s="1">
        <v>2</v>
      </c>
      <c r="BC66" s="1">
        <v>0</v>
      </c>
      <c r="BH66" s="1" t="s">
        <v>894</v>
      </c>
      <c r="BI66" s="1">
        <v>6.0000000000000001E-3</v>
      </c>
      <c r="BJ66" s="1" t="s">
        <v>795</v>
      </c>
      <c r="BN66" s="1" t="s">
        <v>403</v>
      </c>
      <c r="BO66" s="1" t="s">
        <v>404</v>
      </c>
      <c r="BP66" s="3" t="s">
        <v>890</v>
      </c>
      <c r="BQ66" s="3" t="s">
        <v>891</v>
      </c>
      <c r="BR66" s="1" t="s">
        <v>73</v>
      </c>
      <c r="BS66" s="3" t="s">
        <v>405</v>
      </c>
      <c r="BT66" s="1" t="s">
        <v>895</v>
      </c>
      <c r="BU66" s="1" t="s">
        <v>889</v>
      </c>
      <c r="BV66" s="1" t="s">
        <v>76</v>
      </c>
      <c r="BW66" s="3" t="s">
        <v>890</v>
      </c>
      <c r="BY66" s="1" t="s">
        <v>889</v>
      </c>
      <c r="BZ66" s="1" t="s">
        <v>407</v>
      </c>
      <c r="CA66" s="1" t="s">
        <v>407</v>
      </c>
      <c r="CD66" s="1" t="s">
        <v>408</v>
      </c>
      <c r="CE66" s="1" t="s">
        <v>752</v>
      </c>
      <c r="CL66" s="1" t="s">
        <v>889</v>
      </c>
      <c r="CM66" s="1" t="s">
        <v>896</v>
      </c>
    </row>
    <row r="67" spans="1:91">
      <c r="A67" s="1" t="s">
        <v>897</v>
      </c>
      <c r="B67" s="1" t="s">
        <v>395</v>
      </c>
      <c r="C67" s="1">
        <v>200</v>
      </c>
      <c r="D67" s="1" t="s">
        <v>303</v>
      </c>
      <c r="E67" s="1" t="s">
        <v>80</v>
      </c>
      <c r="G67" s="3" t="s">
        <v>898</v>
      </c>
      <c r="H67" s="1">
        <v>13</v>
      </c>
      <c r="I67" s="1">
        <v>107</v>
      </c>
      <c r="J67" s="3" t="s">
        <v>899</v>
      </c>
      <c r="K67" s="1">
        <v>81</v>
      </c>
      <c r="L67" s="1">
        <v>453</v>
      </c>
      <c r="M67" s="3" t="s">
        <v>884</v>
      </c>
      <c r="N67" s="1">
        <v>62</v>
      </c>
      <c r="O67" s="3" t="s">
        <v>900</v>
      </c>
      <c r="P67" s="1">
        <v>42</v>
      </c>
      <c r="R67" s="1">
        <v>0</v>
      </c>
      <c r="S67" s="3" t="s">
        <v>747</v>
      </c>
      <c r="T67" s="1">
        <v>7</v>
      </c>
      <c r="U67" s="3" t="s">
        <v>758</v>
      </c>
      <c r="V67" s="1">
        <v>2</v>
      </c>
      <c r="Z67" s="1" t="s">
        <v>897</v>
      </c>
      <c r="AF67" s="1">
        <v>126405</v>
      </c>
      <c r="AG67" s="1">
        <v>22640</v>
      </c>
      <c r="AH67" s="1">
        <v>22640</v>
      </c>
      <c r="AI67" s="1">
        <v>8.8224231199999998</v>
      </c>
      <c r="AK67" s="1">
        <v>629</v>
      </c>
      <c r="AL67" s="1">
        <v>192</v>
      </c>
      <c r="AM67" s="1">
        <v>3.2760416666666701</v>
      </c>
      <c r="AN67" s="1">
        <v>100</v>
      </c>
      <c r="AO67" s="1" t="s">
        <v>306</v>
      </c>
      <c r="AP67" s="1">
        <v>2.4856312274932901</v>
      </c>
      <c r="AQ67" s="1">
        <v>0</v>
      </c>
      <c r="AR67" s="1">
        <v>3</v>
      </c>
      <c r="AT67" s="1">
        <v>9</v>
      </c>
      <c r="AU67" s="1">
        <v>3</v>
      </c>
      <c r="AV67" s="1">
        <v>0</v>
      </c>
      <c r="AW67" s="1">
        <v>1.82</v>
      </c>
      <c r="AX67" s="1">
        <v>23</v>
      </c>
      <c r="AY67" s="1">
        <v>14</v>
      </c>
      <c r="AZ67" s="1">
        <v>0</v>
      </c>
      <c r="BA67" s="1">
        <v>2</v>
      </c>
      <c r="BB67" s="1">
        <v>2</v>
      </c>
      <c r="BC67" s="1">
        <v>0</v>
      </c>
      <c r="BH67" s="1" t="s">
        <v>901</v>
      </c>
      <c r="BI67" s="1">
        <v>6.0000000000000001E-3</v>
      </c>
      <c r="BJ67" s="1" t="s">
        <v>871</v>
      </c>
      <c r="BN67" s="1" t="s">
        <v>403</v>
      </c>
      <c r="BO67" s="1" t="s">
        <v>404</v>
      </c>
      <c r="BP67" s="3" t="s">
        <v>898</v>
      </c>
      <c r="BQ67" s="3" t="s">
        <v>899</v>
      </c>
      <c r="BR67" s="1" t="s">
        <v>73</v>
      </c>
      <c r="BS67" s="3" t="s">
        <v>405</v>
      </c>
      <c r="BT67" s="1" t="s">
        <v>902</v>
      </c>
      <c r="BU67" s="1" t="s">
        <v>897</v>
      </c>
      <c r="BV67" s="1" t="s">
        <v>76</v>
      </c>
      <c r="BW67" s="3" t="s">
        <v>898</v>
      </c>
      <c r="BY67" s="1" t="s">
        <v>897</v>
      </c>
      <c r="BZ67" s="1" t="s">
        <v>407</v>
      </c>
      <c r="CA67" s="1" t="s">
        <v>407</v>
      </c>
      <c r="CD67" s="1" t="s">
        <v>408</v>
      </c>
      <c r="CE67" s="1" t="s">
        <v>752</v>
      </c>
      <c r="CL67" s="1" t="s">
        <v>897</v>
      </c>
      <c r="CM67" s="1" t="s">
        <v>903</v>
      </c>
    </row>
    <row r="68" spans="1:91">
      <c r="A68" s="1" t="s">
        <v>904</v>
      </c>
      <c r="B68" s="1" t="s">
        <v>395</v>
      </c>
      <c r="C68" s="1">
        <v>200</v>
      </c>
      <c r="D68" s="1" t="s">
        <v>303</v>
      </c>
      <c r="E68" s="1" t="s">
        <v>80</v>
      </c>
      <c r="G68" s="3" t="s">
        <v>905</v>
      </c>
      <c r="H68" s="1">
        <v>12</v>
      </c>
      <c r="I68" s="1">
        <v>98</v>
      </c>
      <c r="J68" s="3" t="s">
        <v>906</v>
      </c>
      <c r="K68" s="1">
        <v>80</v>
      </c>
      <c r="L68" s="1">
        <v>447</v>
      </c>
      <c r="M68" s="3" t="s">
        <v>892</v>
      </c>
      <c r="N68" s="1">
        <v>60</v>
      </c>
      <c r="O68" s="3" t="s">
        <v>907</v>
      </c>
      <c r="P68" s="1">
        <v>38</v>
      </c>
      <c r="R68" s="1">
        <v>0</v>
      </c>
      <c r="S68" s="3" t="s">
        <v>747</v>
      </c>
      <c r="T68" s="1">
        <v>7</v>
      </c>
      <c r="U68" s="3" t="s">
        <v>758</v>
      </c>
      <c r="V68" s="1">
        <v>2</v>
      </c>
      <c r="Z68" s="1" t="s">
        <v>904</v>
      </c>
      <c r="AF68" s="1">
        <v>125631</v>
      </c>
      <c r="AG68" s="1">
        <v>22429</v>
      </c>
      <c r="AH68" s="1">
        <v>22429</v>
      </c>
      <c r="AI68" s="1">
        <v>8.7402000070000003</v>
      </c>
      <c r="AK68" s="1">
        <v>614</v>
      </c>
      <c r="AL68" s="1">
        <v>190</v>
      </c>
      <c r="AM68" s="1">
        <v>3.23157894736842</v>
      </c>
      <c r="AN68" s="1">
        <v>100</v>
      </c>
      <c r="AO68" s="1" t="s">
        <v>306</v>
      </c>
      <c r="AP68" s="1">
        <v>2.3769254684448202</v>
      </c>
      <c r="AQ68" s="1">
        <v>0</v>
      </c>
      <c r="AR68" s="1">
        <v>3</v>
      </c>
      <c r="AT68" s="1">
        <v>9</v>
      </c>
      <c r="AU68" s="1">
        <v>3</v>
      </c>
      <c r="AV68" s="1">
        <v>0</v>
      </c>
      <c r="AW68" s="1">
        <v>1.82</v>
      </c>
      <c r="AX68" s="1">
        <v>23</v>
      </c>
      <c r="AY68" s="1">
        <v>14</v>
      </c>
      <c r="AZ68" s="1">
        <v>0</v>
      </c>
      <c r="BA68" s="1">
        <v>2</v>
      </c>
      <c r="BB68" s="1">
        <v>2</v>
      </c>
      <c r="BC68" s="1">
        <v>0</v>
      </c>
      <c r="BH68" s="1" t="s">
        <v>908</v>
      </c>
      <c r="BI68" s="1">
        <v>1.7000000000000001E-2</v>
      </c>
      <c r="BJ68" s="1" t="s">
        <v>871</v>
      </c>
      <c r="BN68" s="1" t="s">
        <v>403</v>
      </c>
      <c r="BO68" s="1" t="s">
        <v>404</v>
      </c>
      <c r="BP68" s="3" t="s">
        <v>905</v>
      </c>
      <c r="BQ68" s="3" t="s">
        <v>906</v>
      </c>
      <c r="BR68" s="1" t="s">
        <v>73</v>
      </c>
      <c r="BS68" s="3" t="s">
        <v>405</v>
      </c>
      <c r="BT68" s="1" t="s">
        <v>909</v>
      </c>
      <c r="BU68" s="1" t="s">
        <v>904</v>
      </c>
      <c r="BV68" s="1" t="s">
        <v>76</v>
      </c>
      <c r="BW68" s="3" t="s">
        <v>905</v>
      </c>
      <c r="BY68" s="1" t="s">
        <v>904</v>
      </c>
      <c r="BZ68" s="1" t="s">
        <v>407</v>
      </c>
      <c r="CA68" s="1" t="s">
        <v>407</v>
      </c>
      <c r="CD68" s="1" t="s">
        <v>408</v>
      </c>
      <c r="CE68" s="1" t="s">
        <v>752</v>
      </c>
      <c r="CL68" s="1" t="s">
        <v>904</v>
      </c>
      <c r="CM68" s="1" t="s">
        <v>910</v>
      </c>
    </row>
    <row r="69" spans="1:91">
      <c r="A69" s="1" t="s">
        <v>911</v>
      </c>
      <c r="B69" s="1" t="s">
        <v>395</v>
      </c>
      <c r="C69" s="1">
        <v>200</v>
      </c>
      <c r="D69" s="1" t="s">
        <v>303</v>
      </c>
      <c r="E69" s="1" t="s">
        <v>80</v>
      </c>
      <c r="G69" s="3" t="s">
        <v>912</v>
      </c>
      <c r="H69" s="1">
        <v>11</v>
      </c>
      <c r="I69" s="1">
        <v>87</v>
      </c>
      <c r="J69" s="3" t="s">
        <v>913</v>
      </c>
      <c r="K69" s="1">
        <v>84</v>
      </c>
      <c r="L69" s="1">
        <v>472</v>
      </c>
      <c r="M69" s="3" t="s">
        <v>914</v>
      </c>
      <c r="N69" s="1">
        <v>60</v>
      </c>
      <c r="O69" s="3" t="s">
        <v>915</v>
      </c>
      <c r="P69" s="1">
        <v>32</v>
      </c>
      <c r="R69" s="1">
        <v>0</v>
      </c>
      <c r="S69" s="3" t="s">
        <v>747</v>
      </c>
      <c r="T69" s="1">
        <v>7</v>
      </c>
      <c r="U69" s="3" t="s">
        <v>758</v>
      </c>
      <c r="V69" s="1">
        <v>2</v>
      </c>
      <c r="Z69" s="1" t="s">
        <v>911</v>
      </c>
      <c r="AF69" s="1">
        <v>100763</v>
      </c>
      <c r="AG69" s="1">
        <v>20134</v>
      </c>
      <c r="AH69" s="1">
        <v>20134</v>
      </c>
      <c r="AI69" s="1">
        <v>7.8458775220000003</v>
      </c>
      <c r="AK69" s="1">
        <v>521</v>
      </c>
      <c r="AL69" s="1">
        <v>142</v>
      </c>
      <c r="AM69" s="1">
        <v>3.6690140845070398</v>
      </c>
      <c r="AN69" s="1">
        <v>100</v>
      </c>
      <c r="AO69" s="1" t="s">
        <v>306</v>
      </c>
      <c r="AP69" s="1">
        <v>2.5599400997161901</v>
      </c>
      <c r="AQ69" s="1">
        <v>0</v>
      </c>
      <c r="AR69" s="1">
        <v>3</v>
      </c>
      <c r="AT69" s="1">
        <v>11</v>
      </c>
      <c r="AU69" s="1">
        <v>5</v>
      </c>
      <c r="AV69" s="1">
        <v>0</v>
      </c>
      <c r="AW69" s="1">
        <v>3.03</v>
      </c>
      <c r="AX69" s="1">
        <v>21</v>
      </c>
      <c r="AY69" s="1">
        <v>12</v>
      </c>
      <c r="AZ69" s="1">
        <v>0</v>
      </c>
      <c r="BA69" s="1">
        <v>2</v>
      </c>
      <c r="BB69" s="1">
        <v>2</v>
      </c>
      <c r="BC69" s="1">
        <v>0</v>
      </c>
      <c r="BH69" s="1" t="s">
        <v>916</v>
      </c>
      <c r="BI69" s="1">
        <v>0.01</v>
      </c>
      <c r="BJ69" s="1" t="s">
        <v>769</v>
      </c>
      <c r="BN69" s="1" t="s">
        <v>403</v>
      </c>
      <c r="BO69" s="1" t="s">
        <v>404</v>
      </c>
      <c r="BP69" s="3" t="s">
        <v>912</v>
      </c>
      <c r="BQ69" s="3" t="s">
        <v>913</v>
      </c>
      <c r="BR69" s="1" t="s">
        <v>73</v>
      </c>
      <c r="BS69" s="3" t="s">
        <v>405</v>
      </c>
      <c r="BT69" s="1" t="s">
        <v>917</v>
      </c>
      <c r="BU69" s="1" t="s">
        <v>911</v>
      </c>
      <c r="BV69" s="1" t="s">
        <v>76</v>
      </c>
      <c r="BW69" s="3" t="s">
        <v>912</v>
      </c>
      <c r="BY69" s="1" t="s">
        <v>911</v>
      </c>
      <c r="BZ69" s="1" t="s">
        <v>407</v>
      </c>
      <c r="CA69" s="1" t="s">
        <v>407</v>
      </c>
      <c r="CD69" s="1" t="s">
        <v>408</v>
      </c>
      <c r="CE69" s="1" t="s">
        <v>752</v>
      </c>
      <c r="CL69" s="1" t="s">
        <v>911</v>
      </c>
      <c r="CM69" s="1" t="s">
        <v>856</v>
      </c>
    </row>
    <row r="70" spans="1:91">
      <c r="A70" s="1" t="s">
        <v>918</v>
      </c>
      <c r="B70" s="1" t="s">
        <v>395</v>
      </c>
      <c r="C70" s="1">
        <v>200</v>
      </c>
      <c r="D70" s="1" t="s">
        <v>303</v>
      </c>
      <c r="E70" s="1" t="s">
        <v>80</v>
      </c>
      <c r="G70" s="3" t="s">
        <v>919</v>
      </c>
      <c r="H70" s="1">
        <v>14</v>
      </c>
      <c r="I70" s="1">
        <v>110</v>
      </c>
      <c r="J70" s="3" t="s">
        <v>920</v>
      </c>
      <c r="K70" s="1">
        <v>99</v>
      </c>
      <c r="L70" s="1">
        <v>527</v>
      </c>
      <c r="M70" s="3" t="s">
        <v>921</v>
      </c>
      <c r="N70" s="1">
        <v>41</v>
      </c>
      <c r="O70" s="3" t="s">
        <v>922</v>
      </c>
      <c r="P70" s="1">
        <v>50</v>
      </c>
      <c r="R70" s="1">
        <v>0</v>
      </c>
      <c r="S70" s="3" t="s">
        <v>923</v>
      </c>
      <c r="T70" s="1">
        <v>8</v>
      </c>
      <c r="U70" s="3" t="s">
        <v>747</v>
      </c>
      <c r="V70" s="1">
        <v>7</v>
      </c>
      <c r="Z70" s="1" t="s">
        <v>918</v>
      </c>
      <c r="AF70" s="1">
        <v>87191</v>
      </c>
      <c r="AG70" s="1">
        <v>18572</v>
      </c>
      <c r="AH70" s="1">
        <v>18572</v>
      </c>
      <c r="AI70" s="1">
        <v>7.2371926760000003</v>
      </c>
      <c r="AK70" s="1">
        <v>473</v>
      </c>
      <c r="AL70" s="1">
        <v>121</v>
      </c>
      <c r="AM70" s="1">
        <v>3.9090909090909101</v>
      </c>
      <c r="AN70" s="1">
        <v>100</v>
      </c>
      <c r="AO70" s="1" t="s">
        <v>306</v>
      </c>
      <c r="AP70" s="1">
        <v>2.9758508205413801</v>
      </c>
      <c r="AQ70" s="1">
        <v>0</v>
      </c>
      <c r="AR70" s="1">
        <v>3</v>
      </c>
      <c r="AT70" s="1">
        <v>9</v>
      </c>
      <c r="AU70" s="1">
        <v>4</v>
      </c>
      <c r="AV70" s="1">
        <v>0</v>
      </c>
      <c r="AW70" s="1">
        <v>2.42</v>
      </c>
      <c r="AX70" s="1">
        <v>23</v>
      </c>
      <c r="AY70" s="1">
        <v>15</v>
      </c>
      <c r="AZ70" s="1">
        <v>0</v>
      </c>
      <c r="BA70" s="1">
        <v>2</v>
      </c>
      <c r="BB70" s="1">
        <v>2</v>
      </c>
      <c r="BC70" s="1">
        <v>0</v>
      </c>
      <c r="BH70" s="1" t="s">
        <v>924</v>
      </c>
      <c r="BI70" s="1">
        <v>0.01</v>
      </c>
      <c r="BJ70" s="1" t="s">
        <v>925</v>
      </c>
      <c r="BN70" s="1" t="s">
        <v>403</v>
      </c>
      <c r="BO70" s="1" t="s">
        <v>404</v>
      </c>
      <c r="BP70" s="3" t="s">
        <v>919</v>
      </c>
      <c r="BQ70" s="3" t="s">
        <v>926</v>
      </c>
      <c r="BR70" s="1" t="s">
        <v>73</v>
      </c>
      <c r="BS70" s="3" t="s">
        <v>405</v>
      </c>
      <c r="BT70" s="1" t="s">
        <v>927</v>
      </c>
      <c r="BU70" s="1" t="s">
        <v>918</v>
      </c>
      <c r="BV70" s="1" t="s">
        <v>76</v>
      </c>
      <c r="BW70" s="3" t="s">
        <v>919</v>
      </c>
      <c r="BY70" s="1" t="s">
        <v>918</v>
      </c>
      <c r="BZ70" s="1" t="s">
        <v>407</v>
      </c>
      <c r="CA70" s="1" t="s">
        <v>407</v>
      </c>
      <c r="CD70" s="1" t="s">
        <v>408</v>
      </c>
      <c r="CE70" s="1" t="s">
        <v>752</v>
      </c>
      <c r="CL70" s="1" t="s">
        <v>918</v>
      </c>
      <c r="CM70" s="1" t="s">
        <v>928</v>
      </c>
    </row>
    <row r="71" spans="1:91">
      <c r="A71" s="1" t="s">
        <v>929</v>
      </c>
      <c r="B71" s="1" t="s">
        <v>395</v>
      </c>
      <c r="C71" s="1">
        <v>200</v>
      </c>
      <c r="D71" s="1" t="s">
        <v>303</v>
      </c>
      <c r="E71" s="1" t="s">
        <v>80</v>
      </c>
      <c r="G71" s="3" t="s">
        <v>930</v>
      </c>
      <c r="H71" s="1">
        <v>16</v>
      </c>
      <c r="I71" s="1">
        <v>128</v>
      </c>
      <c r="J71" s="3" t="s">
        <v>931</v>
      </c>
      <c r="K71" s="1">
        <v>103</v>
      </c>
      <c r="L71" s="1">
        <v>554</v>
      </c>
      <c r="M71" s="3" t="s">
        <v>932</v>
      </c>
      <c r="N71" s="1">
        <v>41</v>
      </c>
      <c r="O71" s="3" t="s">
        <v>933</v>
      </c>
      <c r="P71" s="1">
        <v>53</v>
      </c>
      <c r="R71" s="1">
        <v>0</v>
      </c>
      <c r="S71" s="3" t="s">
        <v>923</v>
      </c>
      <c r="T71" s="1">
        <v>8</v>
      </c>
      <c r="U71" s="3" t="s">
        <v>747</v>
      </c>
      <c r="V71" s="1">
        <v>7</v>
      </c>
      <c r="Z71" s="1" t="s">
        <v>929</v>
      </c>
      <c r="AF71" s="1">
        <v>88104</v>
      </c>
      <c r="AG71" s="1">
        <v>18884</v>
      </c>
      <c r="AH71" s="1">
        <v>18884</v>
      </c>
      <c r="AI71" s="1">
        <v>7.3587737720000002</v>
      </c>
      <c r="AK71" s="1">
        <v>507</v>
      </c>
      <c r="AL71" s="1">
        <v>131</v>
      </c>
      <c r="AM71" s="1">
        <v>3.8702290076335899</v>
      </c>
      <c r="AN71" s="1">
        <v>100</v>
      </c>
      <c r="AO71" s="1" t="s">
        <v>306</v>
      </c>
      <c r="AP71" s="1">
        <v>3.2832217216491699</v>
      </c>
      <c r="AQ71" s="1">
        <v>0</v>
      </c>
      <c r="AR71" s="1">
        <v>3</v>
      </c>
      <c r="AT71" s="1">
        <v>9</v>
      </c>
      <c r="AU71" s="1">
        <v>4</v>
      </c>
      <c r="AV71" s="1">
        <v>0</v>
      </c>
      <c r="AW71" s="1">
        <v>2.42</v>
      </c>
      <c r="AX71" s="1">
        <v>23</v>
      </c>
      <c r="AY71" s="1">
        <v>15</v>
      </c>
      <c r="AZ71" s="1">
        <v>0</v>
      </c>
      <c r="BA71" s="1">
        <v>2</v>
      </c>
      <c r="BB71" s="1">
        <v>2</v>
      </c>
      <c r="BC71" s="1">
        <v>0</v>
      </c>
      <c r="BH71" s="1" t="s">
        <v>934</v>
      </c>
      <c r="BI71" s="1">
        <v>7.0000000000000001E-3</v>
      </c>
      <c r="BJ71" s="1" t="s">
        <v>769</v>
      </c>
      <c r="BN71" s="1" t="s">
        <v>403</v>
      </c>
      <c r="BO71" s="1" t="s">
        <v>404</v>
      </c>
      <c r="BP71" s="3" t="s">
        <v>930</v>
      </c>
      <c r="BQ71" s="3" t="s">
        <v>931</v>
      </c>
      <c r="BR71" s="1" t="s">
        <v>73</v>
      </c>
      <c r="BS71" s="3" t="s">
        <v>405</v>
      </c>
      <c r="BT71" s="1" t="s">
        <v>935</v>
      </c>
      <c r="BU71" s="1" t="s">
        <v>929</v>
      </c>
      <c r="BV71" s="1" t="s">
        <v>76</v>
      </c>
      <c r="BW71" s="3" t="s">
        <v>930</v>
      </c>
      <c r="BY71" s="1" t="s">
        <v>929</v>
      </c>
      <c r="BZ71" s="1" t="s">
        <v>407</v>
      </c>
      <c r="CA71" s="1" t="s">
        <v>407</v>
      </c>
      <c r="CD71" s="1" t="s">
        <v>408</v>
      </c>
      <c r="CE71" s="1" t="s">
        <v>752</v>
      </c>
      <c r="CL71" s="1" t="s">
        <v>929</v>
      </c>
      <c r="CM71" s="1" t="s">
        <v>496</v>
      </c>
    </row>
    <row r="72" spans="1:91">
      <c r="A72" s="1" t="s">
        <v>936</v>
      </c>
      <c r="B72" s="1" t="s">
        <v>395</v>
      </c>
      <c r="C72" s="1">
        <v>200</v>
      </c>
      <c r="D72" s="1" t="s">
        <v>303</v>
      </c>
      <c r="E72" s="1" t="s">
        <v>80</v>
      </c>
      <c r="G72" s="3" t="s">
        <v>937</v>
      </c>
      <c r="H72" s="1">
        <v>15</v>
      </c>
      <c r="I72" s="1">
        <v>119</v>
      </c>
      <c r="J72" s="3" t="s">
        <v>938</v>
      </c>
      <c r="K72" s="1">
        <v>161</v>
      </c>
      <c r="L72" s="1">
        <v>902</v>
      </c>
      <c r="M72" s="3" t="s">
        <v>939</v>
      </c>
      <c r="N72" s="1">
        <v>87</v>
      </c>
      <c r="O72" s="3" t="s">
        <v>940</v>
      </c>
      <c r="P72" s="1">
        <v>48</v>
      </c>
      <c r="R72" s="1">
        <v>0</v>
      </c>
      <c r="S72" s="3" t="s">
        <v>941</v>
      </c>
      <c r="T72" s="1">
        <v>11</v>
      </c>
      <c r="U72" s="3" t="s">
        <v>923</v>
      </c>
      <c r="V72" s="1">
        <v>8</v>
      </c>
      <c r="Z72" s="1" t="s">
        <v>936</v>
      </c>
      <c r="AF72" s="1">
        <v>100521</v>
      </c>
      <c r="AG72" s="1">
        <v>20446</v>
      </c>
      <c r="AH72" s="1">
        <v>20446</v>
      </c>
      <c r="AI72" s="1">
        <v>7.9674586180000002</v>
      </c>
      <c r="AK72" s="1">
        <v>797</v>
      </c>
      <c r="AL72" s="1">
        <v>194</v>
      </c>
      <c r="AM72" s="1">
        <v>4.1082474226804102</v>
      </c>
      <c r="AN72" s="1">
        <v>100</v>
      </c>
      <c r="AO72" s="1" t="s">
        <v>306</v>
      </c>
      <c r="AP72" s="1">
        <v>3.9756913185119598</v>
      </c>
      <c r="AQ72" s="1">
        <v>0</v>
      </c>
      <c r="AR72" s="1">
        <v>3</v>
      </c>
      <c r="AT72" s="1">
        <v>13</v>
      </c>
      <c r="AU72" s="1">
        <v>7</v>
      </c>
      <c r="AV72" s="1">
        <v>0</v>
      </c>
      <c r="AW72" s="1">
        <v>4.24</v>
      </c>
      <c r="AX72" s="1">
        <v>24</v>
      </c>
      <c r="AY72" s="1">
        <v>15</v>
      </c>
      <c r="AZ72" s="1">
        <v>0</v>
      </c>
      <c r="BA72" s="1">
        <v>2</v>
      </c>
      <c r="BB72" s="1">
        <v>2</v>
      </c>
      <c r="BC72" s="1">
        <v>0</v>
      </c>
      <c r="BH72" s="1" t="s">
        <v>942</v>
      </c>
      <c r="BI72" s="1">
        <v>6.0000000000000001E-3</v>
      </c>
      <c r="BJ72" s="1" t="s">
        <v>943</v>
      </c>
      <c r="BN72" s="1" t="s">
        <v>403</v>
      </c>
      <c r="BO72" s="1" t="s">
        <v>404</v>
      </c>
      <c r="BP72" s="3" t="s">
        <v>937</v>
      </c>
      <c r="BQ72" s="3" t="s">
        <v>938</v>
      </c>
      <c r="BR72" s="1" t="s">
        <v>73</v>
      </c>
      <c r="BS72" s="3" t="s">
        <v>405</v>
      </c>
      <c r="BT72" s="1" t="s">
        <v>944</v>
      </c>
      <c r="BU72" s="1" t="s">
        <v>936</v>
      </c>
      <c r="BV72" s="1" t="s">
        <v>76</v>
      </c>
      <c r="BW72" s="3" t="s">
        <v>937</v>
      </c>
      <c r="BY72" s="1" t="s">
        <v>936</v>
      </c>
      <c r="BZ72" s="1" t="s">
        <v>407</v>
      </c>
      <c r="CA72" s="1" t="s">
        <v>407</v>
      </c>
      <c r="CD72" s="1" t="s">
        <v>408</v>
      </c>
      <c r="CE72" s="1" t="s">
        <v>752</v>
      </c>
      <c r="CL72" s="1" t="s">
        <v>936</v>
      </c>
      <c r="CM72" s="1" t="s">
        <v>656</v>
      </c>
    </row>
    <row r="73" spans="1:91">
      <c r="A73" s="1" t="s">
        <v>945</v>
      </c>
      <c r="B73" s="1" t="s">
        <v>395</v>
      </c>
      <c r="C73" s="1">
        <v>200</v>
      </c>
      <c r="D73" s="1" t="s">
        <v>303</v>
      </c>
      <c r="E73" s="1" t="s">
        <v>80</v>
      </c>
      <c r="G73" s="3" t="s">
        <v>946</v>
      </c>
      <c r="H73" s="1">
        <v>13</v>
      </c>
      <c r="I73" s="1">
        <v>101</v>
      </c>
      <c r="J73" s="3" t="s">
        <v>947</v>
      </c>
      <c r="K73" s="1">
        <v>96</v>
      </c>
      <c r="L73" s="1">
        <v>512</v>
      </c>
      <c r="M73" s="3" t="s">
        <v>948</v>
      </c>
      <c r="N73" s="1">
        <v>46</v>
      </c>
      <c r="O73" s="3" t="s">
        <v>949</v>
      </c>
      <c r="P73" s="1">
        <v>46</v>
      </c>
      <c r="R73" s="1">
        <v>0</v>
      </c>
      <c r="S73" s="3" t="s">
        <v>923</v>
      </c>
      <c r="T73" s="1">
        <v>8</v>
      </c>
      <c r="U73" s="3" t="s">
        <v>747</v>
      </c>
      <c r="V73" s="1">
        <v>7</v>
      </c>
      <c r="Z73" s="1" t="s">
        <v>945</v>
      </c>
      <c r="AF73" s="1">
        <v>86725</v>
      </c>
      <c r="AG73" s="1">
        <v>18455</v>
      </c>
      <c r="AH73" s="1">
        <v>18455</v>
      </c>
      <c r="AI73" s="1">
        <v>7.1915997650000003</v>
      </c>
      <c r="AK73" s="1">
        <v>455</v>
      </c>
      <c r="AL73" s="1">
        <v>119</v>
      </c>
      <c r="AM73" s="1">
        <v>3.8235294117647101</v>
      </c>
      <c r="AN73" s="1">
        <v>100</v>
      </c>
      <c r="AO73" s="1" t="s">
        <v>306</v>
      </c>
      <c r="AP73" s="1">
        <v>2.7629354000091602</v>
      </c>
      <c r="AQ73" s="1">
        <v>0</v>
      </c>
      <c r="AR73" s="1">
        <v>3</v>
      </c>
      <c r="AT73" s="1">
        <v>9</v>
      </c>
      <c r="AU73" s="1">
        <v>4</v>
      </c>
      <c r="AV73" s="1">
        <v>0</v>
      </c>
      <c r="AW73" s="1">
        <v>2.42</v>
      </c>
      <c r="AX73" s="1">
        <v>23</v>
      </c>
      <c r="AY73" s="1">
        <v>15</v>
      </c>
      <c r="AZ73" s="1">
        <v>0</v>
      </c>
      <c r="BA73" s="1">
        <v>2</v>
      </c>
      <c r="BB73" s="1">
        <v>2</v>
      </c>
      <c r="BC73" s="1">
        <v>0</v>
      </c>
      <c r="BH73" s="1" t="s">
        <v>950</v>
      </c>
      <c r="BI73" s="1">
        <v>2.1000000000000001E-2</v>
      </c>
      <c r="BJ73" s="1" t="s">
        <v>925</v>
      </c>
      <c r="BN73" s="1" t="s">
        <v>403</v>
      </c>
      <c r="BO73" s="1" t="s">
        <v>404</v>
      </c>
      <c r="BP73" s="3" t="s">
        <v>946</v>
      </c>
      <c r="BQ73" s="3" t="s">
        <v>947</v>
      </c>
      <c r="BR73" s="1" t="s">
        <v>73</v>
      </c>
      <c r="BS73" s="3" t="s">
        <v>405</v>
      </c>
      <c r="BT73" s="1" t="s">
        <v>951</v>
      </c>
      <c r="BU73" s="1" t="s">
        <v>945</v>
      </c>
      <c r="BV73" s="1" t="s">
        <v>76</v>
      </c>
      <c r="BW73" s="3" t="s">
        <v>946</v>
      </c>
      <c r="BY73" s="1" t="s">
        <v>945</v>
      </c>
      <c r="BZ73" s="1" t="s">
        <v>407</v>
      </c>
      <c r="CA73" s="1" t="s">
        <v>407</v>
      </c>
      <c r="CD73" s="1" t="s">
        <v>408</v>
      </c>
      <c r="CE73" s="1" t="s">
        <v>752</v>
      </c>
      <c r="CL73" s="1" t="s">
        <v>945</v>
      </c>
      <c r="CM73" s="1" t="s">
        <v>595</v>
      </c>
    </row>
    <row r="74" spans="1:91">
      <c r="A74" s="1" t="s">
        <v>952</v>
      </c>
      <c r="B74" s="1" t="s">
        <v>395</v>
      </c>
      <c r="C74" s="1">
        <v>200</v>
      </c>
      <c r="D74" s="1" t="s">
        <v>303</v>
      </c>
      <c r="E74" s="1" t="s">
        <v>80</v>
      </c>
      <c r="G74" s="3" t="s">
        <v>396</v>
      </c>
      <c r="H74" s="1">
        <v>15</v>
      </c>
      <c r="I74" s="1">
        <v>121</v>
      </c>
      <c r="J74" s="3" t="s">
        <v>953</v>
      </c>
      <c r="K74" s="1">
        <v>86</v>
      </c>
      <c r="L74" s="1">
        <v>466</v>
      </c>
      <c r="M74" s="3" t="s">
        <v>954</v>
      </c>
      <c r="N74" s="1">
        <v>63</v>
      </c>
      <c r="O74" s="3" t="s">
        <v>955</v>
      </c>
      <c r="P74" s="1">
        <v>40</v>
      </c>
      <c r="R74" s="1">
        <v>0</v>
      </c>
      <c r="S74" s="3" t="s">
        <v>747</v>
      </c>
      <c r="T74" s="1">
        <v>7</v>
      </c>
      <c r="U74" s="3" t="s">
        <v>748</v>
      </c>
      <c r="V74" s="1">
        <v>5</v>
      </c>
      <c r="Z74" s="1" t="s">
        <v>952</v>
      </c>
      <c r="AF74" s="1">
        <v>103749</v>
      </c>
      <c r="AG74" s="1">
        <v>20808</v>
      </c>
      <c r="AH74" s="1">
        <v>20808</v>
      </c>
      <c r="AI74" s="1">
        <v>8.1085238640000004</v>
      </c>
      <c r="AK74" s="1">
        <v>711</v>
      </c>
      <c r="AL74" s="1">
        <v>216</v>
      </c>
      <c r="AM74" s="1">
        <v>3.2916666666666701</v>
      </c>
      <c r="AN74" s="1">
        <v>100</v>
      </c>
      <c r="AO74" s="1" t="s">
        <v>306</v>
      </c>
      <c r="AP74" s="1">
        <v>3.4588713645935099</v>
      </c>
      <c r="AQ74" s="1">
        <v>0</v>
      </c>
      <c r="AR74" s="1">
        <v>3</v>
      </c>
      <c r="AT74" s="1">
        <v>38</v>
      </c>
      <c r="AU74" s="1">
        <v>31</v>
      </c>
      <c r="AV74" s="1">
        <v>0</v>
      </c>
      <c r="AW74" s="1">
        <v>18.79</v>
      </c>
      <c r="AX74" s="1">
        <v>23</v>
      </c>
      <c r="AY74" s="1">
        <v>14</v>
      </c>
      <c r="AZ74" s="1">
        <v>0</v>
      </c>
      <c r="BA74" s="1">
        <v>2</v>
      </c>
      <c r="BB74" s="1">
        <v>2</v>
      </c>
      <c r="BC74" s="1">
        <v>0</v>
      </c>
      <c r="BH74" s="1" t="s">
        <v>956</v>
      </c>
      <c r="BI74" s="1">
        <v>6.0000000000000001E-3</v>
      </c>
      <c r="BJ74" s="1" t="s">
        <v>925</v>
      </c>
      <c r="BN74" s="1" t="s">
        <v>403</v>
      </c>
      <c r="BO74" s="1" t="s">
        <v>404</v>
      </c>
      <c r="BP74" s="3" t="s">
        <v>396</v>
      </c>
      <c r="BQ74" s="3" t="s">
        <v>953</v>
      </c>
      <c r="BR74" s="1" t="s">
        <v>73</v>
      </c>
      <c r="BS74" s="3" t="s">
        <v>405</v>
      </c>
      <c r="BT74" s="1" t="s">
        <v>957</v>
      </c>
      <c r="BU74" s="1" t="s">
        <v>952</v>
      </c>
      <c r="BV74" s="1" t="s">
        <v>76</v>
      </c>
      <c r="BW74" s="3" t="s">
        <v>396</v>
      </c>
      <c r="BY74" s="1" t="s">
        <v>952</v>
      </c>
      <c r="BZ74" s="1" t="s">
        <v>407</v>
      </c>
      <c r="CA74" s="1" t="s">
        <v>407</v>
      </c>
      <c r="CD74" s="1" t="s">
        <v>408</v>
      </c>
      <c r="CE74" s="1" t="s">
        <v>752</v>
      </c>
      <c r="CL74" s="1" t="s">
        <v>952</v>
      </c>
      <c r="CM74" s="1" t="s">
        <v>958</v>
      </c>
    </row>
    <row r="75" spans="1:91">
      <c r="A75" s="1" t="s">
        <v>959</v>
      </c>
      <c r="B75" s="1" t="s">
        <v>395</v>
      </c>
      <c r="C75" s="1">
        <v>200</v>
      </c>
      <c r="D75" s="1" t="s">
        <v>303</v>
      </c>
      <c r="E75" s="1" t="s">
        <v>80</v>
      </c>
      <c r="G75" s="3" t="s">
        <v>960</v>
      </c>
      <c r="H75" s="1">
        <v>12</v>
      </c>
      <c r="I75" s="1">
        <v>96</v>
      </c>
      <c r="J75" s="3" t="s">
        <v>961</v>
      </c>
      <c r="K75" s="1">
        <v>82</v>
      </c>
      <c r="L75" s="1">
        <v>449</v>
      </c>
      <c r="M75" s="3" t="s">
        <v>962</v>
      </c>
      <c r="N75" s="1">
        <v>58</v>
      </c>
      <c r="O75" s="3" t="s">
        <v>963</v>
      </c>
      <c r="P75" s="1">
        <v>28</v>
      </c>
      <c r="R75" s="1">
        <v>0</v>
      </c>
      <c r="S75" s="3" t="s">
        <v>747</v>
      </c>
      <c r="T75" s="1">
        <v>7</v>
      </c>
      <c r="U75" s="3" t="s">
        <v>758</v>
      </c>
      <c r="V75" s="1">
        <v>2</v>
      </c>
      <c r="Z75" s="1" t="s">
        <v>959</v>
      </c>
      <c r="AF75" s="1">
        <v>95522</v>
      </c>
      <c r="AG75" s="1">
        <v>19342</v>
      </c>
      <c r="AH75" s="1">
        <v>19342</v>
      </c>
      <c r="AI75" s="1">
        <v>7.5372485859999996</v>
      </c>
      <c r="AK75" s="1">
        <v>381</v>
      </c>
      <c r="AL75" s="1">
        <v>104</v>
      </c>
      <c r="AM75" s="1">
        <v>3.6634615384615401</v>
      </c>
      <c r="AN75" s="1">
        <v>100</v>
      </c>
      <c r="AO75" s="1" t="s">
        <v>306</v>
      </c>
      <c r="AP75" s="1">
        <v>2.1084437370300302</v>
      </c>
      <c r="AQ75" s="1">
        <v>0</v>
      </c>
      <c r="AR75" s="1">
        <v>3</v>
      </c>
      <c r="AT75" s="1">
        <v>16</v>
      </c>
      <c r="AU75" s="1">
        <v>10</v>
      </c>
      <c r="AV75" s="1">
        <v>0</v>
      </c>
      <c r="AW75" s="1">
        <v>6.06</v>
      </c>
      <c r="AX75" s="1">
        <v>21</v>
      </c>
      <c r="AY75" s="1">
        <v>12</v>
      </c>
      <c r="AZ75" s="1">
        <v>0</v>
      </c>
      <c r="BA75" s="1">
        <v>2</v>
      </c>
      <c r="BB75" s="1">
        <v>2</v>
      </c>
      <c r="BC75" s="1">
        <v>0</v>
      </c>
      <c r="BH75" s="1" t="s">
        <v>964</v>
      </c>
      <c r="BI75" s="1">
        <v>7.0000000000000001E-3</v>
      </c>
      <c r="BJ75" s="1" t="s">
        <v>760</v>
      </c>
      <c r="BN75" s="1" t="s">
        <v>403</v>
      </c>
      <c r="BO75" s="1" t="s">
        <v>404</v>
      </c>
      <c r="BP75" s="3" t="s">
        <v>960</v>
      </c>
      <c r="BQ75" s="3" t="s">
        <v>961</v>
      </c>
      <c r="BR75" s="1" t="s">
        <v>73</v>
      </c>
      <c r="BS75" s="3" t="s">
        <v>405</v>
      </c>
      <c r="BT75" s="1" t="s">
        <v>965</v>
      </c>
      <c r="BU75" s="1" t="s">
        <v>959</v>
      </c>
      <c r="BV75" s="1" t="s">
        <v>76</v>
      </c>
      <c r="BW75" s="3" t="s">
        <v>960</v>
      </c>
      <c r="BY75" s="1" t="s">
        <v>959</v>
      </c>
      <c r="BZ75" s="1" t="s">
        <v>407</v>
      </c>
      <c r="CA75" s="1" t="s">
        <v>407</v>
      </c>
      <c r="CB75" s="1" t="s">
        <v>407</v>
      </c>
      <c r="CD75" s="1" t="s">
        <v>408</v>
      </c>
      <c r="CE75" s="1" t="s">
        <v>752</v>
      </c>
      <c r="CF75" s="1" t="s">
        <v>762</v>
      </c>
      <c r="CL75" s="1" t="s">
        <v>959</v>
      </c>
      <c r="CM75" s="1" t="s">
        <v>966</v>
      </c>
    </row>
    <row r="76" spans="1:91">
      <c r="A76" s="1" t="s">
        <v>967</v>
      </c>
      <c r="B76" s="1" t="s">
        <v>395</v>
      </c>
      <c r="C76" s="1">
        <v>200</v>
      </c>
      <c r="D76" s="1" t="s">
        <v>303</v>
      </c>
      <c r="E76" s="1" t="s">
        <v>80</v>
      </c>
      <c r="G76" s="3" t="s">
        <v>968</v>
      </c>
      <c r="H76" s="1">
        <v>13</v>
      </c>
      <c r="I76" s="1">
        <v>105</v>
      </c>
      <c r="J76" s="3" t="s">
        <v>969</v>
      </c>
      <c r="K76" s="1">
        <v>77</v>
      </c>
      <c r="L76" s="1">
        <v>416</v>
      </c>
      <c r="M76" s="3" t="s">
        <v>970</v>
      </c>
      <c r="N76" s="1">
        <v>19</v>
      </c>
      <c r="O76" s="3" t="s">
        <v>971</v>
      </c>
      <c r="P76" s="1">
        <v>28</v>
      </c>
      <c r="R76" s="1">
        <v>0</v>
      </c>
      <c r="S76" s="3" t="s">
        <v>747</v>
      </c>
      <c r="T76" s="1">
        <v>7</v>
      </c>
      <c r="U76" s="3" t="s">
        <v>758</v>
      </c>
      <c r="V76" s="1">
        <v>2</v>
      </c>
      <c r="Z76" s="1" t="s">
        <v>967</v>
      </c>
      <c r="AF76" s="1">
        <v>94405</v>
      </c>
      <c r="AG76" s="1">
        <v>18700</v>
      </c>
      <c r="AH76" s="1">
        <v>18700</v>
      </c>
      <c r="AI76" s="1">
        <v>7.2870720999999996</v>
      </c>
      <c r="AK76" s="1">
        <v>357</v>
      </c>
      <c r="AL76" s="1">
        <v>98</v>
      </c>
      <c r="AM76" s="1">
        <v>3.6428571428571401</v>
      </c>
      <c r="AN76" s="1">
        <v>100</v>
      </c>
      <c r="AO76" s="1" t="s">
        <v>306</v>
      </c>
      <c r="AP76" s="1">
        <v>1.9716438055038501</v>
      </c>
      <c r="AQ76" s="1">
        <v>0</v>
      </c>
      <c r="AR76" s="1">
        <v>3</v>
      </c>
      <c r="AT76" s="1">
        <v>11</v>
      </c>
      <c r="AU76" s="1">
        <v>4</v>
      </c>
      <c r="AV76" s="1">
        <v>0</v>
      </c>
      <c r="AW76" s="1">
        <v>2.42</v>
      </c>
      <c r="AX76" s="1">
        <v>21</v>
      </c>
      <c r="AY76" s="1">
        <v>12</v>
      </c>
      <c r="AZ76" s="1">
        <v>0</v>
      </c>
      <c r="BA76" s="1">
        <v>2</v>
      </c>
      <c r="BB76" s="1">
        <v>2</v>
      </c>
      <c r="BC76" s="1">
        <v>0</v>
      </c>
      <c r="BH76" s="1" t="s">
        <v>972</v>
      </c>
      <c r="BI76" s="1">
        <v>6.0000000000000001E-3</v>
      </c>
      <c r="BJ76" s="1" t="s">
        <v>760</v>
      </c>
      <c r="BN76" s="1" t="s">
        <v>403</v>
      </c>
      <c r="BO76" s="1" t="s">
        <v>404</v>
      </c>
      <c r="BP76" s="3" t="s">
        <v>968</v>
      </c>
      <c r="BQ76" s="3" t="s">
        <v>969</v>
      </c>
      <c r="BR76" s="1" t="s">
        <v>73</v>
      </c>
      <c r="BS76" s="3" t="s">
        <v>405</v>
      </c>
      <c r="BT76" s="1" t="s">
        <v>973</v>
      </c>
      <c r="BU76" s="1" t="s">
        <v>967</v>
      </c>
      <c r="BV76" s="1" t="s">
        <v>76</v>
      </c>
      <c r="BW76" s="3" t="s">
        <v>968</v>
      </c>
      <c r="BY76" s="1" t="s">
        <v>967</v>
      </c>
      <c r="BZ76" s="1" t="s">
        <v>407</v>
      </c>
      <c r="CA76" s="1" t="s">
        <v>407</v>
      </c>
      <c r="CD76" s="1" t="s">
        <v>408</v>
      </c>
      <c r="CE76" s="1" t="s">
        <v>752</v>
      </c>
      <c r="CL76" s="1" t="s">
        <v>967</v>
      </c>
      <c r="CM76" s="1" t="s">
        <v>974</v>
      </c>
    </row>
    <row r="77" spans="1:91">
      <c r="A77" s="1" t="s">
        <v>975</v>
      </c>
      <c r="B77" s="1" t="s">
        <v>395</v>
      </c>
      <c r="C77" s="1">
        <v>200</v>
      </c>
      <c r="D77" s="1" t="s">
        <v>303</v>
      </c>
      <c r="E77" s="1" t="s">
        <v>80</v>
      </c>
      <c r="G77" s="3" t="s">
        <v>976</v>
      </c>
      <c r="H77" s="1">
        <v>10</v>
      </c>
      <c r="I77" s="1">
        <v>78</v>
      </c>
      <c r="J77" s="3" t="s">
        <v>977</v>
      </c>
      <c r="K77" s="1">
        <v>77</v>
      </c>
      <c r="L77" s="1">
        <v>423</v>
      </c>
      <c r="M77" s="3" t="s">
        <v>978</v>
      </c>
      <c r="N77" s="1">
        <v>36</v>
      </c>
      <c r="O77" s="3" t="s">
        <v>979</v>
      </c>
      <c r="P77" s="1">
        <v>21</v>
      </c>
      <c r="R77" s="1">
        <v>0</v>
      </c>
      <c r="S77" s="3" t="s">
        <v>747</v>
      </c>
      <c r="T77" s="1">
        <v>7</v>
      </c>
      <c r="U77" s="3" t="s">
        <v>980</v>
      </c>
      <c r="V77" s="1">
        <v>8</v>
      </c>
      <c r="Z77" s="1" t="s">
        <v>975</v>
      </c>
      <c r="AF77" s="1">
        <v>103547</v>
      </c>
      <c r="AG77" s="1">
        <v>21439</v>
      </c>
      <c r="AH77" s="1">
        <v>21439</v>
      </c>
      <c r="AI77" s="1">
        <v>8.3544138369999992</v>
      </c>
      <c r="AK77" s="1">
        <v>629</v>
      </c>
      <c r="AL77" s="1">
        <v>189</v>
      </c>
      <c r="AM77" s="1">
        <v>3.3280423280423301</v>
      </c>
      <c r="AN77" s="1">
        <v>100</v>
      </c>
      <c r="AO77" s="1" t="s">
        <v>306</v>
      </c>
      <c r="AP77" s="1">
        <v>3.42837715148926</v>
      </c>
      <c r="AQ77" s="1">
        <v>0</v>
      </c>
      <c r="AR77" s="1">
        <v>3</v>
      </c>
      <c r="AT77" s="1">
        <v>11</v>
      </c>
      <c r="AU77" s="1">
        <v>3</v>
      </c>
      <c r="AV77" s="1">
        <v>0</v>
      </c>
      <c r="AW77" s="1">
        <v>1.82</v>
      </c>
      <c r="AX77" s="1">
        <v>23</v>
      </c>
      <c r="AY77" s="1">
        <v>12</v>
      </c>
      <c r="AZ77" s="1">
        <v>0</v>
      </c>
      <c r="BA77" s="1">
        <v>2</v>
      </c>
      <c r="BB77" s="1">
        <v>2</v>
      </c>
      <c r="BC77" s="1">
        <v>0</v>
      </c>
      <c r="BH77" s="1" t="s">
        <v>981</v>
      </c>
      <c r="BI77" s="1">
        <v>8.9999999999999993E-3</v>
      </c>
      <c r="BJ77" s="1" t="s">
        <v>804</v>
      </c>
      <c r="BN77" s="1" t="s">
        <v>403</v>
      </c>
      <c r="BO77" s="1" t="s">
        <v>404</v>
      </c>
      <c r="BP77" s="3" t="s">
        <v>976</v>
      </c>
      <c r="BQ77" s="3" t="s">
        <v>977</v>
      </c>
      <c r="BR77" s="1" t="s">
        <v>73</v>
      </c>
      <c r="BS77" s="3" t="s">
        <v>405</v>
      </c>
      <c r="BT77" s="1" t="s">
        <v>982</v>
      </c>
      <c r="BU77" s="1" t="s">
        <v>975</v>
      </c>
      <c r="BV77" s="1" t="s">
        <v>76</v>
      </c>
      <c r="BW77" s="3" t="s">
        <v>976</v>
      </c>
      <c r="BY77" s="1" t="s">
        <v>975</v>
      </c>
      <c r="BZ77" s="1" t="s">
        <v>407</v>
      </c>
      <c r="CA77" s="1" t="s">
        <v>407</v>
      </c>
      <c r="CD77" s="1" t="s">
        <v>408</v>
      </c>
      <c r="CE77" s="1" t="s">
        <v>752</v>
      </c>
      <c r="CL77" s="1" t="s">
        <v>975</v>
      </c>
      <c r="CM77" s="1" t="s">
        <v>983</v>
      </c>
    </row>
    <row r="78" spans="1:91">
      <c r="A78" s="1" t="s">
        <v>984</v>
      </c>
      <c r="B78" s="1" t="s">
        <v>395</v>
      </c>
      <c r="C78" s="1">
        <v>200</v>
      </c>
      <c r="D78" s="1" t="s">
        <v>303</v>
      </c>
      <c r="E78" s="1" t="s">
        <v>80</v>
      </c>
      <c r="G78" s="3" t="s">
        <v>985</v>
      </c>
      <c r="H78" s="1">
        <v>12</v>
      </c>
      <c r="I78" s="1">
        <v>96</v>
      </c>
      <c r="J78" s="3" t="s">
        <v>986</v>
      </c>
      <c r="K78" s="1">
        <v>95</v>
      </c>
      <c r="L78" s="1">
        <v>517</v>
      </c>
      <c r="M78" s="3" t="s">
        <v>987</v>
      </c>
      <c r="N78" s="1">
        <v>41</v>
      </c>
      <c r="O78" s="3" t="s">
        <v>988</v>
      </c>
      <c r="P78" s="1">
        <v>41</v>
      </c>
      <c r="R78" s="1">
        <v>0</v>
      </c>
      <c r="S78" s="3" t="s">
        <v>747</v>
      </c>
      <c r="T78" s="1">
        <v>7</v>
      </c>
      <c r="U78" s="3" t="s">
        <v>793</v>
      </c>
      <c r="V78" s="1">
        <v>14</v>
      </c>
      <c r="Z78" s="1" t="s">
        <v>984</v>
      </c>
      <c r="AF78" s="1">
        <v>140844</v>
      </c>
      <c r="AG78" s="1">
        <v>21803</v>
      </c>
      <c r="AH78" s="1">
        <v>21803</v>
      </c>
      <c r="AI78" s="1">
        <v>8.4962584490000008</v>
      </c>
      <c r="AK78" s="1">
        <v>733</v>
      </c>
      <c r="AL78" s="1">
        <v>195</v>
      </c>
      <c r="AM78" s="1">
        <v>3.7589743589743598</v>
      </c>
      <c r="AN78" s="1">
        <v>100</v>
      </c>
      <c r="AO78" s="1" t="s">
        <v>306</v>
      </c>
      <c r="AP78" s="1">
        <v>2.31535696983337</v>
      </c>
      <c r="AQ78" s="1">
        <v>0</v>
      </c>
      <c r="AR78" s="1">
        <v>3</v>
      </c>
      <c r="AT78" s="1">
        <v>10</v>
      </c>
      <c r="AU78" s="1">
        <v>5</v>
      </c>
      <c r="AV78" s="1">
        <v>0</v>
      </c>
      <c r="AW78" s="1">
        <v>3.03</v>
      </c>
      <c r="AX78" s="1">
        <v>22</v>
      </c>
      <c r="AY78" s="1">
        <v>14</v>
      </c>
      <c r="AZ78" s="1">
        <v>0</v>
      </c>
      <c r="BA78" s="1">
        <v>2</v>
      </c>
      <c r="BB78" s="1">
        <v>2</v>
      </c>
      <c r="BC78" s="1">
        <v>0</v>
      </c>
      <c r="BH78" s="1" t="s">
        <v>989</v>
      </c>
      <c r="BI78" s="1">
        <v>1.2E-2</v>
      </c>
      <c r="BJ78" s="1" t="s">
        <v>750</v>
      </c>
      <c r="BN78" s="1" t="s">
        <v>403</v>
      </c>
      <c r="BO78" s="1" t="s">
        <v>404</v>
      </c>
      <c r="BP78" s="3" t="s">
        <v>985</v>
      </c>
      <c r="BQ78" s="3" t="s">
        <v>986</v>
      </c>
      <c r="BR78" s="1" t="s">
        <v>73</v>
      </c>
      <c r="BS78" s="3" t="s">
        <v>405</v>
      </c>
      <c r="BT78" s="1" t="s">
        <v>990</v>
      </c>
      <c r="BU78" s="1" t="s">
        <v>984</v>
      </c>
      <c r="BV78" s="1" t="s">
        <v>76</v>
      </c>
      <c r="BW78" s="3" t="s">
        <v>985</v>
      </c>
      <c r="BY78" s="1" t="s">
        <v>984</v>
      </c>
      <c r="BZ78" s="1" t="s">
        <v>407</v>
      </c>
      <c r="CA78" s="1" t="s">
        <v>407</v>
      </c>
      <c r="CD78" s="1" t="s">
        <v>408</v>
      </c>
      <c r="CE78" s="1" t="s">
        <v>752</v>
      </c>
      <c r="CL78" s="1" t="s">
        <v>984</v>
      </c>
      <c r="CM78" s="1" t="s">
        <v>888</v>
      </c>
    </row>
    <row r="79" spans="1:91">
      <c r="A79" s="1" t="s">
        <v>991</v>
      </c>
      <c r="B79" s="1" t="s">
        <v>395</v>
      </c>
      <c r="C79" s="1">
        <v>200</v>
      </c>
      <c r="D79" s="1" t="s">
        <v>303</v>
      </c>
      <c r="E79" s="1" t="s">
        <v>80</v>
      </c>
      <c r="G79" s="3" t="s">
        <v>992</v>
      </c>
      <c r="H79" s="1">
        <v>10</v>
      </c>
      <c r="I79" s="1">
        <v>78</v>
      </c>
      <c r="J79" s="3" t="s">
        <v>993</v>
      </c>
      <c r="K79" s="1">
        <v>93</v>
      </c>
      <c r="L79" s="1">
        <v>505</v>
      </c>
      <c r="M79" s="3" t="s">
        <v>994</v>
      </c>
      <c r="N79" s="1">
        <v>47</v>
      </c>
      <c r="O79" s="3" t="s">
        <v>995</v>
      </c>
      <c r="P79" s="1">
        <v>34</v>
      </c>
      <c r="R79" s="1">
        <v>0</v>
      </c>
      <c r="S79" s="3" t="s">
        <v>747</v>
      </c>
      <c r="T79" s="1">
        <v>7</v>
      </c>
      <c r="U79" s="3" t="s">
        <v>793</v>
      </c>
      <c r="V79" s="1">
        <v>14</v>
      </c>
      <c r="Z79" s="1" t="s">
        <v>991</v>
      </c>
      <c r="AF79" s="1">
        <v>139770</v>
      </c>
      <c r="AG79" s="1">
        <v>21826</v>
      </c>
      <c r="AH79" s="1">
        <v>21826</v>
      </c>
      <c r="AI79" s="1">
        <v>8.5052211579999994</v>
      </c>
      <c r="AK79" s="1">
        <v>640</v>
      </c>
      <c r="AL79" s="1">
        <v>175</v>
      </c>
      <c r="AM79" s="1">
        <v>3.6571428571428601</v>
      </c>
      <c r="AN79" s="1">
        <v>100</v>
      </c>
      <c r="AO79" s="1" t="s">
        <v>306</v>
      </c>
      <c r="AP79" s="1">
        <v>2.06171822547913</v>
      </c>
      <c r="AQ79" s="1">
        <v>0</v>
      </c>
      <c r="AR79" s="1">
        <v>3</v>
      </c>
      <c r="AT79" s="1">
        <v>7</v>
      </c>
      <c r="AU79" s="1">
        <v>2</v>
      </c>
      <c r="AV79" s="1">
        <v>0</v>
      </c>
      <c r="AW79" s="1">
        <v>1.21</v>
      </c>
      <c r="AX79" s="1">
        <v>22</v>
      </c>
      <c r="AY79" s="1">
        <v>14</v>
      </c>
      <c r="AZ79" s="1">
        <v>0</v>
      </c>
      <c r="BA79" s="1">
        <v>2</v>
      </c>
      <c r="BB79" s="1">
        <v>2</v>
      </c>
      <c r="BC79" s="1">
        <v>0</v>
      </c>
      <c r="BH79" s="1" t="s">
        <v>996</v>
      </c>
      <c r="BI79" s="1">
        <v>6.0000000000000001E-3</v>
      </c>
      <c r="BJ79" s="1" t="s">
        <v>750</v>
      </c>
      <c r="BN79" s="1" t="s">
        <v>403</v>
      </c>
      <c r="BO79" s="1" t="s">
        <v>404</v>
      </c>
      <c r="BP79" s="3" t="s">
        <v>992</v>
      </c>
      <c r="BQ79" s="3" t="s">
        <v>993</v>
      </c>
      <c r="BR79" s="1" t="s">
        <v>73</v>
      </c>
      <c r="BS79" s="3" t="s">
        <v>405</v>
      </c>
      <c r="BT79" s="1" t="s">
        <v>997</v>
      </c>
      <c r="BU79" s="1" t="s">
        <v>991</v>
      </c>
      <c r="BV79" s="1" t="s">
        <v>76</v>
      </c>
      <c r="BW79" s="3" t="s">
        <v>992</v>
      </c>
      <c r="BY79" s="1" t="s">
        <v>991</v>
      </c>
      <c r="BZ79" s="1" t="s">
        <v>407</v>
      </c>
      <c r="CA79" s="1" t="s">
        <v>407</v>
      </c>
      <c r="CD79" s="1" t="s">
        <v>408</v>
      </c>
      <c r="CE79" s="1" t="s">
        <v>752</v>
      </c>
      <c r="CL79" s="1" t="s">
        <v>991</v>
      </c>
      <c r="CM79" s="1" t="s">
        <v>998</v>
      </c>
    </row>
    <row r="80" spans="1:91">
      <c r="A80" s="1" t="s">
        <v>999</v>
      </c>
      <c r="B80" s="1" t="s">
        <v>395</v>
      </c>
      <c r="C80" s="1">
        <v>200</v>
      </c>
      <c r="D80" s="1" t="s">
        <v>303</v>
      </c>
      <c r="E80" s="1" t="s">
        <v>80</v>
      </c>
      <c r="G80" s="3" t="s">
        <v>1000</v>
      </c>
      <c r="H80" s="1">
        <v>9</v>
      </c>
      <c r="I80" s="1">
        <v>69</v>
      </c>
      <c r="J80" s="3" t="s">
        <v>1001</v>
      </c>
      <c r="K80" s="1">
        <v>92</v>
      </c>
      <c r="L80" s="1">
        <v>499</v>
      </c>
      <c r="M80" s="3" t="s">
        <v>1002</v>
      </c>
      <c r="N80" s="1">
        <v>45</v>
      </c>
      <c r="O80" s="3" t="s">
        <v>1003</v>
      </c>
      <c r="P80" s="1">
        <v>38</v>
      </c>
      <c r="R80" s="1">
        <v>0</v>
      </c>
      <c r="S80" s="3" t="s">
        <v>747</v>
      </c>
      <c r="T80" s="1">
        <v>7</v>
      </c>
      <c r="U80" s="3" t="s">
        <v>793</v>
      </c>
      <c r="V80" s="1">
        <v>14</v>
      </c>
      <c r="Z80" s="1" t="s">
        <v>999</v>
      </c>
      <c r="AF80" s="1">
        <v>115586</v>
      </c>
      <c r="AG80" s="1">
        <v>19682</v>
      </c>
      <c r="AH80" s="1">
        <v>19682</v>
      </c>
      <c r="AI80" s="1">
        <v>7.6697408060000001</v>
      </c>
      <c r="AK80" s="1">
        <v>500</v>
      </c>
      <c r="AL80" s="1">
        <v>136</v>
      </c>
      <c r="AM80" s="1">
        <v>3.6764705882352899</v>
      </c>
      <c r="AN80" s="1">
        <v>100</v>
      </c>
      <c r="AO80" s="1" t="s">
        <v>306</v>
      </c>
      <c r="AP80" s="1">
        <v>1.96654105186462</v>
      </c>
      <c r="AQ80" s="1">
        <v>0</v>
      </c>
      <c r="AR80" s="1">
        <v>3</v>
      </c>
      <c r="AT80" s="1">
        <v>10</v>
      </c>
      <c r="AU80" s="1">
        <v>5</v>
      </c>
      <c r="AV80" s="1">
        <v>0</v>
      </c>
      <c r="AW80" s="1">
        <v>3.03</v>
      </c>
      <c r="AX80" s="1">
        <v>22</v>
      </c>
      <c r="AY80" s="1">
        <v>14</v>
      </c>
      <c r="AZ80" s="1">
        <v>0</v>
      </c>
      <c r="BA80" s="1">
        <v>2</v>
      </c>
      <c r="BB80" s="1">
        <v>2</v>
      </c>
      <c r="BC80" s="1">
        <v>0</v>
      </c>
      <c r="BH80" s="1" t="s">
        <v>1004</v>
      </c>
      <c r="BI80" s="1">
        <v>8.0000000000000002E-3</v>
      </c>
      <c r="BJ80" s="1" t="s">
        <v>750</v>
      </c>
      <c r="BN80" s="1" t="s">
        <v>403</v>
      </c>
      <c r="BO80" s="1" t="s">
        <v>404</v>
      </c>
      <c r="BP80" s="3" t="s">
        <v>1000</v>
      </c>
      <c r="BQ80" s="3" t="s">
        <v>1001</v>
      </c>
      <c r="BR80" s="1" t="s">
        <v>73</v>
      </c>
      <c r="BS80" s="3" t="s">
        <v>405</v>
      </c>
      <c r="BT80" s="1" t="s">
        <v>1005</v>
      </c>
      <c r="BU80" s="1" t="s">
        <v>999</v>
      </c>
      <c r="BV80" s="1" t="s">
        <v>76</v>
      </c>
      <c r="BW80" s="3" t="s">
        <v>1000</v>
      </c>
      <c r="BY80" s="1" t="s">
        <v>999</v>
      </c>
      <c r="BZ80" s="1" t="s">
        <v>407</v>
      </c>
      <c r="CA80" s="1" t="s">
        <v>407</v>
      </c>
      <c r="CD80" s="1" t="s">
        <v>408</v>
      </c>
      <c r="CE80" s="1" t="s">
        <v>752</v>
      </c>
      <c r="CL80" s="1" t="s">
        <v>999</v>
      </c>
      <c r="CM80" s="1" t="s">
        <v>1006</v>
      </c>
    </row>
    <row r="81" spans="1:91">
      <c r="A81" s="1" t="s">
        <v>1007</v>
      </c>
      <c r="B81" s="1" t="s">
        <v>395</v>
      </c>
      <c r="C81" s="1">
        <v>200</v>
      </c>
      <c r="D81" s="1" t="s">
        <v>303</v>
      </c>
      <c r="E81" s="1" t="s">
        <v>80</v>
      </c>
      <c r="G81" s="3" t="s">
        <v>1008</v>
      </c>
      <c r="H81" s="1">
        <v>13</v>
      </c>
      <c r="I81" s="1">
        <v>105</v>
      </c>
      <c r="J81" s="3" t="s">
        <v>1009</v>
      </c>
      <c r="K81" s="1">
        <v>96</v>
      </c>
      <c r="L81" s="1">
        <v>523</v>
      </c>
      <c r="M81" s="3" t="s">
        <v>1010</v>
      </c>
      <c r="N81" s="1">
        <v>46</v>
      </c>
      <c r="O81" s="3" t="s">
        <v>1011</v>
      </c>
      <c r="P81" s="1">
        <v>40</v>
      </c>
      <c r="R81" s="1">
        <v>0</v>
      </c>
      <c r="S81" s="3" t="s">
        <v>747</v>
      </c>
      <c r="T81" s="1">
        <v>7</v>
      </c>
      <c r="U81" s="3" t="s">
        <v>793</v>
      </c>
      <c r="V81" s="1">
        <v>14</v>
      </c>
      <c r="Z81" s="1" t="s">
        <v>1007</v>
      </c>
      <c r="AF81" s="1">
        <v>134916</v>
      </c>
      <c r="AG81" s="1">
        <v>21166</v>
      </c>
      <c r="AH81" s="1">
        <v>21166</v>
      </c>
      <c r="AI81" s="1">
        <v>8.2480303779999993</v>
      </c>
      <c r="AK81" s="1">
        <v>780</v>
      </c>
      <c r="AL81" s="1">
        <v>246</v>
      </c>
      <c r="AM81" s="1">
        <v>3.1707317073170702</v>
      </c>
      <c r="AN81" s="1">
        <v>100</v>
      </c>
      <c r="AO81" s="1" t="s">
        <v>306</v>
      </c>
      <c r="AP81" s="1">
        <v>2.8849725723266602</v>
      </c>
      <c r="AQ81" s="1">
        <v>0</v>
      </c>
      <c r="AR81" s="1">
        <v>3</v>
      </c>
      <c r="AT81" s="1">
        <v>10</v>
      </c>
      <c r="AU81" s="1">
        <v>5</v>
      </c>
      <c r="AV81" s="1">
        <v>0</v>
      </c>
      <c r="AW81" s="1">
        <v>3.03</v>
      </c>
      <c r="AX81" s="1">
        <v>22</v>
      </c>
      <c r="AY81" s="1">
        <v>14</v>
      </c>
      <c r="AZ81" s="1">
        <v>0</v>
      </c>
      <c r="BA81" s="1">
        <v>2</v>
      </c>
      <c r="BB81" s="1">
        <v>2</v>
      </c>
      <c r="BC81" s="1">
        <v>0</v>
      </c>
      <c r="BH81" s="1" t="s">
        <v>1012</v>
      </c>
      <c r="BI81" s="1">
        <v>6.0000000000000001E-3</v>
      </c>
      <c r="BJ81" s="1" t="s">
        <v>750</v>
      </c>
      <c r="BN81" s="1" t="s">
        <v>403</v>
      </c>
      <c r="BO81" s="1" t="s">
        <v>404</v>
      </c>
      <c r="BP81" s="3" t="s">
        <v>1008</v>
      </c>
      <c r="BQ81" s="3" t="s">
        <v>1009</v>
      </c>
      <c r="BR81" s="1" t="s">
        <v>73</v>
      </c>
      <c r="BS81" s="3" t="s">
        <v>405</v>
      </c>
      <c r="BT81" s="1" t="s">
        <v>1013</v>
      </c>
      <c r="BU81" s="1" t="s">
        <v>1007</v>
      </c>
      <c r="BV81" s="1" t="s">
        <v>76</v>
      </c>
      <c r="BW81" s="3" t="s">
        <v>1008</v>
      </c>
      <c r="BY81" s="1" t="s">
        <v>1007</v>
      </c>
      <c r="BZ81" s="1" t="s">
        <v>407</v>
      </c>
      <c r="CA81" s="1" t="s">
        <v>407</v>
      </c>
      <c r="CD81" s="1" t="s">
        <v>408</v>
      </c>
      <c r="CE81" s="1" t="s">
        <v>752</v>
      </c>
      <c r="CL81" s="1" t="s">
        <v>1007</v>
      </c>
      <c r="CM81" s="1" t="s">
        <v>903</v>
      </c>
    </row>
    <row r="82" spans="1:91">
      <c r="A82" s="1" t="s">
        <v>1014</v>
      </c>
      <c r="B82" s="1" t="s">
        <v>395</v>
      </c>
      <c r="C82" s="1">
        <v>200</v>
      </c>
      <c r="D82" s="1" t="s">
        <v>303</v>
      </c>
      <c r="E82" s="1" t="s">
        <v>80</v>
      </c>
      <c r="G82" s="3" t="s">
        <v>1015</v>
      </c>
      <c r="H82" s="1">
        <v>20</v>
      </c>
      <c r="I82" s="1">
        <v>156</v>
      </c>
      <c r="J82" s="3" t="s">
        <v>1016</v>
      </c>
      <c r="K82" s="1">
        <v>81</v>
      </c>
      <c r="L82" s="1">
        <v>431</v>
      </c>
      <c r="N82" s="1">
        <v>0</v>
      </c>
      <c r="O82" s="3" t="s">
        <v>1017</v>
      </c>
      <c r="P82" s="1">
        <v>3</v>
      </c>
      <c r="R82" s="1">
        <v>0</v>
      </c>
      <c r="T82" s="1">
        <v>0</v>
      </c>
      <c r="V82" s="1">
        <v>0</v>
      </c>
      <c r="Z82" s="1" t="s">
        <v>1014</v>
      </c>
      <c r="AF82" s="1">
        <v>38737</v>
      </c>
      <c r="AG82" s="1">
        <v>10579</v>
      </c>
      <c r="AH82" s="1">
        <v>10579</v>
      </c>
      <c r="AI82" s="1">
        <v>4.1224564570000002</v>
      </c>
      <c r="AK82" s="1">
        <v>61</v>
      </c>
      <c r="AL82" s="1">
        <v>28</v>
      </c>
      <c r="AM82" s="1">
        <v>2.1785714285714302</v>
      </c>
      <c r="AN82" s="1">
        <v>100</v>
      </c>
      <c r="AO82" s="1" t="s">
        <v>306</v>
      </c>
      <c r="AP82" s="1">
        <v>0.93776184320449796</v>
      </c>
      <c r="AQ82" s="1">
        <v>0</v>
      </c>
      <c r="AR82" s="1">
        <v>6</v>
      </c>
      <c r="AT82" s="1">
        <v>14</v>
      </c>
      <c r="AU82" s="1">
        <v>7</v>
      </c>
      <c r="AV82" s="1">
        <v>0</v>
      </c>
      <c r="AW82" s="1">
        <v>4.24</v>
      </c>
      <c r="AX82" s="1">
        <v>25</v>
      </c>
      <c r="AY82" s="1">
        <v>16</v>
      </c>
      <c r="AZ82" s="1">
        <v>0</v>
      </c>
      <c r="BA82" s="1">
        <v>2</v>
      </c>
      <c r="BB82" s="1">
        <v>2</v>
      </c>
      <c r="BC82" s="1">
        <v>0</v>
      </c>
      <c r="BH82" s="1" t="s">
        <v>1018</v>
      </c>
      <c r="BI82" s="1">
        <v>8.0000000000000002E-3</v>
      </c>
      <c r="BJ82" s="1" t="s">
        <v>521</v>
      </c>
      <c r="BN82" s="1" t="s">
        <v>403</v>
      </c>
      <c r="BO82" s="1" t="s">
        <v>404</v>
      </c>
      <c r="BP82" s="3" t="s">
        <v>1015</v>
      </c>
      <c r="BQ82" s="3" t="s">
        <v>1016</v>
      </c>
      <c r="BR82" s="1" t="s">
        <v>73</v>
      </c>
      <c r="BS82" s="3" t="s">
        <v>405</v>
      </c>
      <c r="BT82" s="1" t="s">
        <v>462</v>
      </c>
      <c r="BU82" s="1" t="s">
        <v>1014</v>
      </c>
      <c r="BV82" s="1" t="s">
        <v>76</v>
      </c>
      <c r="BW82" s="3" t="s">
        <v>1015</v>
      </c>
      <c r="BY82" s="1" t="s">
        <v>1014</v>
      </c>
      <c r="BZ82" s="1" t="s">
        <v>407</v>
      </c>
      <c r="CD82" s="1" t="s">
        <v>408</v>
      </c>
      <c r="CL82" s="1" t="s">
        <v>1014</v>
      </c>
      <c r="CM82" s="1" t="s">
        <v>700</v>
      </c>
    </row>
    <row r="83" spans="1:91">
      <c r="A83" s="1" t="s">
        <v>1019</v>
      </c>
      <c r="B83" s="1" t="s">
        <v>395</v>
      </c>
      <c r="C83" s="1">
        <v>200</v>
      </c>
      <c r="D83" s="1" t="s">
        <v>303</v>
      </c>
      <c r="E83" s="1" t="s">
        <v>80</v>
      </c>
      <c r="G83" s="3" t="s">
        <v>1020</v>
      </c>
      <c r="H83" s="1">
        <v>19</v>
      </c>
      <c r="I83" s="1">
        <v>147</v>
      </c>
      <c r="J83" s="3" t="s">
        <v>1021</v>
      </c>
      <c r="K83" s="1">
        <v>80</v>
      </c>
      <c r="L83" s="1">
        <v>425</v>
      </c>
      <c r="N83" s="1">
        <v>0</v>
      </c>
      <c r="O83" s="3" t="s">
        <v>1022</v>
      </c>
      <c r="P83" s="1">
        <v>2</v>
      </c>
      <c r="R83" s="1">
        <v>0</v>
      </c>
      <c r="T83" s="1">
        <v>0</v>
      </c>
      <c r="V83" s="1">
        <v>0</v>
      </c>
      <c r="Z83" s="1" t="s">
        <v>1019</v>
      </c>
      <c r="AF83" s="1">
        <v>38719</v>
      </c>
      <c r="AG83" s="1">
        <v>10584</v>
      </c>
      <c r="AH83" s="1">
        <v>10584</v>
      </c>
      <c r="AI83" s="1">
        <v>4.1244048720000004</v>
      </c>
      <c r="AK83" s="1">
        <v>61</v>
      </c>
      <c r="AL83" s="1">
        <v>28</v>
      </c>
      <c r="AM83" s="1">
        <v>2.1785714285714302</v>
      </c>
      <c r="AN83" s="1">
        <v>100</v>
      </c>
      <c r="AO83" s="1" t="s">
        <v>306</v>
      </c>
      <c r="AP83" s="1">
        <v>0.935008764266968</v>
      </c>
      <c r="AQ83" s="1">
        <v>0</v>
      </c>
      <c r="AR83" s="1">
        <v>6</v>
      </c>
      <c r="AT83" s="1">
        <v>14</v>
      </c>
      <c r="AU83" s="1">
        <v>7</v>
      </c>
      <c r="AV83" s="1">
        <v>0</v>
      </c>
      <c r="AW83" s="1">
        <v>4.24</v>
      </c>
      <c r="AX83" s="1">
        <v>25</v>
      </c>
      <c r="AY83" s="1">
        <v>16</v>
      </c>
      <c r="AZ83" s="1">
        <v>0</v>
      </c>
      <c r="BA83" s="1">
        <v>2</v>
      </c>
      <c r="BB83" s="1">
        <v>2</v>
      </c>
      <c r="BC83" s="1">
        <v>0</v>
      </c>
      <c r="BH83" s="1" t="s">
        <v>1023</v>
      </c>
      <c r="BI83" s="1">
        <v>7.0000000000000001E-3</v>
      </c>
      <c r="BJ83" s="1" t="s">
        <v>521</v>
      </c>
      <c r="BN83" s="1" t="s">
        <v>403</v>
      </c>
      <c r="BO83" s="1" t="s">
        <v>404</v>
      </c>
      <c r="BP83" s="3" t="s">
        <v>1020</v>
      </c>
      <c r="BQ83" s="3" t="s">
        <v>1021</v>
      </c>
      <c r="BR83" s="1" t="s">
        <v>73</v>
      </c>
      <c r="BS83" s="3" t="s">
        <v>405</v>
      </c>
      <c r="BT83" s="1" t="s">
        <v>462</v>
      </c>
      <c r="BU83" s="1" t="s">
        <v>1019</v>
      </c>
      <c r="BV83" s="1" t="s">
        <v>76</v>
      </c>
      <c r="BW83" s="3" t="s">
        <v>1020</v>
      </c>
      <c r="BY83" s="1" t="s">
        <v>1019</v>
      </c>
      <c r="BZ83" s="1" t="s">
        <v>407</v>
      </c>
      <c r="CD83" s="1" t="s">
        <v>408</v>
      </c>
      <c r="CL83" s="1" t="s">
        <v>1019</v>
      </c>
      <c r="CM83" s="1" t="s">
        <v>621</v>
      </c>
    </row>
    <row r="84" spans="1:91">
      <c r="A84" s="1" t="s">
        <v>1024</v>
      </c>
      <c r="B84" s="1" t="s">
        <v>395</v>
      </c>
      <c r="C84" s="1">
        <v>200</v>
      </c>
      <c r="D84" s="1" t="s">
        <v>303</v>
      </c>
      <c r="E84" s="1" t="s">
        <v>80</v>
      </c>
      <c r="G84" s="3" t="s">
        <v>1025</v>
      </c>
      <c r="H84" s="1">
        <v>22</v>
      </c>
      <c r="I84" s="1">
        <v>174</v>
      </c>
      <c r="J84" s="3" t="s">
        <v>1026</v>
      </c>
      <c r="K84" s="1">
        <v>83</v>
      </c>
      <c r="L84" s="1">
        <v>443</v>
      </c>
      <c r="N84" s="1">
        <v>0</v>
      </c>
      <c r="O84" s="3" t="s">
        <v>1027</v>
      </c>
      <c r="P84" s="1">
        <v>5</v>
      </c>
      <c r="R84" s="1">
        <v>0</v>
      </c>
      <c r="T84" s="1">
        <v>0</v>
      </c>
      <c r="V84" s="1">
        <v>0</v>
      </c>
      <c r="Z84" s="1" t="s">
        <v>1024</v>
      </c>
      <c r="AF84" s="1">
        <v>38821</v>
      </c>
      <c r="AG84" s="1">
        <v>10587</v>
      </c>
      <c r="AH84" s="1">
        <v>10587</v>
      </c>
      <c r="AI84" s="1">
        <v>4.125573921</v>
      </c>
      <c r="AK84" s="1">
        <v>61</v>
      </c>
      <c r="AL84" s="1">
        <v>28</v>
      </c>
      <c r="AM84" s="1">
        <v>2.1785714285714302</v>
      </c>
      <c r="AN84" s="1">
        <v>100</v>
      </c>
      <c r="AO84" s="1" t="s">
        <v>306</v>
      </c>
      <c r="AP84" s="1">
        <v>0.94204658269882202</v>
      </c>
      <c r="AQ84" s="1">
        <v>0</v>
      </c>
      <c r="AR84" s="1">
        <v>6</v>
      </c>
      <c r="AT84" s="1">
        <v>14</v>
      </c>
      <c r="AU84" s="1">
        <v>7</v>
      </c>
      <c r="AV84" s="1">
        <v>0</v>
      </c>
      <c r="AW84" s="1">
        <v>4.24</v>
      </c>
      <c r="AX84" s="1">
        <v>25</v>
      </c>
      <c r="AY84" s="1">
        <v>16</v>
      </c>
      <c r="AZ84" s="1">
        <v>0</v>
      </c>
      <c r="BA84" s="1">
        <v>2</v>
      </c>
      <c r="BB84" s="1">
        <v>2</v>
      </c>
      <c r="BC84" s="1">
        <v>0</v>
      </c>
      <c r="BH84" s="1" t="s">
        <v>1028</v>
      </c>
      <c r="BI84" s="1">
        <v>1.0999999999999999E-2</v>
      </c>
      <c r="BJ84" s="1" t="s">
        <v>551</v>
      </c>
      <c r="BN84" s="1" t="s">
        <v>403</v>
      </c>
      <c r="BO84" s="1" t="s">
        <v>404</v>
      </c>
      <c r="BP84" s="3" t="s">
        <v>1025</v>
      </c>
      <c r="BQ84" s="3" t="s">
        <v>1026</v>
      </c>
      <c r="BR84" s="1" t="s">
        <v>73</v>
      </c>
      <c r="BS84" s="3" t="s">
        <v>405</v>
      </c>
      <c r="BT84" s="1" t="s">
        <v>462</v>
      </c>
      <c r="BU84" s="1" t="s">
        <v>1024</v>
      </c>
      <c r="BV84" s="1" t="s">
        <v>76</v>
      </c>
      <c r="BW84" s="3" t="s">
        <v>1025</v>
      </c>
      <c r="BY84" s="1" t="s">
        <v>1024</v>
      </c>
      <c r="BZ84" s="1" t="s">
        <v>407</v>
      </c>
      <c r="CD84" s="1" t="s">
        <v>408</v>
      </c>
      <c r="CL84" s="1" t="s">
        <v>1024</v>
      </c>
      <c r="CM84" s="1" t="s">
        <v>1029</v>
      </c>
    </row>
    <row r="85" spans="1:91">
      <c r="A85" s="1" t="s">
        <v>1030</v>
      </c>
      <c r="B85" s="1" t="s">
        <v>395</v>
      </c>
      <c r="C85" s="1">
        <v>200</v>
      </c>
      <c r="D85" s="1" t="s">
        <v>303</v>
      </c>
      <c r="E85" s="1" t="s">
        <v>80</v>
      </c>
      <c r="G85" s="3" t="s">
        <v>1031</v>
      </c>
      <c r="H85" s="1">
        <v>23</v>
      </c>
      <c r="I85" s="1">
        <v>179</v>
      </c>
      <c r="J85" s="3" t="s">
        <v>1032</v>
      </c>
      <c r="K85" s="1">
        <v>81</v>
      </c>
      <c r="L85" s="1">
        <v>431</v>
      </c>
      <c r="N85" s="1">
        <v>0</v>
      </c>
      <c r="O85" s="3" t="s">
        <v>1033</v>
      </c>
      <c r="P85" s="1">
        <v>6</v>
      </c>
      <c r="R85" s="1">
        <v>0</v>
      </c>
      <c r="T85" s="1">
        <v>0</v>
      </c>
      <c r="V85" s="1">
        <v>0</v>
      </c>
      <c r="Z85" s="1" t="s">
        <v>1030</v>
      </c>
      <c r="AF85" s="1">
        <v>38650</v>
      </c>
      <c r="AG85" s="1">
        <v>10598</v>
      </c>
      <c r="AH85" s="1">
        <v>10598</v>
      </c>
      <c r="AI85" s="1">
        <v>4.1298604340000002</v>
      </c>
      <c r="AK85" s="1">
        <v>62</v>
      </c>
      <c r="AL85" s="1">
        <v>28</v>
      </c>
      <c r="AM85" s="1">
        <v>2.21428571428571</v>
      </c>
      <c r="AN85" s="1">
        <v>100</v>
      </c>
      <c r="AO85" s="1" t="s">
        <v>306</v>
      </c>
      <c r="AP85" s="1">
        <v>0.94938427209854104</v>
      </c>
      <c r="AQ85" s="1">
        <v>0</v>
      </c>
      <c r="AR85" s="1">
        <v>5</v>
      </c>
      <c r="AT85" s="1">
        <v>14</v>
      </c>
      <c r="AU85" s="1">
        <v>7</v>
      </c>
      <c r="AV85" s="1">
        <v>0</v>
      </c>
      <c r="AW85" s="1">
        <v>4.24</v>
      </c>
      <c r="AX85" s="1">
        <v>25</v>
      </c>
      <c r="AY85" s="1">
        <v>16</v>
      </c>
      <c r="AZ85" s="1">
        <v>0</v>
      </c>
      <c r="BA85" s="1">
        <v>2</v>
      </c>
      <c r="BB85" s="1">
        <v>2</v>
      </c>
      <c r="BC85" s="1">
        <v>0</v>
      </c>
      <c r="BH85" s="1" t="s">
        <v>1034</v>
      </c>
      <c r="BI85" s="1">
        <v>6.0000000000000001E-3</v>
      </c>
      <c r="BJ85" s="1" t="s">
        <v>551</v>
      </c>
      <c r="BN85" s="1" t="s">
        <v>403</v>
      </c>
      <c r="BO85" s="1" t="s">
        <v>404</v>
      </c>
      <c r="BP85" s="3" t="s">
        <v>1031</v>
      </c>
      <c r="BQ85" s="3" t="s">
        <v>1032</v>
      </c>
      <c r="BR85" s="1" t="s">
        <v>73</v>
      </c>
      <c r="BS85" s="3" t="s">
        <v>405</v>
      </c>
      <c r="BT85" s="1" t="s">
        <v>462</v>
      </c>
      <c r="BU85" s="1" t="s">
        <v>1030</v>
      </c>
      <c r="BV85" s="1" t="s">
        <v>76</v>
      </c>
      <c r="BW85" s="3" t="s">
        <v>1031</v>
      </c>
      <c r="BY85" s="1" t="s">
        <v>1030</v>
      </c>
      <c r="BZ85" s="1" t="s">
        <v>407</v>
      </c>
      <c r="CD85" s="1" t="s">
        <v>408</v>
      </c>
      <c r="CL85" s="1" t="s">
        <v>1030</v>
      </c>
      <c r="CM85" s="1" t="s">
        <v>1035</v>
      </c>
    </row>
    <row r="86" spans="1:91">
      <c r="A86" s="1" t="s">
        <v>1036</v>
      </c>
      <c r="B86" s="1" t="s">
        <v>395</v>
      </c>
      <c r="C86" s="1">
        <v>200</v>
      </c>
      <c r="D86" s="1" t="s">
        <v>303</v>
      </c>
      <c r="E86" s="1" t="s">
        <v>80</v>
      </c>
      <c r="G86" s="3" t="s">
        <v>1037</v>
      </c>
      <c r="H86" s="1">
        <v>18</v>
      </c>
      <c r="I86" s="1">
        <v>138</v>
      </c>
      <c r="J86" s="3" t="s">
        <v>1038</v>
      </c>
      <c r="K86" s="1">
        <v>79</v>
      </c>
      <c r="L86" s="1">
        <v>419</v>
      </c>
      <c r="N86" s="1">
        <v>0</v>
      </c>
      <c r="O86" s="3" t="s">
        <v>1039</v>
      </c>
      <c r="P86" s="1">
        <v>1</v>
      </c>
      <c r="R86" s="1">
        <v>0</v>
      </c>
      <c r="T86" s="1">
        <v>0</v>
      </c>
      <c r="V86" s="1">
        <v>0</v>
      </c>
      <c r="Z86" s="1" t="s">
        <v>1036</v>
      </c>
      <c r="AF86" s="1">
        <v>38673</v>
      </c>
      <c r="AG86" s="1">
        <v>10582</v>
      </c>
      <c r="AH86" s="1">
        <v>10582</v>
      </c>
      <c r="AI86" s="1">
        <v>4.1236255059999998</v>
      </c>
      <c r="AK86" s="1">
        <v>61</v>
      </c>
      <c r="AL86" s="1">
        <v>28</v>
      </c>
      <c r="AM86" s="1">
        <v>2.1785714285714302</v>
      </c>
      <c r="AN86" s="1">
        <v>100</v>
      </c>
      <c r="AO86" s="1" t="s">
        <v>306</v>
      </c>
      <c r="AP86" s="1">
        <v>0.93296200037002597</v>
      </c>
      <c r="AQ86" s="1">
        <v>0</v>
      </c>
      <c r="AR86" s="1">
        <v>6</v>
      </c>
      <c r="AT86" s="1">
        <v>14</v>
      </c>
      <c r="AU86" s="1">
        <v>7</v>
      </c>
      <c r="AV86" s="1">
        <v>0</v>
      </c>
      <c r="AW86" s="1">
        <v>4.24</v>
      </c>
      <c r="AX86" s="1">
        <v>25</v>
      </c>
      <c r="AY86" s="1">
        <v>16</v>
      </c>
      <c r="AZ86" s="1">
        <v>0</v>
      </c>
      <c r="BA86" s="1">
        <v>2</v>
      </c>
      <c r="BB86" s="1">
        <v>2</v>
      </c>
      <c r="BC86" s="1">
        <v>0</v>
      </c>
      <c r="BH86" s="1" t="s">
        <v>1040</v>
      </c>
      <c r="BI86" s="1">
        <v>0.01</v>
      </c>
      <c r="BJ86" s="1" t="s">
        <v>567</v>
      </c>
      <c r="BN86" s="1" t="s">
        <v>403</v>
      </c>
      <c r="BO86" s="1" t="s">
        <v>404</v>
      </c>
      <c r="BP86" s="3" t="s">
        <v>1037</v>
      </c>
      <c r="BQ86" s="3" t="s">
        <v>1038</v>
      </c>
      <c r="BR86" s="1" t="s">
        <v>73</v>
      </c>
      <c r="BS86" s="3" t="s">
        <v>405</v>
      </c>
      <c r="BT86" s="1" t="s">
        <v>462</v>
      </c>
      <c r="BU86" s="1" t="s">
        <v>1036</v>
      </c>
      <c r="BV86" s="1" t="s">
        <v>76</v>
      </c>
      <c r="BW86" s="3" t="s">
        <v>1037</v>
      </c>
      <c r="BY86" s="1" t="s">
        <v>1036</v>
      </c>
      <c r="BZ86" s="1" t="s">
        <v>407</v>
      </c>
      <c r="CD86" s="1" t="s">
        <v>408</v>
      </c>
      <c r="CL86" s="1" t="s">
        <v>1036</v>
      </c>
      <c r="CM86" s="1" t="s">
        <v>546</v>
      </c>
    </row>
    <row r="87" spans="1:91">
      <c r="A87" s="1" t="s">
        <v>1041</v>
      </c>
      <c r="B87" s="1" t="s">
        <v>395</v>
      </c>
      <c r="C87" s="1">
        <v>200</v>
      </c>
      <c r="D87" s="1" t="s">
        <v>303</v>
      </c>
      <c r="E87" s="1" t="s">
        <v>80</v>
      </c>
      <c r="G87" s="3" t="s">
        <v>1042</v>
      </c>
      <c r="H87" s="1">
        <v>29</v>
      </c>
      <c r="I87" s="1">
        <v>235</v>
      </c>
      <c r="J87" s="3" t="s">
        <v>1043</v>
      </c>
      <c r="K87" s="1">
        <v>90</v>
      </c>
      <c r="L87" s="1">
        <v>485</v>
      </c>
      <c r="N87" s="1">
        <v>0</v>
      </c>
      <c r="O87" s="3" t="s">
        <v>1044</v>
      </c>
      <c r="P87" s="1">
        <v>12</v>
      </c>
      <c r="R87" s="1">
        <v>0</v>
      </c>
      <c r="T87" s="1">
        <v>0</v>
      </c>
      <c r="V87" s="1">
        <v>0</v>
      </c>
      <c r="Z87" s="1" t="s">
        <v>1041</v>
      </c>
      <c r="AF87" s="1">
        <v>39031</v>
      </c>
      <c r="AG87" s="1">
        <v>10587</v>
      </c>
      <c r="AH87" s="1">
        <v>10587</v>
      </c>
      <c r="AI87" s="1">
        <v>4.125573921</v>
      </c>
      <c r="AK87" s="1">
        <v>61</v>
      </c>
      <c r="AL87" s="1">
        <v>28</v>
      </c>
      <c r="AM87" s="1">
        <v>2.1785714285714302</v>
      </c>
      <c r="AN87" s="1">
        <v>100</v>
      </c>
      <c r="AO87" s="1" t="s">
        <v>306</v>
      </c>
      <c r="AP87" s="1">
        <v>0.95809668302536</v>
      </c>
      <c r="AQ87" s="1">
        <v>0</v>
      </c>
      <c r="AR87" s="1">
        <v>6</v>
      </c>
      <c r="AT87" s="1">
        <v>14</v>
      </c>
      <c r="AU87" s="1">
        <v>7</v>
      </c>
      <c r="AV87" s="1">
        <v>0</v>
      </c>
      <c r="AW87" s="1">
        <v>4.24</v>
      </c>
      <c r="AX87" s="1">
        <v>25</v>
      </c>
      <c r="AY87" s="1">
        <v>16</v>
      </c>
      <c r="AZ87" s="1">
        <v>0</v>
      </c>
      <c r="BA87" s="1">
        <v>2</v>
      </c>
      <c r="BB87" s="1">
        <v>2</v>
      </c>
      <c r="BC87" s="1">
        <v>0</v>
      </c>
      <c r="BH87" s="1" t="s">
        <v>1045</v>
      </c>
      <c r="BI87" s="1">
        <v>1.2E-2</v>
      </c>
      <c r="BJ87" s="1" t="s">
        <v>536</v>
      </c>
      <c r="BN87" s="1" t="s">
        <v>403</v>
      </c>
      <c r="BO87" s="1" t="s">
        <v>404</v>
      </c>
      <c r="BP87" s="3" t="s">
        <v>1042</v>
      </c>
      <c r="BQ87" s="3" t="s">
        <v>1043</v>
      </c>
      <c r="BR87" s="1" t="s">
        <v>73</v>
      </c>
      <c r="BS87" s="3" t="s">
        <v>405</v>
      </c>
      <c r="BT87" s="1" t="s">
        <v>462</v>
      </c>
      <c r="BU87" s="1" t="s">
        <v>1041</v>
      </c>
      <c r="BV87" s="1" t="s">
        <v>76</v>
      </c>
      <c r="BW87" s="3" t="s">
        <v>1042</v>
      </c>
      <c r="BY87" s="1" t="s">
        <v>1041</v>
      </c>
      <c r="BZ87" s="1" t="s">
        <v>407</v>
      </c>
      <c r="CD87" s="1" t="s">
        <v>408</v>
      </c>
      <c r="CL87" s="1" t="s">
        <v>1041</v>
      </c>
      <c r="CM87" s="1" t="s">
        <v>727</v>
      </c>
    </row>
    <row r="88" spans="1:91">
      <c r="A88" s="1" t="s">
        <v>1046</v>
      </c>
      <c r="B88" s="1" t="s">
        <v>395</v>
      </c>
      <c r="C88" s="1">
        <v>200</v>
      </c>
      <c r="D88" s="1" t="s">
        <v>303</v>
      </c>
      <c r="E88" s="1" t="s">
        <v>80</v>
      </c>
      <c r="G88" s="3" t="s">
        <v>1047</v>
      </c>
      <c r="H88" s="1">
        <v>39</v>
      </c>
      <c r="I88" s="1">
        <v>300</v>
      </c>
      <c r="J88" s="3" t="s">
        <v>1048</v>
      </c>
      <c r="K88" s="1">
        <v>80</v>
      </c>
      <c r="L88" s="1">
        <v>427</v>
      </c>
      <c r="M88" s="3" t="s">
        <v>1049</v>
      </c>
      <c r="N88" s="1">
        <v>9</v>
      </c>
      <c r="O88" s="3" t="s">
        <v>1050</v>
      </c>
      <c r="P88" s="1">
        <v>4</v>
      </c>
      <c r="R88" s="1">
        <v>0</v>
      </c>
      <c r="T88" s="1">
        <v>0</v>
      </c>
      <c r="V88" s="1">
        <v>0</v>
      </c>
      <c r="Z88" s="1" t="s">
        <v>1046</v>
      </c>
      <c r="AF88" s="1">
        <v>38344</v>
      </c>
      <c r="AG88" s="1">
        <v>10464</v>
      </c>
      <c r="AH88" s="1">
        <v>10464</v>
      </c>
      <c r="AI88" s="1">
        <v>4.077642912</v>
      </c>
      <c r="AK88" s="1">
        <v>61</v>
      </c>
      <c r="AL88" s="1">
        <v>28</v>
      </c>
      <c r="AM88" s="1">
        <v>2.1785714285714302</v>
      </c>
      <c r="AN88" s="1">
        <v>100</v>
      </c>
      <c r="AO88" s="1" t="s">
        <v>306</v>
      </c>
      <c r="AP88" s="1">
        <v>0.94967800378799405</v>
      </c>
      <c r="AQ88" s="1">
        <v>0</v>
      </c>
      <c r="AR88" s="1">
        <v>4</v>
      </c>
      <c r="AT88" s="1">
        <v>7</v>
      </c>
      <c r="AU88" s="1">
        <v>1</v>
      </c>
      <c r="AV88" s="1">
        <v>0</v>
      </c>
      <c r="AW88" s="1">
        <v>0.61</v>
      </c>
      <c r="AX88" s="1">
        <v>25</v>
      </c>
      <c r="AY88" s="1">
        <v>17</v>
      </c>
      <c r="AZ88" s="1">
        <v>0</v>
      </c>
      <c r="BA88" s="1">
        <v>2</v>
      </c>
      <c r="BB88" s="1">
        <v>2</v>
      </c>
      <c r="BC88" s="1">
        <v>0</v>
      </c>
      <c r="BH88" s="1" t="s">
        <v>1051</v>
      </c>
      <c r="BI88" s="1">
        <v>1.2999999999999999E-2</v>
      </c>
      <c r="BJ88" s="1" t="s">
        <v>536</v>
      </c>
      <c r="BN88" s="1" t="s">
        <v>403</v>
      </c>
      <c r="BO88" s="1" t="s">
        <v>404</v>
      </c>
      <c r="BP88" s="3" t="s">
        <v>1047</v>
      </c>
      <c r="BQ88" s="3" t="s">
        <v>1048</v>
      </c>
      <c r="BR88" s="1" t="s">
        <v>73</v>
      </c>
      <c r="BS88" s="3" t="s">
        <v>405</v>
      </c>
      <c r="BT88" s="1" t="s">
        <v>462</v>
      </c>
      <c r="BU88" s="1" t="s">
        <v>1046</v>
      </c>
      <c r="BV88" s="1" t="s">
        <v>76</v>
      </c>
      <c r="BW88" s="3" t="s">
        <v>1047</v>
      </c>
      <c r="BY88" s="1" t="s">
        <v>1046</v>
      </c>
      <c r="BZ88" s="1" t="s">
        <v>407</v>
      </c>
      <c r="CD88" s="1" t="s">
        <v>408</v>
      </c>
      <c r="CL88" s="1" t="s">
        <v>1046</v>
      </c>
      <c r="CM88" s="1" t="s">
        <v>663</v>
      </c>
    </row>
    <row r="89" spans="1:91">
      <c r="A89" s="1" t="s">
        <v>1052</v>
      </c>
      <c r="B89" s="1" t="s">
        <v>395</v>
      </c>
      <c r="C89" s="1">
        <v>200</v>
      </c>
      <c r="D89" s="1" t="s">
        <v>303</v>
      </c>
      <c r="E89" s="1" t="s">
        <v>80</v>
      </c>
      <c r="G89" s="3" t="s">
        <v>1053</v>
      </c>
      <c r="H89" s="1">
        <v>39</v>
      </c>
      <c r="I89" s="1">
        <v>292</v>
      </c>
      <c r="J89" s="3" t="s">
        <v>1054</v>
      </c>
      <c r="K89" s="1">
        <v>69</v>
      </c>
      <c r="L89" s="1">
        <v>373</v>
      </c>
      <c r="M89" s="1" t="s">
        <v>1055</v>
      </c>
      <c r="N89" s="1">
        <v>16</v>
      </c>
      <c r="O89" s="3" t="s">
        <v>1056</v>
      </c>
      <c r="P89" s="1">
        <v>2</v>
      </c>
      <c r="R89" s="1">
        <v>0</v>
      </c>
      <c r="T89" s="1">
        <v>0</v>
      </c>
      <c r="V89" s="1">
        <v>0</v>
      </c>
      <c r="Z89" s="1" t="s">
        <v>1052</v>
      </c>
      <c r="AF89" s="1">
        <v>34153</v>
      </c>
      <c r="AG89" s="1">
        <v>9814</v>
      </c>
      <c r="AH89" s="1">
        <v>9814</v>
      </c>
      <c r="AI89" s="1">
        <v>3.8243489620000002</v>
      </c>
      <c r="AK89" s="1">
        <v>42</v>
      </c>
      <c r="AL89" s="1">
        <v>19</v>
      </c>
      <c r="AM89" s="1">
        <v>2.2105263157894699</v>
      </c>
      <c r="AN89" s="1">
        <v>100</v>
      </c>
      <c r="AO89" s="1" t="s">
        <v>306</v>
      </c>
      <c r="AP89" s="1">
        <v>0.89440542459487904</v>
      </c>
      <c r="AQ89" s="1">
        <v>0</v>
      </c>
      <c r="AR89" s="1">
        <v>4</v>
      </c>
      <c r="AT89" s="1">
        <v>5</v>
      </c>
      <c r="AU89" s="1">
        <v>1</v>
      </c>
      <c r="AV89" s="1">
        <v>0</v>
      </c>
      <c r="AW89" s="1">
        <v>0.61</v>
      </c>
      <c r="AX89" s="1">
        <v>17</v>
      </c>
      <c r="AY89" s="1">
        <v>11</v>
      </c>
      <c r="AZ89" s="1">
        <v>0</v>
      </c>
      <c r="BA89" s="1">
        <v>2</v>
      </c>
      <c r="BB89" s="1">
        <v>2</v>
      </c>
      <c r="BC89" s="1">
        <v>0</v>
      </c>
      <c r="BH89" s="1" t="s">
        <v>1057</v>
      </c>
      <c r="BI89" s="1">
        <v>0.01</v>
      </c>
      <c r="BJ89" s="1" t="s">
        <v>567</v>
      </c>
      <c r="BN89" s="1" t="s">
        <v>403</v>
      </c>
      <c r="BO89" s="1" t="s">
        <v>404</v>
      </c>
      <c r="BP89" s="3" t="s">
        <v>1053</v>
      </c>
      <c r="BQ89" s="3" t="s">
        <v>1054</v>
      </c>
      <c r="BR89" s="1" t="s">
        <v>73</v>
      </c>
      <c r="BS89" s="3" t="s">
        <v>405</v>
      </c>
      <c r="BT89" s="1" t="s">
        <v>462</v>
      </c>
      <c r="BU89" s="1" t="s">
        <v>1052</v>
      </c>
      <c r="BV89" s="1" t="s">
        <v>76</v>
      </c>
      <c r="BW89" s="3" t="s">
        <v>1053</v>
      </c>
      <c r="BY89" s="1" t="s">
        <v>1052</v>
      </c>
      <c r="BZ89" s="1" t="s">
        <v>407</v>
      </c>
      <c r="CD89" s="1" t="s">
        <v>408</v>
      </c>
      <c r="CL89" s="1" t="s">
        <v>1052</v>
      </c>
      <c r="CM89" s="1" t="s">
        <v>797</v>
      </c>
    </row>
    <row r="90" spans="1:91">
      <c r="A90" s="1" t="s">
        <v>1058</v>
      </c>
      <c r="B90" s="1" t="s">
        <v>395</v>
      </c>
      <c r="C90" s="1">
        <v>200</v>
      </c>
      <c r="D90" s="1" t="s">
        <v>303</v>
      </c>
      <c r="E90" s="1" t="s">
        <v>80</v>
      </c>
      <c r="G90" s="3" t="s">
        <v>1059</v>
      </c>
      <c r="H90" s="1">
        <v>14</v>
      </c>
      <c r="I90" s="1">
        <v>108</v>
      </c>
      <c r="J90" s="3" t="s">
        <v>1060</v>
      </c>
      <c r="K90" s="1">
        <v>116</v>
      </c>
      <c r="L90" s="1">
        <v>628</v>
      </c>
      <c r="N90" s="1">
        <v>0</v>
      </c>
      <c r="O90" s="3" t="s">
        <v>1061</v>
      </c>
      <c r="P90" s="1">
        <v>22</v>
      </c>
      <c r="R90" s="1">
        <v>0</v>
      </c>
      <c r="S90" s="3" t="s">
        <v>747</v>
      </c>
      <c r="T90" s="1">
        <v>7</v>
      </c>
      <c r="U90" s="3" t="s">
        <v>758</v>
      </c>
      <c r="V90" s="1">
        <v>2</v>
      </c>
      <c r="Z90" s="1" t="s">
        <v>1058</v>
      </c>
      <c r="AF90" s="1">
        <v>96257</v>
      </c>
      <c r="AG90" s="1">
        <v>19319</v>
      </c>
      <c r="AH90" s="1">
        <v>19319</v>
      </c>
      <c r="AI90" s="1">
        <v>7.5282858770000001</v>
      </c>
      <c r="AK90" s="1">
        <v>353</v>
      </c>
      <c r="AL90" s="1">
        <v>103</v>
      </c>
      <c r="AM90" s="1">
        <v>3.42718446601942</v>
      </c>
      <c r="AN90" s="1">
        <v>100</v>
      </c>
      <c r="AO90" s="1" t="s">
        <v>306</v>
      </c>
      <c r="AP90" s="1">
        <v>2.2308642864227299</v>
      </c>
      <c r="AQ90" s="1">
        <v>0</v>
      </c>
      <c r="AR90" s="1">
        <v>3</v>
      </c>
      <c r="AT90" s="1">
        <v>7</v>
      </c>
      <c r="AU90" s="1">
        <v>1</v>
      </c>
      <c r="AV90" s="1">
        <v>0</v>
      </c>
      <c r="AW90" s="1">
        <v>0.61</v>
      </c>
      <c r="AX90" s="1">
        <v>21</v>
      </c>
      <c r="AY90" s="1">
        <v>12</v>
      </c>
      <c r="AZ90" s="1">
        <v>0</v>
      </c>
      <c r="BA90" s="1">
        <v>2</v>
      </c>
      <c r="BB90" s="1">
        <v>2</v>
      </c>
      <c r="BC90" s="1">
        <v>0</v>
      </c>
      <c r="BH90" s="1" t="s">
        <v>1062</v>
      </c>
      <c r="BI90" s="1">
        <v>6.0000000000000001E-3</v>
      </c>
      <c r="BJ90" s="1" t="s">
        <v>769</v>
      </c>
      <c r="BN90" s="1" t="s">
        <v>403</v>
      </c>
      <c r="BO90" s="1" t="s">
        <v>404</v>
      </c>
      <c r="BP90" s="3" t="s">
        <v>1059</v>
      </c>
      <c r="BQ90" s="3" t="s">
        <v>1060</v>
      </c>
      <c r="BR90" s="1" t="s">
        <v>73</v>
      </c>
      <c r="BS90" s="3" t="s">
        <v>405</v>
      </c>
      <c r="BT90" s="1" t="s">
        <v>1063</v>
      </c>
      <c r="BU90" s="1" t="s">
        <v>1058</v>
      </c>
      <c r="BV90" s="1" t="s">
        <v>76</v>
      </c>
      <c r="BW90" s="3" t="s">
        <v>1059</v>
      </c>
      <c r="BY90" s="1" t="s">
        <v>1058</v>
      </c>
      <c r="BZ90" s="1" t="s">
        <v>407</v>
      </c>
      <c r="CA90" s="1" t="s">
        <v>407</v>
      </c>
      <c r="CD90" s="1" t="s">
        <v>408</v>
      </c>
      <c r="CE90" s="1" t="s">
        <v>752</v>
      </c>
      <c r="CL90" s="1" t="s">
        <v>1058</v>
      </c>
      <c r="CM90" s="1" t="s">
        <v>1064</v>
      </c>
    </row>
    <row r="91" spans="1:91">
      <c r="A91" s="1" t="s">
        <v>1065</v>
      </c>
      <c r="B91" s="1" t="s">
        <v>395</v>
      </c>
      <c r="C91" s="1">
        <v>200</v>
      </c>
      <c r="D91" s="1" t="s">
        <v>303</v>
      </c>
      <c r="E91" s="1" t="s">
        <v>80</v>
      </c>
      <c r="G91" s="3" t="s">
        <v>1066</v>
      </c>
      <c r="H91" s="1">
        <v>9</v>
      </c>
      <c r="I91" s="1">
        <v>69</v>
      </c>
      <c r="J91" s="3" t="s">
        <v>1067</v>
      </c>
      <c r="K91" s="1">
        <v>79</v>
      </c>
      <c r="L91" s="1">
        <v>425</v>
      </c>
      <c r="M91" s="3" t="s">
        <v>1068</v>
      </c>
      <c r="N91" s="1">
        <v>15</v>
      </c>
      <c r="O91" s="3" t="s">
        <v>1069</v>
      </c>
      <c r="P91" s="1">
        <v>29</v>
      </c>
      <c r="R91" s="1">
        <v>0</v>
      </c>
      <c r="S91" s="3" t="s">
        <v>747</v>
      </c>
      <c r="T91" s="1">
        <v>7</v>
      </c>
      <c r="U91" s="3" t="s">
        <v>758</v>
      </c>
      <c r="V91" s="1">
        <v>2</v>
      </c>
      <c r="Z91" s="1" t="s">
        <v>1065</v>
      </c>
      <c r="AF91" s="1">
        <v>88998</v>
      </c>
      <c r="AG91" s="1">
        <v>18859</v>
      </c>
      <c r="AH91" s="1">
        <v>18859</v>
      </c>
      <c r="AI91" s="1">
        <v>7.349031697</v>
      </c>
      <c r="AK91" s="1">
        <v>396</v>
      </c>
      <c r="AL91" s="1">
        <v>107</v>
      </c>
      <c r="AM91" s="1">
        <v>3.7009345794392501</v>
      </c>
      <c r="AN91" s="1">
        <v>100</v>
      </c>
      <c r="AO91" s="1" t="s">
        <v>306</v>
      </c>
      <c r="AP91" s="1">
        <v>2.4643919467925999</v>
      </c>
      <c r="AQ91" s="1">
        <v>0</v>
      </c>
      <c r="AR91" s="1">
        <v>3</v>
      </c>
      <c r="AT91" s="1">
        <v>8</v>
      </c>
      <c r="AU91" s="1">
        <v>2</v>
      </c>
      <c r="AV91" s="1">
        <v>0</v>
      </c>
      <c r="AW91" s="1">
        <v>1.21</v>
      </c>
      <c r="AX91" s="1">
        <v>23</v>
      </c>
      <c r="AY91" s="1">
        <v>14</v>
      </c>
      <c r="AZ91" s="1">
        <v>0</v>
      </c>
      <c r="BA91" s="1">
        <v>2</v>
      </c>
      <c r="BB91" s="1">
        <v>2</v>
      </c>
      <c r="BC91" s="1">
        <v>0</v>
      </c>
      <c r="BH91" s="1" t="s">
        <v>1070</v>
      </c>
      <c r="BI91" s="1">
        <v>6.0000000000000001E-3</v>
      </c>
      <c r="BJ91" s="1" t="s">
        <v>760</v>
      </c>
      <c r="BN91" s="1" t="s">
        <v>403</v>
      </c>
      <c r="BO91" s="1" t="s">
        <v>404</v>
      </c>
      <c r="BP91" s="3" t="s">
        <v>1066</v>
      </c>
      <c r="BQ91" s="3" t="s">
        <v>1067</v>
      </c>
      <c r="BR91" s="1" t="s">
        <v>73</v>
      </c>
      <c r="BS91" s="3" t="s">
        <v>405</v>
      </c>
      <c r="BT91" s="1" t="s">
        <v>1071</v>
      </c>
      <c r="BU91" s="1" t="s">
        <v>1065</v>
      </c>
      <c r="BV91" s="1" t="s">
        <v>76</v>
      </c>
      <c r="BW91" s="3" t="s">
        <v>1066</v>
      </c>
      <c r="BY91" s="1" t="s">
        <v>1065</v>
      </c>
      <c r="BZ91" s="1" t="s">
        <v>407</v>
      </c>
      <c r="CA91" s="1" t="s">
        <v>407</v>
      </c>
      <c r="CB91" s="1" t="s">
        <v>407</v>
      </c>
      <c r="CD91" s="1" t="s">
        <v>408</v>
      </c>
      <c r="CE91" s="1" t="s">
        <v>752</v>
      </c>
      <c r="CF91" s="1" t="s">
        <v>762</v>
      </c>
      <c r="CL91" s="1" t="s">
        <v>1065</v>
      </c>
      <c r="CM91" s="1" t="s">
        <v>1072</v>
      </c>
    </row>
    <row r="92" spans="1:91">
      <c r="A92" s="1" t="s">
        <v>1073</v>
      </c>
      <c r="B92" s="1" t="s">
        <v>395</v>
      </c>
      <c r="C92" s="1">
        <v>200</v>
      </c>
      <c r="D92" s="1" t="s">
        <v>303</v>
      </c>
      <c r="E92" s="1" t="s">
        <v>80</v>
      </c>
      <c r="G92" s="3" t="s">
        <v>1074</v>
      </c>
      <c r="H92" s="1">
        <v>12</v>
      </c>
      <c r="I92" s="1">
        <v>92</v>
      </c>
      <c r="J92" s="3" t="s">
        <v>1075</v>
      </c>
      <c r="K92" s="1">
        <v>79</v>
      </c>
      <c r="L92" s="1">
        <v>413</v>
      </c>
      <c r="M92" s="3" t="s">
        <v>1076</v>
      </c>
      <c r="N92" s="1">
        <v>59</v>
      </c>
      <c r="O92" s="3" t="s">
        <v>1077</v>
      </c>
      <c r="P92" s="1">
        <v>25</v>
      </c>
      <c r="R92" s="1">
        <v>0</v>
      </c>
      <c r="S92" s="3" t="s">
        <v>747</v>
      </c>
      <c r="T92" s="1">
        <v>7</v>
      </c>
      <c r="U92" s="3" t="s">
        <v>758</v>
      </c>
      <c r="V92" s="1">
        <v>2</v>
      </c>
      <c r="Z92" s="1" t="s">
        <v>1073</v>
      </c>
      <c r="AF92" s="1">
        <v>140268</v>
      </c>
      <c r="AG92" s="1">
        <v>23139</v>
      </c>
      <c r="AH92" s="1">
        <v>23139</v>
      </c>
      <c r="AI92" s="1">
        <v>9.0168749370000008</v>
      </c>
      <c r="AK92" s="1">
        <v>1196</v>
      </c>
      <c r="AL92" s="1">
        <v>288</v>
      </c>
      <c r="AM92" s="1">
        <v>4.1527777777777803</v>
      </c>
      <c r="AN92" s="1">
        <v>100</v>
      </c>
      <c r="AO92" s="1" t="s">
        <v>306</v>
      </c>
      <c r="AP92" s="1">
        <v>7.5579090118408203</v>
      </c>
      <c r="AQ92" s="1">
        <v>0</v>
      </c>
      <c r="AR92" s="1">
        <v>3</v>
      </c>
      <c r="AT92" s="1">
        <v>21</v>
      </c>
      <c r="AU92" s="1">
        <v>7</v>
      </c>
      <c r="AV92" s="1">
        <v>0</v>
      </c>
      <c r="AW92" s="1">
        <v>4.24</v>
      </c>
      <c r="AX92" s="1">
        <v>31</v>
      </c>
      <c r="AY92" s="1">
        <v>14</v>
      </c>
      <c r="AZ92" s="1">
        <v>0</v>
      </c>
      <c r="BA92" s="1">
        <v>2</v>
      </c>
      <c r="BB92" s="1">
        <v>2</v>
      </c>
      <c r="BC92" s="1">
        <v>0</v>
      </c>
      <c r="BH92" s="1" t="s">
        <v>1078</v>
      </c>
      <c r="BI92" s="1">
        <v>6.0000000000000001E-3</v>
      </c>
      <c r="BJ92" s="1" t="s">
        <v>1079</v>
      </c>
      <c r="BN92" s="1" t="s">
        <v>403</v>
      </c>
      <c r="BO92" s="1" t="s">
        <v>404</v>
      </c>
      <c r="BP92" s="3" t="s">
        <v>1074</v>
      </c>
      <c r="BQ92" s="3" t="s">
        <v>1075</v>
      </c>
      <c r="BR92" s="1" t="s">
        <v>73</v>
      </c>
      <c r="BS92" s="3" t="s">
        <v>405</v>
      </c>
      <c r="BT92" s="1" t="s">
        <v>1080</v>
      </c>
      <c r="BU92" s="1" t="s">
        <v>1073</v>
      </c>
      <c r="BV92" s="1" t="s">
        <v>76</v>
      </c>
      <c r="BW92" s="3" t="s">
        <v>1074</v>
      </c>
      <c r="BY92" s="1" t="s">
        <v>1073</v>
      </c>
      <c r="BZ92" s="1" t="s">
        <v>407</v>
      </c>
      <c r="CA92" s="1" t="s">
        <v>407</v>
      </c>
      <c r="CD92" s="1" t="s">
        <v>408</v>
      </c>
      <c r="CE92" s="1" t="s">
        <v>752</v>
      </c>
      <c r="CL92" s="1" t="s">
        <v>1073</v>
      </c>
      <c r="CM92" s="1" t="s">
        <v>577</v>
      </c>
    </row>
    <row r="93" spans="1:91">
      <c r="A93" s="1" t="s">
        <v>1081</v>
      </c>
      <c r="B93" s="1" t="s">
        <v>395</v>
      </c>
      <c r="C93" s="1">
        <v>200</v>
      </c>
      <c r="D93" s="1" t="s">
        <v>303</v>
      </c>
      <c r="E93" s="1" t="s">
        <v>80</v>
      </c>
      <c r="G93" s="3" t="s">
        <v>1082</v>
      </c>
      <c r="H93" s="1">
        <v>16</v>
      </c>
      <c r="I93" s="1">
        <v>124</v>
      </c>
      <c r="J93" s="3" t="s">
        <v>1083</v>
      </c>
      <c r="K93" s="1">
        <v>85</v>
      </c>
      <c r="L93" s="1">
        <v>446</v>
      </c>
      <c r="M93" s="3" t="s">
        <v>1084</v>
      </c>
      <c r="N93" s="1">
        <v>67</v>
      </c>
      <c r="O93" s="3" t="s">
        <v>1085</v>
      </c>
      <c r="P93" s="1">
        <v>34</v>
      </c>
      <c r="R93" s="1">
        <v>0</v>
      </c>
      <c r="S93" s="3" t="s">
        <v>747</v>
      </c>
      <c r="T93" s="1">
        <v>7</v>
      </c>
      <c r="U93" s="3" t="s">
        <v>758</v>
      </c>
      <c r="V93" s="1">
        <v>2</v>
      </c>
      <c r="Z93" s="1" t="s">
        <v>1081</v>
      </c>
      <c r="AF93" s="1">
        <v>134814</v>
      </c>
      <c r="AG93" s="1">
        <v>22769</v>
      </c>
      <c r="AH93" s="1">
        <v>22769</v>
      </c>
      <c r="AI93" s="1">
        <v>8.8726922269999999</v>
      </c>
      <c r="AK93" s="1">
        <v>1106</v>
      </c>
      <c r="AL93" s="1">
        <v>266</v>
      </c>
      <c r="AM93" s="1">
        <v>4.1578947368421098</v>
      </c>
      <c r="AN93" s="1">
        <v>100</v>
      </c>
      <c r="AO93" s="1" t="s">
        <v>306</v>
      </c>
      <c r="AP93" s="1">
        <v>6.6868314743042001</v>
      </c>
      <c r="AQ93" s="1">
        <v>0</v>
      </c>
      <c r="AR93" s="1">
        <v>3</v>
      </c>
      <c r="AT93" s="1">
        <v>17</v>
      </c>
      <c r="AU93" s="1">
        <v>4</v>
      </c>
      <c r="AV93" s="1">
        <v>0</v>
      </c>
      <c r="AW93" s="1">
        <v>2.42</v>
      </c>
      <c r="AX93" s="1">
        <v>30</v>
      </c>
      <c r="AY93" s="1">
        <v>14</v>
      </c>
      <c r="AZ93" s="1">
        <v>0</v>
      </c>
      <c r="BA93" s="1">
        <v>2</v>
      </c>
      <c r="BB93" s="1">
        <v>2</v>
      </c>
      <c r="BC93" s="1">
        <v>0</v>
      </c>
      <c r="BH93" s="1" t="s">
        <v>1086</v>
      </c>
      <c r="BI93" s="1">
        <v>8.9999999999999993E-3</v>
      </c>
      <c r="BJ93" s="1" t="s">
        <v>1079</v>
      </c>
      <c r="BN93" s="1" t="s">
        <v>403</v>
      </c>
      <c r="BO93" s="1" t="s">
        <v>404</v>
      </c>
      <c r="BP93" s="3" t="s">
        <v>1082</v>
      </c>
      <c r="BQ93" s="3" t="s">
        <v>1083</v>
      </c>
      <c r="BR93" s="1" t="s">
        <v>73</v>
      </c>
      <c r="BS93" s="3" t="s">
        <v>405</v>
      </c>
      <c r="BT93" s="1" t="s">
        <v>1087</v>
      </c>
      <c r="BU93" s="1" t="s">
        <v>1081</v>
      </c>
      <c r="BV93" s="1" t="s">
        <v>76</v>
      </c>
      <c r="BW93" s="3" t="s">
        <v>1082</v>
      </c>
      <c r="BY93" s="1" t="s">
        <v>1081</v>
      </c>
      <c r="BZ93" s="1" t="s">
        <v>407</v>
      </c>
      <c r="CA93" s="1" t="s">
        <v>407</v>
      </c>
      <c r="CD93" s="1" t="s">
        <v>408</v>
      </c>
      <c r="CE93" s="1" t="s">
        <v>752</v>
      </c>
      <c r="CL93" s="1" t="s">
        <v>1081</v>
      </c>
      <c r="CM93" s="1" t="s">
        <v>1088</v>
      </c>
    </row>
    <row r="94" spans="1:91">
      <c r="A94" s="1" t="s">
        <v>1089</v>
      </c>
      <c r="B94" s="1" t="s">
        <v>395</v>
      </c>
      <c r="C94" s="1">
        <v>200</v>
      </c>
      <c r="D94" s="1" t="s">
        <v>303</v>
      </c>
      <c r="E94" s="1" t="s">
        <v>80</v>
      </c>
      <c r="G94" s="3" t="s">
        <v>1090</v>
      </c>
      <c r="H94" s="1">
        <v>15</v>
      </c>
      <c r="I94" s="1">
        <v>119</v>
      </c>
      <c r="J94" s="3" t="s">
        <v>1091</v>
      </c>
      <c r="K94" s="1">
        <v>95</v>
      </c>
      <c r="L94" s="1">
        <v>518</v>
      </c>
      <c r="M94" s="3" t="s">
        <v>1092</v>
      </c>
      <c r="N94" s="1">
        <v>55</v>
      </c>
      <c r="O94" s="3" t="s">
        <v>1093</v>
      </c>
      <c r="P94" s="1">
        <v>31</v>
      </c>
      <c r="R94" s="1">
        <v>0</v>
      </c>
      <c r="S94" s="3" t="s">
        <v>941</v>
      </c>
      <c r="T94" s="1">
        <v>11</v>
      </c>
      <c r="U94" s="3" t="s">
        <v>923</v>
      </c>
      <c r="V94" s="1">
        <v>8</v>
      </c>
      <c r="Z94" s="1" t="s">
        <v>1089</v>
      </c>
      <c r="AF94" s="1">
        <v>89581</v>
      </c>
      <c r="AG94" s="1">
        <v>17464</v>
      </c>
      <c r="AH94" s="1">
        <v>17464</v>
      </c>
      <c r="AI94" s="1">
        <v>6.8054239120000002</v>
      </c>
      <c r="AK94" s="1">
        <v>523</v>
      </c>
      <c r="AL94" s="1">
        <v>151</v>
      </c>
      <c r="AM94" s="1">
        <v>3.4635761589404002</v>
      </c>
      <c r="AN94" s="1">
        <v>100</v>
      </c>
      <c r="AO94" s="1" t="s">
        <v>306</v>
      </c>
      <c r="AP94" s="1">
        <v>3.3327286243438698</v>
      </c>
      <c r="AQ94" s="1">
        <v>0</v>
      </c>
      <c r="AR94" s="1">
        <v>3</v>
      </c>
      <c r="AT94" s="1">
        <v>19</v>
      </c>
      <c r="AU94" s="1">
        <v>3</v>
      </c>
      <c r="AV94" s="1">
        <v>0</v>
      </c>
      <c r="AW94" s="1">
        <v>1.82</v>
      </c>
      <c r="AX94" s="1">
        <v>32</v>
      </c>
      <c r="AY94" s="1">
        <v>13</v>
      </c>
      <c r="AZ94" s="1">
        <v>0</v>
      </c>
      <c r="BA94" s="1">
        <v>2</v>
      </c>
      <c r="BB94" s="1">
        <v>2</v>
      </c>
      <c r="BC94" s="1">
        <v>0</v>
      </c>
      <c r="BH94" s="1" t="s">
        <v>1094</v>
      </c>
      <c r="BI94" s="1">
        <v>8.9999999999999993E-3</v>
      </c>
      <c r="BJ94" s="1" t="s">
        <v>943</v>
      </c>
      <c r="BN94" s="1" t="s">
        <v>403</v>
      </c>
      <c r="BO94" s="1" t="s">
        <v>404</v>
      </c>
      <c r="BP94" s="3" t="s">
        <v>1090</v>
      </c>
      <c r="BQ94" s="3" t="s">
        <v>1091</v>
      </c>
      <c r="BR94" s="1" t="s">
        <v>73</v>
      </c>
      <c r="BS94" s="3" t="s">
        <v>405</v>
      </c>
      <c r="BT94" s="1" t="s">
        <v>1095</v>
      </c>
      <c r="BU94" s="1" t="s">
        <v>1089</v>
      </c>
      <c r="BV94" s="1" t="s">
        <v>76</v>
      </c>
      <c r="BW94" s="3" t="s">
        <v>1090</v>
      </c>
      <c r="BY94" s="1" t="s">
        <v>1089</v>
      </c>
      <c r="BZ94" s="1" t="s">
        <v>407</v>
      </c>
      <c r="CA94" s="1" t="s">
        <v>407</v>
      </c>
      <c r="CB94" s="1" t="s">
        <v>407</v>
      </c>
      <c r="CD94" s="1" t="s">
        <v>408</v>
      </c>
      <c r="CE94" s="1" t="s">
        <v>752</v>
      </c>
      <c r="CF94" s="1" t="s">
        <v>762</v>
      </c>
      <c r="CL94" s="1" t="s">
        <v>1089</v>
      </c>
      <c r="CM94" s="1" t="s">
        <v>716</v>
      </c>
    </row>
    <row r="95" spans="1:91">
      <c r="A95" s="1" t="s">
        <v>1096</v>
      </c>
      <c r="B95" s="1" t="s">
        <v>395</v>
      </c>
      <c r="C95" s="1">
        <v>200</v>
      </c>
      <c r="D95" s="1" t="s">
        <v>303</v>
      </c>
      <c r="E95" s="1" t="s">
        <v>80</v>
      </c>
      <c r="G95" s="3" t="s">
        <v>1097</v>
      </c>
      <c r="H95" s="1">
        <v>14</v>
      </c>
      <c r="I95" s="1">
        <v>110</v>
      </c>
      <c r="J95" s="3" t="s">
        <v>1098</v>
      </c>
      <c r="K95" s="1">
        <v>120</v>
      </c>
      <c r="L95" s="1">
        <v>638</v>
      </c>
      <c r="M95" s="3" t="s">
        <v>1099</v>
      </c>
      <c r="N95" s="1">
        <v>56</v>
      </c>
      <c r="O95" s="3" t="s">
        <v>1100</v>
      </c>
      <c r="P95" s="1">
        <v>35</v>
      </c>
      <c r="R95" s="1">
        <v>0</v>
      </c>
      <c r="S95" s="3" t="s">
        <v>747</v>
      </c>
      <c r="T95" s="1">
        <v>7</v>
      </c>
      <c r="U95" s="3" t="s">
        <v>793</v>
      </c>
      <c r="V95" s="1">
        <v>14</v>
      </c>
      <c r="Z95" s="1" t="s">
        <v>1096</v>
      </c>
      <c r="AF95" s="1">
        <v>86627</v>
      </c>
      <c r="AG95" s="1">
        <v>18004</v>
      </c>
      <c r="AH95" s="1">
        <v>18004</v>
      </c>
      <c r="AI95" s="1">
        <v>7.0158527319999999</v>
      </c>
      <c r="AK95" s="1">
        <v>496</v>
      </c>
      <c r="AL95" s="1">
        <v>124</v>
      </c>
      <c r="AM95" s="1">
        <v>4</v>
      </c>
      <c r="AN95" s="1">
        <v>100</v>
      </c>
      <c r="AO95" s="1" t="s">
        <v>306</v>
      </c>
      <c r="AP95" s="1">
        <v>3.3389310836792001</v>
      </c>
      <c r="AQ95" s="1">
        <v>0</v>
      </c>
      <c r="AR95" s="1">
        <v>3</v>
      </c>
      <c r="AT95" s="1">
        <v>9</v>
      </c>
      <c r="AU95" s="1">
        <v>1</v>
      </c>
      <c r="AV95" s="1">
        <v>0</v>
      </c>
      <c r="AW95" s="1">
        <v>0.61</v>
      </c>
      <c r="AX95" s="1">
        <v>25</v>
      </c>
      <c r="AY95" s="1">
        <v>14</v>
      </c>
      <c r="AZ95" s="1">
        <v>0</v>
      </c>
      <c r="BA95" s="1">
        <v>2</v>
      </c>
      <c r="BB95" s="1">
        <v>2</v>
      </c>
      <c r="BC95" s="1">
        <v>0</v>
      </c>
      <c r="BH95" s="1" t="s">
        <v>1101</v>
      </c>
      <c r="BI95" s="1">
        <v>0.158</v>
      </c>
      <c r="BJ95" s="1" t="s">
        <v>813</v>
      </c>
      <c r="BN95" s="1" t="s">
        <v>403</v>
      </c>
      <c r="BO95" s="1" t="s">
        <v>404</v>
      </c>
      <c r="BP95" s="3" t="s">
        <v>1097</v>
      </c>
      <c r="BQ95" s="3" t="s">
        <v>1098</v>
      </c>
      <c r="BR95" s="1" t="s">
        <v>73</v>
      </c>
      <c r="BS95" s="3" t="s">
        <v>405</v>
      </c>
      <c r="BT95" s="1" t="s">
        <v>1102</v>
      </c>
      <c r="BU95" s="1" t="s">
        <v>1096</v>
      </c>
      <c r="BV95" s="1" t="s">
        <v>76</v>
      </c>
      <c r="BW95" s="3" t="s">
        <v>1097</v>
      </c>
      <c r="BY95" s="1" t="s">
        <v>1096</v>
      </c>
      <c r="BZ95" s="1" t="s">
        <v>407</v>
      </c>
      <c r="CA95" s="1" t="s">
        <v>407</v>
      </c>
      <c r="CD95" s="1" t="s">
        <v>408</v>
      </c>
      <c r="CE95" s="1" t="s">
        <v>752</v>
      </c>
      <c r="CL95" s="1" t="s">
        <v>1096</v>
      </c>
      <c r="CM95" s="1" t="s">
        <v>958</v>
      </c>
    </row>
    <row r="96" spans="1:91">
      <c r="A96" s="1" t="s">
        <v>1103</v>
      </c>
      <c r="B96" s="1" t="s">
        <v>395</v>
      </c>
      <c r="C96" s="1">
        <v>200</v>
      </c>
      <c r="D96" s="1" t="s">
        <v>303</v>
      </c>
      <c r="E96" s="1" t="s">
        <v>80</v>
      </c>
      <c r="G96" s="3" t="s">
        <v>1104</v>
      </c>
      <c r="H96" s="1">
        <v>13</v>
      </c>
      <c r="I96" s="1">
        <v>101</v>
      </c>
      <c r="J96" s="3" t="s">
        <v>1105</v>
      </c>
      <c r="K96" s="1">
        <v>82</v>
      </c>
      <c r="L96" s="1">
        <v>439</v>
      </c>
      <c r="M96" s="3" t="s">
        <v>1106</v>
      </c>
      <c r="N96" s="1">
        <v>57</v>
      </c>
      <c r="O96" s="3" t="s">
        <v>1107</v>
      </c>
      <c r="P96" s="1">
        <v>28</v>
      </c>
      <c r="R96" s="1">
        <v>0</v>
      </c>
      <c r="S96" s="3" t="s">
        <v>747</v>
      </c>
      <c r="T96" s="1">
        <v>7</v>
      </c>
      <c r="U96" s="3" t="s">
        <v>758</v>
      </c>
      <c r="V96" s="1">
        <v>2</v>
      </c>
      <c r="Z96" s="1" t="s">
        <v>1103</v>
      </c>
      <c r="AF96" s="1">
        <v>140095</v>
      </c>
      <c r="AG96" s="1">
        <v>23570</v>
      </c>
      <c r="AH96" s="1">
        <v>23570</v>
      </c>
      <c r="AI96" s="1">
        <v>9.1848283100000003</v>
      </c>
      <c r="AK96" s="1">
        <v>785</v>
      </c>
      <c r="AL96" s="1">
        <v>227</v>
      </c>
      <c r="AM96" s="1">
        <v>3.4581497797356802</v>
      </c>
      <c r="AN96" s="1">
        <v>100</v>
      </c>
      <c r="AO96" s="1" t="s">
        <v>306</v>
      </c>
      <c r="AP96" s="1">
        <v>3.9201860427856499</v>
      </c>
      <c r="AQ96" s="1">
        <v>0</v>
      </c>
      <c r="AR96" s="1">
        <v>3</v>
      </c>
      <c r="AT96" s="1">
        <v>19</v>
      </c>
      <c r="AU96" s="1">
        <v>6</v>
      </c>
      <c r="AV96" s="1">
        <v>0</v>
      </c>
      <c r="AW96" s="1">
        <v>3.64</v>
      </c>
      <c r="AX96" s="1">
        <v>29</v>
      </c>
      <c r="AY96" s="1">
        <v>14</v>
      </c>
      <c r="AZ96" s="1">
        <v>0</v>
      </c>
      <c r="BA96" s="1">
        <v>2</v>
      </c>
      <c r="BB96" s="1">
        <v>2</v>
      </c>
      <c r="BC96" s="1">
        <v>0</v>
      </c>
      <c r="BH96" s="1" t="s">
        <v>1108</v>
      </c>
      <c r="BI96" s="1">
        <v>8.0000000000000002E-3</v>
      </c>
      <c r="BJ96" s="1" t="s">
        <v>804</v>
      </c>
      <c r="BN96" s="1" t="s">
        <v>403</v>
      </c>
      <c r="BO96" s="1" t="s">
        <v>404</v>
      </c>
      <c r="BP96" s="3" t="s">
        <v>1104</v>
      </c>
      <c r="BQ96" s="3" t="s">
        <v>1109</v>
      </c>
      <c r="BR96" s="1" t="s">
        <v>73</v>
      </c>
      <c r="BS96" s="3" t="s">
        <v>405</v>
      </c>
      <c r="BT96" s="1" t="s">
        <v>1110</v>
      </c>
      <c r="BU96" s="1" t="s">
        <v>1103</v>
      </c>
      <c r="BV96" s="1" t="s">
        <v>76</v>
      </c>
      <c r="BW96" s="3" t="s">
        <v>1104</v>
      </c>
      <c r="BY96" s="1" t="s">
        <v>1103</v>
      </c>
      <c r="BZ96" s="1" t="s">
        <v>407</v>
      </c>
      <c r="CA96" s="1" t="s">
        <v>407</v>
      </c>
      <c r="CD96" s="1" t="s">
        <v>408</v>
      </c>
      <c r="CE96" s="1" t="s">
        <v>752</v>
      </c>
      <c r="CL96" s="1" t="s">
        <v>1103</v>
      </c>
      <c r="CM96" s="1" t="s">
        <v>1111</v>
      </c>
    </row>
    <row r="97" spans="1:91">
      <c r="A97" s="1" t="s">
        <v>1112</v>
      </c>
      <c r="B97" s="1" t="s">
        <v>395</v>
      </c>
      <c r="C97" s="1">
        <v>200</v>
      </c>
      <c r="D97" s="1" t="s">
        <v>303</v>
      </c>
      <c r="E97" s="1" t="s">
        <v>80</v>
      </c>
      <c r="G97" s="3" t="s">
        <v>1113</v>
      </c>
      <c r="H97" s="1">
        <v>13</v>
      </c>
      <c r="I97" s="1">
        <v>101</v>
      </c>
      <c r="J97" s="3" t="s">
        <v>1114</v>
      </c>
      <c r="K97" s="1">
        <v>97</v>
      </c>
      <c r="L97" s="1">
        <v>527</v>
      </c>
      <c r="M97" s="3" t="s">
        <v>1115</v>
      </c>
      <c r="N97" s="1">
        <v>48</v>
      </c>
      <c r="O97" s="3" t="s">
        <v>1116</v>
      </c>
      <c r="P97" s="1">
        <v>25</v>
      </c>
      <c r="R97" s="1">
        <v>0</v>
      </c>
      <c r="S97" s="3" t="s">
        <v>941</v>
      </c>
      <c r="T97" s="1">
        <v>11</v>
      </c>
      <c r="U97" s="3" t="s">
        <v>747</v>
      </c>
      <c r="V97" s="1">
        <v>7</v>
      </c>
      <c r="Z97" s="1" t="s">
        <v>1112</v>
      </c>
      <c r="AF97" s="1">
        <v>75381</v>
      </c>
      <c r="AG97" s="1">
        <v>15912</v>
      </c>
      <c r="AH97" s="1">
        <v>15912</v>
      </c>
      <c r="AI97" s="1">
        <v>6.2006358959999996</v>
      </c>
      <c r="AK97" s="1">
        <v>402</v>
      </c>
      <c r="AL97" s="1">
        <v>111</v>
      </c>
      <c r="AM97" s="1">
        <v>3.6216216216216202</v>
      </c>
      <c r="AN97" s="1">
        <v>100</v>
      </c>
      <c r="AO97" s="1" t="s">
        <v>306</v>
      </c>
      <c r="AP97" s="1">
        <v>2.9481980800628702</v>
      </c>
      <c r="AQ97" s="1">
        <v>0</v>
      </c>
      <c r="AR97" s="1">
        <v>3</v>
      </c>
      <c r="AT97" s="1">
        <v>12</v>
      </c>
      <c r="AU97" s="1">
        <v>3</v>
      </c>
      <c r="AV97" s="1">
        <v>0</v>
      </c>
      <c r="AW97" s="1">
        <v>1.82</v>
      </c>
      <c r="AX97" s="1">
        <v>25</v>
      </c>
      <c r="AY97" s="1">
        <v>13</v>
      </c>
      <c r="AZ97" s="1">
        <v>0</v>
      </c>
      <c r="BA97" s="1">
        <v>2</v>
      </c>
      <c r="BB97" s="1">
        <v>2</v>
      </c>
      <c r="BC97" s="1">
        <v>0</v>
      </c>
      <c r="BH97" s="1" t="s">
        <v>1117</v>
      </c>
      <c r="BI97" s="1">
        <v>7.0000000000000001E-3</v>
      </c>
      <c r="BJ97" s="1" t="s">
        <v>943</v>
      </c>
      <c r="BN97" s="1" t="s">
        <v>403</v>
      </c>
      <c r="BO97" s="1" t="s">
        <v>404</v>
      </c>
      <c r="BP97" s="3" t="s">
        <v>1113</v>
      </c>
      <c r="BQ97" s="3" t="s">
        <v>1114</v>
      </c>
      <c r="BR97" s="1" t="s">
        <v>73</v>
      </c>
      <c r="BS97" s="3" t="s">
        <v>405</v>
      </c>
      <c r="BT97" s="1" t="s">
        <v>1118</v>
      </c>
      <c r="BU97" s="1" t="s">
        <v>1112</v>
      </c>
      <c r="BV97" s="1" t="s">
        <v>76</v>
      </c>
      <c r="BW97" s="3" t="s">
        <v>1113</v>
      </c>
      <c r="BY97" s="1" t="s">
        <v>1112</v>
      </c>
      <c r="BZ97" s="1" t="s">
        <v>407</v>
      </c>
      <c r="CA97" s="1" t="s">
        <v>407</v>
      </c>
      <c r="CD97" s="1" t="s">
        <v>408</v>
      </c>
      <c r="CE97" s="1" t="s">
        <v>752</v>
      </c>
      <c r="CL97" s="1" t="s">
        <v>1112</v>
      </c>
      <c r="CM97" s="1" t="s">
        <v>480</v>
      </c>
    </row>
    <row r="98" spans="1:91">
      <c r="A98" s="1" t="s">
        <v>1119</v>
      </c>
      <c r="B98" s="1" t="s">
        <v>395</v>
      </c>
      <c r="C98" s="1">
        <v>200</v>
      </c>
      <c r="D98" s="1" t="s">
        <v>303</v>
      </c>
      <c r="E98" s="1" t="s">
        <v>80</v>
      </c>
      <c r="G98" s="3" t="s">
        <v>1120</v>
      </c>
      <c r="H98" s="1">
        <v>15</v>
      </c>
      <c r="I98" s="1">
        <v>119</v>
      </c>
      <c r="J98" s="3" t="s">
        <v>1121</v>
      </c>
      <c r="K98" s="1">
        <v>124</v>
      </c>
      <c r="L98" s="1">
        <v>668</v>
      </c>
      <c r="M98" s="3" t="s">
        <v>1122</v>
      </c>
      <c r="N98" s="1">
        <v>54</v>
      </c>
      <c r="O98" s="3" t="s">
        <v>1123</v>
      </c>
      <c r="P98" s="1">
        <v>38</v>
      </c>
      <c r="R98" s="1">
        <v>0</v>
      </c>
      <c r="S98" s="3" t="s">
        <v>747</v>
      </c>
      <c r="T98" s="1">
        <v>7</v>
      </c>
      <c r="U98" s="3" t="s">
        <v>793</v>
      </c>
      <c r="V98" s="1">
        <v>14</v>
      </c>
      <c r="Z98" s="1" t="s">
        <v>1119</v>
      </c>
      <c r="AF98" s="1">
        <v>87801</v>
      </c>
      <c r="AG98" s="1">
        <v>17672</v>
      </c>
      <c r="AH98" s="1">
        <v>17672</v>
      </c>
      <c r="AI98" s="1">
        <v>6.8864779760000001</v>
      </c>
      <c r="AK98" s="1">
        <v>445</v>
      </c>
      <c r="AL98" s="1">
        <v>113</v>
      </c>
      <c r="AM98" s="1">
        <v>3.9380530973451302</v>
      </c>
      <c r="AN98" s="1">
        <v>100</v>
      </c>
      <c r="AO98" s="1" t="s">
        <v>306</v>
      </c>
      <c r="AP98" s="1">
        <v>2.8404555320739799</v>
      </c>
      <c r="AQ98" s="1">
        <v>0</v>
      </c>
      <c r="AR98" s="1">
        <v>3</v>
      </c>
      <c r="AT98" s="1">
        <v>11</v>
      </c>
      <c r="AU98" s="1">
        <v>2</v>
      </c>
      <c r="AV98" s="1">
        <v>0</v>
      </c>
      <c r="AW98" s="1">
        <v>1.21</v>
      </c>
      <c r="AX98" s="1">
        <v>25</v>
      </c>
      <c r="AY98" s="1">
        <v>14</v>
      </c>
      <c r="AZ98" s="1">
        <v>0</v>
      </c>
      <c r="BA98" s="1">
        <v>2</v>
      </c>
      <c r="BB98" s="1">
        <v>2</v>
      </c>
      <c r="BC98" s="1">
        <v>0</v>
      </c>
      <c r="BH98" s="1" t="s">
        <v>1124</v>
      </c>
      <c r="BI98" s="1">
        <v>8.9999999999999993E-3</v>
      </c>
      <c r="BJ98" s="1" t="s">
        <v>813</v>
      </c>
      <c r="BN98" s="1" t="s">
        <v>403</v>
      </c>
      <c r="BO98" s="1" t="s">
        <v>404</v>
      </c>
      <c r="BP98" s="3" t="s">
        <v>1120</v>
      </c>
      <c r="BQ98" s="3" t="s">
        <v>1121</v>
      </c>
      <c r="BR98" s="1" t="s">
        <v>73</v>
      </c>
      <c r="BS98" s="3" t="s">
        <v>405</v>
      </c>
      <c r="BT98" s="1" t="s">
        <v>1125</v>
      </c>
      <c r="BU98" s="1" t="s">
        <v>1119</v>
      </c>
      <c r="BV98" s="1" t="s">
        <v>76</v>
      </c>
      <c r="BW98" s="3" t="s">
        <v>1120</v>
      </c>
      <c r="BY98" s="1" t="s">
        <v>1119</v>
      </c>
      <c r="BZ98" s="1" t="s">
        <v>407</v>
      </c>
      <c r="CA98" s="1" t="s">
        <v>407</v>
      </c>
      <c r="CD98" s="1" t="s">
        <v>408</v>
      </c>
      <c r="CE98" s="1" t="s">
        <v>752</v>
      </c>
      <c r="CL98" s="1" t="s">
        <v>1119</v>
      </c>
      <c r="CM98" s="1" t="s">
        <v>1126</v>
      </c>
    </row>
    <row r="99" spans="1:91">
      <c r="A99" s="1" t="s">
        <v>1127</v>
      </c>
      <c r="B99" s="1" t="s">
        <v>395</v>
      </c>
      <c r="C99" s="1">
        <v>200</v>
      </c>
      <c r="D99" s="1" t="s">
        <v>303</v>
      </c>
      <c r="E99" s="1" t="s">
        <v>80</v>
      </c>
      <c r="G99" s="3" t="s">
        <v>1128</v>
      </c>
      <c r="H99" s="1">
        <v>16</v>
      </c>
      <c r="I99" s="1">
        <v>124</v>
      </c>
      <c r="J99" s="3" t="s">
        <v>1129</v>
      </c>
      <c r="K99" s="1">
        <v>95</v>
      </c>
      <c r="L99" s="1">
        <v>518</v>
      </c>
      <c r="M99" s="3" t="s">
        <v>1130</v>
      </c>
      <c r="N99" s="1">
        <v>70</v>
      </c>
      <c r="O99" s="3" t="s">
        <v>1131</v>
      </c>
      <c r="P99" s="1">
        <v>45</v>
      </c>
      <c r="R99" s="1">
        <v>0</v>
      </c>
      <c r="S99" s="3" t="s">
        <v>747</v>
      </c>
      <c r="T99" s="1">
        <v>7</v>
      </c>
      <c r="U99" s="3" t="s">
        <v>793</v>
      </c>
      <c r="V99" s="1">
        <v>14</v>
      </c>
      <c r="Z99" s="1" t="s">
        <v>1127</v>
      </c>
      <c r="AF99" s="1">
        <v>156155</v>
      </c>
      <c r="AG99" s="1">
        <v>24110</v>
      </c>
      <c r="AH99" s="1">
        <v>24110</v>
      </c>
      <c r="AI99" s="1">
        <v>9.3952571299999992</v>
      </c>
      <c r="AK99" s="1">
        <v>999</v>
      </c>
      <c r="AL99" s="1">
        <v>266</v>
      </c>
      <c r="AM99" s="1">
        <v>3.7556390977443601</v>
      </c>
      <c r="AN99" s="1">
        <v>100</v>
      </c>
      <c r="AO99" s="1" t="s">
        <v>306</v>
      </c>
      <c r="AP99" s="1">
        <v>4.3996715545654297</v>
      </c>
      <c r="AQ99" s="1">
        <v>0</v>
      </c>
      <c r="AR99" s="1">
        <v>3</v>
      </c>
      <c r="AT99" s="1">
        <v>13</v>
      </c>
      <c r="AU99" s="1">
        <v>2</v>
      </c>
      <c r="AV99" s="1">
        <v>0</v>
      </c>
      <c r="AW99" s="1">
        <v>1.21</v>
      </c>
      <c r="AX99" s="1">
        <v>28</v>
      </c>
      <c r="AY99" s="1">
        <v>14</v>
      </c>
      <c r="AZ99" s="1">
        <v>0</v>
      </c>
      <c r="BA99" s="1">
        <v>2</v>
      </c>
      <c r="BB99" s="1">
        <v>2</v>
      </c>
      <c r="BC99" s="1">
        <v>0</v>
      </c>
      <c r="BH99" s="1" t="s">
        <v>1132</v>
      </c>
      <c r="BI99" s="1">
        <v>7.0000000000000001E-3</v>
      </c>
      <c r="BJ99" s="1" t="s">
        <v>750</v>
      </c>
      <c r="BN99" s="1" t="s">
        <v>403</v>
      </c>
      <c r="BO99" s="1" t="s">
        <v>404</v>
      </c>
      <c r="BP99" s="3" t="s">
        <v>1128</v>
      </c>
      <c r="BQ99" s="3" t="s">
        <v>1133</v>
      </c>
      <c r="BR99" s="1" t="s">
        <v>73</v>
      </c>
      <c r="BS99" s="3" t="s">
        <v>405</v>
      </c>
      <c r="BT99" s="1" t="s">
        <v>1134</v>
      </c>
      <c r="BU99" s="1" t="s">
        <v>1127</v>
      </c>
      <c r="BV99" s="1" t="s">
        <v>76</v>
      </c>
      <c r="BW99" s="3" t="s">
        <v>1128</v>
      </c>
      <c r="BY99" s="1" t="s">
        <v>1127</v>
      </c>
      <c r="BZ99" s="1" t="s">
        <v>407</v>
      </c>
      <c r="CA99" s="1" t="s">
        <v>407</v>
      </c>
      <c r="CD99" s="1" t="s">
        <v>408</v>
      </c>
      <c r="CE99" s="1" t="s">
        <v>752</v>
      </c>
      <c r="CL99" s="1" t="s">
        <v>1127</v>
      </c>
      <c r="CM99" s="1" t="s">
        <v>1135</v>
      </c>
    </row>
    <row r="100" spans="1:91">
      <c r="A100" s="1" t="s">
        <v>1136</v>
      </c>
      <c r="B100" s="1" t="s">
        <v>395</v>
      </c>
      <c r="C100" s="1">
        <v>200</v>
      </c>
      <c r="D100" s="1" t="s">
        <v>303</v>
      </c>
      <c r="E100" s="1" t="s">
        <v>80</v>
      </c>
      <c r="G100" s="3" t="s">
        <v>1137</v>
      </c>
      <c r="H100" s="1">
        <v>27</v>
      </c>
      <c r="I100" s="1">
        <v>243</v>
      </c>
      <c r="J100" s="3" t="s">
        <v>1138</v>
      </c>
      <c r="K100" s="1">
        <v>111</v>
      </c>
      <c r="L100" s="1">
        <v>620</v>
      </c>
      <c r="M100" s="3" t="s">
        <v>1139</v>
      </c>
      <c r="N100" s="1">
        <v>56</v>
      </c>
      <c r="O100" s="3" t="s">
        <v>1140</v>
      </c>
      <c r="P100" s="1">
        <v>42</v>
      </c>
      <c r="R100" s="1">
        <v>0</v>
      </c>
      <c r="S100" s="3" t="s">
        <v>923</v>
      </c>
      <c r="T100" s="1">
        <v>8</v>
      </c>
      <c r="U100" s="3" t="s">
        <v>747</v>
      </c>
      <c r="V100" s="1">
        <v>7</v>
      </c>
      <c r="Z100" s="1" t="s">
        <v>1136</v>
      </c>
      <c r="AF100" s="1">
        <v>84744</v>
      </c>
      <c r="AG100" s="1">
        <v>17270</v>
      </c>
      <c r="AH100" s="1">
        <v>17270</v>
      </c>
      <c r="AI100" s="1">
        <v>6.7298254100000001</v>
      </c>
      <c r="AK100" s="1">
        <v>679</v>
      </c>
      <c r="AL100" s="1">
        <v>198</v>
      </c>
      <c r="AM100" s="1">
        <v>3.4292929292929299</v>
      </c>
      <c r="AN100" s="1">
        <v>100</v>
      </c>
      <c r="AO100" s="1" t="s">
        <v>306</v>
      </c>
      <c r="AP100" s="1">
        <v>5.2339134216308603</v>
      </c>
      <c r="AQ100" s="1">
        <v>0</v>
      </c>
      <c r="AR100" s="1">
        <v>3</v>
      </c>
      <c r="AT100" s="1">
        <v>13</v>
      </c>
      <c r="AU100" s="1">
        <v>5</v>
      </c>
      <c r="AV100" s="1">
        <v>0</v>
      </c>
      <c r="AW100" s="1">
        <v>3.03</v>
      </c>
      <c r="AX100" s="1">
        <v>24</v>
      </c>
      <c r="AY100" s="1">
        <v>13</v>
      </c>
      <c r="AZ100" s="1">
        <v>0</v>
      </c>
      <c r="BA100" s="1">
        <v>2</v>
      </c>
      <c r="BB100" s="1">
        <v>2</v>
      </c>
      <c r="BC100" s="1">
        <v>0</v>
      </c>
      <c r="BH100" s="1" t="s">
        <v>1141</v>
      </c>
      <c r="BI100" s="1">
        <v>7.0000000000000001E-3</v>
      </c>
      <c r="BJ100" s="1" t="s">
        <v>769</v>
      </c>
      <c r="BN100" s="1" t="s">
        <v>403</v>
      </c>
      <c r="BO100" s="1" t="s">
        <v>404</v>
      </c>
      <c r="BP100" s="3" t="s">
        <v>1137</v>
      </c>
      <c r="BQ100" s="3" t="s">
        <v>1142</v>
      </c>
      <c r="BR100" s="1" t="s">
        <v>73</v>
      </c>
      <c r="BS100" s="3" t="s">
        <v>405</v>
      </c>
      <c r="BT100" s="1" t="s">
        <v>1143</v>
      </c>
      <c r="BU100" s="1" t="s">
        <v>1136</v>
      </c>
      <c r="BV100" s="1" t="s">
        <v>76</v>
      </c>
      <c r="BW100" s="3" t="s">
        <v>1137</v>
      </c>
      <c r="BY100" s="1" t="s">
        <v>1136</v>
      </c>
      <c r="BZ100" s="1" t="s">
        <v>407</v>
      </c>
      <c r="CA100" s="1" t="s">
        <v>407</v>
      </c>
      <c r="CD100" s="1" t="s">
        <v>408</v>
      </c>
      <c r="CE100" s="1" t="s">
        <v>752</v>
      </c>
      <c r="CL100" s="1" t="s">
        <v>1136</v>
      </c>
      <c r="CM100" s="1" t="s">
        <v>1144</v>
      </c>
    </row>
    <row r="101" spans="1:91">
      <c r="A101" s="1" t="s">
        <v>1145</v>
      </c>
      <c r="B101" s="1" t="s">
        <v>395</v>
      </c>
      <c r="C101" s="1">
        <v>200</v>
      </c>
      <c r="D101" s="1" t="s">
        <v>303</v>
      </c>
      <c r="E101" s="1" t="s">
        <v>80</v>
      </c>
      <c r="G101" s="3" t="s">
        <v>1146</v>
      </c>
      <c r="H101" s="1">
        <v>17</v>
      </c>
      <c r="I101" s="1">
        <v>133</v>
      </c>
      <c r="J101" s="3" t="s">
        <v>1147</v>
      </c>
      <c r="K101" s="1">
        <v>102</v>
      </c>
      <c r="L101" s="1">
        <v>548</v>
      </c>
      <c r="M101" s="3" t="s">
        <v>1148</v>
      </c>
      <c r="N101" s="1">
        <v>65</v>
      </c>
      <c r="O101" s="3" t="s">
        <v>1149</v>
      </c>
      <c r="P101" s="1">
        <v>45</v>
      </c>
      <c r="R101" s="1">
        <v>0</v>
      </c>
      <c r="S101" s="3" t="s">
        <v>747</v>
      </c>
      <c r="T101" s="1">
        <v>7</v>
      </c>
      <c r="U101" s="3" t="s">
        <v>793</v>
      </c>
      <c r="V101" s="1">
        <v>14</v>
      </c>
      <c r="Z101" s="1" t="s">
        <v>1145</v>
      </c>
      <c r="AF101" s="1">
        <v>118212</v>
      </c>
      <c r="AG101" s="1">
        <v>21248</v>
      </c>
      <c r="AH101" s="1">
        <v>21248</v>
      </c>
      <c r="AI101" s="1">
        <v>8.2799843840000005</v>
      </c>
      <c r="AK101" s="1">
        <v>703</v>
      </c>
      <c r="AL101" s="1">
        <v>192</v>
      </c>
      <c r="AM101" s="1">
        <v>3.6614583333333299</v>
      </c>
      <c r="AN101" s="1">
        <v>100</v>
      </c>
      <c r="AO101" s="1" t="s">
        <v>306</v>
      </c>
      <c r="AP101" s="1">
        <v>2.9736626148223899</v>
      </c>
      <c r="AQ101" s="1">
        <v>0</v>
      </c>
      <c r="AR101" s="1">
        <v>3</v>
      </c>
      <c r="AT101" s="1">
        <v>8</v>
      </c>
      <c r="AU101" s="1">
        <v>2</v>
      </c>
      <c r="AV101" s="1">
        <v>0</v>
      </c>
      <c r="AW101" s="1">
        <v>1.21</v>
      </c>
      <c r="AX101" s="1">
        <v>23</v>
      </c>
      <c r="AY101" s="1">
        <v>14</v>
      </c>
      <c r="AZ101" s="1">
        <v>0</v>
      </c>
      <c r="BA101" s="1">
        <v>2</v>
      </c>
      <c r="BB101" s="1">
        <v>2</v>
      </c>
      <c r="BC101" s="1">
        <v>0</v>
      </c>
      <c r="BH101" s="1" t="s">
        <v>1150</v>
      </c>
      <c r="BI101" s="1">
        <v>8.0000000000000002E-3</v>
      </c>
      <c r="BJ101" s="1" t="s">
        <v>795</v>
      </c>
      <c r="BN101" s="1" t="s">
        <v>403</v>
      </c>
      <c r="BO101" s="1" t="s">
        <v>404</v>
      </c>
      <c r="BP101" s="3" t="s">
        <v>1146</v>
      </c>
      <c r="BQ101" s="3" t="s">
        <v>1151</v>
      </c>
      <c r="BR101" s="1" t="s">
        <v>73</v>
      </c>
      <c r="BS101" s="3" t="s">
        <v>405</v>
      </c>
      <c r="BT101" s="1" t="s">
        <v>1152</v>
      </c>
      <c r="BU101" s="1" t="s">
        <v>1145</v>
      </c>
      <c r="BV101" s="1" t="s">
        <v>76</v>
      </c>
      <c r="BW101" s="3" t="s">
        <v>1146</v>
      </c>
      <c r="BY101" s="1" t="s">
        <v>1145</v>
      </c>
      <c r="BZ101" s="1" t="s">
        <v>407</v>
      </c>
      <c r="CA101" s="1" t="s">
        <v>407</v>
      </c>
      <c r="CD101" s="1" t="s">
        <v>408</v>
      </c>
      <c r="CE101" s="1" t="s">
        <v>752</v>
      </c>
      <c r="CL101" s="1" t="s">
        <v>1145</v>
      </c>
      <c r="CM101" s="1" t="s">
        <v>880</v>
      </c>
    </row>
    <row r="102" spans="1:91">
      <c r="A102" s="1" t="s">
        <v>1153</v>
      </c>
      <c r="B102" s="1" t="s">
        <v>395</v>
      </c>
      <c r="C102" s="1">
        <v>200</v>
      </c>
      <c r="D102" s="1" t="s">
        <v>303</v>
      </c>
      <c r="E102" s="1" t="s">
        <v>80</v>
      </c>
      <c r="G102" s="3" t="s">
        <v>1154</v>
      </c>
      <c r="H102" s="1">
        <v>11</v>
      </c>
      <c r="I102" s="1">
        <v>87</v>
      </c>
      <c r="J102" s="3" t="s">
        <v>1155</v>
      </c>
      <c r="K102" s="1">
        <v>81</v>
      </c>
      <c r="L102" s="1">
        <v>437</v>
      </c>
      <c r="M102" s="3" t="s">
        <v>1156</v>
      </c>
      <c r="N102" s="1">
        <v>6</v>
      </c>
      <c r="O102" s="3" t="s">
        <v>1157</v>
      </c>
      <c r="P102" s="1">
        <v>22</v>
      </c>
      <c r="R102" s="1">
        <v>0</v>
      </c>
      <c r="S102" s="3" t="s">
        <v>747</v>
      </c>
      <c r="T102" s="1">
        <v>7</v>
      </c>
      <c r="U102" s="3" t="s">
        <v>758</v>
      </c>
      <c r="V102" s="1">
        <v>2</v>
      </c>
      <c r="Z102" s="1" t="s">
        <v>1153</v>
      </c>
      <c r="AF102" s="1">
        <v>84388</v>
      </c>
      <c r="AG102" s="1">
        <v>18047</v>
      </c>
      <c r="AH102" s="1">
        <v>18047</v>
      </c>
      <c r="AI102" s="1">
        <v>7.0326091010000003</v>
      </c>
      <c r="AK102" s="1">
        <v>344</v>
      </c>
      <c r="AL102" s="1">
        <v>98</v>
      </c>
      <c r="AM102" s="1">
        <v>3.5102040816326499</v>
      </c>
      <c r="AN102" s="1">
        <v>100</v>
      </c>
      <c r="AO102" s="1" t="s">
        <v>306</v>
      </c>
      <c r="AP102" s="1">
        <v>2.1480278968811</v>
      </c>
      <c r="AQ102" s="1">
        <v>0</v>
      </c>
      <c r="AR102" s="1">
        <v>3</v>
      </c>
      <c r="AT102" s="1">
        <v>9</v>
      </c>
      <c r="AU102" s="1">
        <v>3</v>
      </c>
      <c r="AV102" s="1">
        <v>0</v>
      </c>
      <c r="AW102" s="1">
        <v>1.82</v>
      </c>
      <c r="AX102" s="1">
        <v>22</v>
      </c>
      <c r="AY102" s="1">
        <v>13</v>
      </c>
      <c r="AZ102" s="1">
        <v>0</v>
      </c>
      <c r="BA102" s="1">
        <v>2</v>
      </c>
      <c r="BB102" s="1">
        <v>2</v>
      </c>
      <c r="BC102" s="1">
        <v>0</v>
      </c>
      <c r="BH102" s="1" t="s">
        <v>1158</v>
      </c>
      <c r="BI102" s="1">
        <v>1.7999999999999999E-2</v>
      </c>
      <c r="BJ102" s="1" t="s">
        <v>769</v>
      </c>
      <c r="BN102" s="1" t="s">
        <v>403</v>
      </c>
      <c r="BO102" s="1" t="s">
        <v>404</v>
      </c>
      <c r="BP102" s="3" t="s">
        <v>1154</v>
      </c>
      <c r="BQ102" s="3" t="s">
        <v>1155</v>
      </c>
      <c r="BR102" s="1" t="s">
        <v>73</v>
      </c>
      <c r="BS102" s="3" t="s">
        <v>405</v>
      </c>
      <c r="BT102" s="1" t="s">
        <v>1159</v>
      </c>
      <c r="BU102" s="1" t="s">
        <v>1153</v>
      </c>
      <c r="BV102" s="1" t="s">
        <v>76</v>
      </c>
      <c r="BW102" s="3" t="s">
        <v>1154</v>
      </c>
      <c r="BY102" s="1" t="s">
        <v>1153</v>
      </c>
      <c r="BZ102" s="1" t="s">
        <v>407</v>
      </c>
      <c r="CA102" s="1" t="s">
        <v>407</v>
      </c>
      <c r="CD102" s="1" t="s">
        <v>408</v>
      </c>
      <c r="CE102" s="1" t="s">
        <v>752</v>
      </c>
      <c r="CL102" s="1" t="s">
        <v>1153</v>
      </c>
      <c r="CM102" s="1" t="s">
        <v>910</v>
      </c>
    </row>
    <row r="103" spans="1:91">
      <c r="A103" s="1" t="s">
        <v>1160</v>
      </c>
      <c r="B103" s="1" t="s">
        <v>395</v>
      </c>
      <c r="C103" s="1">
        <v>200</v>
      </c>
      <c r="D103" s="1" t="s">
        <v>303</v>
      </c>
      <c r="E103" s="1" t="s">
        <v>80</v>
      </c>
      <c r="G103" s="3" t="s">
        <v>1161</v>
      </c>
      <c r="H103" s="1">
        <v>19</v>
      </c>
      <c r="I103" s="1">
        <v>147</v>
      </c>
      <c r="J103" s="3" t="s">
        <v>1162</v>
      </c>
      <c r="K103" s="1">
        <v>97</v>
      </c>
      <c r="L103" s="1">
        <v>527</v>
      </c>
      <c r="M103" s="3" t="s">
        <v>1163</v>
      </c>
      <c r="N103" s="1">
        <v>59</v>
      </c>
      <c r="O103" s="3" t="s">
        <v>1164</v>
      </c>
      <c r="P103" s="1">
        <v>43</v>
      </c>
      <c r="R103" s="1">
        <v>0</v>
      </c>
      <c r="S103" s="3" t="s">
        <v>747</v>
      </c>
      <c r="T103" s="1">
        <v>7</v>
      </c>
      <c r="U103" s="3" t="s">
        <v>758</v>
      </c>
      <c r="V103" s="1">
        <v>2</v>
      </c>
      <c r="Z103" s="1" t="s">
        <v>1160</v>
      </c>
      <c r="AF103" s="1">
        <v>85361</v>
      </c>
      <c r="AG103" s="1">
        <v>18362</v>
      </c>
      <c r="AH103" s="1">
        <v>18362</v>
      </c>
      <c r="AI103" s="1">
        <v>7.1553592459999997</v>
      </c>
      <c r="AK103" s="1">
        <v>353</v>
      </c>
      <c r="AL103" s="1">
        <v>101</v>
      </c>
      <c r="AM103" s="1">
        <v>3.4950495049504999</v>
      </c>
      <c r="AN103" s="1">
        <v>100</v>
      </c>
      <c r="AO103" s="1" t="s">
        <v>306</v>
      </c>
      <c r="AP103" s="1">
        <v>2.0366044044494598</v>
      </c>
      <c r="AQ103" s="1">
        <v>0</v>
      </c>
      <c r="AR103" s="1">
        <v>3</v>
      </c>
      <c r="AT103" s="1">
        <v>7</v>
      </c>
      <c r="AU103" s="1">
        <v>1</v>
      </c>
      <c r="AV103" s="1">
        <v>0</v>
      </c>
      <c r="AW103" s="1">
        <v>0.61</v>
      </c>
      <c r="AX103" s="1">
        <v>23</v>
      </c>
      <c r="AY103" s="1">
        <v>14</v>
      </c>
      <c r="AZ103" s="1">
        <v>0</v>
      </c>
      <c r="BA103" s="1">
        <v>2</v>
      </c>
      <c r="BB103" s="1">
        <v>2</v>
      </c>
      <c r="BC103" s="1">
        <v>0</v>
      </c>
      <c r="BH103" s="1" t="s">
        <v>1165</v>
      </c>
      <c r="BI103" s="1">
        <v>5.0000000000000001E-3</v>
      </c>
      <c r="BJ103" s="1" t="s">
        <v>1079</v>
      </c>
      <c r="BN103" s="1" t="s">
        <v>403</v>
      </c>
      <c r="BO103" s="1" t="s">
        <v>404</v>
      </c>
      <c r="BP103" s="3" t="s">
        <v>1161</v>
      </c>
      <c r="BQ103" s="3" t="s">
        <v>1162</v>
      </c>
      <c r="BR103" s="1" t="s">
        <v>73</v>
      </c>
      <c r="BS103" s="3" t="s">
        <v>405</v>
      </c>
      <c r="BT103" s="1" t="s">
        <v>1166</v>
      </c>
      <c r="BU103" s="1" t="s">
        <v>1160</v>
      </c>
      <c r="BV103" s="1" t="s">
        <v>76</v>
      </c>
      <c r="BW103" s="3" t="s">
        <v>1161</v>
      </c>
      <c r="BY103" s="1" t="s">
        <v>1160</v>
      </c>
      <c r="BZ103" s="1" t="s">
        <v>407</v>
      </c>
      <c r="CA103" s="1" t="s">
        <v>407</v>
      </c>
      <c r="CD103" s="1" t="s">
        <v>408</v>
      </c>
      <c r="CE103" s="1" t="s">
        <v>752</v>
      </c>
      <c r="CL103" s="1" t="s">
        <v>1160</v>
      </c>
      <c r="CM103" s="1" t="s">
        <v>983</v>
      </c>
    </row>
    <row r="104" spans="1:91">
      <c r="A104" s="1" t="s">
        <v>1167</v>
      </c>
      <c r="B104" s="1" t="s">
        <v>395</v>
      </c>
      <c r="C104" s="1">
        <v>200</v>
      </c>
      <c r="D104" s="1" t="s">
        <v>303</v>
      </c>
      <c r="E104" s="1" t="s">
        <v>80</v>
      </c>
      <c r="G104" s="3" t="s">
        <v>1168</v>
      </c>
      <c r="H104" s="1">
        <v>23</v>
      </c>
      <c r="I104" s="1">
        <v>183</v>
      </c>
      <c r="J104" s="3" t="s">
        <v>1169</v>
      </c>
      <c r="K104" s="1">
        <v>81</v>
      </c>
      <c r="L104" s="1">
        <v>428</v>
      </c>
      <c r="M104" s="3" t="s">
        <v>1170</v>
      </c>
      <c r="N104" s="1">
        <v>14</v>
      </c>
      <c r="O104" s="3" t="s">
        <v>1171</v>
      </c>
      <c r="P104" s="1">
        <v>6</v>
      </c>
      <c r="R104" s="1">
        <v>0</v>
      </c>
      <c r="T104" s="1">
        <v>0</v>
      </c>
      <c r="V104" s="1">
        <v>0</v>
      </c>
      <c r="Z104" s="1" t="s">
        <v>1167</v>
      </c>
      <c r="AF104" s="1">
        <v>42282</v>
      </c>
      <c r="AG104" s="1">
        <v>11140</v>
      </c>
      <c r="AH104" s="1">
        <v>11140</v>
      </c>
      <c r="AI104" s="1">
        <v>4.3410686199999997</v>
      </c>
      <c r="AK104" s="1">
        <v>75</v>
      </c>
      <c r="AL104" s="1">
        <v>34</v>
      </c>
      <c r="AM104" s="1">
        <v>2.2058823529411802</v>
      </c>
      <c r="AN104" s="1">
        <v>100</v>
      </c>
      <c r="AO104" s="1" t="s">
        <v>306</v>
      </c>
      <c r="AP104" s="1">
        <v>0.94184482097625699</v>
      </c>
      <c r="AQ104" s="1">
        <v>0</v>
      </c>
      <c r="AR104" s="1">
        <v>6</v>
      </c>
      <c r="AT104" s="1">
        <v>21</v>
      </c>
      <c r="AU104" s="1">
        <v>12</v>
      </c>
      <c r="AV104" s="1">
        <v>0</v>
      </c>
      <c r="AW104" s="1">
        <v>7.27</v>
      </c>
      <c r="AX104" s="1">
        <v>31</v>
      </c>
      <c r="AY104" s="1">
        <v>20</v>
      </c>
      <c r="AZ104" s="1">
        <v>0</v>
      </c>
      <c r="BA104" s="1">
        <v>2</v>
      </c>
      <c r="BB104" s="1">
        <v>2</v>
      </c>
      <c r="BC104" s="1">
        <v>0</v>
      </c>
      <c r="BH104" s="1" t="s">
        <v>1172</v>
      </c>
      <c r="BI104" s="1">
        <v>2.3E-2</v>
      </c>
      <c r="BJ104" s="1" t="s">
        <v>551</v>
      </c>
      <c r="BN104" s="1" t="s">
        <v>403</v>
      </c>
      <c r="BO104" s="1" t="s">
        <v>404</v>
      </c>
      <c r="BP104" s="3" t="s">
        <v>1168</v>
      </c>
      <c r="BQ104" s="3" t="s">
        <v>1169</v>
      </c>
      <c r="BR104" s="1" t="s">
        <v>73</v>
      </c>
      <c r="BS104" s="3" t="s">
        <v>405</v>
      </c>
      <c r="BT104" s="1" t="s">
        <v>462</v>
      </c>
      <c r="BU104" s="1" t="s">
        <v>1167</v>
      </c>
      <c r="BV104" s="1" t="s">
        <v>76</v>
      </c>
      <c r="BW104" s="3" t="s">
        <v>1168</v>
      </c>
      <c r="BY104" s="1" t="s">
        <v>1167</v>
      </c>
      <c r="BZ104" s="1" t="s">
        <v>407</v>
      </c>
      <c r="CD104" s="1" t="s">
        <v>408</v>
      </c>
      <c r="CL104" s="1" t="s">
        <v>1167</v>
      </c>
      <c r="CM104" s="1" t="s">
        <v>1173</v>
      </c>
    </row>
    <row r="105" spans="1:91">
      <c r="A105" s="1" t="s">
        <v>1174</v>
      </c>
      <c r="B105" s="1" t="s">
        <v>395</v>
      </c>
      <c r="C105" s="1">
        <v>200</v>
      </c>
      <c r="D105" s="1" t="s">
        <v>303</v>
      </c>
      <c r="E105" s="1" t="s">
        <v>80</v>
      </c>
      <c r="G105" s="3" t="s">
        <v>1175</v>
      </c>
      <c r="H105" s="1">
        <v>20</v>
      </c>
      <c r="I105" s="1">
        <v>156</v>
      </c>
      <c r="J105" s="3" t="s">
        <v>1176</v>
      </c>
      <c r="K105" s="1">
        <v>78</v>
      </c>
      <c r="L105" s="1">
        <v>410</v>
      </c>
      <c r="M105" s="3" t="s">
        <v>1177</v>
      </c>
      <c r="N105" s="1">
        <v>28</v>
      </c>
      <c r="O105" s="3" t="s">
        <v>1178</v>
      </c>
      <c r="P105" s="1">
        <v>3</v>
      </c>
      <c r="R105" s="1">
        <v>0</v>
      </c>
      <c r="T105" s="1">
        <v>0</v>
      </c>
      <c r="V105" s="1">
        <v>0</v>
      </c>
      <c r="Z105" s="1" t="s">
        <v>1174</v>
      </c>
      <c r="AF105" s="1">
        <v>42214</v>
      </c>
      <c r="AG105" s="1">
        <v>11141</v>
      </c>
      <c r="AH105" s="1">
        <v>11141</v>
      </c>
      <c r="AI105" s="1">
        <v>4.3414583029999996</v>
      </c>
      <c r="AK105" s="1">
        <v>75</v>
      </c>
      <c r="AL105" s="1">
        <v>34</v>
      </c>
      <c r="AM105" s="1">
        <v>2.2058823529411802</v>
      </c>
      <c r="AN105" s="1">
        <v>100</v>
      </c>
      <c r="AO105" s="1" t="s">
        <v>306</v>
      </c>
      <c r="AP105" s="1">
        <v>0.93502217531204201</v>
      </c>
      <c r="AQ105" s="1">
        <v>0</v>
      </c>
      <c r="AR105" s="1">
        <v>6</v>
      </c>
      <c r="AT105" s="1">
        <v>21</v>
      </c>
      <c r="AU105" s="1">
        <v>12</v>
      </c>
      <c r="AV105" s="1">
        <v>0</v>
      </c>
      <c r="AW105" s="1">
        <v>7.27</v>
      </c>
      <c r="AX105" s="1">
        <v>31</v>
      </c>
      <c r="AY105" s="1">
        <v>20</v>
      </c>
      <c r="AZ105" s="1">
        <v>0</v>
      </c>
      <c r="BA105" s="1">
        <v>2</v>
      </c>
      <c r="BB105" s="1">
        <v>2</v>
      </c>
      <c r="BC105" s="1">
        <v>0</v>
      </c>
      <c r="BH105" s="1" t="s">
        <v>1179</v>
      </c>
      <c r="BI105" s="1">
        <v>1.7999999999999999E-2</v>
      </c>
      <c r="BJ105" s="1" t="s">
        <v>536</v>
      </c>
      <c r="BN105" s="1" t="s">
        <v>403</v>
      </c>
      <c r="BO105" s="1" t="s">
        <v>404</v>
      </c>
      <c r="BP105" s="3" t="s">
        <v>1175</v>
      </c>
      <c r="BQ105" s="3" t="s">
        <v>1176</v>
      </c>
      <c r="BR105" s="1" t="s">
        <v>73</v>
      </c>
      <c r="BS105" s="3" t="s">
        <v>405</v>
      </c>
      <c r="BT105" s="1" t="s">
        <v>462</v>
      </c>
      <c r="BU105" s="1" t="s">
        <v>1174</v>
      </c>
      <c r="BV105" s="1" t="s">
        <v>76</v>
      </c>
      <c r="BW105" s="3" t="s">
        <v>1175</v>
      </c>
      <c r="BY105" s="1" t="s">
        <v>1174</v>
      </c>
      <c r="BZ105" s="1" t="s">
        <v>407</v>
      </c>
      <c r="CD105" s="1" t="s">
        <v>408</v>
      </c>
      <c r="CL105" s="1" t="s">
        <v>1174</v>
      </c>
      <c r="CM105" s="1" t="s">
        <v>1180</v>
      </c>
    </row>
    <row r="106" spans="1:91">
      <c r="A106" s="1" t="s">
        <v>1181</v>
      </c>
      <c r="B106" s="1" t="s">
        <v>395</v>
      </c>
      <c r="C106" s="1">
        <v>200</v>
      </c>
      <c r="D106" s="1" t="s">
        <v>303</v>
      </c>
      <c r="E106" s="1" t="s">
        <v>80</v>
      </c>
      <c r="G106" s="3" t="s">
        <v>1182</v>
      </c>
      <c r="H106" s="1">
        <v>19</v>
      </c>
      <c r="I106" s="1">
        <v>147</v>
      </c>
      <c r="J106" s="3" t="s">
        <v>1183</v>
      </c>
      <c r="K106" s="1">
        <v>77</v>
      </c>
      <c r="L106" s="1">
        <v>404</v>
      </c>
      <c r="M106" s="3" t="s">
        <v>1184</v>
      </c>
      <c r="N106" s="1">
        <v>26</v>
      </c>
      <c r="O106" s="3" t="s">
        <v>1185</v>
      </c>
      <c r="P106" s="1">
        <v>2</v>
      </c>
      <c r="R106" s="1">
        <v>0</v>
      </c>
      <c r="T106" s="1">
        <v>0</v>
      </c>
      <c r="V106" s="1">
        <v>0</v>
      </c>
      <c r="Z106" s="1" t="s">
        <v>1181</v>
      </c>
      <c r="AF106" s="1">
        <v>42146</v>
      </c>
      <c r="AG106" s="1">
        <v>11157</v>
      </c>
      <c r="AH106" s="1">
        <v>11157</v>
      </c>
      <c r="AI106" s="1">
        <v>4.347693231</v>
      </c>
      <c r="AK106" s="1">
        <v>75</v>
      </c>
      <c r="AL106" s="1">
        <v>34</v>
      </c>
      <c r="AM106" s="1">
        <v>2.2058823529411802</v>
      </c>
      <c r="AN106" s="1">
        <v>100</v>
      </c>
      <c r="AO106" s="1" t="s">
        <v>306</v>
      </c>
      <c r="AP106" s="1">
        <v>0.93355298042297397</v>
      </c>
      <c r="AQ106" s="1">
        <v>0</v>
      </c>
      <c r="AR106" s="1">
        <v>6</v>
      </c>
      <c r="AT106" s="1">
        <v>21</v>
      </c>
      <c r="AU106" s="1">
        <v>12</v>
      </c>
      <c r="AV106" s="1">
        <v>0</v>
      </c>
      <c r="AW106" s="1">
        <v>7.27</v>
      </c>
      <c r="AX106" s="1">
        <v>31</v>
      </c>
      <c r="AY106" s="1">
        <v>20</v>
      </c>
      <c r="AZ106" s="1">
        <v>0</v>
      </c>
      <c r="BA106" s="1">
        <v>2</v>
      </c>
      <c r="BB106" s="1">
        <v>2</v>
      </c>
      <c r="BC106" s="1">
        <v>0</v>
      </c>
      <c r="BH106" s="1" t="s">
        <v>1186</v>
      </c>
      <c r="BI106" s="1">
        <v>6.0000000000000001E-3</v>
      </c>
      <c r="BJ106" s="1" t="s">
        <v>521</v>
      </c>
      <c r="BN106" s="1" t="s">
        <v>403</v>
      </c>
      <c r="BO106" s="1" t="s">
        <v>404</v>
      </c>
      <c r="BP106" s="3" t="s">
        <v>1182</v>
      </c>
      <c r="BQ106" s="3" t="s">
        <v>1183</v>
      </c>
      <c r="BR106" s="1" t="s">
        <v>73</v>
      </c>
      <c r="BS106" s="3" t="s">
        <v>405</v>
      </c>
      <c r="BT106" s="1" t="s">
        <v>462</v>
      </c>
      <c r="BU106" s="1" t="s">
        <v>1181</v>
      </c>
      <c r="BV106" s="1" t="s">
        <v>76</v>
      </c>
      <c r="BW106" s="3" t="s">
        <v>1182</v>
      </c>
      <c r="BY106" s="1" t="s">
        <v>1181</v>
      </c>
      <c r="BZ106" s="1" t="s">
        <v>407</v>
      </c>
      <c r="CD106" s="1" t="s">
        <v>408</v>
      </c>
      <c r="CL106" s="1" t="s">
        <v>1181</v>
      </c>
      <c r="CM106" s="1" t="s">
        <v>436</v>
      </c>
    </row>
    <row r="107" spans="1:91">
      <c r="A107" s="1" t="s">
        <v>1187</v>
      </c>
      <c r="B107" s="1" t="s">
        <v>395</v>
      </c>
      <c r="C107" s="1">
        <v>200</v>
      </c>
      <c r="D107" s="1" t="s">
        <v>303</v>
      </c>
      <c r="E107" s="1" t="s">
        <v>80</v>
      </c>
      <c r="G107" s="3" t="s">
        <v>1188</v>
      </c>
      <c r="H107" s="1">
        <v>19</v>
      </c>
      <c r="I107" s="1">
        <v>147</v>
      </c>
      <c r="J107" s="3" t="s">
        <v>1189</v>
      </c>
      <c r="K107" s="1">
        <v>77</v>
      </c>
      <c r="L107" s="1">
        <v>404</v>
      </c>
      <c r="N107" s="1">
        <v>0</v>
      </c>
      <c r="O107" s="3" t="s">
        <v>1190</v>
      </c>
      <c r="P107" s="1">
        <v>2</v>
      </c>
      <c r="R107" s="1">
        <v>0</v>
      </c>
      <c r="T107" s="1">
        <v>0</v>
      </c>
      <c r="V107" s="1">
        <v>0</v>
      </c>
      <c r="Z107" s="1" t="s">
        <v>1187</v>
      </c>
      <c r="AF107" s="1">
        <v>41146</v>
      </c>
      <c r="AG107" s="1">
        <v>10961</v>
      </c>
      <c r="AH107" s="1">
        <v>10961</v>
      </c>
      <c r="AI107" s="1">
        <v>4.2713153630000003</v>
      </c>
      <c r="AK107" s="1">
        <v>75</v>
      </c>
      <c r="AL107" s="1">
        <v>34</v>
      </c>
      <c r="AM107" s="1">
        <v>2.2058823529411802</v>
      </c>
      <c r="AN107" s="1">
        <v>100</v>
      </c>
      <c r="AO107" s="1" t="s">
        <v>306</v>
      </c>
      <c r="AP107" s="1">
        <v>0.95573949813842796</v>
      </c>
      <c r="AQ107" s="1">
        <v>0</v>
      </c>
      <c r="AR107" s="1">
        <v>6</v>
      </c>
      <c r="AT107" s="1">
        <v>9</v>
      </c>
      <c r="AU107" s="1">
        <v>1</v>
      </c>
      <c r="AV107" s="1">
        <v>0</v>
      </c>
      <c r="AW107" s="1">
        <v>0.61</v>
      </c>
      <c r="AX107" s="1">
        <v>31</v>
      </c>
      <c r="AY107" s="1">
        <v>21</v>
      </c>
      <c r="AZ107" s="1">
        <v>0</v>
      </c>
      <c r="BA107" s="1">
        <v>2</v>
      </c>
      <c r="BB107" s="1">
        <v>2</v>
      </c>
      <c r="BC107" s="1">
        <v>0</v>
      </c>
      <c r="BH107" s="1" t="s">
        <v>1191</v>
      </c>
      <c r="BI107" s="1">
        <v>7.0000000000000001E-3</v>
      </c>
      <c r="BJ107" s="1" t="s">
        <v>521</v>
      </c>
      <c r="BN107" s="1" t="s">
        <v>403</v>
      </c>
      <c r="BO107" s="1" t="s">
        <v>404</v>
      </c>
      <c r="BP107" s="3" t="s">
        <v>1188</v>
      </c>
      <c r="BQ107" s="3" t="s">
        <v>1189</v>
      </c>
      <c r="BR107" s="1" t="s">
        <v>73</v>
      </c>
      <c r="BS107" s="3" t="s">
        <v>405</v>
      </c>
      <c r="BT107" s="1" t="s">
        <v>462</v>
      </c>
      <c r="BU107" s="1" t="s">
        <v>1187</v>
      </c>
      <c r="BV107" s="1" t="s">
        <v>76</v>
      </c>
      <c r="BW107" s="3" t="s">
        <v>1188</v>
      </c>
      <c r="BY107" s="1" t="s">
        <v>1187</v>
      </c>
      <c r="CL107" s="1" t="s">
        <v>1187</v>
      </c>
      <c r="CM107" s="1" t="s">
        <v>471</v>
      </c>
    </row>
    <row r="108" spans="1:91">
      <c r="A108" s="1" t="s">
        <v>1192</v>
      </c>
      <c r="B108" s="1" t="s">
        <v>395</v>
      </c>
      <c r="C108" s="1">
        <v>200</v>
      </c>
      <c r="D108" s="1" t="s">
        <v>303</v>
      </c>
      <c r="E108" s="1" t="s">
        <v>80</v>
      </c>
      <c r="G108" s="3" t="s">
        <v>1193</v>
      </c>
      <c r="H108" s="1">
        <v>21</v>
      </c>
      <c r="I108" s="1">
        <v>165</v>
      </c>
      <c r="J108" s="3" t="s">
        <v>1194</v>
      </c>
      <c r="K108" s="1">
        <v>79</v>
      </c>
      <c r="L108" s="1">
        <v>416</v>
      </c>
      <c r="M108" s="3" t="s">
        <v>1195</v>
      </c>
      <c r="N108" s="1">
        <v>34</v>
      </c>
      <c r="O108" s="3" t="s">
        <v>1196</v>
      </c>
      <c r="P108" s="1">
        <v>4</v>
      </c>
      <c r="R108" s="1">
        <v>0</v>
      </c>
      <c r="T108" s="1">
        <v>0</v>
      </c>
      <c r="V108" s="1">
        <v>0</v>
      </c>
      <c r="Z108" s="1" t="s">
        <v>1192</v>
      </c>
      <c r="AF108" s="1">
        <v>42244</v>
      </c>
      <c r="AG108" s="1">
        <v>11157</v>
      </c>
      <c r="AH108" s="1">
        <v>11157</v>
      </c>
      <c r="AI108" s="1">
        <v>4.347693231</v>
      </c>
      <c r="AK108" s="1">
        <v>75</v>
      </c>
      <c r="AL108" s="1">
        <v>34</v>
      </c>
      <c r="AM108" s="1">
        <v>2.2058823529411802</v>
      </c>
      <c r="AN108" s="1">
        <v>100</v>
      </c>
      <c r="AO108" s="1" t="s">
        <v>306</v>
      </c>
      <c r="AP108" s="1">
        <v>0.93751561641693104</v>
      </c>
      <c r="AQ108" s="1">
        <v>0</v>
      </c>
      <c r="AR108" s="1">
        <v>6</v>
      </c>
      <c r="AT108" s="1">
        <v>21</v>
      </c>
      <c r="AU108" s="1">
        <v>12</v>
      </c>
      <c r="AV108" s="1">
        <v>0</v>
      </c>
      <c r="AW108" s="1">
        <v>7.27</v>
      </c>
      <c r="AX108" s="1">
        <v>31</v>
      </c>
      <c r="AY108" s="1">
        <v>20</v>
      </c>
      <c r="AZ108" s="1">
        <v>0</v>
      </c>
      <c r="BA108" s="1">
        <v>2</v>
      </c>
      <c r="BB108" s="1">
        <v>2</v>
      </c>
      <c r="BC108" s="1">
        <v>0</v>
      </c>
      <c r="BH108" s="1" t="s">
        <v>1197</v>
      </c>
      <c r="BI108" s="1">
        <v>8.0000000000000002E-3</v>
      </c>
      <c r="BJ108" s="1" t="s">
        <v>567</v>
      </c>
      <c r="BN108" s="1" t="s">
        <v>403</v>
      </c>
      <c r="BO108" s="1" t="s">
        <v>404</v>
      </c>
      <c r="BP108" s="3" t="s">
        <v>1193</v>
      </c>
      <c r="BQ108" s="3" t="s">
        <v>1194</v>
      </c>
      <c r="BR108" s="1" t="s">
        <v>73</v>
      </c>
      <c r="BS108" s="3" t="s">
        <v>405</v>
      </c>
      <c r="BT108" s="1" t="s">
        <v>462</v>
      </c>
      <c r="BU108" s="1" t="s">
        <v>1192</v>
      </c>
      <c r="BV108" s="1" t="s">
        <v>76</v>
      </c>
      <c r="BW108" s="3" t="s">
        <v>1193</v>
      </c>
      <c r="BY108" s="1" t="s">
        <v>1192</v>
      </c>
      <c r="BZ108" s="1" t="s">
        <v>407</v>
      </c>
      <c r="CD108" s="1" t="s">
        <v>408</v>
      </c>
      <c r="CL108" s="1" t="s">
        <v>1192</v>
      </c>
      <c r="CM108" s="1" t="s">
        <v>1006</v>
      </c>
    </row>
    <row r="109" spans="1:91">
      <c r="A109" s="1" t="s">
        <v>1198</v>
      </c>
      <c r="B109" s="1" t="s">
        <v>395</v>
      </c>
      <c r="C109" s="1">
        <v>200</v>
      </c>
      <c r="D109" s="1" t="s">
        <v>303</v>
      </c>
      <c r="E109" s="1" t="s">
        <v>80</v>
      </c>
      <c r="G109" s="3" t="s">
        <v>1199</v>
      </c>
      <c r="H109" s="1">
        <v>23</v>
      </c>
      <c r="I109" s="1">
        <v>179</v>
      </c>
      <c r="J109" s="3" t="s">
        <v>1200</v>
      </c>
      <c r="K109" s="1">
        <v>78</v>
      </c>
      <c r="L109" s="1">
        <v>410</v>
      </c>
      <c r="N109" s="1">
        <v>0</v>
      </c>
      <c r="O109" s="3" t="s">
        <v>1033</v>
      </c>
      <c r="P109" s="1">
        <v>6</v>
      </c>
      <c r="R109" s="1">
        <v>0</v>
      </c>
      <c r="T109" s="1">
        <v>0</v>
      </c>
      <c r="V109" s="1">
        <v>0</v>
      </c>
      <c r="Z109" s="1" t="s">
        <v>1198</v>
      </c>
      <c r="AF109" s="1">
        <v>42083</v>
      </c>
      <c r="AG109" s="1">
        <v>11168</v>
      </c>
      <c r="AH109" s="1">
        <v>11168</v>
      </c>
      <c r="AI109" s="1">
        <v>4.3519797440000003</v>
      </c>
      <c r="AK109" s="1">
        <v>76</v>
      </c>
      <c r="AL109" s="1">
        <v>34</v>
      </c>
      <c r="AM109" s="1">
        <v>2.2352941176470602</v>
      </c>
      <c r="AN109" s="1">
        <v>100</v>
      </c>
      <c r="AO109" s="1" t="s">
        <v>306</v>
      </c>
      <c r="AP109" s="1">
        <v>0.94639593362808205</v>
      </c>
      <c r="AQ109" s="1">
        <v>0</v>
      </c>
      <c r="AR109" s="1">
        <v>5</v>
      </c>
      <c r="AT109" s="1">
        <v>21</v>
      </c>
      <c r="AU109" s="1">
        <v>12</v>
      </c>
      <c r="AV109" s="1">
        <v>0</v>
      </c>
      <c r="AW109" s="1">
        <v>7.27</v>
      </c>
      <c r="AX109" s="1">
        <v>31</v>
      </c>
      <c r="AY109" s="1">
        <v>20</v>
      </c>
      <c r="AZ109" s="1">
        <v>0</v>
      </c>
      <c r="BA109" s="1">
        <v>2</v>
      </c>
      <c r="BB109" s="1">
        <v>2</v>
      </c>
      <c r="BC109" s="1">
        <v>0</v>
      </c>
      <c r="BH109" s="1" t="s">
        <v>1201</v>
      </c>
      <c r="BI109" s="1">
        <v>8.9999999999999993E-3</v>
      </c>
      <c r="BJ109" s="1" t="s">
        <v>521</v>
      </c>
      <c r="BN109" s="1" t="s">
        <v>403</v>
      </c>
      <c r="BO109" s="1" t="s">
        <v>404</v>
      </c>
      <c r="BP109" s="3" t="s">
        <v>1199</v>
      </c>
      <c r="BQ109" s="3" t="s">
        <v>1200</v>
      </c>
      <c r="BR109" s="1" t="s">
        <v>73</v>
      </c>
      <c r="BS109" s="3" t="s">
        <v>405</v>
      </c>
      <c r="BT109" s="1" t="s">
        <v>462</v>
      </c>
      <c r="BU109" s="1" t="s">
        <v>1198</v>
      </c>
      <c r="BV109" s="1" t="s">
        <v>76</v>
      </c>
      <c r="BW109" s="3" t="s">
        <v>1199</v>
      </c>
      <c r="BY109" s="1" t="s">
        <v>1198</v>
      </c>
      <c r="BZ109" s="1" t="s">
        <v>407</v>
      </c>
      <c r="CD109" s="1" t="s">
        <v>408</v>
      </c>
      <c r="CL109" s="1" t="s">
        <v>1198</v>
      </c>
      <c r="CM109" s="1" t="s">
        <v>974</v>
      </c>
    </row>
    <row r="110" spans="1:91">
      <c r="A110" s="1" t="s">
        <v>1202</v>
      </c>
      <c r="B110" s="1" t="s">
        <v>395</v>
      </c>
      <c r="C110" s="1">
        <v>200</v>
      </c>
      <c r="D110" s="1" t="s">
        <v>303</v>
      </c>
      <c r="E110" s="1" t="s">
        <v>80</v>
      </c>
      <c r="G110" s="3" t="s">
        <v>1203</v>
      </c>
      <c r="H110" s="1">
        <v>19</v>
      </c>
      <c r="I110" s="1">
        <v>147</v>
      </c>
      <c r="J110" s="3" t="s">
        <v>1204</v>
      </c>
      <c r="K110" s="1">
        <v>77</v>
      </c>
      <c r="L110" s="1">
        <v>404</v>
      </c>
      <c r="M110" s="3" t="s">
        <v>1205</v>
      </c>
      <c r="N110" s="1">
        <v>18</v>
      </c>
      <c r="O110" s="3" t="s">
        <v>1206</v>
      </c>
      <c r="P110" s="1">
        <v>2</v>
      </c>
      <c r="R110" s="1">
        <v>0</v>
      </c>
      <c r="T110" s="1">
        <v>0</v>
      </c>
      <c r="V110" s="1">
        <v>0</v>
      </c>
      <c r="Z110" s="1" t="s">
        <v>1202</v>
      </c>
      <c r="AF110" s="1">
        <v>42130</v>
      </c>
      <c r="AG110" s="1">
        <v>11145</v>
      </c>
      <c r="AH110" s="1">
        <v>11145</v>
      </c>
      <c r="AI110" s="1">
        <v>4.3430170349999999</v>
      </c>
      <c r="AK110" s="1">
        <v>75</v>
      </c>
      <c r="AL110" s="1">
        <v>34</v>
      </c>
      <c r="AM110" s="1">
        <v>2.2058823529411802</v>
      </c>
      <c r="AN110" s="1">
        <v>100</v>
      </c>
      <c r="AO110" s="1" t="s">
        <v>306</v>
      </c>
      <c r="AP110" s="1">
        <v>0.93364620208740201</v>
      </c>
      <c r="AQ110" s="1">
        <v>0</v>
      </c>
      <c r="AR110" s="1">
        <v>6</v>
      </c>
      <c r="AT110" s="1">
        <v>21</v>
      </c>
      <c r="AU110" s="1">
        <v>12</v>
      </c>
      <c r="AV110" s="1">
        <v>0</v>
      </c>
      <c r="AW110" s="1">
        <v>7.27</v>
      </c>
      <c r="AX110" s="1">
        <v>31</v>
      </c>
      <c r="AY110" s="1">
        <v>20</v>
      </c>
      <c r="AZ110" s="1">
        <v>0</v>
      </c>
      <c r="BA110" s="1">
        <v>2</v>
      </c>
      <c r="BB110" s="1">
        <v>2</v>
      </c>
      <c r="BC110" s="1">
        <v>0</v>
      </c>
      <c r="BH110" s="1" t="s">
        <v>1207</v>
      </c>
      <c r="BI110" s="1">
        <v>6.0000000000000001E-3</v>
      </c>
      <c r="BJ110" s="1" t="s">
        <v>551</v>
      </c>
      <c r="BN110" s="1" t="s">
        <v>403</v>
      </c>
      <c r="BO110" s="1" t="s">
        <v>404</v>
      </c>
      <c r="BP110" s="3" t="s">
        <v>1203</v>
      </c>
      <c r="BQ110" s="3" t="s">
        <v>1204</v>
      </c>
      <c r="BR110" s="1" t="s">
        <v>73</v>
      </c>
      <c r="BS110" s="3" t="s">
        <v>405</v>
      </c>
      <c r="BT110" s="1" t="s">
        <v>462</v>
      </c>
      <c r="BU110" s="1" t="s">
        <v>1202</v>
      </c>
      <c r="BV110" s="1" t="s">
        <v>76</v>
      </c>
      <c r="BW110" s="3" t="s">
        <v>1203</v>
      </c>
      <c r="BY110" s="1" t="s">
        <v>1202</v>
      </c>
      <c r="BZ110" s="1" t="s">
        <v>407</v>
      </c>
      <c r="CD110" s="1" t="s">
        <v>408</v>
      </c>
      <c r="CL110" s="1" t="s">
        <v>1202</v>
      </c>
      <c r="CM110" s="1" t="s">
        <v>830</v>
      </c>
    </row>
    <row r="111" spans="1:91">
      <c r="A111" s="1" t="s">
        <v>1208</v>
      </c>
      <c r="B111" s="1" t="s">
        <v>395</v>
      </c>
      <c r="C111" s="1">
        <v>200</v>
      </c>
      <c r="D111" s="1" t="s">
        <v>303</v>
      </c>
      <c r="E111" s="1" t="s">
        <v>80</v>
      </c>
      <c r="G111" s="3" t="s">
        <v>1209</v>
      </c>
      <c r="H111" s="1">
        <v>22</v>
      </c>
      <c r="I111" s="1">
        <v>173</v>
      </c>
      <c r="J111" s="3" t="s">
        <v>1210</v>
      </c>
      <c r="K111" s="1">
        <v>80</v>
      </c>
      <c r="L111" s="1">
        <v>422</v>
      </c>
      <c r="M111" s="3" t="s">
        <v>1211</v>
      </c>
      <c r="N111" s="1">
        <v>17</v>
      </c>
      <c r="O111" s="3" t="s">
        <v>1212</v>
      </c>
      <c r="P111" s="1">
        <v>5</v>
      </c>
      <c r="R111" s="1">
        <v>0</v>
      </c>
      <c r="T111" s="1">
        <v>0</v>
      </c>
      <c r="V111" s="1">
        <v>0</v>
      </c>
      <c r="Z111" s="1" t="s">
        <v>1208</v>
      </c>
      <c r="AF111" s="1">
        <v>42212</v>
      </c>
      <c r="AG111" s="1">
        <v>11137</v>
      </c>
      <c r="AH111" s="1">
        <v>11137</v>
      </c>
      <c r="AI111" s="1">
        <v>4.3398995710000001</v>
      </c>
      <c r="AK111" s="1">
        <v>75</v>
      </c>
      <c r="AL111" s="1">
        <v>34</v>
      </c>
      <c r="AM111" s="1">
        <v>2.2058823529411802</v>
      </c>
      <c r="AN111" s="1">
        <v>100</v>
      </c>
      <c r="AO111" s="1" t="s">
        <v>306</v>
      </c>
      <c r="AP111" s="1">
        <v>0.94014966487884499</v>
      </c>
      <c r="AQ111" s="1">
        <v>0</v>
      </c>
      <c r="AR111" s="1">
        <v>6</v>
      </c>
      <c r="AT111" s="1">
        <v>21</v>
      </c>
      <c r="AU111" s="1">
        <v>12</v>
      </c>
      <c r="AV111" s="1">
        <v>0</v>
      </c>
      <c r="AW111" s="1">
        <v>7.27</v>
      </c>
      <c r="AX111" s="1">
        <v>31</v>
      </c>
      <c r="AY111" s="1">
        <v>20</v>
      </c>
      <c r="AZ111" s="1">
        <v>0</v>
      </c>
      <c r="BA111" s="1">
        <v>2</v>
      </c>
      <c r="BB111" s="1">
        <v>2</v>
      </c>
      <c r="BC111" s="1">
        <v>0</v>
      </c>
      <c r="BH111" s="1" t="s">
        <v>1213</v>
      </c>
      <c r="BI111" s="1">
        <v>8.9999999999999993E-3</v>
      </c>
      <c r="BJ111" s="1" t="s">
        <v>521</v>
      </c>
      <c r="BN111" s="1" t="s">
        <v>403</v>
      </c>
      <c r="BO111" s="1" t="s">
        <v>404</v>
      </c>
      <c r="BP111" s="3" t="s">
        <v>1209</v>
      </c>
      <c r="BQ111" s="3" t="s">
        <v>1210</v>
      </c>
      <c r="BR111" s="1" t="s">
        <v>73</v>
      </c>
      <c r="BS111" s="3" t="s">
        <v>405</v>
      </c>
      <c r="BT111" s="1" t="s">
        <v>462</v>
      </c>
      <c r="BU111" s="1" t="s">
        <v>1208</v>
      </c>
      <c r="BV111" s="1" t="s">
        <v>76</v>
      </c>
      <c r="BW111" s="3" t="s">
        <v>1209</v>
      </c>
      <c r="BY111" s="1" t="s">
        <v>1208</v>
      </c>
      <c r="BZ111" s="1" t="s">
        <v>407</v>
      </c>
      <c r="CD111" s="1" t="s">
        <v>408</v>
      </c>
      <c r="CL111" s="1" t="s">
        <v>1208</v>
      </c>
      <c r="CM111" s="1" t="s">
        <v>1180</v>
      </c>
    </row>
    <row r="112" spans="1:91">
      <c r="A112" s="1" t="s">
        <v>1214</v>
      </c>
      <c r="B112" s="1" t="s">
        <v>395</v>
      </c>
      <c r="C112" s="1">
        <v>200</v>
      </c>
      <c r="D112" s="1" t="s">
        <v>303</v>
      </c>
      <c r="E112" s="1" t="s">
        <v>80</v>
      </c>
      <c r="G112" s="3" t="s">
        <v>1215</v>
      </c>
      <c r="H112" s="1">
        <v>23</v>
      </c>
      <c r="I112" s="1">
        <v>182</v>
      </c>
      <c r="J112" s="3" t="s">
        <v>1216</v>
      </c>
      <c r="K112" s="1">
        <v>81</v>
      </c>
      <c r="L112" s="1">
        <v>428</v>
      </c>
      <c r="M112" s="3" t="s">
        <v>1217</v>
      </c>
      <c r="N112" s="1">
        <v>23</v>
      </c>
      <c r="O112" s="3" t="s">
        <v>1218</v>
      </c>
      <c r="P112" s="1">
        <v>6</v>
      </c>
      <c r="R112" s="1">
        <v>0</v>
      </c>
      <c r="T112" s="1">
        <v>0</v>
      </c>
      <c r="V112" s="1">
        <v>0</v>
      </c>
      <c r="Z112" s="1" t="s">
        <v>1214</v>
      </c>
      <c r="AF112" s="1">
        <v>42271</v>
      </c>
      <c r="AG112" s="1">
        <v>11157</v>
      </c>
      <c r="AH112" s="1">
        <v>11157</v>
      </c>
      <c r="AI112" s="1">
        <v>4.347693231</v>
      </c>
      <c r="AK112" s="1">
        <v>75</v>
      </c>
      <c r="AL112" s="1">
        <v>34</v>
      </c>
      <c r="AM112" s="1">
        <v>2.2058823529411802</v>
      </c>
      <c r="AN112" s="1">
        <v>100</v>
      </c>
      <c r="AO112" s="1" t="s">
        <v>306</v>
      </c>
      <c r="AP112" s="1">
        <v>0.94191527366638195</v>
      </c>
      <c r="AQ112" s="1">
        <v>0</v>
      </c>
      <c r="AR112" s="1">
        <v>6</v>
      </c>
      <c r="AT112" s="1">
        <v>21</v>
      </c>
      <c r="AU112" s="1">
        <v>12</v>
      </c>
      <c r="AV112" s="1">
        <v>0</v>
      </c>
      <c r="AW112" s="1">
        <v>7.27</v>
      </c>
      <c r="AX112" s="1">
        <v>31</v>
      </c>
      <c r="AY112" s="1">
        <v>20</v>
      </c>
      <c r="AZ112" s="1">
        <v>0</v>
      </c>
      <c r="BA112" s="1">
        <v>2</v>
      </c>
      <c r="BB112" s="1">
        <v>2</v>
      </c>
      <c r="BC112" s="1">
        <v>0</v>
      </c>
      <c r="BH112" s="1" t="s">
        <v>1219</v>
      </c>
      <c r="BI112" s="1">
        <v>0.02</v>
      </c>
      <c r="BJ112" s="1" t="s">
        <v>536</v>
      </c>
      <c r="BN112" s="1" t="s">
        <v>403</v>
      </c>
      <c r="BO112" s="1" t="s">
        <v>404</v>
      </c>
      <c r="BP112" s="3" t="s">
        <v>1215</v>
      </c>
      <c r="BQ112" s="3" t="s">
        <v>1216</v>
      </c>
      <c r="BR112" s="1" t="s">
        <v>73</v>
      </c>
      <c r="BS112" s="3" t="s">
        <v>405</v>
      </c>
      <c r="BT112" s="1" t="s">
        <v>462</v>
      </c>
      <c r="BU112" s="1" t="s">
        <v>1214</v>
      </c>
      <c r="BV112" s="1" t="s">
        <v>76</v>
      </c>
      <c r="BW112" s="3" t="s">
        <v>1215</v>
      </c>
      <c r="BY112" s="1" t="s">
        <v>1214</v>
      </c>
      <c r="BZ112" s="1" t="s">
        <v>407</v>
      </c>
      <c r="CD112" s="1" t="s">
        <v>408</v>
      </c>
      <c r="CL112" s="1" t="s">
        <v>1214</v>
      </c>
      <c r="CM112" s="1" t="s">
        <v>741</v>
      </c>
    </row>
    <row r="113" spans="1:91">
      <c r="A113" s="1" t="s">
        <v>1220</v>
      </c>
      <c r="B113" s="1" t="s">
        <v>395</v>
      </c>
      <c r="C113" s="1">
        <v>200</v>
      </c>
      <c r="D113" s="1" t="s">
        <v>303</v>
      </c>
      <c r="E113" s="1" t="s">
        <v>80</v>
      </c>
      <c r="G113" s="3" t="s">
        <v>1221</v>
      </c>
      <c r="H113" s="1">
        <v>19</v>
      </c>
      <c r="I113" s="1">
        <v>147</v>
      </c>
      <c r="J113" s="3" t="s">
        <v>1222</v>
      </c>
      <c r="K113" s="1">
        <v>77</v>
      </c>
      <c r="L113" s="1">
        <v>404</v>
      </c>
      <c r="M113" s="3" t="s">
        <v>1223</v>
      </c>
      <c r="N113" s="1">
        <v>21</v>
      </c>
      <c r="O113" s="3" t="s">
        <v>1224</v>
      </c>
      <c r="P113" s="1">
        <v>2</v>
      </c>
      <c r="R113" s="1">
        <v>0</v>
      </c>
      <c r="T113" s="1">
        <v>0</v>
      </c>
      <c r="V113" s="1">
        <v>0</v>
      </c>
      <c r="Z113" s="1" t="s">
        <v>1220</v>
      </c>
      <c r="AF113" s="1">
        <v>42129</v>
      </c>
      <c r="AG113" s="1">
        <v>11150</v>
      </c>
      <c r="AH113" s="1">
        <v>11150</v>
      </c>
      <c r="AI113" s="1">
        <v>4.3449654500000001</v>
      </c>
      <c r="AK113" s="1">
        <v>75</v>
      </c>
      <c r="AL113" s="1">
        <v>34</v>
      </c>
      <c r="AM113" s="1">
        <v>2.2058823529411802</v>
      </c>
      <c r="AN113" s="1">
        <v>100</v>
      </c>
      <c r="AO113" s="1" t="s">
        <v>306</v>
      </c>
      <c r="AP113" s="1">
        <v>0.93376272916793801</v>
      </c>
      <c r="AQ113" s="1">
        <v>0</v>
      </c>
      <c r="AR113" s="1">
        <v>6</v>
      </c>
      <c r="AT113" s="1">
        <v>21</v>
      </c>
      <c r="AU113" s="1">
        <v>12</v>
      </c>
      <c r="AV113" s="1">
        <v>0</v>
      </c>
      <c r="AW113" s="1">
        <v>7.27</v>
      </c>
      <c r="AX113" s="1">
        <v>31</v>
      </c>
      <c r="AY113" s="1">
        <v>20</v>
      </c>
      <c r="AZ113" s="1">
        <v>0</v>
      </c>
      <c r="BA113" s="1">
        <v>2</v>
      </c>
      <c r="BB113" s="1">
        <v>2</v>
      </c>
      <c r="BC113" s="1">
        <v>0</v>
      </c>
      <c r="BH113" s="1" t="s">
        <v>1225</v>
      </c>
      <c r="BI113" s="1">
        <v>6.0000000000000001E-3</v>
      </c>
      <c r="BJ113" s="1" t="s">
        <v>567</v>
      </c>
      <c r="BN113" s="1" t="s">
        <v>403</v>
      </c>
      <c r="BO113" s="1" t="s">
        <v>404</v>
      </c>
      <c r="BP113" s="3" t="s">
        <v>1221</v>
      </c>
      <c r="BQ113" s="3" t="s">
        <v>1222</v>
      </c>
      <c r="BR113" s="1" t="s">
        <v>73</v>
      </c>
      <c r="BS113" s="3" t="s">
        <v>405</v>
      </c>
      <c r="BT113" s="1" t="s">
        <v>462</v>
      </c>
      <c r="BU113" s="1" t="s">
        <v>1220</v>
      </c>
      <c r="BV113" s="1" t="s">
        <v>76</v>
      </c>
      <c r="BW113" s="3" t="s">
        <v>1221</v>
      </c>
      <c r="BY113" s="1" t="s">
        <v>1220</v>
      </c>
      <c r="BZ113" s="1" t="s">
        <v>407</v>
      </c>
      <c r="CD113" s="1" t="s">
        <v>408</v>
      </c>
      <c r="CL113" s="1" t="s">
        <v>1220</v>
      </c>
      <c r="CM113" s="1" t="s">
        <v>1226</v>
      </c>
    </row>
    <row r="114" spans="1:91">
      <c r="A114" s="1" t="s">
        <v>1227</v>
      </c>
      <c r="B114" s="1" t="s">
        <v>395</v>
      </c>
      <c r="C114" s="1">
        <v>200</v>
      </c>
      <c r="D114" s="1" t="s">
        <v>303</v>
      </c>
      <c r="E114" s="1" t="s">
        <v>80</v>
      </c>
      <c r="G114" s="3" t="s">
        <v>1228</v>
      </c>
      <c r="H114" s="1">
        <v>20</v>
      </c>
      <c r="I114" s="1">
        <v>156</v>
      </c>
      <c r="J114" s="3" t="s">
        <v>1229</v>
      </c>
      <c r="K114" s="1">
        <v>78</v>
      </c>
      <c r="L114" s="1">
        <v>410</v>
      </c>
      <c r="M114" s="3" t="s">
        <v>1230</v>
      </c>
      <c r="N114" s="1">
        <v>14</v>
      </c>
      <c r="O114" s="3" t="s">
        <v>1231</v>
      </c>
      <c r="P114" s="1">
        <v>3</v>
      </c>
      <c r="R114" s="1">
        <v>0</v>
      </c>
      <c r="T114" s="1">
        <v>0</v>
      </c>
      <c r="V114" s="1">
        <v>0</v>
      </c>
      <c r="Z114" s="1" t="s">
        <v>1227</v>
      </c>
      <c r="AF114" s="1">
        <v>42164</v>
      </c>
      <c r="AG114" s="1">
        <v>11153</v>
      </c>
      <c r="AH114" s="1">
        <v>11153</v>
      </c>
      <c r="AI114" s="1">
        <v>4.3461344989999997</v>
      </c>
      <c r="AK114" s="1">
        <v>75</v>
      </c>
      <c r="AL114" s="1">
        <v>34</v>
      </c>
      <c r="AM114" s="1">
        <v>2.2058823529411802</v>
      </c>
      <c r="AN114" s="1">
        <v>100</v>
      </c>
      <c r="AO114" s="1" t="s">
        <v>306</v>
      </c>
      <c r="AP114" s="1">
        <v>0.93572211265563998</v>
      </c>
      <c r="AQ114" s="1">
        <v>0</v>
      </c>
      <c r="AR114" s="1">
        <v>6</v>
      </c>
      <c r="AT114" s="1">
        <v>21</v>
      </c>
      <c r="AU114" s="1">
        <v>12</v>
      </c>
      <c r="AV114" s="1">
        <v>0</v>
      </c>
      <c r="AW114" s="1">
        <v>7.27</v>
      </c>
      <c r="AX114" s="1">
        <v>31</v>
      </c>
      <c r="AY114" s="1">
        <v>20</v>
      </c>
      <c r="AZ114" s="1">
        <v>0</v>
      </c>
      <c r="BA114" s="1">
        <v>2</v>
      </c>
      <c r="BB114" s="1">
        <v>2</v>
      </c>
      <c r="BC114" s="1">
        <v>0</v>
      </c>
      <c r="BH114" s="1" t="s">
        <v>1232</v>
      </c>
      <c r="BI114" s="1">
        <v>7.0000000000000001E-3</v>
      </c>
      <c r="BJ114" s="1" t="s">
        <v>521</v>
      </c>
      <c r="BN114" s="1" t="s">
        <v>403</v>
      </c>
      <c r="BO114" s="1" t="s">
        <v>404</v>
      </c>
      <c r="BP114" s="3" t="s">
        <v>1228</v>
      </c>
      <c r="BQ114" s="3" t="s">
        <v>1229</v>
      </c>
      <c r="BR114" s="1" t="s">
        <v>73</v>
      </c>
      <c r="BS114" s="3" t="s">
        <v>405</v>
      </c>
      <c r="BT114" s="1" t="s">
        <v>462</v>
      </c>
      <c r="BU114" s="1" t="s">
        <v>1227</v>
      </c>
      <c r="BV114" s="1" t="s">
        <v>76</v>
      </c>
      <c r="BW114" s="3" t="s">
        <v>1228</v>
      </c>
      <c r="BY114" s="1" t="s">
        <v>1227</v>
      </c>
      <c r="BZ114" s="1" t="s">
        <v>407</v>
      </c>
      <c r="CD114" s="1" t="s">
        <v>408</v>
      </c>
      <c r="CL114" s="1" t="s">
        <v>1227</v>
      </c>
      <c r="CM114" s="1" t="s">
        <v>1088</v>
      </c>
    </row>
    <row r="115" spans="1:91">
      <c r="A115" s="1" t="s">
        <v>1233</v>
      </c>
      <c r="B115" s="1" t="s">
        <v>395</v>
      </c>
      <c r="C115" s="1">
        <v>200</v>
      </c>
      <c r="D115" s="1" t="s">
        <v>303</v>
      </c>
      <c r="E115" s="1" t="s">
        <v>80</v>
      </c>
      <c r="G115" s="3" t="s">
        <v>1234</v>
      </c>
      <c r="H115" s="1">
        <v>23</v>
      </c>
      <c r="I115" s="1">
        <v>179</v>
      </c>
      <c r="J115" s="3" t="s">
        <v>1235</v>
      </c>
      <c r="K115" s="1">
        <v>82</v>
      </c>
      <c r="L115" s="1">
        <v>428</v>
      </c>
      <c r="M115" s="3" t="s">
        <v>1236</v>
      </c>
      <c r="N115" s="1">
        <v>22</v>
      </c>
      <c r="O115" s="3" t="s">
        <v>1237</v>
      </c>
      <c r="P115" s="1">
        <v>6</v>
      </c>
      <c r="R115" s="1">
        <v>0</v>
      </c>
      <c r="T115" s="1">
        <v>0</v>
      </c>
      <c r="V115" s="1">
        <v>0</v>
      </c>
      <c r="Z115" s="1" t="s">
        <v>1233</v>
      </c>
      <c r="AF115" s="1">
        <v>41881</v>
      </c>
      <c r="AG115" s="1">
        <v>11121</v>
      </c>
      <c r="AH115" s="1">
        <v>11121</v>
      </c>
      <c r="AI115" s="1">
        <v>4.3336646429999996</v>
      </c>
      <c r="AK115" s="1">
        <v>73</v>
      </c>
      <c r="AL115" s="1">
        <v>32</v>
      </c>
      <c r="AM115" s="1">
        <v>2.28125</v>
      </c>
      <c r="AN115" s="1">
        <v>100</v>
      </c>
      <c r="AO115" s="1" t="s">
        <v>306</v>
      </c>
      <c r="AP115" s="1">
        <v>0.98396956920623802</v>
      </c>
      <c r="AQ115" s="1">
        <v>0</v>
      </c>
      <c r="AR115" s="1">
        <v>6</v>
      </c>
      <c r="AT115" s="1">
        <v>17</v>
      </c>
      <c r="AU115" s="1">
        <v>8</v>
      </c>
      <c r="AV115" s="1">
        <v>0</v>
      </c>
      <c r="AW115" s="1">
        <v>4.8499999999999996</v>
      </c>
      <c r="AX115" s="1">
        <v>29</v>
      </c>
      <c r="AY115" s="1">
        <v>18</v>
      </c>
      <c r="AZ115" s="1">
        <v>0</v>
      </c>
      <c r="BA115" s="1">
        <v>2</v>
      </c>
      <c r="BB115" s="1">
        <v>2</v>
      </c>
      <c r="BC115" s="1">
        <v>0</v>
      </c>
      <c r="BH115" s="1" t="s">
        <v>1238</v>
      </c>
      <c r="BI115" s="1">
        <v>6.0000000000000001E-3</v>
      </c>
      <c r="BJ115" s="1" t="s">
        <v>567</v>
      </c>
      <c r="BN115" s="1" t="s">
        <v>403</v>
      </c>
      <c r="BO115" s="1" t="s">
        <v>404</v>
      </c>
      <c r="BP115" s="3" t="s">
        <v>1234</v>
      </c>
      <c r="BQ115" s="3" t="s">
        <v>1235</v>
      </c>
      <c r="BR115" s="1" t="s">
        <v>73</v>
      </c>
      <c r="BS115" s="3" t="s">
        <v>405</v>
      </c>
      <c r="BT115" s="1" t="s">
        <v>462</v>
      </c>
      <c r="BU115" s="1" t="s">
        <v>1233</v>
      </c>
      <c r="BV115" s="1" t="s">
        <v>76</v>
      </c>
      <c r="BW115" s="3" t="s">
        <v>1234</v>
      </c>
      <c r="BY115" s="1" t="s">
        <v>1233</v>
      </c>
      <c r="BZ115" s="1" t="s">
        <v>407</v>
      </c>
      <c r="CD115" s="1" t="s">
        <v>408</v>
      </c>
      <c r="CL115" s="1" t="s">
        <v>1233</v>
      </c>
      <c r="CM115" s="1" t="s">
        <v>1239</v>
      </c>
    </row>
    <row r="116" spans="1:91">
      <c r="A116" s="1" t="s">
        <v>1240</v>
      </c>
      <c r="B116" s="1" t="s">
        <v>395</v>
      </c>
      <c r="C116" s="1">
        <v>200</v>
      </c>
      <c r="D116" s="1" t="s">
        <v>303</v>
      </c>
      <c r="E116" s="1" t="s">
        <v>80</v>
      </c>
      <c r="G116" s="3" t="s">
        <v>1241</v>
      </c>
      <c r="H116" s="1">
        <v>25</v>
      </c>
      <c r="I116" s="1">
        <v>200</v>
      </c>
      <c r="J116" s="3" t="s">
        <v>1242</v>
      </c>
      <c r="K116" s="1">
        <v>84</v>
      </c>
      <c r="L116" s="1">
        <v>443</v>
      </c>
      <c r="N116" s="1">
        <v>0</v>
      </c>
      <c r="O116" s="3" t="s">
        <v>1243</v>
      </c>
      <c r="P116" s="1">
        <v>8</v>
      </c>
      <c r="R116" s="1">
        <v>0</v>
      </c>
      <c r="T116" s="1">
        <v>0</v>
      </c>
      <c r="V116" s="1">
        <v>0</v>
      </c>
      <c r="Z116" s="1" t="s">
        <v>1240</v>
      </c>
      <c r="AF116" s="1">
        <v>41927</v>
      </c>
      <c r="AG116" s="1">
        <v>11098</v>
      </c>
      <c r="AH116" s="1">
        <v>11098</v>
      </c>
      <c r="AI116" s="1">
        <v>4.3247019340000001</v>
      </c>
      <c r="AK116" s="1">
        <v>72</v>
      </c>
      <c r="AL116" s="1">
        <v>32</v>
      </c>
      <c r="AM116" s="1">
        <v>2.25</v>
      </c>
      <c r="AN116" s="1">
        <v>100</v>
      </c>
      <c r="AO116" s="1" t="s">
        <v>306</v>
      </c>
      <c r="AP116" s="1">
        <v>0.98800820112228405</v>
      </c>
      <c r="AQ116" s="1">
        <v>0</v>
      </c>
      <c r="AR116" s="1">
        <v>6</v>
      </c>
      <c r="AT116" s="1">
        <v>17</v>
      </c>
      <c r="AU116" s="1">
        <v>8</v>
      </c>
      <c r="AV116" s="1">
        <v>0</v>
      </c>
      <c r="AW116" s="1">
        <v>4.8499999999999996</v>
      </c>
      <c r="AX116" s="1">
        <v>29</v>
      </c>
      <c r="AY116" s="1">
        <v>18</v>
      </c>
      <c r="AZ116" s="1">
        <v>0</v>
      </c>
      <c r="BA116" s="1">
        <v>2</v>
      </c>
      <c r="BB116" s="1">
        <v>2</v>
      </c>
      <c r="BC116" s="1">
        <v>0</v>
      </c>
      <c r="BH116" s="1" t="s">
        <v>1244</v>
      </c>
      <c r="BI116" s="1">
        <v>7.0000000000000001E-3</v>
      </c>
      <c r="BJ116" s="1" t="s">
        <v>536</v>
      </c>
      <c r="BN116" s="1" t="s">
        <v>403</v>
      </c>
      <c r="BO116" s="1" t="s">
        <v>404</v>
      </c>
      <c r="BP116" s="3" t="s">
        <v>1241</v>
      </c>
      <c r="BQ116" s="3" t="s">
        <v>1242</v>
      </c>
      <c r="BR116" s="1" t="s">
        <v>73</v>
      </c>
      <c r="BS116" s="3" t="s">
        <v>405</v>
      </c>
      <c r="BT116" s="1" t="s">
        <v>462</v>
      </c>
      <c r="BU116" s="1" t="s">
        <v>1240</v>
      </c>
      <c r="BV116" s="1" t="s">
        <v>76</v>
      </c>
      <c r="BW116" s="3" t="s">
        <v>1241</v>
      </c>
      <c r="BY116" s="1" t="s">
        <v>1240</v>
      </c>
      <c r="BZ116" s="1" t="s">
        <v>407</v>
      </c>
      <c r="CD116" s="1" t="s">
        <v>408</v>
      </c>
      <c r="CL116" s="1" t="s">
        <v>1240</v>
      </c>
      <c r="CM116" s="1" t="s">
        <v>839</v>
      </c>
    </row>
    <row r="117" spans="1:91">
      <c r="A117" s="1" t="s">
        <v>1245</v>
      </c>
      <c r="B117" s="1" t="s">
        <v>395</v>
      </c>
      <c r="C117" s="1">
        <v>200</v>
      </c>
      <c r="D117" s="1" t="s">
        <v>303</v>
      </c>
      <c r="E117" s="1" t="s">
        <v>80</v>
      </c>
      <c r="G117" s="3" t="s">
        <v>1246</v>
      </c>
      <c r="H117" s="1">
        <v>25</v>
      </c>
      <c r="I117" s="1">
        <v>199</v>
      </c>
      <c r="J117" s="3" t="s">
        <v>1247</v>
      </c>
      <c r="K117" s="1">
        <v>84</v>
      </c>
      <c r="L117" s="1">
        <v>443</v>
      </c>
      <c r="N117" s="1">
        <v>0</v>
      </c>
      <c r="O117" s="3" t="s">
        <v>1248</v>
      </c>
      <c r="P117" s="1">
        <v>8</v>
      </c>
      <c r="R117" s="1">
        <v>0</v>
      </c>
      <c r="T117" s="1">
        <v>0</v>
      </c>
      <c r="V117" s="1">
        <v>0</v>
      </c>
      <c r="Z117" s="1" t="s">
        <v>1245</v>
      </c>
      <c r="AF117" s="1">
        <v>41911</v>
      </c>
      <c r="AG117" s="1">
        <v>11094</v>
      </c>
      <c r="AH117" s="1">
        <v>11094</v>
      </c>
      <c r="AI117" s="1">
        <v>4.3231432019999998</v>
      </c>
      <c r="AK117" s="1">
        <v>72</v>
      </c>
      <c r="AL117" s="1">
        <v>32</v>
      </c>
      <c r="AM117" s="1">
        <v>2.25</v>
      </c>
      <c r="AN117" s="1">
        <v>100</v>
      </c>
      <c r="AO117" s="1" t="s">
        <v>306</v>
      </c>
      <c r="AP117" s="1">
        <v>0.98790878057479903</v>
      </c>
      <c r="AQ117" s="1">
        <v>0</v>
      </c>
      <c r="AR117" s="1">
        <v>6</v>
      </c>
      <c r="AT117" s="1">
        <v>17</v>
      </c>
      <c r="AU117" s="1">
        <v>8</v>
      </c>
      <c r="AV117" s="1">
        <v>0</v>
      </c>
      <c r="AW117" s="1">
        <v>4.8499999999999996</v>
      </c>
      <c r="AX117" s="1">
        <v>29</v>
      </c>
      <c r="AY117" s="1">
        <v>18</v>
      </c>
      <c r="AZ117" s="1">
        <v>0</v>
      </c>
      <c r="BA117" s="1">
        <v>2</v>
      </c>
      <c r="BB117" s="1">
        <v>2</v>
      </c>
      <c r="BC117" s="1">
        <v>0</v>
      </c>
      <c r="BH117" s="1" t="s">
        <v>1249</v>
      </c>
      <c r="BI117" s="1">
        <v>7.0000000000000001E-3</v>
      </c>
      <c r="BJ117" s="1" t="s">
        <v>551</v>
      </c>
      <c r="BN117" s="1" t="s">
        <v>403</v>
      </c>
      <c r="BO117" s="1" t="s">
        <v>404</v>
      </c>
      <c r="BP117" s="3" t="s">
        <v>1246</v>
      </c>
      <c r="BQ117" s="3" t="s">
        <v>1247</v>
      </c>
      <c r="BR117" s="1" t="s">
        <v>73</v>
      </c>
      <c r="BS117" s="3" t="s">
        <v>405</v>
      </c>
      <c r="BT117" s="1" t="s">
        <v>462</v>
      </c>
      <c r="BU117" s="1" t="s">
        <v>1245</v>
      </c>
      <c r="BV117" s="1" t="s">
        <v>76</v>
      </c>
      <c r="BW117" s="3" t="s">
        <v>1246</v>
      </c>
      <c r="BY117" s="1" t="s">
        <v>1245</v>
      </c>
      <c r="BZ117" s="1" t="s">
        <v>407</v>
      </c>
      <c r="CD117" s="1" t="s">
        <v>408</v>
      </c>
      <c r="CL117" s="1" t="s">
        <v>1245</v>
      </c>
      <c r="CM117" s="1" t="s">
        <v>1250</v>
      </c>
    </row>
    <row r="118" spans="1:91">
      <c r="A118" s="1" t="s">
        <v>1251</v>
      </c>
      <c r="B118" s="1" t="s">
        <v>395</v>
      </c>
      <c r="C118" s="1">
        <v>200</v>
      </c>
      <c r="D118" s="1" t="s">
        <v>303</v>
      </c>
      <c r="E118" s="1" t="s">
        <v>80</v>
      </c>
      <c r="G118" s="3" t="s">
        <v>1252</v>
      </c>
      <c r="H118" s="1">
        <v>22</v>
      </c>
      <c r="I118" s="1">
        <v>173</v>
      </c>
      <c r="J118" s="3" t="s">
        <v>1253</v>
      </c>
      <c r="K118" s="1">
        <v>81</v>
      </c>
      <c r="L118" s="1">
        <v>425</v>
      </c>
      <c r="N118" s="1">
        <v>0</v>
      </c>
      <c r="O118" s="3" t="s">
        <v>1254</v>
      </c>
      <c r="P118" s="1">
        <v>5</v>
      </c>
      <c r="R118" s="1">
        <v>0</v>
      </c>
      <c r="T118" s="1">
        <v>0</v>
      </c>
      <c r="V118" s="1">
        <v>0</v>
      </c>
      <c r="Z118" s="1" t="s">
        <v>1251</v>
      </c>
      <c r="AF118" s="1">
        <v>41853</v>
      </c>
      <c r="AG118" s="1">
        <v>11096</v>
      </c>
      <c r="AH118" s="1">
        <v>11096</v>
      </c>
      <c r="AI118" s="1">
        <v>4.3239225680000004</v>
      </c>
      <c r="AK118" s="1">
        <v>72</v>
      </c>
      <c r="AL118" s="1">
        <v>32</v>
      </c>
      <c r="AM118" s="1">
        <v>2.25</v>
      </c>
      <c r="AN118" s="1">
        <v>100</v>
      </c>
      <c r="AO118" s="1" t="s">
        <v>306</v>
      </c>
      <c r="AP118" s="1">
        <v>0.98081129789352395</v>
      </c>
      <c r="AQ118" s="1">
        <v>0</v>
      </c>
      <c r="AR118" s="1">
        <v>6</v>
      </c>
      <c r="AT118" s="1">
        <v>17</v>
      </c>
      <c r="AU118" s="1">
        <v>8</v>
      </c>
      <c r="AV118" s="1">
        <v>0</v>
      </c>
      <c r="AW118" s="1">
        <v>4.8499999999999996</v>
      </c>
      <c r="AX118" s="1">
        <v>29</v>
      </c>
      <c r="AY118" s="1">
        <v>18</v>
      </c>
      <c r="AZ118" s="1">
        <v>0</v>
      </c>
      <c r="BA118" s="1">
        <v>2</v>
      </c>
      <c r="BB118" s="1">
        <v>2</v>
      </c>
      <c r="BC118" s="1">
        <v>0</v>
      </c>
      <c r="BH118" s="1" t="s">
        <v>1255</v>
      </c>
      <c r="BI118" s="1">
        <v>6.0000000000000001E-3</v>
      </c>
      <c r="BJ118" s="1" t="s">
        <v>567</v>
      </c>
      <c r="BN118" s="1" t="s">
        <v>403</v>
      </c>
      <c r="BO118" s="1" t="s">
        <v>404</v>
      </c>
      <c r="BP118" s="3" t="s">
        <v>1252</v>
      </c>
      <c r="BQ118" s="3" t="s">
        <v>1253</v>
      </c>
      <c r="BR118" s="1" t="s">
        <v>73</v>
      </c>
      <c r="BS118" s="3" t="s">
        <v>405</v>
      </c>
      <c r="BT118" s="1" t="s">
        <v>462</v>
      </c>
      <c r="BU118" s="1" t="s">
        <v>1251</v>
      </c>
      <c r="BV118" s="1" t="s">
        <v>76</v>
      </c>
      <c r="BW118" s="3" t="s">
        <v>1252</v>
      </c>
      <c r="BY118" s="1" t="s">
        <v>1251</v>
      </c>
      <c r="BZ118" s="1" t="s">
        <v>407</v>
      </c>
      <c r="CD118" s="1" t="s">
        <v>408</v>
      </c>
      <c r="CL118" s="1" t="s">
        <v>1251</v>
      </c>
      <c r="CM118" s="1" t="s">
        <v>1256</v>
      </c>
    </row>
    <row r="119" spans="1:91">
      <c r="A119" s="1" t="s">
        <v>1257</v>
      </c>
      <c r="B119" s="1" t="s">
        <v>395</v>
      </c>
      <c r="C119" s="1">
        <v>200</v>
      </c>
      <c r="D119" s="1" t="s">
        <v>303</v>
      </c>
      <c r="E119" s="1" t="s">
        <v>80</v>
      </c>
      <c r="G119" s="3" t="s">
        <v>1258</v>
      </c>
      <c r="H119" s="1">
        <v>23</v>
      </c>
      <c r="I119" s="1">
        <v>179</v>
      </c>
      <c r="J119" s="3" t="s">
        <v>1259</v>
      </c>
      <c r="K119" s="1">
        <v>75</v>
      </c>
      <c r="L119" s="1">
        <v>392</v>
      </c>
      <c r="N119" s="1">
        <v>0</v>
      </c>
      <c r="O119" s="3" t="s">
        <v>1260</v>
      </c>
      <c r="P119" s="1">
        <v>6</v>
      </c>
      <c r="R119" s="1">
        <v>0</v>
      </c>
      <c r="T119" s="1">
        <v>0</v>
      </c>
      <c r="V119" s="1">
        <v>0</v>
      </c>
      <c r="Z119" s="1" t="s">
        <v>1257</v>
      </c>
      <c r="AF119" s="1">
        <v>41692</v>
      </c>
      <c r="AG119" s="1">
        <v>11121</v>
      </c>
      <c r="AH119" s="1">
        <v>11121</v>
      </c>
      <c r="AI119" s="1">
        <v>4.3336646429999996</v>
      </c>
      <c r="AK119" s="1">
        <v>73</v>
      </c>
      <c r="AL119" s="1">
        <v>32</v>
      </c>
      <c r="AM119" s="1">
        <v>2.28125</v>
      </c>
      <c r="AN119" s="1">
        <v>100</v>
      </c>
      <c r="AO119" s="1" t="s">
        <v>306</v>
      </c>
      <c r="AP119" s="1">
        <v>0.98882204294204701</v>
      </c>
      <c r="AQ119" s="1">
        <v>0</v>
      </c>
      <c r="AR119" s="1">
        <v>5</v>
      </c>
      <c r="AT119" s="1">
        <v>17</v>
      </c>
      <c r="AU119" s="1">
        <v>8</v>
      </c>
      <c r="AV119" s="1">
        <v>0</v>
      </c>
      <c r="AW119" s="1">
        <v>4.8499999999999996</v>
      </c>
      <c r="AX119" s="1">
        <v>29</v>
      </c>
      <c r="AY119" s="1">
        <v>18</v>
      </c>
      <c r="AZ119" s="1">
        <v>0</v>
      </c>
      <c r="BA119" s="1">
        <v>2</v>
      </c>
      <c r="BB119" s="1">
        <v>2</v>
      </c>
      <c r="BC119" s="1">
        <v>0</v>
      </c>
      <c r="BH119" s="1" t="s">
        <v>1261</v>
      </c>
      <c r="BI119" s="1">
        <v>8.0000000000000002E-3</v>
      </c>
      <c r="BJ119" s="1" t="s">
        <v>536</v>
      </c>
      <c r="BN119" s="1" t="s">
        <v>403</v>
      </c>
      <c r="BO119" s="1" t="s">
        <v>404</v>
      </c>
      <c r="BP119" s="3" t="s">
        <v>1258</v>
      </c>
      <c r="BQ119" s="3" t="s">
        <v>1259</v>
      </c>
      <c r="BR119" s="1" t="s">
        <v>73</v>
      </c>
      <c r="BS119" s="3" t="s">
        <v>405</v>
      </c>
      <c r="BT119" s="1" t="s">
        <v>462</v>
      </c>
      <c r="BU119" s="1" t="s">
        <v>1257</v>
      </c>
      <c r="BV119" s="1" t="s">
        <v>76</v>
      </c>
      <c r="BW119" s="3" t="s">
        <v>1258</v>
      </c>
      <c r="BY119" s="1" t="s">
        <v>1257</v>
      </c>
      <c r="BZ119" s="1" t="s">
        <v>407</v>
      </c>
      <c r="CD119" s="1" t="s">
        <v>408</v>
      </c>
      <c r="CL119" s="1" t="s">
        <v>1257</v>
      </c>
      <c r="CM119" s="1" t="s">
        <v>427</v>
      </c>
    </row>
    <row r="120" spans="1:91">
      <c r="A120" s="1" t="s">
        <v>1262</v>
      </c>
      <c r="B120" s="1" t="s">
        <v>395</v>
      </c>
      <c r="C120" s="1">
        <v>200</v>
      </c>
      <c r="D120" s="1" t="s">
        <v>303</v>
      </c>
      <c r="E120" s="1" t="s">
        <v>80</v>
      </c>
      <c r="G120" s="3" t="s">
        <v>1263</v>
      </c>
      <c r="H120" s="1">
        <v>23</v>
      </c>
      <c r="I120" s="1">
        <v>182</v>
      </c>
      <c r="J120" s="3" t="s">
        <v>1264</v>
      </c>
      <c r="K120" s="1">
        <v>82</v>
      </c>
      <c r="L120" s="1">
        <v>431</v>
      </c>
      <c r="N120" s="1">
        <v>0</v>
      </c>
      <c r="O120" s="3" t="s">
        <v>1265</v>
      </c>
      <c r="P120" s="1">
        <v>6</v>
      </c>
      <c r="R120" s="1">
        <v>0</v>
      </c>
      <c r="T120" s="1">
        <v>0</v>
      </c>
      <c r="V120" s="1">
        <v>0</v>
      </c>
      <c r="Z120" s="1" t="s">
        <v>1262</v>
      </c>
      <c r="AF120" s="1">
        <v>41843</v>
      </c>
      <c r="AG120" s="1">
        <v>11099</v>
      </c>
      <c r="AH120" s="1">
        <v>11099</v>
      </c>
      <c r="AI120" s="1">
        <v>4.325091617</v>
      </c>
      <c r="AK120" s="1">
        <v>72</v>
      </c>
      <c r="AL120" s="1">
        <v>32</v>
      </c>
      <c r="AM120" s="1">
        <v>2.25</v>
      </c>
      <c r="AN120" s="1">
        <v>100</v>
      </c>
      <c r="AO120" s="1" t="s">
        <v>306</v>
      </c>
      <c r="AP120" s="1">
        <v>0.98406869173049905</v>
      </c>
      <c r="AQ120" s="1">
        <v>0</v>
      </c>
      <c r="AR120" s="1">
        <v>6</v>
      </c>
      <c r="AT120" s="1">
        <v>17</v>
      </c>
      <c r="AU120" s="1">
        <v>8</v>
      </c>
      <c r="AV120" s="1">
        <v>0</v>
      </c>
      <c r="AW120" s="1">
        <v>4.8499999999999996</v>
      </c>
      <c r="AX120" s="1">
        <v>29</v>
      </c>
      <c r="AY120" s="1">
        <v>18</v>
      </c>
      <c r="AZ120" s="1">
        <v>0</v>
      </c>
      <c r="BA120" s="1">
        <v>2</v>
      </c>
      <c r="BB120" s="1">
        <v>2</v>
      </c>
      <c r="BC120" s="1">
        <v>0</v>
      </c>
      <c r="BH120" s="1" t="s">
        <v>1266</v>
      </c>
      <c r="BI120" s="1">
        <v>8.0000000000000002E-3</v>
      </c>
      <c r="BJ120" s="1" t="s">
        <v>536</v>
      </c>
      <c r="BN120" s="1" t="s">
        <v>403</v>
      </c>
      <c r="BO120" s="1" t="s">
        <v>404</v>
      </c>
      <c r="BP120" s="3" t="s">
        <v>1263</v>
      </c>
      <c r="BQ120" s="3" t="s">
        <v>1264</v>
      </c>
      <c r="BR120" s="1" t="s">
        <v>73</v>
      </c>
      <c r="BS120" s="3" t="s">
        <v>405</v>
      </c>
      <c r="BT120" s="1" t="s">
        <v>462</v>
      </c>
      <c r="BU120" s="1" t="s">
        <v>1262</v>
      </c>
      <c r="BV120" s="1" t="s">
        <v>76</v>
      </c>
      <c r="BW120" s="3" t="s">
        <v>1263</v>
      </c>
      <c r="BY120" s="1" t="s">
        <v>1262</v>
      </c>
      <c r="BZ120" s="1" t="s">
        <v>407</v>
      </c>
      <c r="CD120" s="1" t="s">
        <v>408</v>
      </c>
      <c r="CL120" s="1" t="s">
        <v>1262</v>
      </c>
      <c r="CM120" s="1" t="s">
        <v>1267</v>
      </c>
    </row>
    <row r="121" spans="1:91">
      <c r="A121" s="1" t="s">
        <v>1268</v>
      </c>
      <c r="B121" s="1" t="s">
        <v>395</v>
      </c>
      <c r="C121" s="1">
        <v>200</v>
      </c>
      <c r="D121" s="1" t="s">
        <v>303</v>
      </c>
      <c r="E121" s="1" t="s">
        <v>80</v>
      </c>
      <c r="G121" s="3" t="s">
        <v>1269</v>
      </c>
      <c r="H121" s="1">
        <v>27</v>
      </c>
      <c r="I121" s="1">
        <v>219</v>
      </c>
      <c r="J121" s="3" t="s">
        <v>1270</v>
      </c>
      <c r="K121" s="1">
        <v>86</v>
      </c>
      <c r="L121" s="1">
        <v>455</v>
      </c>
      <c r="M121" s="3" t="s">
        <v>1236</v>
      </c>
      <c r="N121" s="1">
        <v>22</v>
      </c>
      <c r="O121" s="3" t="s">
        <v>1271</v>
      </c>
      <c r="P121" s="1">
        <v>10</v>
      </c>
      <c r="R121" s="1">
        <v>0</v>
      </c>
      <c r="T121" s="1">
        <v>0</v>
      </c>
      <c r="V121" s="1">
        <v>0</v>
      </c>
      <c r="Z121" s="1" t="s">
        <v>1268</v>
      </c>
      <c r="AF121" s="1">
        <v>42047</v>
      </c>
      <c r="AG121" s="1">
        <v>11114</v>
      </c>
      <c r="AH121" s="1">
        <v>11114</v>
      </c>
      <c r="AI121" s="1">
        <v>4.3309368619999997</v>
      </c>
      <c r="AK121" s="1">
        <v>72</v>
      </c>
      <c r="AL121" s="1">
        <v>32</v>
      </c>
      <c r="AM121" s="1">
        <v>2.25</v>
      </c>
      <c r="AN121" s="1">
        <v>100</v>
      </c>
      <c r="AO121" s="1" t="s">
        <v>306</v>
      </c>
      <c r="AP121" s="1">
        <v>0.99238753318786599</v>
      </c>
      <c r="AQ121" s="1">
        <v>0</v>
      </c>
      <c r="AR121" s="1">
        <v>6</v>
      </c>
      <c r="AT121" s="1">
        <v>17</v>
      </c>
      <c r="AU121" s="1">
        <v>8</v>
      </c>
      <c r="AV121" s="1">
        <v>0</v>
      </c>
      <c r="AW121" s="1">
        <v>4.8499999999999996</v>
      </c>
      <c r="AX121" s="1">
        <v>29</v>
      </c>
      <c r="AY121" s="1">
        <v>18</v>
      </c>
      <c r="AZ121" s="1">
        <v>0</v>
      </c>
      <c r="BA121" s="1">
        <v>2</v>
      </c>
      <c r="BB121" s="1">
        <v>2</v>
      </c>
      <c r="BC121" s="1">
        <v>0</v>
      </c>
      <c r="BH121" s="1" t="s">
        <v>1272</v>
      </c>
      <c r="BI121" s="1">
        <v>7.0000000000000001E-3</v>
      </c>
      <c r="BJ121" s="1" t="s">
        <v>551</v>
      </c>
      <c r="BN121" s="1" t="s">
        <v>403</v>
      </c>
      <c r="BO121" s="1" t="s">
        <v>404</v>
      </c>
      <c r="BP121" s="3" t="s">
        <v>1269</v>
      </c>
      <c r="BQ121" s="3" t="s">
        <v>1270</v>
      </c>
      <c r="BR121" s="1" t="s">
        <v>73</v>
      </c>
      <c r="BS121" s="3" t="s">
        <v>405</v>
      </c>
      <c r="BT121" s="1" t="s">
        <v>462</v>
      </c>
      <c r="BU121" s="1" t="s">
        <v>1268</v>
      </c>
      <c r="BV121" s="1" t="s">
        <v>76</v>
      </c>
      <c r="BW121" s="3" t="s">
        <v>1269</v>
      </c>
      <c r="BY121" s="1" t="s">
        <v>1268</v>
      </c>
      <c r="BZ121" s="1" t="s">
        <v>407</v>
      </c>
      <c r="CD121" s="1" t="s">
        <v>408</v>
      </c>
      <c r="CL121" s="1" t="s">
        <v>1268</v>
      </c>
      <c r="CM121" s="1" t="s">
        <v>1135</v>
      </c>
    </row>
    <row r="122" spans="1:91">
      <c r="A122" s="1" t="s">
        <v>1273</v>
      </c>
      <c r="B122" s="1" t="s">
        <v>395</v>
      </c>
      <c r="C122" s="1">
        <v>200</v>
      </c>
      <c r="D122" s="1" t="s">
        <v>303</v>
      </c>
      <c r="E122" s="1" t="s">
        <v>80</v>
      </c>
      <c r="G122" s="3" t="s">
        <v>1274</v>
      </c>
      <c r="H122" s="1">
        <v>22</v>
      </c>
      <c r="I122" s="1">
        <v>173</v>
      </c>
      <c r="J122" s="3" t="s">
        <v>1275</v>
      </c>
      <c r="K122" s="1">
        <v>81</v>
      </c>
      <c r="L122" s="1">
        <v>425</v>
      </c>
      <c r="N122" s="1">
        <v>0</v>
      </c>
      <c r="O122" s="3" t="s">
        <v>1276</v>
      </c>
      <c r="P122" s="1">
        <v>5</v>
      </c>
      <c r="R122" s="1">
        <v>0</v>
      </c>
      <c r="T122" s="1">
        <v>0</v>
      </c>
      <c r="V122" s="1">
        <v>0</v>
      </c>
      <c r="Z122" s="1" t="s">
        <v>1273</v>
      </c>
      <c r="AF122" s="1">
        <v>41825</v>
      </c>
      <c r="AG122" s="1">
        <v>11098</v>
      </c>
      <c r="AH122" s="1">
        <v>11098</v>
      </c>
      <c r="AI122" s="1">
        <v>4.3247019340000001</v>
      </c>
      <c r="AK122" s="1">
        <v>72</v>
      </c>
      <c r="AL122" s="1">
        <v>32</v>
      </c>
      <c r="AM122" s="1">
        <v>2.25</v>
      </c>
      <c r="AN122" s="1">
        <v>100</v>
      </c>
      <c r="AO122" s="1" t="s">
        <v>306</v>
      </c>
      <c r="AP122" s="1">
        <v>0.98150241374969505</v>
      </c>
      <c r="AQ122" s="1">
        <v>0</v>
      </c>
      <c r="AR122" s="1">
        <v>6</v>
      </c>
      <c r="AT122" s="1">
        <v>17</v>
      </c>
      <c r="AU122" s="1">
        <v>8</v>
      </c>
      <c r="AV122" s="1">
        <v>0</v>
      </c>
      <c r="AW122" s="1">
        <v>4.8499999999999996</v>
      </c>
      <c r="AX122" s="1">
        <v>29</v>
      </c>
      <c r="AY122" s="1">
        <v>18</v>
      </c>
      <c r="AZ122" s="1">
        <v>0</v>
      </c>
      <c r="BA122" s="1">
        <v>2</v>
      </c>
      <c r="BB122" s="1">
        <v>2</v>
      </c>
      <c r="BC122" s="1">
        <v>0</v>
      </c>
      <c r="BH122" s="1" t="s">
        <v>1277</v>
      </c>
      <c r="BI122" s="1">
        <v>8.0000000000000002E-3</v>
      </c>
      <c r="BJ122" s="1" t="s">
        <v>567</v>
      </c>
      <c r="BN122" s="1" t="s">
        <v>403</v>
      </c>
      <c r="BO122" s="1" t="s">
        <v>404</v>
      </c>
      <c r="BP122" s="3" t="s">
        <v>1274</v>
      </c>
      <c r="BQ122" s="3" t="s">
        <v>1275</v>
      </c>
      <c r="BR122" s="1" t="s">
        <v>73</v>
      </c>
      <c r="BS122" s="3" t="s">
        <v>405</v>
      </c>
      <c r="BT122" s="1" t="s">
        <v>462</v>
      </c>
      <c r="BU122" s="1" t="s">
        <v>1273</v>
      </c>
      <c r="BV122" s="1" t="s">
        <v>76</v>
      </c>
      <c r="BW122" s="3" t="s">
        <v>1274</v>
      </c>
      <c r="BY122" s="1" t="s">
        <v>1273</v>
      </c>
      <c r="BZ122" s="1" t="s">
        <v>407</v>
      </c>
      <c r="CD122" s="1" t="s">
        <v>408</v>
      </c>
      <c r="CL122" s="1" t="s">
        <v>1273</v>
      </c>
      <c r="CM122" s="1" t="s">
        <v>928</v>
      </c>
    </row>
    <row r="123" spans="1:91">
      <c r="A123" s="1" t="s">
        <v>1278</v>
      </c>
      <c r="B123" s="1" t="s">
        <v>395</v>
      </c>
      <c r="C123" s="1">
        <v>200</v>
      </c>
      <c r="D123" s="1" t="s">
        <v>303</v>
      </c>
      <c r="E123" s="1" t="s">
        <v>80</v>
      </c>
      <c r="G123" s="3" t="s">
        <v>1279</v>
      </c>
      <c r="H123" s="1">
        <v>20</v>
      </c>
      <c r="I123" s="1">
        <v>156</v>
      </c>
      <c r="J123" s="3" t="s">
        <v>1280</v>
      </c>
      <c r="K123" s="1">
        <v>80</v>
      </c>
      <c r="L123" s="1">
        <v>422</v>
      </c>
      <c r="N123" s="1">
        <v>0</v>
      </c>
      <c r="O123" s="3" t="s">
        <v>1281</v>
      </c>
      <c r="P123" s="1">
        <v>3</v>
      </c>
      <c r="R123" s="1">
        <v>0</v>
      </c>
      <c r="T123" s="1">
        <v>0</v>
      </c>
      <c r="V123" s="1">
        <v>0</v>
      </c>
      <c r="Z123" s="1" t="s">
        <v>1278</v>
      </c>
      <c r="AF123" s="1">
        <v>42593</v>
      </c>
      <c r="AG123" s="1">
        <v>11166</v>
      </c>
      <c r="AH123" s="1">
        <v>11166</v>
      </c>
      <c r="AI123" s="1">
        <v>4.3512003779999997</v>
      </c>
      <c r="AK123" s="1">
        <v>79</v>
      </c>
      <c r="AL123" s="1">
        <v>35</v>
      </c>
      <c r="AM123" s="1">
        <v>2.2571428571428598</v>
      </c>
      <c r="AN123" s="1">
        <v>100</v>
      </c>
      <c r="AO123" s="1" t="s">
        <v>306</v>
      </c>
      <c r="AP123" s="1">
        <v>0.94393241405487105</v>
      </c>
      <c r="AQ123" s="1">
        <v>0</v>
      </c>
      <c r="AR123" s="1">
        <v>6</v>
      </c>
      <c r="AT123" s="1">
        <v>19</v>
      </c>
      <c r="AU123" s="1">
        <v>10</v>
      </c>
      <c r="AV123" s="1">
        <v>0</v>
      </c>
      <c r="AW123" s="1">
        <v>6.06</v>
      </c>
      <c r="AX123" s="1">
        <v>32</v>
      </c>
      <c r="AY123" s="1">
        <v>21</v>
      </c>
      <c r="AZ123" s="1">
        <v>0</v>
      </c>
      <c r="BA123" s="1">
        <v>2</v>
      </c>
      <c r="BB123" s="1">
        <v>2</v>
      </c>
      <c r="BC123" s="1">
        <v>0</v>
      </c>
      <c r="BH123" s="1" t="s">
        <v>1282</v>
      </c>
      <c r="BI123" s="1">
        <v>1.0999999999999999E-2</v>
      </c>
      <c r="BJ123" s="1" t="s">
        <v>1283</v>
      </c>
      <c r="BN123" s="1" t="s">
        <v>403</v>
      </c>
      <c r="BO123" s="1" t="s">
        <v>404</v>
      </c>
      <c r="BP123" s="3" t="s">
        <v>1279</v>
      </c>
      <c r="BQ123" s="3" t="s">
        <v>1280</v>
      </c>
      <c r="BR123" s="1" t="s">
        <v>73</v>
      </c>
      <c r="BS123" s="3" t="s">
        <v>405</v>
      </c>
      <c r="BT123" s="1" t="s">
        <v>462</v>
      </c>
      <c r="BU123" s="1" t="s">
        <v>1278</v>
      </c>
      <c r="BV123" s="1" t="s">
        <v>76</v>
      </c>
      <c r="BW123" s="3" t="s">
        <v>1279</v>
      </c>
      <c r="BY123" s="1" t="s">
        <v>1278</v>
      </c>
      <c r="BZ123" s="1" t="s">
        <v>407</v>
      </c>
      <c r="CD123" s="1" t="s">
        <v>408</v>
      </c>
      <c r="CL123" s="1" t="s">
        <v>1278</v>
      </c>
      <c r="CM123" s="1" t="s">
        <v>777</v>
      </c>
    </row>
    <row r="124" spans="1:91">
      <c r="A124" s="1" t="s">
        <v>1284</v>
      </c>
      <c r="B124" s="1" t="s">
        <v>395</v>
      </c>
      <c r="C124" s="1">
        <v>200</v>
      </c>
      <c r="D124" s="1" t="s">
        <v>303</v>
      </c>
      <c r="E124" s="1" t="s">
        <v>80</v>
      </c>
      <c r="G124" s="3" t="s">
        <v>1285</v>
      </c>
      <c r="H124" s="1">
        <v>24</v>
      </c>
      <c r="I124" s="1">
        <v>188</v>
      </c>
      <c r="J124" s="3" t="s">
        <v>1286</v>
      </c>
      <c r="K124" s="1">
        <v>84</v>
      </c>
      <c r="L124" s="1">
        <v>443</v>
      </c>
      <c r="N124" s="1">
        <v>0</v>
      </c>
      <c r="O124" s="3" t="s">
        <v>1287</v>
      </c>
      <c r="P124" s="1">
        <v>7</v>
      </c>
      <c r="R124" s="1">
        <v>0</v>
      </c>
      <c r="T124" s="1">
        <v>0</v>
      </c>
      <c r="V124" s="1">
        <v>0</v>
      </c>
      <c r="Z124" s="1" t="s">
        <v>1284</v>
      </c>
      <c r="AF124" s="1">
        <v>42783</v>
      </c>
      <c r="AG124" s="1">
        <v>11178</v>
      </c>
      <c r="AH124" s="1">
        <v>11178</v>
      </c>
      <c r="AI124" s="1">
        <v>4.3558765739999998</v>
      </c>
      <c r="AK124" s="1">
        <v>80</v>
      </c>
      <c r="AL124" s="1">
        <v>35</v>
      </c>
      <c r="AM124" s="1">
        <v>2.28571428571429</v>
      </c>
      <c r="AN124" s="1">
        <v>100</v>
      </c>
      <c r="AO124" s="1" t="s">
        <v>306</v>
      </c>
      <c r="AP124" s="1">
        <v>0.95076233148574796</v>
      </c>
      <c r="AQ124" s="1">
        <v>0</v>
      </c>
      <c r="AR124" s="1">
        <v>6</v>
      </c>
      <c r="AT124" s="1">
        <v>19</v>
      </c>
      <c r="AU124" s="1">
        <v>10</v>
      </c>
      <c r="AV124" s="1">
        <v>0</v>
      </c>
      <c r="AW124" s="1">
        <v>6.06</v>
      </c>
      <c r="AX124" s="1">
        <v>32</v>
      </c>
      <c r="AY124" s="1">
        <v>21</v>
      </c>
      <c r="AZ124" s="1">
        <v>0</v>
      </c>
      <c r="BA124" s="1">
        <v>2</v>
      </c>
      <c r="BB124" s="1">
        <v>2</v>
      </c>
      <c r="BC124" s="1">
        <v>0</v>
      </c>
      <c r="BH124" s="1" t="s">
        <v>1288</v>
      </c>
      <c r="BI124" s="1">
        <v>6.0000000000000001E-3</v>
      </c>
      <c r="BJ124" s="1" t="s">
        <v>1283</v>
      </c>
      <c r="BN124" s="1" t="s">
        <v>403</v>
      </c>
      <c r="BO124" s="1" t="s">
        <v>404</v>
      </c>
      <c r="BP124" s="3" t="s">
        <v>1285</v>
      </c>
      <c r="BQ124" s="3" t="s">
        <v>1286</v>
      </c>
      <c r="BR124" s="1" t="s">
        <v>73</v>
      </c>
      <c r="BS124" s="3" t="s">
        <v>405</v>
      </c>
      <c r="BT124" s="1" t="s">
        <v>462</v>
      </c>
      <c r="BU124" s="1" t="s">
        <v>1284</v>
      </c>
      <c r="BV124" s="1" t="s">
        <v>76</v>
      </c>
      <c r="BW124" s="3" t="s">
        <v>1285</v>
      </c>
      <c r="BY124" s="1" t="s">
        <v>1284</v>
      </c>
      <c r="BZ124" s="1" t="s">
        <v>407</v>
      </c>
      <c r="CD124" s="1" t="s">
        <v>408</v>
      </c>
      <c r="CL124" s="1" t="s">
        <v>1284</v>
      </c>
      <c r="CM124" s="1" t="s">
        <v>1289</v>
      </c>
    </row>
    <row r="125" spans="1:91">
      <c r="A125" s="1" t="s">
        <v>1290</v>
      </c>
      <c r="B125" s="1" t="s">
        <v>395</v>
      </c>
      <c r="C125" s="1">
        <v>200</v>
      </c>
      <c r="D125" s="1" t="s">
        <v>303</v>
      </c>
      <c r="E125" s="1" t="s">
        <v>80</v>
      </c>
      <c r="G125" s="3" t="s">
        <v>1291</v>
      </c>
      <c r="H125" s="1">
        <v>19</v>
      </c>
      <c r="I125" s="1">
        <v>147</v>
      </c>
      <c r="J125" s="3" t="s">
        <v>1292</v>
      </c>
      <c r="K125" s="1">
        <v>79</v>
      </c>
      <c r="L125" s="1">
        <v>416</v>
      </c>
      <c r="N125" s="1">
        <v>0</v>
      </c>
      <c r="O125" s="3" t="s">
        <v>1293</v>
      </c>
      <c r="P125" s="1">
        <v>2</v>
      </c>
      <c r="R125" s="1">
        <v>0</v>
      </c>
      <c r="T125" s="1">
        <v>0</v>
      </c>
      <c r="V125" s="1">
        <v>0</v>
      </c>
      <c r="Z125" s="1" t="s">
        <v>1290</v>
      </c>
      <c r="AF125" s="1">
        <v>42659</v>
      </c>
      <c r="AG125" s="1">
        <v>11161</v>
      </c>
      <c r="AH125" s="1">
        <v>11161</v>
      </c>
      <c r="AI125" s="1">
        <v>4.3492519630000004</v>
      </c>
      <c r="AK125" s="1">
        <v>79</v>
      </c>
      <c r="AL125" s="1">
        <v>35</v>
      </c>
      <c r="AM125" s="1">
        <v>2.2571428571428598</v>
      </c>
      <c r="AN125" s="1">
        <v>100</v>
      </c>
      <c r="AO125" s="1" t="s">
        <v>306</v>
      </c>
      <c r="AP125" s="1">
        <v>0.93946492671966597</v>
      </c>
      <c r="AQ125" s="1">
        <v>0</v>
      </c>
      <c r="AR125" s="1">
        <v>6</v>
      </c>
      <c r="AT125" s="1">
        <v>19</v>
      </c>
      <c r="AU125" s="1">
        <v>10</v>
      </c>
      <c r="AV125" s="1">
        <v>0</v>
      </c>
      <c r="AW125" s="1">
        <v>6.06</v>
      </c>
      <c r="AX125" s="1">
        <v>32</v>
      </c>
      <c r="AY125" s="1">
        <v>21</v>
      </c>
      <c r="AZ125" s="1">
        <v>0</v>
      </c>
      <c r="BA125" s="1">
        <v>2</v>
      </c>
      <c r="BB125" s="1">
        <v>2</v>
      </c>
      <c r="BC125" s="1">
        <v>0</v>
      </c>
      <c r="BH125" s="1" t="s">
        <v>1294</v>
      </c>
      <c r="BI125" s="1">
        <v>8.0000000000000002E-3</v>
      </c>
      <c r="BJ125" s="1" t="s">
        <v>1283</v>
      </c>
      <c r="BN125" s="1" t="s">
        <v>403</v>
      </c>
      <c r="BO125" s="1" t="s">
        <v>404</v>
      </c>
      <c r="BP125" s="3" t="s">
        <v>1291</v>
      </c>
      <c r="BQ125" s="3" t="s">
        <v>1292</v>
      </c>
      <c r="BR125" s="1" t="s">
        <v>73</v>
      </c>
      <c r="BS125" s="3" t="s">
        <v>405</v>
      </c>
      <c r="BT125" s="1" t="s">
        <v>462</v>
      </c>
      <c r="BU125" s="1" t="s">
        <v>1290</v>
      </c>
      <c r="BV125" s="1" t="s">
        <v>76</v>
      </c>
      <c r="BW125" s="3" t="s">
        <v>1291</v>
      </c>
      <c r="BY125" s="1" t="s">
        <v>1290</v>
      </c>
      <c r="BZ125" s="1" t="s">
        <v>407</v>
      </c>
      <c r="CD125" s="1" t="s">
        <v>408</v>
      </c>
      <c r="CL125" s="1" t="s">
        <v>1290</v>
      </c>
      <c r="CM125" s="1" t="s">
        <v>1267</v>
      </c>
    </row>
    <row r="126" spans="1:91">
      <c r="A126" s="1" t="s">
        <v>1295</v>
      </c>
      <c r="B126" s="1" t="s">
        <v>395</v>
      </c>
      <c r="C126" s="1">
        <v>200</v>
      </c>
      <c r="D126" s="1" t="s">
        <v>303</v>
      </c>
      <c r="E126" s="1" t="s">
        <v>80</v>
      </c>
      <c r="G126" s="3" t="s">
        <v>1296</v>
      </c>
      <c r="H126" s="1">
        <v>22</v>
      </c>
      <c r="I126" s="1">
        <v>174</v>
      </c>
      <c r="J126" s="3" t="s">
        <v>1297</v>
      </c>
      <c r="K126" s="1">
        <v>81</v>
      </c>
      <c r="L126" s="1">
        <v>430</v>
      </c>
      <c r="N126" s="1">
        <v>0</v>
      </c>
      <c r="O126" s="3" t="s">
        <v>1298</v>
      </c>
      <c r="P126" s="1">
        <v>5</v>
      </c>
      <c r="R126" s="1">
        <v>0</v>
      </c>
      <c r="T126" s="1">
        <v>0</v>
      </c>
      <c r="V126" s="1">
        <v>0</v>
      </c>
      <c r="Z126" s="1" t="s">
        <v>1295</v>
      </c>
      <c r="AF126" s="1">
        <v>42836</v>
      </c>
      <c r="AG126" s="1">
        <v>11173</v>
      </c>
      <c r="AH126" s="1">
        <v>11173</v>
      </c>
      <c r="AI126" s="1">
        <v>4.3539281589999996</v>
      </c>
      <c r="AK126" s="1">
        <v>79</v>
      </c>
      <c r="AL126" s="1">
        <v>35</v>
      </c>
      <c r="AM126" s="1">
        <v>2.2571428571428598</v>
      </c>
      <c r="AN126" s="1">
        <v>100</v>
      </c>
      <c r="AO126" s="1" t="s">
        <v>306</v>
      </c>
      <c r="AP126" s="1">
        <v>0.94413852691650402</v>
      </c>
      <c r="AQ126" s="1">
        <v>0</v>
      </c>
      <c r="AR126" s="1">
        <v>6</v>
      </c>
      <c r="AT126" s="1">
        <v>19</v>
      </c>
      <c r="AU126" s="1">
        <v>10</v>
      </c>
      <c r="AV126" s="1">
        <v>0</v>
      </c>
      <c r="AW126" s="1">
        <v>6.06</v>
      </c>
      <c r="AX126" s="1">
        <v>32</v>
      </c>
      <c r="AY126" s="1">
        <v>21</v>
      </c>
      <c r="AZ126" s="1">
        <v>0</v>
      </c>
      <c r="BA126" s="1">
        <v>2</v>
      </c>
      <c r="BB126" s="1">
        <v>2</v>
      </c>
      <c r="BC126" s="1">
        <v>0</v>
      </c>
      <c r="BH126" s="1" t="s">
        <v>1299</v>
      </c>
      <c r="BI126" s="1">
        <v>8.9999999999999993E-3</v>
      </c>
      <c r="BJ126" s="1" t="s">
        <v>1283</v>
      </c>
      <c r="BN126" s="1" t="s">
        <v>403</v>
      </c>
      <c r="BO126" s="1" t="s">
        <v>404</v>
      </c>
      <c r="BP126" s="3" t="s">
        <v>1296</v>
      </c>
      <c r="BQ126" s="3" t="s">
        <v>1297</v>
      </c>
      <c r="BR126" s="1" t="s">
        <v>73</v>
      </c>
      <c r="BS126" s="3" t="s">
        <v>405</v>
      </c>
      <c r="BT126" s="1" t="s">
        <v>462</v>
      </c>
      <c r="BU126" s="1" t="s">
        <v>1295</v>
      </c>
      <c r="BV126" s="1" t="s">
        <v>76</v>
      </c>
      <c r="BW126" s="3" t="s">
        <v>1296</v>
      </c>
      <c r="BY126" s="1" t="s">
        <v>1295</v>
      </c>
      <c r="BZ126" s="1" t="s">
        <v>407</v>
      </c>
      <c r="CD126" s="1" t="s">
        <v>408</v>
      </c>
      <c r="CL126" s="1" t="s">
        <v>1295</v>
      </c>
      <c r="CM126" s="1" t="s">
        <v>522</v>
      </c>
    </row>
    <row r="127" spans="1:91">
      <c r="A127" s="1" t="s">
        <v>1300</v>
      </c>
      <c r="B127" s="1" t="s">
        <v>395</v>
      </c>
      <c r="C127" s="1">
        <v>200</v>
      </c>
      <c r="D127" s="1" t="s">
        <v>303</v>
      </c>
      <c r="E127" s="1" t="s">
        <v>80</v>
      </c>
      <c r="G127" s="3" t="s">
        <v>1301</v>
      </c>
      <c r="H127" s="1">
        <v>20</v>
      </c>
      <c r="I127" s="1">
        <v>156</v>
      </c>
      <c r="J127" s="3" t="s">
        <v>1302</v>
      </c>
      <c r="K127" s="1">
        <v>80</v>
      </c>
      <c r="L127" s="1">
        <v>422</v>
      </c>
      <c r="N127" s="1">
        <v>0</v>
      </c>
      <c r="O127" s="3" t="s">
        <v>1303</v>
      </c>
      <c r="P127" s="1">
        <v>3</v>
      </c>
      <c r="R127" s="1">
        <v>0</v>
      </c>
      <c r="T127" s="1">
        <v>0</v>
      </c>
      <c r="V127" s="1">
        <v>0</v>
      </c>
      <c r="Z127" s="1" t="s">
        <v>1300</v>
      </c>
      <c r="AF127" s="1">
        <v>42577</v>
      </c>
      <c r="AG127" s="1">
        <v>11164</v>
      </c>
      <c r="AH127" s="1">
        <v>11164</v>
      </c>
      <c r="AI127" s="1">
        <v>4.350421012</v>
      </c>
      <c r="AK127" s="1">
        <v>79</v>
      </c>
      <c r="AL127" s="1">
        <v>35</v>
      </c>
      <c r="AM127" s="1">
        <v>2.2571428571428598</v>
      </c>
      <c r="AN127" s="1">
        <v>100</v>
      </c>
      <c r="AO127" s="1" t="s">
        <v>306</v>
      </c>
      <c r="AP127" s="1">
        <v>0.94430577754974399</v>
      </c>
      <c r="AQ127" s="1">
        <v>0</v>
      </c>
      <c r="AR127" s="1">
        <v>6</v>
      </c>
      <c r="AT127" s="1">
        <v>19</v>
      </c>
      <c r="AU127" s="1">
        <v>10</v>
      </c>
      <c r="AV127" s="1">
        <v>0</v>
      </c>
      <c r="AW127" s="1">
        <v>6.06</v>
      </c>
      <c r="AX127" s="1">
        <v>32</v>
      </c>
      <c r="AY127" s="1">
        <v>21</v>
      </c>
      <c r="AZ127" s="1">
        <v>0</v>
      </c>
      <c r="BA127" s="1">
        <v>2</v>
      </c>
      <c r="BB127" s="1">
        <v>2</v>
      </c>
      <c r="BC127" s="1">
        <v>0</v>
      </c>
      <c r="BH127" s="1" t="s">
        <v>1304</v>
      </c>
      <c r="BI127" s="1">
        <v>8.9999999999999993E-3</v>
      </c>
      <c r="BJ127" s="1" t="s">
        <v>1283</v>
      </c>
      <c r="BN127" s="1" t="s">
        <v>403</v>
      </c>
      <c r="BO127" s="1" t="s">
        <v>404</v>
      </c>
      <c r="BP127" s="3" t="s">
        <v>1301</v>
      </c>
      <c r="BQ127" s="3" t="s">
        <v>1302</v>
      </c>
      <c r="BR127" s="1" t="s">
        <v>73</v>
      </c>
      <c r="BS127" s="3" t="s">
        <v>405</v>
      </c>
      <c r="BT127" s="1" t="s">
        <v>462</v>
      </c>
      <c r="BU127" s="1" t="s">
        <v>1300</v>
      </c>
      <c r="BV127" s="1" t="s">
        <v>76</v>
      </c>
      <c r="BW127" s="3" t="s">
        <v>1301</v>
      </c>
      <c r="BY127" s="1" t="s">
        <v>1300</v>
      </c>
      <c r="BZ127" s="1" t="s">
        <v>407</v>
      </c>
      <c r="CD127" s="1" t="s">
        <v>408</v>
      </c>
      <c r="CL127" s="1" t="s">
        <v>1300</v>
      </c>
      <c r="CM127" s="1" t="s">
        <v>537</v>
      </c>
    </row>
    <row r="128" spans="1:91">
      <c r="A128" s="1" t="s">
        <v>1305</v>
      </c>
      <c r="B128" s="1" t="s">
        <v>395</v>
      </c>
      <c r="C128" s="1">
        <v>200</v>
      </c>
      <c r="D128" s="1" t="s">
        <v>303</v>
      </c>
      <c r="E128" s="1" t="s">
        <v>80</v>
      </c>
      <c r="G128" s="3" t="s">
        <v>1306</v>
      </c>
      <c r="H128" s="1">
        <v>25</v>
      </c>
      <c r="I128" s="1">
        <v>201</v>
      </c>
      <c r="J128" s="3" t="s">
        <v>1307</v>
      </c>
      <c r="K128" s="1">
        <v>86</v>
      </c>
      <c r="L128" s="1">
        <v>455</v>
      </c>
      <c r="N128" s="1">
        <v>0</v>
      </c>
      <c r="O128" s="3" t="s">
        <v>1308</v>
      </c>
      <c r="P128" s="1">
        <v>9</v>
      </c>
      <c r="R128" s="1">
        <v>0</v>
      </c>
      <c r="T128" s="1">
        <v>0</v>
      </c>
      <c r="V128" s="1">
        <v>0</v>
      </c>
      <c r="Z128" s="1" t="s">
        <v>1305</v>
      </c>
      <c r="AF128" s="1">
        <v>42830</v>
      </c>
      <c r="AG128" s="1">
        <v>11167</v>
      </c>
      <c r="AH128" s="1">
        <v>11167</v>
      </c>
      <c r="AI128" s="1">
        <v>4.3515900609999996</v>
      </c>
      <c r="AK128" s="1">
        <v>80</v>
      </c>
      <c r="AL128" s="1">
        <v>35</v>
      </c>
      <c r="AM128" s="1">
        <v>2.28571428571429</v>
      </c>
      <c r="AN128" s="1">
        <v>100</v>
      </c>
      <c r="AO128" s="1" t="s">
        <v>306</v>
      </c>
      <c r="AP128" s="1">
        <v>0.95552384853363004</v>
      </c>
      <c r="AQ128" s="1">
        <v>0</v>
      </c>
      <c r="AR128" s="1">
        <v>6</v>
      </c>
      <c r="AT128" s="1">
        <v>19</v>
      </c>
      <c r="AU128" s="1">
        <v>10</v>
      </c>
      <c r="AV128" s="1">
        <v>0</v>
      </c>
      <c r="AW128" s="1">
        <v>6.06</v>
      </c>
      <c r="AX128" s="1">
        <v>32</v>
      </c>
      <c r="AY128" s="1">
        <v>21</v>
      </c>
      <c r="AZ128" s="1">
        <v>0</v>
      </c>
      <c r="BA128" s="1">
        <v>2</v>
      </c>
      <c r="BB128" s="1">
        <v>2</v>
      </c>
      <c r="BC128" s="1">
        <v>0</v>
      </c>
      <c r="BH128" s="1" t="s">
        <v>1309</v>
      </c>
      <c r="BI128" s="1">
        <v>8.0000000000000002E-3</v>
      </c>
      <c r="BJ128" s="1" t="s">
        <v>1283</v>
      </c>
      <c r="BN128" s="1" t="s">
        <v>403</v>
      </c>
      <c r="BO128" s="1" t="s">
        <v>404</v>
      </c>
      <c r="BP128" s="3" t="s">
        <v>1306</v>
      </c>
      <c r="BQ128" s="3" t="s">
        <v>1307</v>
      </c>
      <c r="BR128" s="1" t="s">
        <v>73</v>
      </c>
      <c r="BS128" s="3" t="s">
        <v>405</v>
      </c>
      <c r="BT128" s="1" t="s">
        <v>462</v>
      </c>
      <c r="BU128" s="1" t="s">
        <v>1305</v>
      </c>
      <c r="BV128" s="1" t="s">
        <v>76</v>
      </c>
      <c r="BW128" s="3" t="s">
        <v>1306</v>
      </c>
      <c r="BY128" s="1" t="s">
        <v>1305</v>
      </c>
      <c r="BZ128" s="1" t="s">
        <v>407</v>
      </c>
      <c r="CD128" s="1" t="s">
        <v>408</v>
      </c>
      <c r="CL128" s="1" t="s">
        <v>1305</v>
      </c>
      <c r="CM128" s="1" t="s">
        <v>586</v>
      </c>
    </row>
    <row r="129" spans="1:91">
      <c r="A129" s="1" t="s">
        <v>1310</v>
      </c>
      <c r="B129" s="1" t="s">
        <v>395</v>
      </c>
      <c r="C129" s="1">
        <v>200</v>
      </c>
      <c r="D129" s="1" t="s">
        <v>303</v>
      </c>
      <c r="E129" s="1" t="s">
        <v>80</v>
      </c>
      <c r="G129" s="3" t="s">
        <v>1311</v>
      </c>
      <c r="H129" s="1">
        <v>23</v>
      </c>
      <c r="I129" s="1">
        <v>179</v>
      </c>
      <c r="J129" s="3" t="s">
        <v>1312</v>
      </c>
      <c r="K129" s="1">
        <v>77</v>
      </c>
      <c r="L129" s="1">
        <v>407</v>
      </c>
      <c r="N129" s="1">
        <v>0</v>
      </c>
      <c r="O129" s="3" t="s">
        <v>1313</v>
      </c>
      <c r="P129" s="1">
        <v>6</v>
      </c>
      <c r="R129" s="1">
        <v>0</v>
      </c>
      <c r="T129" s="1">
        <v>0</v>
      </c>
      <c r="V129" s="1">
        <v>0</v>
      </c>
      <c r="Z129" s="1" t="s">
        <v>1310</v>
      </c>
      <c r="AF129" s="1">
        <v>42519</v>
      </c>
      <c r="AG129" s="1">
        <v>11194</v>
      </c>
      <c r="AH129" s="1">
        <v>11194</v>
      </c>
      <c r="AI129" s="1">
        <v>4.3621115020000003</v>
      </c>
      <c r="AK129" s="1">
        <v>80</v>
      </c>
      <c r="AL129" s="1">
        <v>35</v>
      </c>
      <c r="AM129" s="1">
        <v>2.28571428571429</v>
      </c>
      <c r="AN129" s="1">
        <v>100</v>
      </c>
      <c r="AO129" s="1" t="s">
        <v>306</v>
      </c>
      <c r="AP129" s="1">
        <v>0.95483744144439697</v>
      </c>
      <c r="AQ129" s="1">
        <v>0</v>
      </c>
      <c r="AR129" s="1">
        <v>5</v>
      </c>
      <c r="AT129" s="1">
        <v>19</v>
      </c>
      <c r="AU129" s="1">
        <v>10</v>
      </c>
      <c r="AV129" s="1">
        <v>0</v>
      </c>
      <c r="AW129" s="1">
        <v>6.06</v>
      </c>
      <c r="AX129" s="1">
        <v>32</v>
      </c>
      <c r="AY129" s="1">
        <v>21</v>
      </c>
      <c r="AZ129" s="1">
        <v>0</v>
      </c>
      <c r="BA129" s="1">
        <v>2</v>
      </c>
      <c r="BB129" s="1">
        <v>2</v>
      </c>
      <c r="BC129" s="1">
        <v>0</v>
      </c>
      <c r="BH129" s="1" t="s">
        <v>1314</v>
      </c>
      <c r="BI129" s="1">
        <v>1.0999999999999999E-2</v>
      </c>
      <c r="BJ129" s="1" t="s">
        <v>1283</v>
      </c>
      <c r="BN129" s="1" t="s">
        <v>403</v>
      </c>
      <c r="BO129" s="1" t="s">
        <v>404</v>
      </c>
      <c r="BP129" s="3" t="s">
        <v>1311</v>
      </c>
      <c r="BQ129" s="3" t="s">
        <v>1312</v>
      </c>
      <c r="BR129" s="1" t="s">
        <v>73</v>
      </c>
      <c r="BS129" s="3" t="s">
        <v>405</v>
      </c>
      <c r="BT129" s="1" t="s">
        <v>462</v>
      </c>
      <c r="BU129" s="1" t="s">
        <v>1310</v>
      </c>
      <c r="BV129" s="1" t="s">
        <v>76</v>
      </c>
      <c r="BW129" s="3" t="s">
        <v>1311</v>
      </c>
      <c r="BY129" s="1" t="s">
        <v>1310</v>
      </c>
      <c r="BZ129" s="1" t="s">
        <v>407</v>
      </c>
      <c r="CD129" s="1" t="s">
        <v>408</v>
      </c>
      <c r="CL129" s="1" t="s">
        <v>1310</v>
      </c>
      <c r="CM129" s="1" t="s">
        <v>604</v>
      </c>
    </row>
    <row r="130" spans="1:91">
      <c r="A130" s="1" t="s">
        <v>1315</v>
      </c>
      <c r="B130" s="1" t="s">
        <v>395</v>
      </c>
      <c r="C130" s="1">
        <v>200</v>
      </c>
      <c r="D130" s="1" t="s">
        <v>303</v>
      </c>
      <c r="E130" s="1" t="s">
        <v>80</v>
      </c>
      <c r="G130" s="3" t="s">
        <v>1188</v>
      </c>
      <c r="H130" s="1">
        <v>19</v>
      </c>
      <c r="I130" s="1">
        <v>147</v>
      </c>
      <c r="J130" s="3" t="s">
        <v>1316</v>
      </c>
      <c r="K130" s="1">
        <v>79</v>
      </c>
      <c r="L130" s="1">
        <v>416</v>
      </c>
      <c r="N130" s="1">
        <v>0</v>
      </c>
      <c r="O130" s="3" t="s">
        <v>1190</v>
      </c>
      <c r="P130" s="1">
        <v>2</v>
      </c>
      <c r="R130" s="1">
        <v>0</v>
      </c>
      <c r="T130" s="1">
        <v>0</v>
      </c>
      <c r="V130" s="1">
        <v>0</v>
      </c>
      <c r="Z130" s="1" t="s">
        <v>1315</v>
      </c>
      <c r="AF130" s="1">
        <v>42539</v>
      </c>
      <c r="AG130" s="1">
        <v>11159</v>
      </c>
      <c r="AH130" s="1">
        <v>11159</v>
      </c>
      <c r="AI130" s="1">
        <v>4.3484725969999998</v>
      </c>
      <c r="AK130" s="1">
        <v>79</v>
      </c>
      <c r="AL130" s="1">
        <v>35</v>
      </c>
      <c r="AM130" s="1">
        <v>2.2571428571428598</v>
      </c>
      <c r="AN130" s="1">
        <v>100</v>
      </c>
      <c r="AO130" s="1" t="s">
        <v>306</v>
      </c>
      <c r="AP130" s="1">
        <v>0.94225305318832397</v>
      </c>
      <c r="AQ130" s="1">
        <v>0</v>
      </c>
      <c r="AR130" s="1">
        <v>6</v>
      </c>
      <c r="AT130" s="1">
        <v>19</v>
      </c>
      <c r="AU130" s="1">
        <v>10</v>
      </c>
      <c r="AV130" s="1">
        <v>0</v>
      </c>
      <c r="AW130" s="1">
        <v>6.06</v>
      </c>
      <c r="AX130" s="1">
        <v>32</v>
      </c>
      <c r="AY130" s="1">
        <v>21</v>
      </c>
      <c r="AZ130" s="1">
        <v>0</v>
      </c>
      <c r="BA130" s="1">
        <v>2</v>
      </c>
      <c r="BB130" s="1">
        <v>2</v>
      </c>
      <c r="BC130" s="1">
        <v>0</v>
      </c>
      <c r="BH130" s="1" t="s">
        <v>1317</v>
      </c>
      <c r="BI130" s="1">
        <v>8.0000000000000002E-3</v>
      </c>
      <c r="BJ130" s="1" t="s">
        <v>1283</v>
      </c>
      <c r="BN130" s="1" t="s">
        <v>403</v>
      </c>
      <c r="BO130" s="1" t="s">
        <v>404</v>
      </c>
      <c r="BP130" s="3" t="s">
        <v>1188</v>
      </c>
      <c r="BQ130" s="3" t="s">
        <v>1316</v>
      </c>
      <c r="BR130" s="1" t="s">
        <v>73</v>
      </c>
      <c r="BS130" s="3" t="s">
        <v>405</v>
      </c>
      <c r="BT130" s="1" t="s">
        <v>462</v>
      </c>
      <c r="BU130" s="1" t="s">
        <v>1315</v>
      </c>
      <c r="BV130" s="1" t="s">
        <v>76</v>
      </c>
      <c r="BW130" s="3" t="s">
        <v>1188</v>
      </c>
      <c r="BY130" s="1" t="s">
        <v>1315</v>
      </c>
      <c r="BZ130" s="1" t="s">
        <v>407</v>
      </c>
      <c r="CD130" s="1" t="s">
        <v>408</v>
      </c>
      <c r="CL130" s="1" t="s">
        <v>1315</v>
      </c>
      <c r="CM130" s="1" t="s">
        <v>1318</v>
      </c>
    </row>
    <row r="131" spans="1:91">
      <c r="A131" s="1" t="s">
        <v>1319</v>
      </c>
      <c r="B131" s="1" t="s">
        <v>395</v>
      </c>
      <c r="C131" s="1">
        <v>200</v>
      </c>
      <c r="D131" s="1" t="s">
        <v>303</v>
      </c>
      <c r="E131" s="1" t="s">
        <v>80</v>
      </c>
      <c r="G131" s="3" t="s">
        <v>1320</v>
      </c>
      <c r="H131" s="1">
        <v>19</v>
      </c>
      <c r="I131" s="1">
        <v>147</v>
      </c>
      <c r="J131" s="3" t="s">
        <v>1321</v>
      </c>
      <c r="K131" s="1">
        <v>79</v>
      </c>
      <c r="L131" s="1">
        <v>416</v>
      </c>
      <c r="N131" s="1">
        <v>0</v>
      </c>
      <c r="O131" s="3" t="s">
        <v>1322</v>
      </c>
      <c r="P131" s="1">
        <v>2</v>
      </c>
      <c r="R131" s="1">
        <v>0</v>
      </c>
      <c r="T131" s="1">
        <v>0</v>
      </c>
      <c r="V131" s="1">
        <v>0</v>
      </c>
      <c r="Z131" s="1" t="s">
        <v>1319</v>
      </c>
      <c r="AF131" s="1">
        <v>42587</v>
      </c>
      <c r="AG131" s="1">
        <v>11160</v>
      </c>
      <c r="AH131" s="1">
        <v>11160</v>
      </c>
      <c r="AI131" s="1">
        <v>4.3488622799999996</v>
      </c>
      <c r="AK131" s="1">
        <v>79</v>
      </c>
      <c r="AL131" s="1">
        <v>35</v>
      </c>
      <c r="AM131" s="1">
        <v>2.2571428571428598</v>
      </c>
      <c r="AN131" s="1">
        <v>100</v>
      </c>
      <c r="AO131" s="1" t="s">
        <v>306</v>
      </c>
      <c r="AP131" s="1">
        <v>0.94113582372665405</v>
      </c>
      <c r="AQ131" s="1">
        <v>0</v>
      </c>
      <c r="AR131" s="1">
        <v>6</v>
      </c>
      <c r="AT131" s="1">
        <v>19</v>
      </c>
      <c r="AU131" s="1">
        <v>10</v>
      </c>
      <c r="AV131" s="1">
        <v>0</v>
      </c>
      <c r="AW131" s="1">
        <v>6.06</v>
      </c>
      <c r="AX131" s="1">
        <v>32</v>
      </c>
      <c r="AY131" s="1">
        <v>21</v>
      </c>
      <c r="AZ131" s="1">
        <v>0</v>
      </c>
      <c r="BA131" s="1">
        <v>2</v>
      </c>
      <c r="BB131" s="1">
        <v>2</v>
      </c>
      <c r="BC131" s="1">
        <v>0</v>
      </c>
      <c r="BH131" s="1" t="s">
        <v>1323</v>
      </c>
      <c r="BI131" s="1">
        <v>1.7999999999999999E-2</v>
      </c>
      <c r="BJ131" s="1" t="s">
        <v>1283</v>
      </c>
      <c r="BN131" s="1" t="s">
        <v>403</v>
      </c>
      <c r="BO131" s="1" t="s">
        <v>404</v>
      </c>
      <c r="BP131" s="3" t="s">
        <v>1320</v>
      </c>
      <c r="BQ131" s="3" t="s">
        <v>1321</v>
      </c>
      <c r="BR131" s="1" t="s">
        <v>73</v>
      </c>
      <c r="BS131" s="3" t="s">
        <v>405</v>
      </c>
      <c r="BT131" s="1" t="s">
        <v>462</v>
      </c>
      <c r="BU131" s="1" t="s">
        <v>1319</v>
      </c>
      <c r="BV131" s="1" t="s">
        <v>76</v>
      </c>
      <c r="BW131" s="3" t="s">
        <v>1320</v>
      </c>
      <c r="BY131" s="1" t="s">
        <v>1319</v>
      </c>
      <c r="BZ131" s="1" t="s">
        <v>407</v>
      </c>
      <c r="CD131" s="1" t="s">
        <v>408</v>
      </c>
      <c r="CL131" s="1" t="s">
        <v>1319</v>
      </c>
      <c r="CM131" s="1" t="s">
        <v>1289</v>
      </c>
    </row>
    <row r="132" spans="1:91">
      <c r="A132" s="1" t="s">
        <v>1324</v>
      </c>
      <c r="B132" s="1" t="s">
        <v>395</v>
      </c>
      <c r="C132" s="1">
        <v>200</v>
      </c>
      <c r="D132" s="1" t="s">
        <v>303</v>
      </c>
      <c r="E132" s="1" t="s">
        <v>80</v>
      </c>
      <c r="G132" s="3" t="s">
        <v>1325</v>
      </c>
      <c r="H132" s="1">
        <v>21</v>
      </c>
      <c r="I132" s="1">
        <v>165</v>
      </c>
      <c r="J132" s="3" t="s">
        <v>1326</v>
      </c>
      <c r="K132" s="1">
        <v>81</v>
      </c>
      <c r="L132" s="1">
        <v>428</v>
      </c>
      <c r="N132" s="1">
        <v>0</v>
      </c>
      <c r="O132" s="3" t="s">
        <v>1327</v>
      </c>
      <c r="P132" s="1">
        <v>4</v>
      </c>
      <c r="R132" s="1">
        <v>0</v>
      </c>
      <c r="T132" s="1">
        <v>0</v>
      </c>
      <c r="V132" s="1">
        <v>0</v>
      </c>
      <c r="Z132" s="1" t="s">
        <v>1324</v>
      </c>
      <c r="AF132" s="1">
        <v>42663</v>
      </c>
      <c r="AG132" s="1">
        <v>11170</v>
      </c>
      <c r="AH132" s="1">
        <v>11170</v>
      </c>
      <c r="AI132" s="1">
        <v>4.35275911</v>
      </c>
      <c r="AK132" s="1">
        <v>79</v>
      </c>
      <c r="AL132" s="1">
        <v>35</v>
      </c>
      <c r="AM132" s="1">
        <v>2.2571428571428598</v>
      </c>
      <c r="AN132" s="1">
        <v>100</v>
      </c>
      <c r="AO132" s="1" t="s">
        <v>306</v>
      </c>
      <c r="AP132" s="1">
        <v>0.94523561000823997</v>
      </c>
      <c r="AQ132" s="1">
        <v>0</v>
      </c>
      <c r="AR132" s="1">
        <v>6</v>
      </c>
      <c r="AT132" s="1">
        <v>19</v>
      </c>
      <c r="AU132" s="1">
        <v>10</v>
      </c>
      <c r="AV132" s="1">
        <v>0</v>
      </c>
      <c r="AW132" s="1">
        <v>6.06</v>
      </c>
      <c r="AX132" s="1">
        <v>32</v>
      </c>
      <c r="AY132" s="1">
        <v>21</v>
      </c>
      <c r="AZ132" s="1">
        <v>0</v>
      </c>
      <c r="BA132" s="1">
        <v>2</v>
      </c>
      <c r="BB132" s="1">
        <v>2</v>
      </c>
      <c r="BC132" s="1">
        <v>0</v>
      </c>
      <c r="BH132" s="1" t="s">
        <v>1328</v>
      </c>
      <c r="BI132" s="1">
        <v>8.0000000000000002E-3</v>
      </c>
      <c r="BJ132" s="1" t="s">
        <v>1283</v>
      </c>
      <c r="BN132" s="1" t="s">
        <v>403</v>
      </c>
      <c r="BO132" s="1" t="s">
        <v>404</v>
      </c>
      <c r="BP132" s="3" t="s">
        <v>1325</v>
      </c>
      <c r="BQ132" s="3" t="s">
        <v>1326</v>
      </c>
      <c r="BR132" s="1" t="s">
        <v>73</v>
      </c>
      <c r="BS132" s="3" t="s">
        <v>405</v>
      </c>
      <c r="BT132" s="1" t="s">
        <v>462</v>
      </c>
      <c r="BU132" s="1" t="s">
        <v>1324</v>
      </c>
      <c r="BV132" s="1" t="s">
        <v>76</v>
      </c>
      <c r="BW132" s="3" t="s">
        <v>1325</v>
      </c>
      <c r="BY132" s="1" t="s">
        <v>1324</v>
      </c>
      <c r="BZ132" s="1" t="s">
        <v>407</v>
      </c>
      <c r="CD132" s="1" t="s">
        <v>408</v>
      </c>
      <c r="CL132" s="1" t="s">
        <v>1324</v>
      </c>
      <c r="CM132" s="1" t="s">
        <v>616</v>
      </c>
    </row>
    <row r="133" spans="1:91">
      <c r="A133" s="1" t="s">
        <v>1329</v>
      </c>
      <c r="B133" s="1" t="s">
        <v>395</v>
      </c>
      <c r="C133" s="1">
        <v>200</v>
      </c>
      <c r="D133" s="1" t="s">
        <v>303</v>
      </c>
      <c r="E133" s="1" t="s">
        <v>80</v>
      </c>
      <c r="G133" s="3" t="s">
        <v>1330</v>
      </c>
      <c r="H133" s="1">
        <v>39</v>
      </c>
      <c r="I133" s="1">
        <v>292</v>
      </c>
      <c r="J133" s="3" t="s">
        <v>1331</v>
      </c>
      <c r="K133" s="1">
        <v>91</v>
      </c>
      <c r="L133" s="1">
        <v>487</v>
      </c>
      <c r="M133" s="3" t="s">
        <v>1332</v>
      </c>
      <c r="N133" s="1">
        <v>31</v>
      </c>
      <c r="O133" s="3" t="s">
        <v>1333</v>
      </c>
      <c r="P133" s="1">
        <v>4</v>
      </c>
      <c r="R133" s="1">
        <v>0</v>
      </c>
      <c r="T133" s="1">
        <v>0</v>
      </c>
      <c r="V133" s="1">
        <v>0</v>
      </c>
      <c r="Z133" s="1" t="s">
        <v>1329</v>
      </c>
      <c r="AF133" s="1">
        <v>41883</v>
      </c>
      <c r="AG133" s="1">
        <v>11070</v>
      </c>
      <c r="AH133" s="1">
        <v>11070</v>
      </c>
      <c r="AI133" s="1">
        <v>4.3137908100000004</v>
      </c>
      <c r="AK133" s="1">
        <v>75</v>
      </c>
      <c r="AL133" s="1">
        <v>34</v>
      </c>
      <c r="AM133" s="1">
        <v>2.2058823529411802</v>
      </c>
      <c r="AN133" s="1">
        <v>100</v>
      </c>
      <c r="AO133" s="1" t="s">
        <v>306</v>
      </c>
      <c r="AP133" s="1">
        <v>0.94593578577041604</v>
      </c>
      <c r="AQ133" s="1">
        <v>0</v>
      </c>
      <c r="AR133" s="1">
        <v>4</v>
      </c>
      <c r="AT133" s="1">
        <v>9</v>
      </c>
      <c r="AU133" s="1">
        <v>1</v>
      </c>
      <c r="AV133" s="1">
        <v>0</v>
      </c>
      <c r="AW133" s="1">
        <v>0.61</v>
      </c>
      <c r="AX133" s="1">
        <v>31</v>
      </c>
      <c r="AY133" s="1">
        <v>21</v>
      </c>
      <c r="AZ133" s="1">
        <v>0</v>
      </c>
      <c r="BA133" s="1">
        <v>2</v>
      </c>
      <c r="BB133" s="1">
        <v>2</v>
      </c>
      <c r="BC133" s="1">
        <v>0</v>
      </c>
      <c r="BH133" s="1" t="s">
        <v>1334</v>
      </c>
      <c r="BI133" s="1">
        <v>7.0000000000000001E-3</v>
      </c>
      <c r="BJ133" s="1" t="s">
        <v>521</v>
      </c>
      <c r="BN133" s="1" t="s">
        <v>403</v>
      </c>
      <c r="BO133" s="1" t="s">
        <v>404</v>
      </c>
      <c r="BP133" s="3" t="s">
        <v>1330</v>
      </c>
      <c r="BQ133" s="3" t="s">
        <v>1331</v>
      </c>
      <c r="BR133" s="1" t="s">
        <v>73</v>
      </c>
      <c r="BS133" s="3" t="s">
        <v>405</v>
      </c>
      <c r="BT133" s="1" t="s">
        <v>462</v>
      </c>
      <c r="BU133" s="1" t="s">
        <v>1329</v>
      </c>
      <c r="BV133" s="1" t="s">
        <v>76</v>
      </c>
      <c r="BW133" s="3" t="s">
        <v>1330</v>
      </c>
      <c r="BY133" s="1" t="s">
        <v>1329</v>
      </c>
      <c r="BZ133" s="1" t="s">
        <v>407</v>
      </c>
      <c r="CD133" s="1" t="s">
        <v>408</v>
      </c>
      <c r="CL133" s="1" t="s">
        <v>1329</v>
      </c>
      <c r="CM133" s="1" t="s">
        <v>516</v>
      </c>
    </row>
    <row r="134" spans="1:91">
      <c r="A134" s="1" t="s">
        <v>1335</v>
      </c>
      <c r="B134" s="1" t="s">
        <v>395</v>
      </c>
      <c r="C134" s="1">
        <v>200</v>
      </c>
      <c r="D134" s="1" t="s">
        <v>303</v>
      </c>
      <c r="E134" s="1" t="s">
        <v>80</v>
      </c>
      <c r="G134" s="3" t="s">
        <v>1336</v>
      </c>
      <c r="H134" s="1">
        <v>10</v>
      </c>
      <c r="I134" s="1">
        <v>78</v>
      </c>
      <c r="J134" s="3" t="s">
        <v>1337</v>
      </c>
      <c r="K134" s="1">
        <v>89</v>
      </c>
      <c r="L134" s="1">
        <v>482</v>
      </c>
      <c r="M134" s="3" t="s">
        <v>1156</v>
      </c>
      <c r="N134" s="1">
        <v>6</v>
      </c>
      <c r="O134" s="3" t="s">
        <v>1338</v>
      </c>
      <c r="P134" s="1">
        <v>32</v>
      </c>
      <c r="R134" s="1">
        <v>0</v>
      </c>
      <c r="S134" s="3" t="s">
        <v>747</v>
      </c>
      <c r="T134" s="1">
        <v>7</v>
      </c>
      <c r="U134" s="3" t="s">
        <v>758</v>
      </c>
      <c r="V134" s="1">
        <v>2</v>
      </c>
      <c r="Z134" s="1" t="s">
        <v>1335</v>
      </c>
      <c r="AF134" s="1">
        <v>83106</v>
      </c>
      <c r="AG134" s="1">
        <v>18030</v>
      </c>
      <c r="AH134" s="1">
        <v>18030</v>
      </c>
      <c r="AI134" s="1">
        <v>7.0259844899999999</v>
      </c>
      <c r="AK134" s="1">
        <v>354</v>
      </c>
      <c r="AL134" s="1">
        <v>98</v>
      </c>
      <c r="AM134" s="1">
        <v>3.6122448979591799</v>
      </c>
      <c r="AN134" s="1">
        <v>100</v>
      </c>
      <c r="AO134" s="1" t="s">
        <v>306</v>
      </c>
      <c r="AP134" s="1">
        <v>2.2819573879241899</v>
      </c>
      <c r="AQ134" s="1">
        <v>0</v>
      </c>
      <c r="AR134" s="1">
        <v>3</v>
      </c>
      <c r="AT134" s="1">
        <v>9</v>
      </c>
      <c r="AU134" s="1">
        <v>3</v>
      </c>
      <c r="AV134" s="1">
        <v>0</v>
      </c>
      <c r="AW134" s="1">
        <v>1.82</v>
      </c>
      <c r="AX134" s="1">
        <v>22</v>
      </c>
      <c r="AY134" s="1">
        <v>13</v>
      </c>
      <c r="AZ134" s="1">
        <v>0</v>
      </c>
      <c r="BA134" s="1">
        <v>2</v>
      </c>
      <c r="BB134" s="1">
        <v>2</v>
      </c>
      <c r="BC134" s="1">
        <v>0</v>
      </c>
      <c r="BH134" s="1" t="s">
        <v>1339</v>
      </c>
      <c r="BI134" s="1">
        <v>8.0000000000000002E-3</v>
      </c>
      <c r="BJ134" s="1" t="s">
        <v>760</v>
      </c>
      <c r="BN134" s="1" t="s">
        <v>403</v>
      </c>
      <c r="BO134" s="1" t="s">
        <v>404</v>
      </c>
      <c r="BP134" s="3" t="s">
        <v>1336</v>
      </c>
      <c r="BQ134" s="3" t="s">
        <v>1337</v>
      </c>
      <c r="BR134" s="1" t="s">
        <v>73</v>
      </c>
      <c r="BS134" s="3" t="s">
        <v>405</v>
      </c>
      <c r="BT134" s="1" t="s">
        <v>1340</v>
      </c>
      <c r="BU134" s="1" t="s">
        <v>1335</v>
      </c>
      <c r="BV134" s="1" t="s">
        <v>76</v>
      </c>
      <c r="BW134" s="3" t="s">
        <v>1336</v>
      </c>
      <c r="BY134" s="1" t="s">
        <v>1335</v>
      </c>
      <c r="BZ134" s="1" t="s">
        <v>407</v>
      </c>
      <c r="CA134" s="1" t="s">
        <v>407</v>
      </c>
      <c r="CD134" s="1" t="s">
        <v>408</v>
      </c>
      <c r="CE134" s="1" t="s">
        <v>752</v>
      </c>
      <c r="CL134" s="1" t="s">
        <v>1335</v>
      </c>
      <c r="CM134" s="1" t="s">
        <v>1035</v>
      </c>
    </row>
    <row r="135" spans="1:91">
      <c r="A135" s="1" t="s">
        <v>1341</v>
      </c>
      <c r="B135" s="1" t="s">
        <v>395</v>
      </c>
      <c r="C135" s="1">
        <v>200</v>
      </c>
      <c r="D135" s="1" t="s">
        <v>303</v>
      </c>
      <c r="E135" s="1" t="s">
        <v>80</v>
      </c>
      <c r="G135" s="3" t="s">
        <v>1342</v>
      </c>
      <c r="H135" s="1">
        <v>10</v>
      </c>
      <c r="I135" s="1">
        <v>78</v>
      </c>
      <c r="J135" s="3" t="s">
        <v>1343</v>
      </c>
      <c r="K135" s="1">
        <v>156</v>
      </c>
      <c r="L135" s="1">
        <v>781</v>
      </c>
      <c r="M135" s="3" t="s">
        <v>1344</v>
      </c>
      <c r="N135" s="1">
        <v>52</v>
      </c>
      <c r="O135" s="3" t="s">
        <v>1345</v>
      </c>
      <c r="P135" s="1">
        <v>25</v>
      </c>
      <c r="R135" s="1">
        <v>0</v>
      </c>
      <c r="S135" s="3" t="s">
        <v>747</v>
      </c>
      <c r="T135" s="1">
        <v>7</v>
      </c>
      <c r="U135" s="3" t="s">
        <v>758</v>
      </c>
      <c r="V135" s="1">
        <v>2</v>
      </c>
      <c r="Z135" s="1" t="s">
        <v>1341</v>
      </c>
      <c r="AF135" s="1">
        <v>124009</v>
      </c>
      <c r="AG135" s="1">
        <v>22661</v>
      </c>
      <c r="AH135" s="1">
        <v>22661</v>
      </c>
      <c r="AI135" s="1">
        <v>8.8306064630000005</v>
      </c>
      <c r="AK135" s="1">
        <v>744</v>
      </c>
      <c r="AL135" s="1">
        <v>236</v>
      </c>
      <c r="AM135" s="1">
        <v>3.15254237288136</v>
      </c>
      <c r="AN135" s="1">
        <v>100</v>
      </c>
      <c r="AO135" s="1" t="s">
        <v>306</v>
      </c>
      <c r="AP135" s="1">
        <v>3.0595688819885298</v>
      </c>
      <c r="AQ135" s="1">
        <v>0</v>
      </c>
      <c r="AR135" s="1">
        <v>3</v>
      </c>
      <c r="AT135" s="1">
        <v>16</v>
      </c>
      <c r="AU135" s="1">
        <v>10</v>
      </c>
      <c r="AV135" s="1">
        <v>0</v>
      </c>
      <c r="AW135" s="1">
        <v>6.06</v>
      </c>
      <c r="AX135" s="1">
        <v>23</v>
      </c>
      <c r="AY135" s="1">
        <v>14</v>
      </c>
      <c r="AZ135" s="1">
        <v>0</v>
      </c>
      <c r="BA135" s="1">
        <v>2</v>
      </c>
      <c r="BB135" s="1">
        <v>2</v>
      </c>
      <c r="BC135" s="1">
        <v>0</v>
      </c>
      <c r="BH135" s="1" t="s">
        <v>1346</v>
      </c>
      <c r="BI135" s="1">
        <v>7.0000000000000001E-3</v>
      </c>
      <c r="BJ135" s="1" t="s">
        <v>925</v>
      </c>
      <c r="BN135" s="1" t="s">
        <v>403</v>
      </c>
      <c r="BO135" s="1" t="s">
        <v>404</v>
      </c>
      <c r="BP135" s="3" t="s">
        <v>1342</v>
      </c>
      <c r="BQ135" s="3" t="s">
        <v>1347</v>
      </c>
      <c r="BR135" s="1" t="s">
        <v>73</v>
      </c>
      <c r="BS135" s="3" t="s">
        <v>405</v>
      </c>
      <c r="BT135" s="1" t="s">
        <v>1348</v>
      </c>
      <c r="BU135" s="1" t="s">
        <v>1341</v>
      </c>
      <c r="BV135" s="1" t="s">
        <v>76</v>
      </c>
      <c r="BW135" s="3" t="s">
        <v>1342</v>
      </c>
      <c r="BY135" s="1" t="s">
        <v>1341</v>
      </c>
      <c r="BZ135" s="1" t="s">
        <v>407</v>
      </c>
      <c r="CA135" s="1" t="s">
        <v>407</v>
      </c>
      <c r="CD135" s="1" t="s">
        <v>408</v>
      </c>
      <c r="CE135" s="1" t="s">
        <v>752</v>
      </c>
      <c r="CL135" s="1" t="s">
        <v>1341</v>
      </c>
      <c r="CM135" s="1" t="s">
        <v>1239</v>
      </c>
    </row>
    <row r="136" spans="1:91">
      <c r="A136" s="1" t="s">
        <v>1349</v>
      </c>
      <c r="B136" s="1" t="s">
        <v>395</v>
      </c>
      <c r="C136" s="1">
        <v>200</v>
      </c>
      <c r="D136" s="1" t="s">
        <v>303</v>
      </c>
      <c r="E136" s="1" t="s">
        <v>80</v>
      </c>
      <c r="G136" s="3" t="s">
        <v>1350</v>
      </c>
      <c r="H136" s="1">
        <v>13</v>
      </c>
      <c r="I136" s="1">
        <v>101</v>
      </c>
      <c r="J136" s="3" t="s">
        <v>1351</v>
      </c>
      <c r="K136" s="1">
        <v>147</v>
      </c>
      <c r="L136" s="1">
        <v>782</v>
      </c>
      <c r="M136" s="3" t="s">
        <v>1344</v>
      </c>
      <c r="N136" s="1">
        <v>52</v>
      </c>
      <c r="O136" s="3" t="s">
        <v>1352</v>
      </c>
      <c r="P136" s="1">
        <v>35</v>
      </c>
      <c r="R136" s="1">
        <v>0</v>
      </c>
      <c r="S136" s="3" t="s">
        <v>747</v>
      </c>
      <c r="T136" s="1">
        <v>7</v>
      </c>
      <c r="U136" s="3" t="s">
        <v>758</v>
      </c>
      <c r="V136" s="1">
        <v>2</v>
      </c>
      <c r="Z136" s="1" t="s">
        <v>1349</v>
      </c>
      <c r="AF136" s="1">
        <v>127644</v>
      </c>
      <c r="AG136" s="1">
        <v>22978</v>
      </c>
      <c r="AH136" s="1">
        <v>22978</v>
      </c>
      <c r="AI136" s="1">
        <v>8.9541359739999997</v>
      </c>
      <c r="AK136" s="1">
        <v>777</v>
      </c>
      <c r="AL136" s="1">
        <v>243</v>
      </c>
      <c r="AM136" s="1">
        <v>3.19753086419753</v>
      </c>
      <c r="AN136" s="1">
        <v>100</v>
      </c>
      <c r="AO136" s="1" t="s">
        <v>306</v>
      </c>
      <c r="AP136" s="1">
        <v>3.0933029651641899</v>
      </c>
      <c r="AQ136" s="1">
        <v>0</v>
      </c>
      <c r="AR136" s="1">
        <v>3</v>
      </c>
      <c r="AT136" s="1">
        <v>8</v>
      </c>
      <c r="AU136" s="1">
        <v>2</v>
      </c>
      <c r="AV136" s="1">
        <v>0</v>
      </c>
      <c r="AW136" s="1">
        <v>1.21</v>
      </c>
      <c r="AX136" s="1">
        <v>23</v>
      </c>
      <c r="AY136" s="1">
        <v>14</v>
      </c>
      <c r="AZ136" s="1">
        <v>0</v>
      </c>
      <c r="BA136" s="1">
        <v>2</v>
      </c>
      <c r="BB136" s="1">
        <v>2</v>
      </c>
      <c r="BC136" s="1">
        <v>0</v>
      </c>
      <c r="BH136" s="1" t="s">
        <v>1353</v>
      </c>
      <c r="BI136" s="1">
        <v>6.0000000000000001E-3</v>
      </c>
      <c r="BJ136" s="1" t="s">
        <v>925</v>
      </c>
      <c r="BN136" s="1" t="s">
        <v>403</v>
      </c>
      <c r="BO136" s="1" t="s">
        <v>404</v>
      </c>
      <c r="BP136" s="3" t="s">
        <v>1350</v>
      </c>
      <c r="BQ136" s="3" t="s">
        <v>1351</v>
      </c>
      <c r="BR136" s="1" t="s">
        <v>73</v>
      </c>
      <c r="BS136" s="3" t="s">
        <v>405</v>
      </c>
      <c r="BT136" s="1" t="s">
        <v>1354</v>
      </c>
      <c r="BU136" s="1" t="s">
        <v>1349</v>
      </c>
      <c r="BV136" s="1" t="s">
        <v>76</v>
      </c>
      <c r="BW136" s="3" t="s">
        <v>1350</v>
      </c>
      <c r="BY136" s="1" t="s">
        <v>1349</v>
      </c>
      <c r="BZ136" s="1" t="s">
        <v>407</v>
      </c>
      <c r="CA136" s="1" t="s">
        <v>407</v>
      </c>
      <c r="CD136" s="1" t="s">
        <v>408</v>
      </c>
      <c r="CE136" s="1" t="s">
        <v>752</v>
      </c>
      <c r="CL136" s="1" t="s">
        <v>1349</v>
      </c>
      <c r="CM136" s="1" t="s">
        <v>1126</v>
      </c>
    </row>
    <row r="137" spans="1:91">
      <c r="A137" s="1" t="s">
        <v>1355</v>
      </c>
      <c r="B137" s="1" t="s">
        <v>395</v>
      </c>
      <c r="C137" s="1">
        <v>200</v>
      </c>
      <c r="D137" s="1" t="s">
        <v>303</v>
      </c>
      <c r="E137" s="1" t="s">
        <v>80</v>
      </c>
      <c r="G137" s="3" t="s">
        <v>1356</v>
      </c>
      <c r="H137" s="1">
        <v>13</v>
      </c>
      <c r="I137" s="1">
        <v>101</v>
      </c>
      <c r="J137" s="3" t="s">
        <v>1357</v>
      </c>
      <c r="K137" s="1">
        <v>86</v>
      </c>
      <c r="L137" s="1">
        <v>487</v>
      </c>
      <c r="M137" s="3" t="s">
        <v>1358</v>
      </c>
      <c r="N137" s="1">
        <v>70</v>
      </c>
      <c r="O137" s="3" t="s">
        <v>1359</v>
      </c>
      <c r="P137" s="1">
        <v>33</v>
      </c>
      <c r="R137" s="1">
        <v>0</v>
      </c>
      <c r="S137" s="3" t="s">
        <v>747</v>
      </c>
      <c r="T137" s="1">
        <v>7</v>
      </c>
      <c r="U137" s="3" t="s">
        <v>758</v>
      </c>
      <c r="V137" s="1">
        <v>2</v>
      </c>
      <c r="Z137" s="1" t="s">
        <v>1355</v>
      </c>
      <c r="AF137" s="1">
        <v>129657</v>
      </c>
      <c r="AG137" s="1">
        <v>22785</v>
      </c>
      <c r="AH137" s="1">
        <v>22785</v>
      </c>
      <c r="AI137" s="1">
        <v>8.8789271549999995</v>
      </c>
      <c r="AK137" s="1">
        <v>741</v>
      </c>
      <c r="AL137" s="1">
        <v>258</v>
      </c>
      <c r="AM137" s="1">
        <v>2.8720930232558102</v>
      </c>
      <c r="AN137" s="1">
        <v>100</v>
      </c>
      <c r="AO137" s="1" t="s">
        <v>306</v>
      </c>
      <c r="AP137" s="1">
        <v>2.8624968528747599</v>
      </c>
      <c r="AQ137" s="1">
        <v>0</v>
      </c>
      <c r="AR137" s="1">
        <v>3</v>
      </c>
      <c r="AT137" s="1">
        <v>10</v>
      </c>
      <c r="AU137" s="1">
        <v>3</v>
      </c>
      <c r="AV137" s="1">
        <v>0</v>
      </c>
      <c r="AW137" s="1">
        <v>1.82</v>
      </c>
      <c r="AX137" s="1">
        <v>24</v>
      </c>
      <c r="AY137" s="1">
        <v>15</v>
      </c>
      <c r="AZ137" s="1">
        <v>0</v>
      </c>
      <c r="BA137" s="1">
        <v>2</v>
      </c>
      <c r="BB137" s="1">
        <v>2</v>
      </c>
      <c r="BC137" s="1">
        <v>0</v>
      </c>
      <c r="BH137" s="1" t="s">
        <v>1360</v>
      </c>
      <c r="BI137" s="1">
        <v>8.0000000000000002E-3</v>
      </c>
      <c r="BJ137" s="1" t="s">
        <v>871</v>
      </c>
      <c r="BN137" s="1" t="s">
        <v>403</v>
      </c>
      <c r="BO137" s="1" t="s">
        <v>404</v>
      </c>
      <c r="BP137" s="3" t="s">
        <v>1356</v>
      </c>
      <c r="BQ137" s="3" t="s">
        <v>1357</v>
      </c>
      <c r="BR137" s="1" t="s">
        <v>73</v>
      </c>
      <c r="BS137" s="3" t="s">
        <v>405</v>
      </c>
      <c r="BT137" s="1" t="s">
        <v>1361</v>
      </c>
      <c r="BU137" s="1" t="s">
        <v>1355</v>
      </c>
      <c r="BV137" s="1" t="s">
        <v>76</v>
      </c>
      <c r="BW137" s="3" t="s">
        <v>1356</v>
      </c>
      <c r="BY137" s="1" t="s">
        <v>1355</v>
      </c>
      <c r="BZ137" s="1" t="s">
        <v>407</v>
      </c>
      <c r="CA137" s="1" t="s">
        <v>407</v>
      </c>
      <c r="CD137" s="1" t="s">
        <v>408</v>
      </c>
      <c r="CE137" s="1" t="s">
        <v>752</v>
      </c>
      <c r="CL137" s="1" t="s">
        <v>1355</v>
      </c>
      <c r="CM137" s="1" t="s">
        <v>815</v>
      </c>
    </row>
    <row r="138" spans="1:91">
      <c r="A138" s="1" t="s">
        <v>1362</v>
      </c>
      <c r="B138" s="1" t="s">
        <v>395</v>
      </c>
      <c r="C138" s="1">
        <v>200</v>
      </c>
      <c r="D138" s="1" t="s">
        <v>303</v>
      </c>
      <c r="E138" s="1" t="s">
        <v>80</v>
      </c>
      <c r="G138" s="3" t="s">
        <v>1363</v>
      </c>
      <c r="H138" s="1">
        <v>16</v>
      </c>
      <c r="I138" s="1">
        <v>124</v>
      </c>
      <c r="J138" s="3" t="s">
        <v>1364</v>
      </c>
      <c r="K138" s="1">
        <v>89</v>
      </c>
      <c r="L138" s="1">
        <v>502</v>
      </c>
      <c r="M138" s="3" t="s">
        <v>1358</v>
      </c>
      <c r="N138" s="1">
        <v>70</v>
      </c>
      <c r="O138" s="3" t="s">
        <v>1365</v>
      </c>
      <c r="P138" s="1">
        <v>43</v>
      </c>
      <c r="R138" s="1">
        <v>0</v>
      </c>
      <c r="S138" s="3" t="s">
        <v>747</v>
      </c>
      <c r="T138" s="1">
        <v>7</v>
      </c>
      <c r="U138" s="3" t="s">
        <v>793</v>
      </c>
      <c r="V138" s="1">
        <v>14</v>
      </c>
      <c r="Z138" s="1" t="s">
        <v>1362</v>
      </c>
      <c r="AF138" s="1">
        <v>130406</v>
      </c>
      <c r="AG138" s="1">
        <v>22649</v>
      </c>
      <c r="AH138" s="1">
        <v>22649</v>
      </c>
      <c r="AI138" s="1">
        <v>8.8259302670000004</v>
      </c>
      <c r="AK138" s="1">
        <v>772</v>
      </c>
      <c r="AL138" s="1">
        <v>261</v>
      </c>
      <c r="AM138" s="1">
        <v>2.9578544061302701</v>
      </c>
      <c r="AN138" s="1">
        <v>100</v>
      </c>
      <c r="AO138" s="1" t="s">
        <v>306</v>
      </c>
      <c r="AP138" s="1">
        <v>2.9544484615325901</v>
      </c>
      <c r="AQ138" s="1">
        <v>0</v>
      </c>
      <c r="AR138" s="1">
        <v>3</v>
      </c>
      <c r="AT138" s="1">
        <v>8</v>
      </c>
      <c r="AU138" s="1">
        <v>2</v>
      </c>
      <c r="AV138" s="1">
        <v>0</v>
      </c>
      <c r="AW138" s="1">
        <v>1.21</v>
      </c>
      <c r="AX138" s="1">
        <v>24</v>
      </c>
      <c r="AY138" s="1">
        <v>15</v>
      </c>
      <c r="AZ138" s="1">
        <v>0</v>
      </c>
      <c r="BA138" s="1">
        <v>2</v>
      </c>
      <c r="BB138" s="1">
        <v>2</v>
      </c>
      <c r="BC138" s="1">
        <v>0</v>
      </c>
      <c r="BH138" s="1" t="s">
        <v>1366</v>
      </c>
      <c r="BI138" s="1">
        <v>5.0000000000000001E-3</v>
      </c>
      <c r="BJ138" s="1" t="s">
        <v>871</v>
      </c>
      <c r="BN138" s="1" t="s">
        <v>403</v>
      </c>
      <c r="BO138" s="1" t="s">
        <v>404</v>
      </c>
      <c r="BP138" s="3" t="s">
        <v>1363</v>
      </c>
      <c r="BQ138" s="3" t="s">
        <v>1364</v>
      </c>
      <c r="BR138" s="1" t="s">
        <v>73</v>
      </c>
      <c r="BS138" s="3" t="s">
        <v>405</v>
      </c>
      <c r="BT138" s="1" t="s">
        <v>1367</v>
      </c>
      <c r="BU138" s="1" t="s">
        <v>1362</v>
      </c>
      <c r="BV138" s="1" t="s">
        <v>76</v>
      </c>
      <c r="BW138" s="3" t="s">
        <v>1363</v>
      </c>
      <c r="BY138" s="1" t="s">
        <v>1362</v>
      </c>
      <c r="BZ138" s="1" t="s">
        <v>407</v>
      </c>
      <c r="CA138" s="1" t="s">
        <v>407</v>
      </c>
      <c r="CD138" s="1" t="s">
        <v>408</v>
      </c>
      <c r="CE138" s="1" t="s">
        <v>752</v>
      </c>
      <c r="CL138" s="1" t="s">
        <v>1362</v>
      </c>
      <c r="CM138" s="1" t="s">
        <v>582</v>
      </c>
    </row>
    <row r="139" spans="1:91">
      <c r="A139" s="1" t="s">
        <v>1368</v>
      </c>
      <c r="B139" s="1" t="s">
        <v>395</v>
      </c>
      <c r="C139" s="1">
        <v>200</v>
      </c>
      <c r="D139" s="1" t="s">
        <v>303</v>
      </c>
      <c r="E139" s="1" t="s">
        <v>80</v>
      </c>
      <c r="G139" s="3" t="s">
        <v>1369</v>
      </c>
      <c r="H139" s="1">
        <v>12</v>
      </c>
      <c r="I139" s="1">
        <v>96</v>
      </c>
      <c r="J139" s="3" t="s">
        <v>1370</v>
      </c>
      <c r="K139" s="1">
        <v>88</v>
      </c>
      <c r="L139" s="1">
        <v>470</v>
      </c>
      <c r="M139" s="3" t="s">
        <v>1371</v>
      </c>
      <c r="N139" s="1">
        <v>50</v>
      </c>
      <c r="O139" s="3" t="s">
        <v>1372</v>
      </c>
      <c r="P139" s="1">
        <v>45</v>
      </c>
      <c r="R139" s="1">
        <v>0</v>
      </c>
      <c r="S139" s="3" t="s">
        <v>747</v>
      </c>
      <c r="T139" s="1">
        <v>7</v>
      </c>
      <c r="U139" s="3" t="s">
        <v>793</v>
      </c>
      <c r="V139" s="1">
        <v>14</v>
      </c>
      <c r="Z139" s="1" t="s">
        <v>1368</v>
      </c>
      <c r="AF139" s="1">
        <v>91139</v>
      </c>
      <c r="AG139" s="1">
        <v>18794</v>
      </c>
      <c r="AH139" s="1">
        <v>18794</v>
      </c>
      <c r="AI139" s="1">
        <v>7.3237023020000001</v>
      </c>
      <c r="AK139" s="1">
        <v>536</v>
      </c>
      <c r="AL139" s="1">
        <v>152</v>
      </c>
      <c r="AM139" s="1">
        <v>3.5263157894736801</v>
      </c>
      <c r="AN139" s="1">
        <v>100</v>
      </c>
      <c r="AO139" s="1" t="s">
        <v>306</v>
      </c>
      <c r="AP139" s="1">
        <v>2.97574782371521</v>
      </c>
      <c r="AQ139" s="1">
        <v>0</v>
      </c>
      <c r="AR139" s="1">
        <v>3</v>
      </c>
      <c r="AT139" s="1">
        <v>7</v>
      </c>
      <c r="AU139" s="1">
        <v>1</v>
      </c>
      <c r="AV139" s="1">
        <v>0</v>
      </c>
      <c r="AW139" s="1">
        <v>0.61</v>
      </c>
      <c r="AX139" s="1">
        <v>23</v>
      </c>
      <c r="AY139" s="1">
        <v>14</v>
      </c>
      <c r="AZ139" s="1">
        <v>0</v>
      </c>
      <c r="BA139" s="1">
        <v>2</v>
      </c>
      <c r="BB139" s="1">
        <v>2</v>
      </c>
      <c r="BC139" s="1">
        <v>0</v>
      </c>
      <c r="BH139" s="1" t="s">
        <v>1373</v>
      </c>
      <c r="BI139" s="1">
        <v>6.0000000000000001E-3</v>
      </c>
      <c r="BJ139" s="1" t="s">
        <v>795</v>
      </c>
      <c r="BN139" s="1" t="s">
        <v>403</v>
      </c>
      <c r="BO139" s="1" t="s">
        <v>404</v>
      </c>
      <c r="BP139" s="3" t="s">
        <v>1369</v>
      </c>
      <c r="BQ139" s="3" t="s">
        <v>1370</v>
      </c>
      <c r="BR139" s="1" t="s">
        <v>73</v>
      </c>
      <c r="BS139" s="3" t="s">
        <v>405</v>
      </c>
      <c r="BT139" s="1" t="s">
        <v>1374</v>
      </c>
      <c r="BU139" s="1" t="s">
        <v>1368</v>
      </c>
      <c r="BV139" s="1" t="s">
        <v>76</v>
      </c>
      <c r="BW139" s="3" t="s">
        <v>1369</v>
      </c>
      <c r="BY139" s="1" t="s">
        <v>1368</v>
      </c>
      <c r="BZ139" s="1" t="s">
        <v>407</v>
      </c>
      <c r="CA139" s="1" t="s">
        <v>407</v>
      </c>
      <c r="CD139" s="1" t="s">
        <v>408</v>
      </c>
      <c r="CE139" s="1" t="s">
        <v>752</v>
      </c>
      <c r="CL139" s="1" t="s">
        <v>1368</v>
      </c>
      <c r="CM139" s="1" t="s">
        <v>454</v>
      </c>
    </row>
    <row r="140" spans="1:91">
      <c r="A140" s="1" t="s">
        <v>1375</v>
      </c>
      <c r="B140" s="1" t="s">
        <v>395</v>
      </c>
      <c r="C140" s="1">
        <v>200</v>
      </c>
      <c r="D140" s="1" t="s">
        <v>303</v>
      </c>
      <c r="E140" s="1" t="s">
        <v>80</v>
      </c>
      <c r="G140" s="3" t="s">
        <v>1376</v>
      </c>
      <c r="H140" s="1">
        <v>10</v>
      </c>
      <c r="I140" s="1">
        <v>78</v>
      </c>
      <c r="J140" s="3" t="s">
        <v>1377</v>
      </c>
      <c r="K140" s="1">
        <v>85</v>
      </c>
      <c r="L140" s="1">
        <v>464</v>
      </c>
      <c r="M140" s="3" t="s">
        <v>1378</v>
      </c>
      <c r="N140" s="1">
        <v>46</v>
      </c>
      <c r="O140" s="3" t="s">
        <v>1379</v>
      </c>
      <c r="P140" s="1">
        <v>37</v>
      </c>
      <c r="R140" s="1">
        <v>0</v>
      </c>
      <c r="S140" s="3" t="s">
        <v>747</v>
      </c>
      <c r="T140" s="1">
        <v>7</v>
      </c>
      <c r="U140" s="3" t="s">
        <v>1380</v>
      </c>
      <c r="V140" s="1">
        <v>7</v>
      </c>
      <c r="Z140" s="1" t="s">
        <v>1375</v>
      </c>
      <c r="AF140" s="1">
        <v>105582</v>
      </c>
      <c r="AG140" s="1">
        <v>20573</v>
      </c>
      <c r="AH140" s="1">
        <v>20573</v>
      </c>
      <c r="AI140" s="1">
        <v>8.0169483590000006</v>
      </c>
      <c r="AK140" s="1">
        <v>704</v>
      </c>
      <c r="AL140" s="1">
        <v>208</v>
      </c>
      <c r="AM140" s="1">
        <v>3.3846153846153899</v>
      </c>
      <c r="AN140" s="1">
        <v>100</v>
      </c>
      <c r="AO140" s="1" t="s">
        <v>306</v>
      </c>
      <c r="AP140" s="1">
        <v>3.3288934230804399</v>
      </c>
      <c r="AQ140" s="1">
        <v>0</v>
      </c>
      <c r="AR140" s="1">
        <v>3</v>
      </c>
      <c r="AT140" s="1">
        <v>9</v>
      </c>
      <c r="AU140" s="1">
        <v>3</v>
      </c>
      <c r="AV140" s="1">
        <v>0</v>
      </c>
      <c r="AW140" s="1">
        <v>1.82</v>
      </c>
      <c r="AX140" s="1">
        <v>24</v>
      </c>
      <c r="AY140" s="1">
        <v>15</v>
      </c>
      <c r="AZ140" s="1">
        <v>0</v>
      </c>
      <c r="BA140" s="1">
        <v>2</v>
      </c>
      <c r="BB140" s="1">
        <v>2</v>
      </c>
      <c r="BC140" s="1">
        <v>0</v>
      </c>
      <c r="BH140" s="1" t="s">
        <v>1381</v>
      </c>
      <c r="BI140" s="1">
        <v>7.0000000000000001E-3</v>
      </c>
      <c r="BJ140" s="1" t="s">
        <v>804</v>
      </c>
      <c r="BN140" s="1" t="s">
        <v>403</v>
      </c>
      <c r="BO140" s="1" t="s">
        <v>404</v>
      </c>
      <c r="BP140" s="3" t="s">
        <v>1376</v>
      </c>
      <c r="BQ140" s="3" t="s">
        <v>1377</v>
      </c>
      <c r="BR140" s="1" t="s">
        <v>73</v>
      </c>
      <c r="BS140" s="3" t="s">
        <v>405</v>
      </c>
      <c r="BT140" s="1" t="s">
        <v>1382</v>
      </c>
      <c r="BU140" s="1" t="s">
        <v>1375</v>
      </c>
      <c r="BV140" s="1" t="s">
        <v>76</v>
      </c>
      <c r="BW140" s="3" t="s">
        <v>1376</v>
      </c>
      <c r="BY140" s="1" t="s">
        <v>1375</v>
      </c>
      <c r="BZ140" s="1" t="s">
        <v>407</v>
      </c>
      <c r="CA140" s="1" t="s">
        <v>407</v>
      </c>
      <c r="CD140" s="1" t="s">
        <v>408</v>
      </c>
      <c r="CE140" s="1" t="s">
        <v>752</v>
      </c>
      <c r="CL140" s="1" t="s">
        <v>1375</v>
      </c>
      <c r="CM140" s="1" t="s">
        <v>629</v>
      </c>
    </row>
    <row r="141" spans="1:91">
      <c r="A141" s="1" t="s">
        <v>1383</v>
      </c>
      <c r="B141" s="1" t="s">
        <v>395</v>
      </c>
      <c r="C141" s="1">
        <v>200</v>
      </c>
      <c r="D141" s="1" t="s">
        <v>303</v>
      </c>
      <c r="E141" s="1" t="s">
        <v>80</v>
      </c>
      <c r="G141" s="3" t="s">
        <v>1384</v>
      </c>
      <c r="H141" s="1">
        <v>9</v>
      </c>
      <c r="I141" s="1">
        <v>69</v>
      </c>
      <c r="J141" s="3" t="s">
        <v>1385</v>
      </c>
      <c r="K141" s="1">
        <v>102</v>
      </c>
      <c r="L141" s="1">
        <v>575</v>
      </c>
      <c r="M141" s="3" t="s">
        <v>1386</v>
      </c>
      <c r="N141" s="1">
        <v>48</v>
      </c>
      <c r="O141" s="3" t="s">
        <v>1387</v>
      </c>
      <c r="P141" s="1">
        <v>33</v>
      </c>
      <c r="R141" s="1">
        <v>0</v>
      </c>
      <c r="S141" s="3" t="s">
        <v>747</v>
      </c>
      <c r="T141" s="1">
        <v>7</v>
      </c>
      <c r="U141" s="3" t="s">
        <v>1388</v>
      </c>
      <c r="V141" s="1">
        <v>6</v>
      </c>
      <c r="Z141" s="1" t="s">
        <v>1383</v>
      </c>
      <c r="AF141" s="1">
        <v>105270</v>
      </c>
      <c r="AG141" s="1">
        <v>20471</v>
      </c>
      <c r="AH141" s="1">
        <v>20471</v>
      </c>
      <c r="AI141" s="1">
        <v>7.9772006930000003</v>
      </c>
      <c r="AK141" s="1">
        <v>702</v>
      </c>
      <c r="AL141" s="1">
        <v>213</v>
      </c>
      <c r="AM141" s="1">
        <v>3.29577464788732</v>
      </c>
      <c r="AN141" s="1">
        <v>100</v>
      </c>
      <c r="AO141" s="1" t="s">
        <v>306</v>
      </c>
      <c r="AP141" s="1">
        <v>3.1994891166686998</v>
      </c>
      <c r="AQ141" s="1">
        <v>0</v>
      </c>
      <c r="AR141" s="1">
        <v>3</v>
      </c>
      <c r="AT141" s="1">
        <v>9</v>
      </c>
      <c r="AU141" s="1">
        <v>3</v>
      </c>
      <c r="AV141" s="1">
        <v>0</v>
      </c>
      <c r="AW141" s="1">
        <v>1.82</v>
      </c>
      <c r="AX141" s="1">
        <v>24</v>
      </c>
      <c r="AY141" s="1">
        <v>15</v>
      </c>
      <c r="AZ141" s="1">
        <v>0</v>
      </c>
      <c r="BA141" s="1">
        <v>2</v>
      </c>
      <c r="BB141" s="1">
        <v>2</v>
      </c>
      <c r="BC141" s="1">
        <v>0</v>
      </c>
      <c r="BH141" s="1" t="s">
        <v>1389</v>
      </c>
      <c r="BI141" s="1">
        <v>5.0000000000000001E-3</v>
      </c>
      <c r="BJ141" s="1" t="s">
        <v>804</v>
      </c>
      <c r="BN141" s="1" t="s">
        <v>403</v>
      </c>
      <c r="BO141" s="1" t="s">
        <v>404</v>
      </c>
      <c r="BP141" s="3" t="s">
        <v>1384</v>
      </c>
      <c r="BQ141" s="3" t="s">
        <v>1385</v>
      </c>
      <c r="BR141" s="1" t="s">
        <v>73</v>
      </c>
      <c r="BS141" s="3" t="s">
        <v>405</v>
      </c>
      <c r="BT141" s="1" t="s">
        <v>1390</v>
      </c>
      <c r="BU141" s="1" t="s">
        <v>1383</v>
      </c>
      <c r="BV141" s="1" t="s">
        <v>76</v>
      </c>
      <c r="BW141" s="3" t="s">
        <v>1384</v>
      </c>
      <c r="BY141" s="1" t="s">
        <v>1383</v>
      </c>
      <c r="BZ141" s="1" t="s">
        <v>407</v>
      </c>
      <c r="CA141" s="1" t="s">
        <v>407</v>
      </c>
      <c r="CD141" s="1" t="s">
        <v>408</v>
      </c>
      <c r="CE141" s="1" t="s">
        <v>752</v>
      </c>
      <c r="CL141" s="1" t="s">
        <v>1383</v>
      </c>
      <c r="CM141" s="1" t="s">
        <v>998</v>
      </c>
    </row>
    <row r="142" spans="1:91">
      <c r="A142" s="1" t="s">
        <v>1391</v>
      </c>
      <c r="B142" s="1" t="s">
        <v>395</v>
      </c>
      <c r="C142" s="1">
        <v>200</v>
      </c>
      <c r="D142" s="1" t="s">
        <v>303</v>
      </c>
      <c r="E142" s="1" t="s">
        <v>80</v>
      </c>
      <c r="G142" s="3" t="s">
        <v>1392</v>
      </c>
      <c r="H142" s="1">
        <v>12</v>
      </c>
      <c r="I142" s="1">
        <v>96</v>
      </c>
      <c r="J142" s="3" t="s">
        <v>1393</v>
      </c>
      <c r="K142" s="1">
        <v>77</v>
      </c>
      <c r="L142" s="1">
        <v>424</v>
      </c>
      <c r="M142" s="3" t="s">
        <v>1394</v>
      </c>
      <c r="N142" s="1">
        <v>75</v>
      </c>
      <c r="O142" s="3" t="s">
        <v>1395</v>
      </c>
      <c r="P142" s="1">
        <v>31</v>
      </c>
      <c r="R142" s="1">
        <v>0</v>
      </c>
      <c r="S142" s="3" t="s">
        <v>747</v>
      </c>
      <c r="T142" s="1">
        <v>7</v>
      </c>
      <c r="U142" s="3" t="s">
        <v>758</v>
      </c>
      <c r="V142" s="1">
        <v>2</v>
      </c>
      <c r="Z142" s="1" t="s">
        <v>1391</v>
      </c>
      <c r="AF142" s="1">
        <v>120258</v>
      </c>
      <c r="AG142" s="1">
        <v>23981</v>
      </c>
      <c r="AH142" s="1">
        <v>23981</v>
      </c>
      <c r="AI142" s="1">
        <v>9.3449880230000009</v>
      </c>
      <c r="AK142" s="1">
        <v>725</v>
      </c>
      <c r="AL142" s="1">
        <v>218</v>
      </c>
      <c r="AM142" s="1">
        <v>3.3256880733944998</v>
      </c>
      <c r="AN142" s="1">
        <v>100</v>
      </c>
      <c r="AO142" s="1" t="s">
        <v>306</v>
      </c>
      <c r="AP142" s="1">
        <v>3.0463728904724099</v>
      </c>
      <c r="AQ142" s="1">
        <v>0</v>
      </c>
      <c r="AR142" s="1">
        <v>3</v>
      </c>
      <c r="AT142" s="1">
        <v>15</v>
      </c>
      <c r="AU142" s="1">
        <v>9</v>
      </c>
      <c r="AV142" s="1">
        <v>0</v>
      </c>
      <c r="AW142" s="1">
        <v>5.45</v>
      </c>
      <c r="AX142" s="1">
        <v>22</v>
      </c>
      <c r="AY142" s="1">
        <v>13</v>
      </c>
      <c r="AZ142" s="1">
        <v>0</v>
      </c>
      <c r="BA142" s="1">
        <v>2</v>
      </c>
      <c r="BB142" s="1">
        <v>2</v>
      </c>
      <c r="BC142" s="1">
        <v>0</v>
      </c>
      <c r="BH142" s="1" t="s">
        <v>1396</v>
      </c>
      <c r="BI142" s="1">
        <v>7.0000000000000001E-3</v>
      </c>
      <c r="BJ142" s="1" t="s">
        <v>925</v>
      </c>
      <c r="BN142" s="1" t="s">
        <v>403</v>
      </c>
      <c r="BO142" s="1" t="s">
        <v>404</v>
      </c>
      <c r="BP142" s="3" t="s">
        <v>1392</v>
      </c>
      <c r="BQ142" s="3" t="s">
        <v>1393</v>
      </c>
      <c r="BR142" s="1" t="s">
        <v>73</v>
      </c>
      <c r="BS142" s="3" t="s">
        <v>405</v>
      </c>
      <c r="BT142" s="1" t="s">
        <v>1397</v>
      </c>
      <c r="BU142" s="1" t="s">
        <v>1391</v>
      </c>
      <c r="BV142" s="1" t="s">
        <v>76</v>
      </c>
      <c r="BW142" s="3" t="s">
        <v>1392</v>
      </c>
      <c r="BY142" s="1" t="s">
        <v>1391</v>
      </c>
      <c r="BZ142" s="1" t="s">
        <v>407</v>
      </c>
      <c r="CA142" s="1" t="s">
        <v>407</v>
      </c>
      <c r="CD142" s="1" t="s">
        <v>408</v>
      </c>
      <c r="CE142" s="1" t="s">
        <v>752</v>
      </c>
      <c r="CL142" s="1" t="s">
        <v>1391</v>
      </c>
      <c r="CM142" s="1" t="s">
        <v>608</v>
      </c>
    </row>
    <row r="143" spans="1:91">
      <c r="A143" s="1" t="s">
        <v>1398</v>
      </c>
      <c r="B143" s="1" t="s">
        <v>395</v>
      </c>
      <c r="C143" s="1">
        <v>200</v>
      </c>
      <c r="D143" s="1" t="s">
        <v>303</v>
      </c>
      <c r="E143" s="1" t="s">
        <v>80</v>
      </c>
      <c r="G143" s="3" t="s">
        <v>1399</v>
      </c>
      <c r="H143" s="1">
        <v>18</v>
      </c>
      <c r="I143" s="1">
        <v>142</v>
      </c>
      <c r="J143" s="3" t="s">
        <v>1400</v>
      </c>
      <c r="K143" s="1">
        <v>99</v>
      </c>
      <c r="L143" s="1">
        <v>538</v>
      </c>
      <c r="M143" s="3" t="s">
        <v>1401</v>
      </c>
      <c r="N143" s="1">
        <v>62</v>
      </c>
      <c r="O143" s="3" t="s">
        <v>1402</v>
      </c>
      <c r="P143" s="1">
        <v>46</v>
      </c>
      <c r="R143" s="1">
        <v>0</v>
      </c>
      <c r="S143" s="3" t="s">
        <v>747</v>
      </c>
      <c r="T143" s="1">
        <v>7</v>
      </c>
      <c r="U143" s="3" t="s">
        <v>793</v>
      </c>
      <c r="V143" s="1">
        <v>14</v>
      </c>
      <c r="Z143" s="1" t="s">
        <v>1398</v>
      </c>
      <c r="AF143" s="1">
        <v>205801</v>
      </c>
      <c r="AG143" s="1">
        <v>28966</v>
      </c>
      <c r="AH143" s="1">
        <v>28966</v>
      </c>
      <c r="AI143" s="1">
        <v>11.287557778</v>
      </c>
      <c r="AK143" s="1">
        <v>1227</v>
      </c>
      <c r="AL143" s="1">
        <v>335</v>
      </c>
      <c r="AM143" s="1">
        <v>3.66268656716418</v>
      </c>
      <c r="AN143" s="1">
        <v>100</v>
      </c>
      <c r="AO143" s="1" t="s">
        <v>306</v>
      </c>
      <c r="AP143" s="1">
        <v>3.3793687820434601</v>
      </c>
      <c r="AQ143" s="1">
        <v>0</v>
      </c>
      <c r="AR143" s="1">
        <v>3</v>
      </c>
      <c r="AT143" s="1">
        <v>7</v>
      </c>
      <c r="AU143" s="1">
        <v>2</v>
      </c>
      <c r="AV143" s="1">
        <v>0</v>
      </c>
      <c r="AW143" s="1">
        <v>1.21</v>
      </c>
      <c r="AX143" s="1">
        <v>22</v>
      </c>
      <c r="AY143" s="1">
        <v>14</v>
      </c>
      <c r="AZ143" s="1">
        <v>0</v>
      </c>
      <c r="BA143" s="1">
        <v>2</v>
      </c>
      <c r="BB143" s="1">
        <v>2</v>
      </c>
      <c r="BC143" s="1">
        <v>0</v>
      </c>
      <c r="BH143" s="1" t="s">
        <v>1403</v>
      </c>
      <c r="BI143" s="1">
        <v>6.0000000000000001E-3</v>
      </c>
      <c r="BJ143" s="1" t="s">
        <v>750</v>
      </c>
      <c r="BN143" s="1" t="s">
        <v>403</v>
      </c>
      <c r="BO143" s="1" t="s">
        <v>404</v>
      </c>
      <c r="BP143" s="3" t="s">
        <v>1399</v>
      </c>
      <c r="BQ143" s="3" t="s">
        <v>1400</v>
      </c>
      <c r="BR143" s="1" t="s">
        <v>73</v>
      </c>
      <c r="BS143" s="3" t="s">
        <v>405</v>
      </c>
      <c r="BT143" s="1" t="s">
        <v>1404</v>
      </c>
      <c r="BU143" s="1" t="s">
        <v>1398</v>
      </c>
      <c r="BV143" s="1" t="s">
        <v>76</v>
      </c>
      <c r="BW143" s="3" t="s">
        <v>1399</v>
      </c>
      <c r="BY143" s="1" t="s">
        <v>1398</v>
      </c>
      <c r="BZ143" s="1" t="s">
        <v>407</v>
      </c>
      <c r="CA143" s="1" t="s">
        <v>407</v>
      </c>
      <c r="CD143" s="1" t="s">
        <v>408</v>
      </c>
      <c r="CE143" s="1" t="s">
        <v>752</v>
      </c>
      <c r="CL143" s="1" t="s">
        <v>1398</v>
      </c>
      <c r="CM143" s="1" t="s">
        <v>1405</v>
      </c>
    </row>
    <row r="144" spans="1:91">
      <c r="A144" s="1" t="s">
        <v>1406</v>
      </c>
      <c r="B144" s="1" t="s">
        <v>395</v>
      </c>
      <c r="C144" s="1">
        <v>200</v>
      </c>
      <c r="D144" s="1" t="s">
        <v>303</v>
      </c>
      <c r="E144" s="1" t="s">
        <v>80</v>
      </c>
      <c r="G144" s="3" t="s">
        <v>1407</v>
      </c>
      <c r="H144" s="1">
        <v>10</v>
      </c>
      <c r="I144" s="1">
        <v>78</v>
      </c>
      <c r="J144" s="3" t="s">
        <v>1408</v>
      </c>
      <c r="K144" s="1">
        <v>75</v>
      </c>
      <c r="L144" s="1">
        <v>421</v>
      </c>
      <c r="M144" s="3" t="s">
        <v>1409</v>
      </c>
      <c r="N144" s="1">
        <v>58</v>
      </c>
      <c r="O144" s="3" t="s">
        <v>1410</v>
      </c>
      <c r="P144" s="1">
        <v>25</v>
      </c>
      <c r="R144" s="1">
        <v>0</v>
      </c>
      <c r="S144" s="3" t="s">
        <v>747</v>
      </c>
      <c r="T144" s="1">
        <v>7</v>
      </c>
      <c r="U144" s="3" t="s">
        <v>758</v>
      </c>
      <c r="V144" s="1">
        <v>2</v>
      </c>
      <c r="Z144" s="1" t="s">
        <v>1406</v>
      </c>
      <c r="AF144" s="1">
        <v>130568</v>
      </c>
      <c r="AG144" s="1">
        <v>25298</v>
      </c>
      <c r="AH144" s="1">
        <v>25298</v>
      </c>
      <c r="AI144" s="1">
        <v>9.8582005339999998</v>
      </c>
      <c r="AK144" s="1">
        <v>776</v>
      </c>
      <c r="AL144" s="1">
        <v>234</v>
      </c>
      <c r="AM144" s="1">
        <v>3.31623931623932</v>
      </c>
      <c r="AN144" s="1">
        <v>100</v>
      </c>
      <c r="AO144" s="1" t="s">
        <v>306</v>
      </c>
      <c r="AP144" s="1">
        <v>2.95894455909729</v>
      </c>
      <c r="AQ144" s="1">
        <v>0</v>
      </c>
      <c r="AR144" s="1">
        <v>3</v>
      </c>
      <c r="AT144" s="1">
        <v>15</v>
      </c>
      <c r="AU144" s="1">
        <v>9</v>
      </c>
      <c r="AV144" s="1">
        <v>0</v>
      </c>
      <c r="AW144" s="1">
        <v>5.45</v>
      </c>
      <c r="AX144" s="1">
        <v>22</v>
      </c>
      <c r="AY144" s="1">
        <v>13</v>
      </c>
      <c r="AZ144" s="1">
        <v>0</v>
      </c>
      <c r="BA144" s="1">
        <v>2</v>
      </c>
      <c r="BB144" s="1">
        <v>2</v>
      </c>
      <c r="BC144" s="1">
        <v>0</v>
      </c>
      <c r="BH144" s="1" t="s">
        <v>1411</v>
      </c>
      <c r="BI144" s="1">
        <v>0.01</v>
      </c>
      <c r="BJ144" s="1" t="s">
        <v>1079</v>
      </c>
      <c r="BN144" s="1" t="s">
        <v>403</v>
      </c>
      <c r="BO144" s="1" t="s">
        <v>404</v>
      </c>
      <c r="BP144" s="3" t="s">
        <v>1407</v>
      </c>
      <c r="BQ144" s="3" t="s">
        <v>1408</v>
      </c>
      <c r="BR144" s="1" t="s">
        <v>73</v>
      </c>
      <c r="BS144" s="3" t="s">
        <v>405</v>
      </c>
      <c r="BT144" s="1" t="s">
        <v>1412</v>
      </c>
      <c r="BU144" s="1" t="s">
        <v>1406</v>
      </c>
      <c r="BV144" s="1" t="s">
        <v>76</v>
      </c>
      <c r="BW144" s="3" t="s">
        <v>1407</v>
      </c>
      <c r="BY144" s="1" t="s">
        <v>1406</v>
      </c>
      <c r="BZ144" s="1" t="s">
        <v>407</v>
      </c>
      <c r="CA144" s="1" t="s">
        <v>407</v>
      </c>
      <c r="CD144" s="1" t="s">
        <v>408</v>
      </c>
      <c r="CE144" s="1" t="s">
        <v>752</v>
      </c>
      <c r="CL144" s="1" t="s">
        <v>1406</v>
      </c>
      <c r="CM144" s="1" t="s">
        <v>1413</v>
      </c>
    </row>
    <row r="145" spans="1:91">
      <c r="A145" s="1" t="s">
        <v>1414</v>
      </c>
      <c r="B145" s="1" t="s">
        <v>395</v>
      </c>
      <c r="C145" s="1">
        <v>200</v>
      </c>
      <c r="D145" s="1" t="s">
        <v>303</v>
      </c>
      <c r="E145" s="1" t="s">
        <v>80</v>
      </c>
      <c r="G145" s="3" t="s">
        <v>1415</v>
      </c>
      <c r="H145" s="1">
        <v>13</v>
      </c>
      <c r="I145" s="1">
        <v>105</v>
      </c>
      <c r="J145" s="3" t="s">
        <v>1416</v>
      </c>
      <c r="K145" s="1">
        <v>115</v>
      </c>
      <c r="L145" s="1">
        <v>635</v>
      </c>
      <c r="M145" s="3" t="s">
        <v>1417</v>
      </c>
      <c r="N145" s="1">
        <v>20</v>
      </c>
      <c r="O145" s="3" t="s">
        <v>1418</v>
      </c>
      <c r="P145" s="1">
        <v>37</v>
      </c>
      <c r="R145" s="1">
        <v>0</v>
      </c>
      <c r="S145" s="3" t="s">
        <v>923</v>
      </c>
      <c r="T145" s="1">
        <v>8</v>
      </c>
      <c r="U145" s="3" t="s">
        <v>747</v>
      </c>
      <c r="V145" s="1">
        <v>7</v>
      </c>
      <c r="Z145" s="1" t="s">
        <v>1414</v>
      </c>
      <c r="AF145" s="1">
        <v>72190</v>
      </c>
      <c r="AG145" s="1">
        <v>15928</v>
      </c>
      <c r="AH145" s="1">
        <v>15928</v>
      </c>
      <c r="AI145" s="1">
        <v>6.2068708240000001</v>
      </c>
      <c r="AK145" s="1">
        <v>523</v>
      </c>
      <c r="AL145" s="1">
        <v>134</v>
      </c>
      <c r="AM145" s="1">
        <v>3.9029850746268702</v>
      </c>
      <c r="AN145" s="1">
        <v>100</v>
      </c>
      <c r="AO145" s="1" t="s">
        <v>306</v>
      </c>
      <c r="AP145" s="1">
        <v>4.1177792549133301</v>
      </c>
      <c r="AQ145" s="1">
        <v>0</v>
      </c>
      <c r="AR145" s="1">
        <v>3</v>
      </c>
      <c r="AT145" s="1">
        <v>6</v>
      </c>
      <c r="AU145" s="1">
        <v>1</v>
      </c>
      <c r="AV145" s="1">
        <v>0</v>
      </c>
      <c r="AW145" s="1">
        <v>0.61</v>
      </c>
      <c r="AX145" s="1">
        <v>20</v>
      </c>
      <c r="AY145" s="1">
        <v>12</v>
      </c>
      <c r="AZ145" s="1">
        <v>0</v>
      </c>
      <c r="BA145" s="1">
        <v>2</v>
      </c>
      <c r="BB145" s="1">
        <v>2</v>
      </c>
      <c r="BC145" s="1">
        <v>0</v>
      </c>
      <c r="BH145" s="1" t="s">
        <v>1419</v>
      </c>
      <c r="BI145" s="1">
        <v>6.0000000000000001E-3</v>
      </c>
      <c r="BJ145" s="1" t="s">
        <v>943</v>
      </c>
      <c r="BN145" s="1" t="s">
        <v>403</v>
      </c>
      <c r="BO145" s="1" t="s">
        <v>404</v>
      </c>
      <c r="BP145" s="3" t="s">
        <v>1415</v>
      </c>
      <c r="BQ145" s="3" t="s">
        <v>1416</v>
      </c>
      <c r="BR145" s="1" t="s">
        <v>73</v>
      </c>
      <c r="BS145" s="3" t="s">
        <v>405</v>
      </c>
      <c r="BT145" s="1" t="s">
        <v>1420</v>
      </c>
      <c r="BU145" s="1" t="s">
        <v>1414</v>
      </c>
      <c r="BV145" s="1" t="s">
        <v>76</v>
      </c>
      <c r="BW145" s="3" t="s">
        <v>1415</v>
      </c>
      <c r="BY145" s="1" t="s">
        <v>1414</v>
      </c>
      <c r="BZ145" s="1" t="s">
        <v>407</v>
      </c>
      <c r="CA145" s="1" t="s">
        <v>407</v>
      </c>
      <c r="CD145" s="1" t="s">
        <v>408</v>
      </c>
      <c r="CE145" s="1" t="s">
        <v>752</v>
      </c>
      <c r="CL145" s="1" t="s">
        <v>1414</v>
      </c>
      <c r="CM145" s="1" t="s">
        <v>709</v>
      </c>
    </row>
    <row r="146" spans="1:91">
      <c r="A146" s="1" t="s">
        <v>1421</v>
      </c>
      <c r="B146" s="1" t="s">
        <v>395</v>
      </c>
      <c r="C146" s="1">
        <v>200</v>
      </c>
      <c r="D146" s="1" t="s">
        <v>303</v>
      </c>
      <c r="E146" s="1" t="s">
        <v>80</v>
      </c>
      <c r="G146" s="3" t="s">
        <v>1422</v>
      </c>
      <c r="H146" s="1">
        <v>11</v>
      </c>
      <c r="I146" s="1">
        <v>87</v>
      </c>
      <c r="J146" s="3" t="s">
        <v>1423</v>
      </c>
      <c r="K146" s="1">
        <v>87</v>
      </c>
      <c r="L146" s="1">
        <v>485</v>
      </c>
      <c r="M146" s="3" t="s">
        <v>1424</v>
      </c>
      <c r="N146" s="1">
        <v>70</v>
      </c>
      <c r="O146" s="3" t="s">
        <v>1425</v>
      </c>
      <c r="P146" s="1">
        <v>34</v>
      </c>
      <c r="R146" s="1">
        <v>0</v>
      </c>
      <c r="S146" s="3" t="s">
        <v>747</v>
      </c>
      <c r="T146" s="1">
        <v>7</v>
      </c>
      <c r="U146" s="3" t="s">
        <v>1426</v>
      </c>
      <c r="V146" s="1">
        <v>8</v>
      </c>
      <c r="Z146" s="1" t="s">
        <v>1421</v>
      </c>
      <c r="AF146" s="1">
        <v>106392</v>
      </c>
      <c r="AG146" s="1">
        <v>21357</v>
      </c>
      <c r="AH146" s="1">
        <v>21357</v>
      </c>
      <c r="AI146" s="1">
        <v>8.3224598309999998</v>
      </c>
      <c r="AK146" s="1">
        <v>580</v>
      </c>
      <c r="AL146" s="1">
        <v>182</v>
      </c>
      <c r="AM146" s="1">
        <v>3.1868131868131901</v>
      </c>
      <c r="AN146" s="1">
        <v>100</v>
      </c>
      <c r="AO146" s="1" t="s">
        <v>306</v>
      </c>
      <c r="AP146" s="1">
        <v>2.7983300685882599</v>
      </c>
      <c r="AQ146" s="1">
        <v>0</v>
      </c>
      <c r="AR146" s="1">
        <v>3</v>
      </c>
      <c r="AT146" s="1">
        <v>7</v>
      </c>
      <c r="AU146" s="1">
        <v>1</v>
      </c>
      <c r="AV146" s="1">
        <v>0</v>
      </c>
      <c r="AW146" s="1">
        <v>0.61</v>
      </c>
      <c r="AX146" s="1">
        <v>20</v>
      </c>
      <c r="AY146" s="1">
        <v>11</v>
      </c>
      <c r="AZ146" s="1">
        <v>0</v>
      </c>
      <c r="BA146" s="1">
        <v>2</v>
      </c>
      <c r="BB146" s="1">
        <v>2</v>
      </c>
      <c r="BC146" s="1">
        <v>0</v>
      </c>
      <c r="BH146" s="1" t="s">
        <v>1427</v>
      </c>
      <c r="BI146" s="1">
        <v>5.0000000000000001E-3</v>
      </c>
      <c r="BJ146" s="1" t="s">
        <v>1079</v>
      </c>
      <c r="BN146" s="1" t="s">
        <v>403</v>
      </c>
      <c r="BO146" s="1" t="s">
        <v>404</v>
      </c>
      <c r="BP146" s="3" t="s">
        <v>1422</v>
      </c>
      <c r="BQ146" s="3" t="s">
        <v>1423</v>
      </c>
      <c r="BR146" s="1" t="s">
        <v>73</v>
      </c>
      <c r="BS146" s="3" t="s">
        <v>405</v>
      </c>
      <c r="BT146" s="1" t="s">
        <v>1428</v>
      </c>
      <c r="BU146" s="1" t="s">
        <v>1421</v>
      </c>
      <c r="BV146" s="1" t="s">
        <v>76</v>
      </c>
      <c r="BW146" s="3" t="s">
        <v>1422</v>
      </c>
      <c r="BY146" s="1" t="s">
        <v>1421</v>
      </c>
      <c r="BZ146" s="1" t="s">
        <v>407</v>
      </c>
      <c r="CA146" s="1" t="s">
        <v>407</v>
      </c>
      <c r="CD146" s="1" t="s">
        <v>408</v>
      </c>
      <c r="CE146" s="1" t="s">
        <v>752</v>
      </c>
      <c r="CL146" s="1" t="s">
        <v>1421</v>
      </c>
      <c r="CM146" s="1" t="s">
        <v>568</v>
      </c>
    </row>
    <row r="147" spans="1:91">
      <c r="A147" s="1" t="s">
        <v>1429</v>
      </c>
      <c r="B147" s="1" t="s">
        <v>395</v>
      </c>
      <c r="C147" s="1">
        <v>200</v>
      </c>
      <c r="D147" s="1" t="s">
        <v>303</v>
      </c>
      <c r="E147" s="1" t="s">
        <v>80</v>
      </c>
      <c r="G147" s="3" t="s">
        <v>1430</v>
      </c>
      <c r="H147" s="1">
        <v>13</v>
      </c>
      <c r="I147" s="1">
        <v>105</v>
      </c>
      <c r="J147" s="3" t="s">
        <v>1431</v>
      </c>
      <c r="K147" s="1">
        <v>81</v>
      </c>
      <c r="L147" s="1">
        <v>434</v>
      </c>
      <c r="M147" s="3" t="s">
        <v>1432</v>
      </c>
      <c r="N147" s="1">
        <v>42</v>
      </c>
      <c r="O147" s="3" t="s">
        <v>1433</v>
      </c>
      <c r="P147" s="1">
        <v>32</v>
      </c>
      <c r="R147" s="1">
        <v>0</v>
      </c>
      <c r="S147" s="3" t="s">
        <v>747</v>
      </c>
      <c r="T147" s="1">
        <v>7</v>
      </c>
      <c r="U147" s="3" t="s">
        <v>1434</v>
      </c>
      <c r="V147" s="1">
        <v>10</v>
      </c>
      <c r="Z147" s="1" t="s">
        <v>1429</v>
      </c>
      <c r="AF147" s="1">
        <v>104778</v>
      </c>
      <c r="AG147" s="1">
        <v>21084</v>
      </c>
      <c r="AH147" s="1">
        <v>21084</v>
      </c>
      <c r="AI147" s="1">
        <v>8.2160763719999999</v>
      </c>
      <c r="AK147" s="1">
        <v>565</v>
      </c>
      <c r="AL147" s="1">
        <v>178</v>
      </c>
      <c r="AM147" s="1">
        <v>3.1741573033707899</v>
      </c>
      <c r="AN147" s="1">
        <v>100</v>
      </c>
      <c r="AO147" s="1" t="s">
        <v>306</v>
      </c>
      <c r="AP147" s="1">
        <v>2.76317262649536</v>
      </c>
      <c r="AQ147" s="1">
        <v>0</v>
      </c>
      <c r="AR147" s="1">
        <v>3</v>
      </c>
      <c r="AT147" s="1">
        <v>7</v>
      </c>
      <c r="AU147" s="1">
        <v>1</v>
      </c>
      <c r="AV147" s="1">
        <v>0</v>
      </c>
      <c r="AW147" s="1">
        <v>0.61</v>
      </c>
      <c r="AX147" s="1">
        <v>20</v>
      </c>
      <c r="AY147" s="1">
        <v>11</v>
      </c>
      <c r="AZ147" s="1">
        <v>0</v>
      </c>
      <c r="BA147" s="1">
        <v>2</v>
      </c>
      <c r="BB147" s="1">
        <v>2</v>
      </c>
      <c r="BC147" s="1">
        <v>0</v>
      </c>
      <c r="BH147" s="1" t="s">
        <v>1435</v>
      </c>
      <c r="BI147" s="1">
        <v>7.0000000000000001E-3</v>
      </c>
      <c r="BJ147" s="1" t="s">
        <v>1079</v>
      </c>
      <c r="BN147" s="1" t="s">
        <v>403</v>
      </c>
      <c r="BO147" s="1" t="s">
        <v>404</v>
      </c>
      <c r="BP147" s="3" t="s">
        <v>1430</v>
      </c>
      <c r="BQ147" s="3" t="s">
        <v>1431</v>
      </c>
      <c r="BR147" s="1" t="s">
        <v>73</v>
      </c>
      <c r="BS147" s="3" t="s">
        <v>405</v>
      </c>
      <c r="BT147" s="1" t="s">
        <v>1436</v>
      </c>
      <c r="BU147" s="1" t="s">
        <v>1429</v>
      </c>
      <c r="BV147" s="1" t="s">
        <v>76</v>
      </c>
      <c r="BW147" s="3" t="s">
        <v>1430</v>
      </c>
      <c r="BY147" s="1" t="s">
        <v>1429</v>
      </c>
      <c r="BZ147" s="1" t="s">
        <v>407</v>
      </c>
      <c r="CA147" s="1" t="s">
        <v>407</v>
      </c>
      <c r="CD147" s="1" t="s">
        <v>408</v>
      </c>
      <c r="CE147" s="1" t="s">
        <v>752</v>
      </c>
      <c r="CL147" s="1" t="s">
        <v>1429</v>
      </c>
      <c r="CM147" s="1" t="s">
        <v>1250</v>
      </c>
    </row>
    <row r="148" spans="1:91">
      <c r="A148" s="1" t="s">
        <v>1437</v>
      </c>
      <c r="B148" s="1" t="s">
        <v>395</v>
      </c>
      <c r="C148" s="1">
        <v>200</v>
      </c>
      <c r="D148" s="1" t="s">
        <v>303</v>
      </c>
      <c r="E148" s="1" t="s">
        <v>80</v>
      </c>
      <c r="G148" s="3" t="s">
        <v>1438</v>
      </c>
      <c r="H148" s="1">
        <v>13</v>
      </c>
      <c r="I148" s="1">
        <v>105</v>
      </c>
      <c r="J148" s="3" t="s">
        <v>1439</v>
      </c>
      <c r="K148" s="1">
        <v>79</v>
      </c>
      <c r="L148" s="1">
        <v>434</v>
      </c>
      <c r="M148" s="3" t="s">
        <v>1440</v>
      </c>
      <c r="N148" s="1">
        <v>39</v>
      </c>
      <c r="O148" s="3" t="s">
        <v>1441</v>
      </c>
      <c r="P148" s="1">
        <v>34</v>
      </c>
      <c r="R148" s="1">
        <v>0</v>
      </c>
      <c r="S148" s="3" t="s">
        <v>747</v>
      </c>
      <c r="T148" s="1">
        <v>7</v>
      </c>
      <c r="U148" s="3" t="s">
        <v>1442</v>
      </c>
      <c r="V148" s="1">
        <v>10</v>
      </c>
      <c r="Z148" s="1" t="s">
        <v>1437</v>
      </c>
      <c r="AF148" s="1">
        <v>108117</v>
      </c>
      <c r="AG148" s="1">
        <v>21694</v>
      </c>
      <c r="AH148" s="1">
        <v>21694</v>
      </c>
      <c r="AI148" s="1">
        <v>8.4537830019999998</v>
      </c>
      <c r="AK148" s="1">
        <v>587</v>
      </c>
      <c r="AL148" s="1">
        <v>186</v>
      </c>
      <c r="AM148" s="1">
        <v>3.15591397849462</v>
      </c>
      <c r="AN148" s="1">
        <v>100</v>
      </c>
      <c r="AO148" s="1" t="s">
        <v>306</v>
      </c>
      <c r="AP148" s="1">
        <v>2.8243637084960902</v>
      </c>
      <c r="AQ148" s="1">
        <v>0</v>
      </c>
      <c r="AR148" s="1">
        <v>3</v>
      </c>
      <c r="AT148" s="1">
        <v>7</v>
      </c>
      <c r="AU148" s="1">
        <v>1</v>
      </c>
      <c r="AV148" s="1">
        <v>0</v>
      </c>
      <c r="AW148" s="1">
        <v>0.61</v>
      </c>
      <c r="AX148" s="1">
        <v>21</v>
      </c>
      <c r="AY148" s="1">
        <v>12</v>
      </c>
      <c r="AZ148" s="1">
        <v>0</v>
      </c>
      <c r="BA148" s="1">
        <v>2</v>
      </c>
      <c r="BB148" s="1">
        <v>2</v>
      </c>
      <c r="BC148" s="1">
        <v>0</v>
      </c>
      <c r="BH148" s="1" t="s">
        <v>1443</v>
      </c>
      <c r="BI148" s="1">
        <v>7.0000000000000001E-3</v>
      </c>
      <c r="BJ148" s="1" t="s">
        <v>1079</v>
      </c>
      <c r="BN148" s="1" t="s">
        <v>403</v>
      </c>
      <c r="BO148" s="1" t="s">
        <v>404</v>
      </c>
      <c r="BP148" s="3" t="s">
        <v>1438</v>
      </c>
      <c r="BQ148" s="3" t="s">
        <v>1439</v>
      </c>
      <c r="BR148" s="1" t="s">
        <v>73</v>
      </c>
      <c r="BS148" s="3" t="s">
        <v>405</v>
      </c>
      <c r="BT148" s="1" t="s">
        <v>1444</v>
      </c>
      <c r="BU148" s="1" t="s">
        <v>1437</v>
      </c>
      <c r="BV148" s="1" t="s">
        <v>76</v>
      </c>
      <c r="BW148" s="3" t="s">
        <v>1438</v>
      </c>
      <c r="BY148" s="1" t="s">
        <v>1437</v>
      </c>
      <c r="BZ148" s="1" t="s">
        <v>407</v>
      </c>
      <c r="CA148" s="1" t="s">
        <v>407</v>
      </c>
      <c r="CD148" s="1" t="s">
        <v>408</v>
      </c>
      <c r="CE148" s="1" t="s">
        <v>752</v>
      </c>
      <c r="CL148" s="1" t="s">
        <v>1437</v>
      </c>
      <c r="CM148" s="1" t="s">
        <v>1226</v>
      </c>
    </row>
    <row r="149" spans="1:91">
      <c r="A149" s="1" t="s">
        <v>1445</v>
      </c>
      <c r="B149" s="1" t="s">
        <v>395</v>
      </c>
      <c r="C149" s="1">
        <v>200</v>
      </c>
      <c r="D149" s="1" t="s">
        <v>303</v>
      </c>
      <c r="E149" s="1" t="s">
        <v>80</v>
      </c>
      <c r="G149" s="3" t="s">
        <v>1446</v>
      </c>
      <c r="H149" s="1">
        <v>11</v>
      </c>
      <c r="I149" s="1">
        <v>87</v>
      </c>
      <c r="J149" s="3" t="s">
        <v>1447</v>
      </c>
      <c r="K149" s="1">
        <v>82</v>
      </c>
      <c r="L149" s="1">
        <v>449</v>
      </c>
      <c r="M149" s="3" t="s">
        <v>1448</v>
      </c>
      <c r="N149" s="1">
        <v>71</v>
      </c>
      <c r="O149" s="3" t="s">
        <v>1449</v>
      </c>
      <c r="P149" s="1">
        <v>26</v>
      </c>
      <c r="R149" s="1">
        <v>0</v>
      </c>
      <c r="S149" s="3" t="s">
        <v>747</v>
      </c>
      <c r="T149" s="1">
        <v>7</v>
      </c>
      <c r="U149" s="3" t="s">
        <v>758</v>
      </c>
      <c r="V149" s="1">
        <v>2</v>
      </c>
      <c r="Z149" s="1" t="s">
        <v>1445</v>
      </c>
      <c r="AF149" s="1">
        <v>81393</v>
      </c>
      <c r="AG149" s="1">
        <v>17840</v>
      </c>
      <c r="AH149" s="1">
        <v>17840</v>
      </c>
      <c r="AI149" s="1">
        <v>6.9519447200000002</v>
      </c>
      <c r="AK149" s="1">
        <v>337</v>
      </c>
      <c r="AL149" s="1">
        <v>98</v>
      </c>
      <c r="AM149" s="1">
        <v>3.43877551020408</v>
      </c>
      <c r="AN149" s="1">
        <v>100</v>
      </c>
      <c r="AO149" s="1" t="s">
        <v>306</v>
      </c>
      <c r="AP149" s="1">
        <v>2.4195752143859899</v>
      </c>
      <c r="AQ149" s="1">
        <v>0</v>
      </c>
      <c r="AR149" s="1">
        <v>3</v>
      </c>
      <c r="AT149" s="1">
        <v>10</v>
      </c>
      <c r="AU149" s="1">
        <v>4</v>
      </c>
      <c r="AV149" s="1">
        <v>0</v>
      </c>
      <c r="AW149" s="1">
        <v>2.42</v>
      </c>
      <c r="AX149" s="1">
        <v>22</v>
      </c>
      <c r="AY149" s="1">
        <v>13</v>
      </c>
      <c r="AZ149" s="1">
        <v>0</v>
      </c>
      <c r="BA149" s="1">
        <v>2</v>
      </c>
      <c r="BB149" s="1">
        <v>2</v>
      </c>
      <c r="BC149" s="1">
        <v>0</v>
      </c>
      <c r="BH149" s="1" t="s">
        <v>1450</v>
      </c>
      <c r="BI149" s="1">
        <v>8.0000000000000002E-3</v>
      </c>
      <c r="BJ149" s="1" t="s">
        <v>760</v>
      </c>
      <c r="BN149" s="1" t="s">
        <v>403</v>
      </c>
      <c r="BO149" s="1" t="s">
        <v>404</v>
      </c>
      <c r="BP149" s="3" t="s">
        <v>1446</v>
      </c>
      <c r="BQ149" s="3" t="s">
        <v>1447</v>
      </c>
      <c r="BR149" s="1" t="s">
        <v>73</v>
      </c>
      <c r="BS149" s="3" t="s">
        <v>405</v>
      </c>
      <c r="BT149" s="1" t="s">
        <v>1451</v>
      </c>
      <c r="BU149" s="1" t="s">
        <v>1445</v>
      </c>
      <c r="BV149" s="1" t="s">
        <v>76</v>
      </c>
      <c r="BW149" s="3" t="s">
        <v>1446</v>
      </c>
      <c r="BY149" s="1" t="s">
        <v>1445</v>
      </c>
      <c r="BZ149" s="1" t="s">
        <v>407</v>
      </c>
      <c r="CA149" s="1" t="s">
        <v>407</v>
      </c>
      <c r="CD149" s="1" t="s">
        <v>408</v>
      </c>
      <c r="CE149" s="1" t="s">
        <v>752</v>
      </c>
      <c r="CL149" s="1" t="s">
        <v>1445</v>
      </c>
      <c r="CM149" s="1" t="s">
        <v>1405</v>
      </c>
    </row>
    <row r="150" spans="1:91">
      <c r="A150" s="1" t="s">
        <v>1452</v>
      </c>
      <c r="B150" s="1" t="s">
        <v>395</v>
      </c>
      <c r="C150" s="1">
        <v>200</v>
      </c>
      <c r="D150" s="1" t="s">
        <v>303</v>
      </c>
      <c r="E150" s="1" t="s">
        <v>80</v>
      </c>
      <c r="G150" s="3" t="s">
        <v>1453</v>
      </c>
      <c r="H150" s="1">
        <v>9</v>
      </c>
      <c r="I150" s="1">
        <v>69</v>
      </c>
      <c r="J150" s="3" t="s">
        <v>1454</v>
      </c>
      <c r="K150" s="1">
        <v>79</v>
      </c>
      <c r="L150" s="1">
        <v>426</v>
      </c>
      <c r="M150" s="3" t="s">
        <v>1455</v>
      </c>
      <c r="N150" s="1">
        <v>56</v>
      </c>
      <c r="O150" s="3" t="s">
        <v>1456</v>
      </c>
      <c r="P150" s="1">
        <v>40</v>
      </c>
      <c r="R150" s="1">
        <v>0</v>
      </c>
      <c r="S150" s="3" t="s">
        <v>747</v>
      </c>
      <c r="T150" s="1">
        <v>7</v>
      </c>
      <c r="U150" s="3" t="s">
        <v>758</v>
      </c>
      <c r="V150" s="1">
        <v>2</v>
      </c>
      <c r="Z150" s="1" t="s">
        <v>1452</v>
      </c>
      <c r="AF150" s="1">
        <v>89975</v>
      </c>
      <c r="AG150" s="1">
        <v>18897</v>
      </c>
      <c r="AH150" s="1">
        <v>18897</v>
      </c>
      <c r="AI150" s="1">
        <v>7.3638396510000002</v>
      </c>
      <c r="AK150" s="1">
        <v>420</v>
      </c>
      <c r="AL150" s="1">
        <v>108</v>
      </c>
      <c r="AM150" s="1">
        <v>3.8888888888888902</v>
      </c>
      <c r="AN150" s="1">
        <v>100</v>
      </c>
      <c r="AO150" s="1" t="s">
        <v>306</v>
      </c>
      <c r="AP150" s="1">
        <v>2.3690054416656499</v>
      </c>
      <c r="AQ150" s="1">
        <v>0</v>
      </c>
      <c r="AR150" s="1">
        <v>3</v>
      </c>
      <c r="AT150" s="1">
        <v>9</v>
      </c>
      <c r="AU150" s="1">
        <v>2</v>
      </c>
      <c r="AV150" s="1">
        <v>0</v>
      </c>
      <c r="AW150" s="1">
        <v>1.21</v>
      </c>
      <c r="AX150" s="1">
        <v>22</v>
      </c>
      <c r="AY150" s="1">
        <v>13</v>
      </c>
      <c r="AZ150" s="1">
        <v>0</v>
      </c>
      <c r="BA150" s="1">
        <v>2</v>
      </c>
      <c r="BB150" s="1">
        <v>2</v>
      </c>
      <c r="BC150" s="1">
        <v>0</v>
      </c>
      <c r="BH150" s="1" t="s">
        <v>1457</v>
      </c>
      <c r="BI150" s="1">
        <v>6.0000000000000001E-3</v>
      </c>
      <c r="BJ150" s="1" t="s">
        <v>943</v>
      </c>
      <c r="BN150" s="1" t="s">
        <v>403</v>
      </c>
      <c r="BO150" s="1" t="s">
        <v>404</v>
      </c>
      <c r="BP150" s="3" t="s">
        <v>1453</v>
      </c>
      <c r="BQ150" s="3" t="s">
        <v>1454</v>
      </c>
      <c r="BR150" s="1" t="s">
        <v>73</v>
      </c>
      <c r="BS150" s="3" t="s">
        <v>405</v>
      </c>
      <c r="BT150" s="1" t="s">
        <v>1458</v>
      </c>
      <c r="BU150" s="1" t="s">
        <v>1452</v>
      </c>
      <c r="BV150" s="1" t="s">
        <v>76</v>
      </c>
      <c r="BW150" s="3" t="s">
        <v>1453</v>
      </c>
      <c r="BY150" s="1" t="s">
        <v>1452</v>
      </c>
      <c r="BZ150" s="1" t="s">
        <v>407</v>
      </c>
      <c r="CA150" s="1" t="s">
        <v>407</v>
      </c>
      <c r="CB150" s="1" t="s">
        <v>407</v>
      </c>
      <c r="CD150" s="1" t="s">
        <v>408</v>
      </c>
      <c r="CE150" s="1" t="s">
        <v>752</v>
      </c>
      <c r="CF150" s="1" t="s">
        <v>762</v>
      </c>
      <c r="CL150" s="1" t="s">
        <v>1452</v>
      </c>
      <c r="CM150" s="1" t="s">
        <v>787</v>
      </c>
    </row>
    <row r="151" spans="1:91">
      <c r="A151" s="1" t="s">
        <v>1459</v>
      </c>
      <c r="B151" s="1" t="s">
        <v>395</v>
      </c>
      <c r="C151" s="1">
        <v>200</v>
      </c>
      <c r="D151" s="1" t="s">
        <v>303</v>
      </c>
      <c r="E151" s="1" t="s">
        <v>80</v>
      </c>
      <c r="G151" s="3" t="s">
        <v>1460</v>
      </c>
      <c r="H151" s="1">
        <v>30</v>
      </c>
      <c r="I151" s="1">
        <v>228</v>
      </c>
      <c r="J151" s="3" t="s">
        <v>1461</v>
      </c>
      <c r="K151" s="1">
        <v>101</v>
      </c>
      <c r="L151" s="1">
        <v>536</v>
      </c>
      <c r="M151" s="3" t="s">
        <v>1462</v>
      </c>
      <c r="N151" s="1">
        <v>26</v>
      </c>
      <c r="O151" s="3" t="s">
        <v>1463</v>
      </c>
      <c r="P151" s="1">
        <v>6</v>
      </c>
      <c r="R151" s="1">
        <v>0</v>
      </c>
      <c r="T151" s="1">
        <v>0</v>
      </c>
      <c r="V151" s="1">
        <v>0</v>
      </c>
      <c r="Z151" s="1" t="s">
        <v>1459</v>
      </c>
      <c r="AF151" s="1">
        <v>60128</v>
      </c>
      <c r="AG151" s="1">
        <v>11985</v>
      </c>
      <c r="AH151" s="1">
        <v>11985</v>
      </c>
      <c r="AI151" s="1">
        <v>4.6703507550000003</v>
      </c>
      <c r="AK151" s="1">
        <v>215</v>
      </c>
      <c r="AL151" s="1">
        <v>56</v>
      </c>
      <c r="AM151" s="1">
        <v>3.83928571428571</v>
      </c>
      <c r="AN151" s="1">
        <v>100</v>
      </c>
      <c r="AO151" s="1" t="s">
        <v>306</v>
      </c>
      <c r="AP151" s="1">
        <v>1.72512435913086</v>
      </c>
      <c r="AQ151" s="1">
        <v>0</v>
      </c>
      <c r="AR151" s="1">
        <v>4</v>
      </c>
      <c r="AT151" s="1">
        <v>4</v>
      </c>
      <c r="AU151" s="1">
        <v>1</v>
      </c>
      <c r="AV151" s="1">
        <v>0</v>
      </c>
      <c r="AW151" s="1">
        <v>0.61</v>
      </c>
      <c r="AX151" s="1">
        <v>16</v>
      </c>
      <c r="AY151" s="1">
        <v>11</v>
      </c>
      <c r="AZ151" s="1">
        <v>0</v>
      </c>
      <c r="BA151" s="1">
        <v>2</v>
      </c>
      <c r="BB151" s="1">
        <v>2</v>
      </c>
      <c r="BC151" s="1">
        <v>0</v>
      </c>
      <c r="BH151" s="1" t="s">
        <v>1464</v>
      </c>
      <c r="BI151" s="1">
        <v>6.0000000000000001E-3</v>
      </c>
      <c r="BJ151" s="1" t="s">
        <v>551</v>
      </c>
      <c r="BN151" s="1" t="s">
        <v>403</v>
      </c>
      <c r="BO151" s="1" t="s">
        <v>404</v>
      </c>
      <c r="BP151" s="3" t="s">
        <v>1460</v>
      </c>
      <c r="BQ151" s="3" t="s">
        <v>1461</v>
      </c>
      <c r="BR151" s="1" t="s">
        <v>73</v>
      </c>
      <c r="BS151" s="3" t="s">
        <v>405</v>
      </c>
      <c r="BT151" s="1" t="s">
        <v>462</v>
      </c>
      <c r="BU151" s="1" t="s">
        <v>1459</v>
      </c>
      <c r="BV151" s="1" t="s">
        <v>76</v>
      </c>
      <c r="BW151" s="3" t="s">
        <v>1460</v>
      </c>
      <c r="BY151" s="1" t="s">
        <v>1459</v>
      </c>
      <c r="BZ151" s="1" t="s">
        <v>407</v>
      </c>
      <c r="CD151" s="1" t="s">
        <v>408</v>
      </c>
      <c r="CL151" s="1" t="s">
        <v>1459</v>
      </c>
      <c r="CM151" s="1" t="s">
        <v>445</v>
      </c>
    </row>
    <row r="152" spans="1:91">
      <c r="A152" s="1" t="s">
        <v>1465</v>
      </c>
      <c r="B152" s="1" t="s">
        <v>395</v>
      </c>
      <c r="C152" s="1">
        <v>200</v>
      </c>
      <c r="D152" s="1" t="s">
        <v>303</v>
      </c>
      <c r="E152" s="1" t="s">
        <v>80</v>
      </c>
      <c r="G152" s="3" t="s">
        <v>1466</v>
      </c>
      <c r="H152" s="1">
        <v>22</v>
      </c>
      <c r="I152" s="1">
        <v>149</v>
      </c>
      <c r="J152" s="3" t="s">
        <v>1467</v>
      </c>
      <c r="K152" s="1">
        <v>96</v>
      </c>
      <c r="L152" s="1">
        <v>520</v>
      </c>
      <c r="M152" s="3" t="s">
        <v>1468</v>
      </c>
      <c r="N152" s="1">
        <v>22</v>
      </c>
      <c r="O152" s="3" t="s">
        <v>1469</v>
      </c>
      <c r="P152" s="1">
        <v>12</v>
      </c>
      <c r="R152" s="1">
        <v>0</v>
      </c>
      <c r="T152" s="1">
        <v>0</v>
      </c>
      <c r="V152" s="1">
        <v>0</v>
      </c>
      <c r="Z152" s="1" t="s">
        <v>1465</v>
      </c>
      <c r="AF152" s="1">
        <v>28416</v>
      </c>
      <c r="AG152" s="1">
        <v>7288</v>
      </c>
      <c r="AH152" s="1">
        <v>7288</v>
      </c>
      <c r="AI152" s="1">
        <v>2.8400097039999999</v>
      </c>
      <c r="AK152" s="1">
        <v>112</v>
      </c>
      <c r="AL152" s="1">
        <v>40</v>
      </c>
      <c r="AM152" s="1">
        <v>2.8</v>
      </c>
      <c r="AN152" s="1">
        <v>100</v>
      </c>
      <c r="AO152" s="1" t="s">
        <v>306</v>
      </c>
      <c r="AP152" s="1">
        <v>2.4279096126556401</v>
      </c>
      <c r="AQ152" s="1">
        <v>0</v>
      </c>
      <c r="AR152" s="1">
        <v>4</v>
      </c>
      <c r="AT152" s="1">
        <v>8</v>
      </c>
      <c r="AU152" s="1">
        <v>1</v>
      </c>
      <c r="AV152" s="1">
        <v>0</v>
      </c>
      <c r="AW152" s="1">
        <v>0.61</v>
      </c>
      <c r="AX152" s="1">
        <v>20</v>
      </c>
      <c r="AY152" s="1">
        <v>11</v>
      </c>
      <c r="AZ152" s="1">
        <v>0</v>
      </c>
      <c r="BA152" s="1">
        <v>2</v>
      </c>
      <c r="BB152" s="1">
        <v>2</v>
      </c>
      <c r="BC152" s="1">
        <v>0</v>
      </c>
      <c r="BH152" s="1" t="s">
        <v>1470</v>
      </c>
      <c r="BI152" s="1">
        <v>8.0000000000000002E-3</v>
      </c>
      <c r="BJ152" s="1" t="s">
        <v>567</v>
      </c>
      <c r="BN152" s="1" t="s">
        <v>403</v>
      </c>
      <c r="BO152" s="1" t="s">
        <v>404</v>
      </c>
      <c r="BP152" s="3" t="s">
        <v>1466</v>
      </c>
      <c r="BQ152" s="3" t="s">
        <v>1467</v>
      </c>
      <c r="BR152" s="1" t="s">
        <v>73</v>
      </c>
      <c r="BS152" s="3" t="s">
        <v>405</v>
      </c>
      <c r="BT152" s="1" t="s">
        <v>462</v>
      </c>
      <c r="BU152" s="1" t="s">
        <v>1465</v>
      </c>
      <c r="BV152" s="1" t="s">
        <v>76</v>
      </c>
      <c r="BW152" s="3" t="s">
        <v>1466</v>
      </c>
      <c r="BY152" s="1" t="s">
        <v>1465</v>
      </c>
      <c r="BZ152" s="1" t="s">
        <v>407</v>
      </c>
      <c r="CD152" s="1" t="s">
        <v>408</v>
      </c>
      <c r="CL152" s="1" t="s">
        <v>1465</v>
      </c>
      <c r="CM152" s="1" t="s">
        <v>896</v>
      </c>
    </row>
    <row r="153" spans="1:91">
      <c r="A153" s="1" t="s">
        <v>1471</v>
      </c>
      <c r="B153" s="1" t="s">
        <v>395</v>
      </c>
      <c r="C153" s="1">
        <v>200</v>
      </c>
      <c r="D153" s="1" t="s">
        <v>303</v>
      </c>
      <c r="E153" s="1" t="s">
        <v>80</v>
      </c>
      <c r="G153" s="3" t="s">
        <v>1472</v>
      </c>
      <c r="H153" s="1">
        <v>22</v>
      </c>
      <c r="I153" s="1">
        <v>167</v>
      </c>
      <c r="J153" s="3" t="s">
        <v>1473</v>
      </c>
      <c r="K153" s="1">
        <v>97</v>
      </c>
      <c r="L153" s="1">
        <v>512</v>
      </c>
      <c r="M153" s="3" t="s">
        <v>1474</v>
      </c>
      <c r="N153" s="1">
        <v>65</v>
      </c>
      <c r="O153" s="3" t="s">
        <v>1475</v>
      </c>
      <c r="P153" s="1">
        <v>11</v>
      </c>
      <c r="R153" s="1">
        <v>0</v>
      </c>
      <c r="S153" s="3" t="s">
        <v>1476</v>
      </c>
      <c r="T153" s="1">
        <v>15</v>
      </c>
      <c r="U153" s="3" t="s">
        <v>1477</v>
      </c>
      <c r="V153" s="1">
        <v>19</v>
      </c>
      <c r="Z153" s="1" t="s">
        <v>1471</v>
      </c>
      <c r="AF153" s="1">
        <v>54146</v>
      </c>
      <c r="AG153" s="1">
        <v>11072</v>
      </c>
      <c r="AH153" s="1">
        <v>11072</v>
      </c>
      <c r="AI153" s="1">
        <v>4.3145701760000001</v>
      </c>
      <c r="AK153" s="1">
        <v>788</v>
      </c>
      <c r="AL153" s="1">
        <v>184</v>
      </c>
      <c r="AM153" s="1">
        <v>4.2826086956521703</v>
      </c>
      <c r="AN153" s="1">
        <v>100</v>
      </c>
      <c r="AO153" s="1" t="s">
        <v>306</v>
      </c>
      <c r="AP153" s="1">
        <v>8.3025274276733398</v>
      </c>
      <c r="AQ153" s="1">
        <v>0</v>
      </c>
      <c r="AR153" s="1">
        <v>4</v>
      </c>
      <c r="AT153" s="1">
        <v>4</v>
      </c>
      <c r="AU153" s="1">
        <v>1</v>
      </c>
      <c r="AV153" s="1">
        <v>0</v>
      </c>
      <c r="AW153" s="1">
        <v>0.61</v>
      </c>
      <c r="AX153" s="1">
        <v>37</v>
      </c>
      <c r="AY153" s="1">
        <v>12</v>
      </c>
      <c r="AZ153" s="1">
        <v>0</v>
      </c>
      <c r="BA153" s="1">
        <v>2</v>
      </c>
      <c r="BB153" s="1">
        <v>2</v>
      </c>
      <c r="BC153" s="1">
        <v>0</v>
      </c>
      <c r="BH153" s="1" t="s">
        <v>1478</v>
      </c>
      <c r="BI153" s="1">
        <v>6.0000000000000001E-3</v>
      </c>
      <c r="BJ153" s="1" t="s">
        <v>1479</v>
      </c>
      <c r="BN153" s="1" t="s">
        <v>403</v>
      </c>
      <c r="BO153" s="1" t="s">
        <v>404</v>
      </c>
      <c r="BP153" s="3" t="s">
        <v>1472</v>
      </c>
      <c r="BQ153" s="3" t="s">
        <v>1473</v>
      </c>
      <c r="BR153" s="1" t="s">
        <v>73</v>
      </c>
      <c r="BS153" s="3" t="s">
        <v>405</v>
      </c>
      <c r="BT153" s="1" t="s">
        <v>462</v>
      </c>
      <c r="BU153" s="1" t="s">
        <v>1471</v>
      </c>
      <c r="BV153" s="1" t="s">
        <v>76</v>
      </c>
      <c r="BW153" s="3" t="s">
        <v>1472</v>
      </c>
      <c r="BY153" s="1" t="s">
        <v>1471</v>
      </c>
      <c r="BZ153" s="1" t="s">
        <v>407</v>
      </c>
      <c r="CD153" s="1" t="s">
        <v>408</v>
      </c>
      <c r="CL153" s="1" t="s">
        <v>1471</v>
      </c>
      <c r="CM153" s="1" t="s">
        <v>1413</v>
      </c>
    </row>
    <row r="154" spans="1:91">
      <c r="A154" s="1" t="s">
        <v>1480</v>
      </c>
      <c r="B154" s="1" t="s">
        <v>395</v>
      </c>
      <c r="C154" s="1">
        <v>200</v>
      </c>
      <c r="D154" s="1" t="s">
        <v>303</v>
      </c>
      <c r="E154" s="1" t="s">
        <v>80</v>
      </c>
      <c r="G154" s="3" t="s">
        <v>1481</v>
      </c>
      <c r="H154" s="1">
        <v>19</v>
      </c>
      <c r="I154" s="1">
        <v>144</v>
      </c>
      <c r="J154" s="3" t="s">
        <v>1482</v>
      </c>
      <c r="K154" s="1">
        <v>63</v>
      </c>
      <c r="L154" s="1">
        <v>334</v>
      </c>
      <c r="M154" s="3" t="s">
        <v>1483</v>
      </c>
      <c r="N154" s="1">
        <v>27</v>
      </c>
      <c r="O154" s="3" t="s">
        <v>1484</v>
      </c>
      <c r="P154" s="1">
        <v>4</v>
      </c>
      <c r="Q154" s="1" t="s">
        <v>1485</v>
      </c>
      <c r="R154" s="1">
        <v>12</v>
      </c>
      <c r="S154" s="3" t="s">
        <v>1484</v>
      </c>
      <c r="T154" s="1">
        <v>4</v>
      </c>
      <c r="U154" s="3" t="s">
        <v>1486</v>
      </c>
      <c r="V154" s="1">
        <v>9</v>
      </c>
      <c r="Z154" s="1" t="s">
        <v>1480</v>
      </c>
      <c r="AF154" s="1">
        <v>329181</v>
      </c>
      <c r="AG154" s="1">
        <v>67125</v>
      </c>
      <c r="AH154" s="1">
        <v>67125</v>
      </c>
      <c r="AI154" s="1">
        <v>26.157471375</v>
      </c>
      <c r="AK154" s="1">
        <v>451</v>
      </c>
      <c r="AL154" s="1">
        <v>147</v>
      </c>
      <c r="AM154" s="1">
        <v>3.0680272108843498</v>
      </c>
      <c r="AN154" s="1">
        <v>100</v>
      </c>
      <c r="AO154" s="1" t="s">
        <v>306</v>
      </c>
      <c r="AP154" s="1">
        <v>1.78176558017731</v>
      </c>
      <c r="AQ154" s="1">
        <v>0</v>
      </c>
      <c r="AR154" s="1">
        <v>4</v>
      </c>
      <c r="AT154" s="1">
        <v>37</v>
      </c>
      <c r="AU154" s="1">
        <v>2</v>
      </c>
      <c r="AV154" s="1">
        <v>0</v>
      </c>
      <c r="AW154" s="1">
        <v>1.21</v>
      </c>
      <c r="AX154" s="1">
        <v>28</v>
      </c>
      <c r="AY154" s="1">
        <v>11</v>
      </c>
      <c r="AZ154" s="1">
        <v>0</v>
      </c>
      <c r="BA154" s="1">
        <v>2</v>
      </c>
      <c r="BB154" s="1">
        <v>2</v>
      </c>
      <c r="BC154" s="1">
        <v>0</v>
      </c>
      <c r="BH154" s="1" t="s">
        <v>1487</v>
      </c>
      <c r="BI154" s="1">
        <v>8.0000000000000002E-3</v>
      </c>
      <c r="BJ154" s="1" t="s">
        <v>1488</v>
      </c>
      <c r="BN154" s="1" t="s">
        <v>403</v>
      </c>
      <c r="BO154" s="1" t="s">
        <v>404</v>
      </c>
      <c r="BP154" s="3" t="s">
        <v>1481</v>
      </c>
      <c r="BQ154" s="3" t="s">
        <v>1482</v>
      </c>
      <c r="BR154" s="1" t="s">
        <v>73</v>
      </c>
      <c r="BS154" s="3" t="s">
        <v>405</v>
      </c>
      <c r="BT154" s="1" t="s">
        <v>462</v>
      </c>
      <c r="BU154" s="1" t="s">
        <v>1480</v>
      </c>
      <c r="BV154" s="1" t="s">
        <v>76</v>
      </c>
      <c r="BW154" s="3" t="s">
        <v>1481</v>
      </c>
      <c r="BY154" s="1" t="s">
        <v>1480</v>
      </c>
      <c r="BZ154" s="1" t="s">
        <v>407</v>
      </c>
      <c r="CD154" s="1" t="s">
        <v>408</v>
      </c>
      <c r="CL154" s="1" t="s">
        <v>1480</v>
      </c>
      <c r="CM154" s="1" t="s">
        <v>1489</v>
      </c>
    </row>
    <row r="155" spans="1:91">
      <c r="A155" s="1" t="s">
        <v>1490</v>
      </c>
      <c r="B155" s="1" t="s">
        <v>395</v>
      </c>
      <c r="C155" s="1">
        <v>200</v>
      </c>
      <c r="D155" s="1" t="s">
        <v>303</v>
      </c>
      <c r="E155" s="1" t="s">
        <v>80</v>
      </c>
      <c r="G155" s="3" t="s">
        <v>1491</v>
      </c>
      <c r="H155" s="1">
        <v>16</v>
      </c>
      <c r="I155" s="1">
        <v>119</v>
      </c>
      <c r="J155" s="3" t="s">
        <v>1492</v>
      </c>
      <c r="K155" s="1">
        <v>54</v>
      </c>
      <c r="L155" s="1">
        <v>289</v>
      </c>
      <c r="M155" s="3" t="s">
        <v>1493</v>
      </c>
      <c r="N155" s="1">
        <v>16</v>
      </c>
      <c r="O155" s="1" t="s">
        <v>1494</v>
      </c>
      <c r="P155" s="1">
        <v>20</v>
      </c>
      <c r="R155" s="1">
        <v>0</v>
      </c>
      <c r="S155" s="3" t="s">
        <v>1495</v>
      </c>
      <c r="T155" s="1">
        <v>16</v>
      </c>
      <c r="U155" s="3" t="s">
        <v>1496</v>
      </c>
      <c r="V155" s="1">
        <v>5</v>
      </c>
      <c r="Z155" s="1" t="s">
        <v>1490</v>
      </c>
      <c r="AF155" s="1">
        <v>53979</v>
      </c>
      <c r="AG155" s="1">
        <v>11997</v>
      </c>
      <c r="AH155" s="1">
        <v>11997</v>
      </c>
      <c r="AI155" s="1">
        <v>4.6750269510000004</v>
      </c>
      <c r="AK155" s="1">
        <v>731</v>
      </c>
      <c r="AL155" s="1">
        <v>109</v>
      </c>
      <c r="AM155" s="1">
        <v>6.7064220183486203</v>
      </c>
      <c r="AN155" s="1">
        <v>100</v>
      </c>
      <c r="AO155" s="1" t="s">
        <v>306</v>
      </c>
      <c r="AP155" s="1">
        <v>8.4984722137451207</v>
      </c>
      <c r="AQ155" s="1">
        <v>0</v>
      </c>
      <c r="AR155" s="1">
        <v>4</v>
      </c>
      <c r="AT155" s="1">
        <v>23</v>
      </c>
      <c r="AU155" s="1">
        <v>2</v>
      </c>
      <c r="AV155" s="1">
        <v>0</v>
      </c>
      <c r="AW155" s="1">
        <v>1.21</v>
      </c>
      <c r="AX155" s="1">
        <v>35</v>
      </c>
      <c r="AY155" s="1">
        <v>12</v>
      </c>
      <c r="AZ155" s="1">
        <v>0</v>
      </c>
      <c r="BA155" s="1">
        <v>3</v>
      </c>
      <c r="BB155" s="1">
        <v>3</v>
      </c>
      <c r="BC155" s="1">
        <v>0</v>
      </c>
      <c r="BH155" s="1" t="s">
        <v>1497</v>
      </c>
      <c r="BI155" s="1">
        <v>8.0000000000000002E-3</v>
      </c>
      <c r="BJ155" s="1" t="s">
        <v>551</v>
      </c>
      <c r="BN155" s="1" t="s">
        <v>403</v>
      </c>
      <c r="BO155" s="1" t="s">
        <v>404</v>
      </c>
      <c r="BP155" s="3" t="s">
        <v>1491</v>
      </c>
      <c r="BQ155" s="3" t="s">
        <v>1492</v>
      </c>
      <c r="BR155" s="1" t="s">
        <v>73</v>
      </c>
      <c r="BS155" s="3" t="s">
        <v>405</v>
      </c>
      <c r="BT155" s="1" t="s">
        <v>1498</v>
      </c>
      <c r="BU155" s="1" t="s">
        <v>1490</v>
      </c>
      <c r="BV155" s="1" t="s">
        <v>76</v>
      </c>
      <c r="BW155" s="3" t="s">
        <v>1491</v>
      </c>
      <c r="BY155" s="1" t="s">
        <v>1490</v>
      </c>
      <c r="CL155" s="1" t="s">
        <v>1490</v>
      </c>
      <c r="CM155" s="1" t="s">
        <v>1489</v>
      </c>
    </row>
    <row r="156" spans="1:91">
      <c r="A156" s="1" t="s">
        <v>1499</v>
      </c>
      <c r="B156" s="1" t="s">
        <v>395</v>
      </c>
      <c r="C156" s="1">
        <v>200</v>
      </c>
      <c r="D156" s="1" t="s">
        <v>303</v>
      </c>
      <c r="E156" s="1" t="s">
        <v>80</v>
      </c>
      <c r="G156" s="3" t="s">
        <v>1500</v>
      </c>
      <c r="H156" s="1">
        <v>20</v>
      </c>
      <c r="I156" s="1">
        <v>310</v>
      </c>
      <c r="J156" s="3" t="s">
        <v>1501</v>
      </c>
      <c r="K156" s="1">
        <v>58</v>
      </c>
      <c r="L156" s="1">
        <v>604</v>
      </c>
      <c r="M156" s="3" t="s">
        <v>1502</v>
      </c>
      <c r="N156" s="1">
        <v>13</v>
      </c>
      <c r="O156" s="1" t="s">
        <v>1503</v>
      </c>
      <c r="P156" s="1">
        <v>25</v>
      </c>
      <c r="R156" s="1">
        <v>0</v>
      </c>
      <c r="S156" s="3" t="s">
        <v>1504</v>
      </c>
      <c r="T156" s="1">
        <v>14</v>
      </c>
      <c r="U156" s="3" t="s">
        <v>1496</v>
      </c>
      <c r="V156" s="1">
        <v>5</v>
      </c>
      <c r="Z156" s="1" t="s">
        <v>1499</v>
      </c>
      <c r="AF156" s="1">
        <v>51195</v>
      </c>
      <c r="AG156" s="1">
        <v>11196</v>
      </c>
      <c r="AH156" s="1">
        <v>11196</v>
      </c>
      <c r="AI156" s="1">
        <v>4.362890868</v>
      </c>
      <c r="AK156" s="1">
        <v>528</v>
      </c>
      <c r="AL156" s="1">
        <v>101</v>
      </c>
      <c r="AM156" s="1">
        <v>5.2277227722772297</v>
      </c>
      <c r="AN156" s="1">
        <v>100</v>
      </c>
      <c r="AO156" s="1" t="s">
        <v>306</v>
      </c>
      <c r="AP156" s="1">
        <v>6.8563923835754403</v>
      </c>
      <c r="AQ156" s="1">
        <v>0</v>
      </c>
      <c r="AR156" s="1">
        <v>4</v>
      </c>
      <c r="AT156" s="1">
        <v>22</v>
      </c>
      <c r="AU156" s="1">
        <v>2</v>
      </c>
      <c r="AV156" s="1">
        <v>0</v>
      </c>
      <c r="AW156" s="1">
        <v>1.21</v>
      </c>
      <c r="AX156" s="1">
        <v>34</v>
      </c>
      <c r="AY156" s="1">
        <v>12</v>
      </c>
      <c r="AZ156" s="1">
        <v>0</v>
      </c>
      <c r="BA156" s="1">
        <v>3</v>
      </c>
      <c r="BB156" s="1">
        <v>3</v>
      </c>
      <c r="BC156" s="1">
        <v>0</v>
      </c>
      <c r="BH156" s="1" t="s">
        <v>1505</v>
      </c>
      <c r="BI156" s="1">
        <v>7.0000000000000001E-3</v>
      </c>
      <c r="BJ156" s="1" t="s">
        <v>551</v>
      </c>
      <c r="BN156" s="1" t="s">
        <v>403</v>
      </c>
      <c r="BO156" s="1" t="s">
        <v>404</v>
      </c>
      <c r="BP156" s="3" t="s">
        <v>1500</v>
      </c>
      <c r="BQ156" s="3" t="s">
        <v>1501</v>
      </c>
      <c r="BR156" s="1" t="s">
        <v>73</v>
      </c>
      <c r="BS156" s="3" t="s">
        <v>405</v>
      </c>
      <c r="BT156" s="1" t="s">
        <v>1506</v>
      </c>
      <c r="BU156" s="1" t="s">
        <v>1499</v>
      </c>
      <c r="BV156" s="1" t="s">
        <v>76</v>
      </c>
      <c r="BW156" s="3" t="s">
        <v>1500</v>
      </c>
      <c r="BY156" s="1" t="s">
        <v>1499</v>
      </c>
      <c r="CL156" s="1" t="s">
        <v>1499</v>
      </c>
      <c r="CM156" s="1" t="s">
        <v>1111</v>
      </c>
    </row>
    <row r="157" spans="1:91">
      <c r="A157" s="1" t="s">
        <v>1507</v>
      </c>
      <c r="B157" s="1" t="s">
        <v>395</v>
      </c>
      <c r="C157" s="1">
        <v>200</v>
      </c>
      <c r="D157" s="1" t="s">
        <v>303</v>
      </c>
      <c r="E157" s="1" t="s">
        <v>80</v>
      </c>
      <c r="G157" s="3" t="s">
        <v>1508</v>
      </c>
      <c r="H157" s="1">
        <v>16</v>
      </c>
      <c r="I157" s="1">
        <v>115</v>
      </c>
      <c r="J157" s="3" t="s">
        <v>1509</v>
      </c>
      <c r="K157" s="1">
        <v>54</v>
      </c>
      <c r="L157" s="1">
        <v>287</v>
      </c>
      <c r="M157" s="3" t="s">
        <v>1510</v>
      </c>
      <c r="N157" s="1">
        <v>17</v>
      </c>
      <c r="O157" s="1" t="s">
        <v>1511</v>
      </c>
      <c r="P157" s="1">
        <v>21</v>
      </c>
      <c r="R157" s="1">
        <v>0</v>
      </c>
      <c r="S157" s="3" t="s">
        <v>1512</v>
      </c>
      <c r="T157" s="1">
        <v>13</v>
      </c>
      <c r="U157" s="3" t="s">
        <v>1496</v>
      </c>
      <c r="V157" s="1">
        <v>5</v>
      </c>
      <c r="Z157" s="1" t="s">
        <v>1507</v>
      </c>
      <c r="AF157" s="1">
        <v>48897</v>
      </c>
      <c r="AG157" s="1">
        <v>10838</v>
      </c>
      <c r="AH157" s="1">
        <v>10838</v>
      </c>
      <c r="AI157" s="1">
        <v>4.2233843540000002</v>
      </c>
      <c r="AK157" s="1">
        <v>518</v>
      </c>
      <c r="AL157" s="1">
        <v>87</v>
      </c>
      <c r="AM157" s="1">
        <v>5.9540229885057503</v>
      </c>
      <c r="AN157" s="1">
        <v>100</v>
      </c>
      <c r="AO157" s="1" t="s">
        <v>306</v>
      </c>
      <c r="AP157" s="1">
        <v>5.5385313034057599</v>
      </c>
      <c r="AQ157" s="1">
        <v>0</v>
      </c>
      <c r="AR157" s="1">
        <v>4</v>
      </c>
      <c r="AT157" s="1">
        <v>22</v>
      </c>
      <c r="AU157" s="1">
        <v>2</v>
      </c>
      <c r="AV157" s="1">
        <v>0</v>
      </c>
      <c r="AW157" s="1">
        <v>1.21</v>
      </c>
      <c r="AX157" s="1">
        <v>34</v>
      </c>
      <c r="AY157" s="1">
        <v>12</v>
      </c>
      <c r="AZ157" s="1">
        <v>0</v>
      </c>
      <c r="BA157" s="1">
        <v>3</v>
      </c>
      <c r="BB157" s="1">
        <v>3</v>
      </c>
      <c r="BC157" s="1">
        <v>0</v>
      </c>
      <c r="BH157" s="1" t="s">
        <v>1513</v>
      </c>
      <c r="BI157" s="1">
        <v>1.2E-2</v>
      </c>
      <c r="BJ157" s="1" t="s">
        <v>551</v>
      </c>
      <c r="BN157" s="1" t="s">
        <v>403</v>
      </c>
      <c r="BO157" s="1" t="s">
        <v>404</v>
      </c>
      <c r="BP157" s="3" t="s">
        <v>1508</v>
      </c>
      <c r="BQ157" s="3" t="s">
        <v>1509</v>
      </c>
      <c r="BR157" s="1" t="s">
        <v>73</v>
      </c>
      <c r="BS157" s="3" t="s">
        <v>405</v>
      </c>
      <c r="BT157" s="1" t="s">
        <v>1514</v>
      </c>
      <c r="BU157" s="1" t="s">
        <v>1507</v>
      </c>
      <c r="BV157" s="1" t="s">
        <v>76</v>
      </c>
      <c r="BW157" s="3" t="s">
        <v>1508</v>
      </c>
      <c r="BY157" s="1" t="s">
        <v>1507</v>
      </c>
      <c r="CL157" s="1" t="s">
        <v>1507</v>
      </c>
      <c r="CM157" s="1" t="s">
        <v>1256</v>
      </c>
    </row>
    <row r="158" spans="1:91">
      <c r="A158" s="1" t="s">
        <v>1515</v>
      </c>
      <c r="B158" s="1" t="s">
        <v>395</v>
      </c>
      <c r="C158" s="1">
        <v>200</v>
      </c>
      <c r="D158" s="1" t="s">
        <v>303</v>
      </c>
      <c r="E158" s="1" t="s">
        <v>80</v>
      </c>
      <c r="G158" s="3" t="s">
        <v>1516</v>
      </c>
      <c r="H158" s="1">
        <v>9</v>
      </c>
      <c r="I158" s="1">
        <v>131</v>
      </c>
      <c r="J158" s="3" t="s">
        <v>1517</v>
      </c>
      <c r="K158" s="1">
        <v>47</v>
      </c>
      <c r="L158" s="1">
        <v>475</v>
      </c>
      <c r="M158" s="3" t="s">
        <v>1518</v>
      </c>
      <c r="N158" s="1">
        <v>9</v>
      </c>
      <c r="O158" s="1" t="s">
        <v>1519</v>
      </c>
      <c r="P158" s="1">
        <v>22</v>
      </c>
      <c r="R158" s="1">
        <v>0</v>
      </c>
      <c r="S158" s="1" t="s">
        <v>1520</v>
      </c>
      <c r="T158" s="1">
        <v>30</v>
      </c>
      <c r="U158" s="3" t="s">
        <v>1496</v>
      </c>
      <c r="V158" s="1">
        <v>5</v>
      </c>
      <c r="Z158" s="1" t="s">
        <v>1515</v>
      </c>
      <c r="AF158" s="1">
        <v>65625</v>
      </c>
      <c r="AG158" s="1">
        <v>15692</v>
      </c>
      <c r="AH158" s="1">
        <v>15692</v>
      </c>
      <c r="AI158" s="1">
        <v>6.1149056359999996</v>
      </c>
      <c r="AK158" s="1">
        <v>1599</v>
      </c>
      <c r="AL158" s="1">
        <v>242</v>
      </c>
      <c r="AM158" s="1">
        <v>6.6074380165289304</v>
      </c>
      <c r="AN158" s="1">
        <v>100</v>
      </c>
      <c r="AO158" s="1" t="s">
        <v>306</v>
      </c>
      <c r="AP158" s="1">
        <v>12.3456563949585</v>
      </c>
      <c r="AQ158" s="1">
        <v>0</v>
      </c>
      <c r="AR158" s="1">
        <v>4</v>
      </c>
      <c r="AT158" s="1">
        <v>21</v>
      </c>
      <c r="AU158" s="1">
        <v>2</v>
      </c>
      <c r="AV158" s="1">
        <v>0</v>
      </c>
      <c r="AW158" s="1">
        <v>1.21</v>
      </c>
      <c r="AX158" s="1">
        <v>33</v>
      </c>
      <c r="AY158" s="1">
        <v>12</v>
      </c>
      <c r="AZ158" s="1">
        <v>0</v>
      </c>
      <c r="BA158" s="1">
        <v>6</v>
      </c>
      <c r="BB158" s="1">
        <v>5</v>
      </c>
      <c r="BC158" s="1">
        <v>0</v>
      </c>
      <c r="BH158" s="1" t="s">
        <v>1521</v>
      </c>
      <c r="BI158" s="1">
        <v>6.0000000000000001E-3</v>
      </c>
      <c r="BJ158" s="1" t="s">
        <v>551</v>
      </c>
      <c r="BN158" s="1" t="s">
        <v>403</v>
      </c>
      <c r="BO158" s="1" t="s">
        <v>404</v>
      </c>
      <c r="BP158" s="3" t="s">
        <v>1516</v>
      </c>
      <c r="BQ158" s="3" t="s">
        <v>1517</v>
      </c>
      <c r="BR158" s="1" t="s">
        <v>73</v>
      </c>
      <c r="BS158" s="3" t="s">
        <v>405</v>
      </c>
      <c r="BT158" s="1" t="s">
        <v>1522</v>
      </c>
      <c r="BU158" s="1" t="s">
        <v>1515</v>
      </c>
      <c r="BV158" s="1" t="s">
        <v>76</v>
      </c>
      <c r="BW158" s="3" t="s">
        <v>1516</v>
      </c>
      <c r="BY158" s="1" t="s">
        <v>1515</v>
      </c>
      <c r="CL158" s="1" t="s">
        <v>1515</v>
      </c>
      <c r="CM158" s="1" t="s">
        <v>1029</v>
      </c>
    </row>
    <row r="159" spans="1:91">
      <c r="A159" s="1" t="s">
        <v>1523</v>
      </c>
      <c r="B159" s="1" t="s">
        <v>395</v>
      </c>
      <c r="C159" s="1">
        <v>200</v>
      </c>
      <c r="D159" s="1" t="s">
        <v>303</v>
      </c>
      <c r="E159" s="1" t="s">
        <v>80</v>
      </c>
      <c r="G159" s="3" t="s">
        <v>1524</v>
      </c>
      <c r="H159" s="1">
        <v>20</v>
      </c>
      <c r="I159" s="1">
        <v>182</v>
      </c>
      <c r="J159" s="3" t="s">
        <v>1525</v>
      </c>
      <c r="K159" s="1">
        <v>58</v>
      </c>
      <c r="L159" s="1">
        <v>335</v>
      </c>
      <c r="M159" s="3" t="s">
        <v>1526</v>
      </c>
      <c r="N159" s="1">
        <v>11</v>
      </c>
      <c r="O159" s="1" t="s">
        <v>1527</v>
      </c>
      <c r="P159" s="1">
        <v>20</v>
      </c>
      <c r="R159" s="1">
        <v>0</v>
      </c>
      <c r="S159" s="3" t="s">
        <v>1528</v>
      </c>
      <c r="T159" s="1">
        <v>33</v>
      </c>
      <c r="U159" s="3" t="s">
        <v>1496</v>
      </c>
      <c r="V159" s="1">
        <v>5</v>
      </c>
      <c r="Z159" s="1" t="s">
        <v>1523</v>
      </c>
      <c r="AF159" s="1">
        <v>45346</v>
      </c>
      <c r="AG159" s="1">
        <v>11066</v>
      </c>
      <c r="AH159" s="1">
        <v>11066</v>
      </c>
      <c r="AI159" s="1">
        <v>4.3122320780000001</v>
      </c>
      <c r="AK159" s="1">
        <v>518</v>
      </c>
      <c r="AL159" s="1">
        <v>91</v>
      </c>
      <c r="AM159" s="1">
        <v>5.6923076923076898</v>
      </c>
      <c r="AN159" s="1">
        <v>100</v>
      </c>
      <c r="AO159" s="1" t="s">
        <v>306</v>
      </c>
      <c r="AP159" s="1">
        <v>7.0401525497436497</v>
      </c>
      <c r="AQ159" s="1">
        <v>0</v>
      </c>
      <c r="AR159" s="1">
        <v>4</v>
      </c>
      <c r="AT159" s="1">
        <v>17</v>
      </c>
      <c r="AU159" s="1">
        <v>2</v>
      </c>
      <c r="AV159" s="1">
        <v>0</v>
      </c>
      <c r="AW159" s="1">
        <v>1.21</v>
      </c>
      <c r="AX159" s="1">
        <v>29</v>
      </c>
      <c r="AY159" s="1">
        <v>12</v>
      </c>
      <c r="AZ159" s="1">
        <v>0</v>
      </c>
      <c r="BA159" s="1">
        <v>4</v>
      </c>
      <c r="BB159" s="1">
        <v>4</v>
      </c>
      <c r="BC159" s="1">
        <v>0</v>
      </c>
      <c r="BH159" s="1" t="s">
        <v>1529</v>
      </c>
      <c r="BI159" s="1">
        <v>7.0000000000000001E-3</v>
      </c>
      <c r="BJ159" s="1" t="s">
        <v>551</v>
      </c>
      <c r="BN159" s="1" t="s">
        <v>403</v>
      </c>
      <c r="BO159" s="1" t="s">
        <v>404</v>
      </c>
      <c r="BP159" s="3" t="s">
        <v>1524</v>
      </c>
      <c r="BQ159" s="3" t="s">
        <v>1525</v>
      </c>
      <c r="BR159" s="1" t="s">
        <v>73</v>
      </c>
      <c r="BS159" s="3" t="s">
        <v>405</v>
      </c>
      <c r="BT159" s="1" t="s">
        <v>1530</v>
      </c>
      <c r="BU159" s="1" t="s">
        <v>1523</v>
      </c>
      <c r="BV159" s="1" t="s">
        <v>76</v>
      </c>
      <c r="BW159" s="3" t="s">
        <v>1524</v>
      </c>
      <c r="BY159" s="1" t="s">
        <v>1523</v>
      </c>
      <c r="CL159" s="1" t="s">
        <v>1523</v>
      </c>
      <c r="CM159" s="1" t="s">
        <v>648</v>
      </c>
    </row>
    <row r="160" spans="1:91">
      <c r="A160" s="1" t="s">
        <v>1531</v>
      </c>
      <c r="B160" s="1" t="s">
        <v>395</v>
      </c>
      <c r="C160" s="1">
        <v>200</v>
      </c>
      <c r="D160" s="1" t="s">
        <v>303</v>
      </c>
      <c r="E160" s="1" t="s">
        <v>80</v>
      </c>
      <c r="G160" s="3" t="s">
        <v>1532</v>
      </c>
      <c r="H160" s="1">
        <v>18</v>
      </c>
      <c r="I160" s="1">
        <v>135</v>
      </c>
      <c r="J160" s="3" t="s">
        <v>1533</v>
      </c>
      <c r="K160" s="1">
        <v>56</v>
      </c>
      <c r="L160" s="1">
        <v>299</v>
      </c>
      <c r="M160" s="3" t="s">
        <v>1534</v>
      </c>
      <c r="N160" s="1">
        <v>13</v>
      </c>
      <c r="O160" s="1" t="s">
        <v>1535</v>
      </c>
      <c r="P160" s="1">
        <v>27</v>
      </c>
      <c r="R160" s="1">
        <v>0</v>
      </c>
      <c r="S160" s="3" t="s">
        <v>1536</v>
      </c>
      <c r="T160" s="1">
        <v>35</v>
      </c>
      <c r="U160" s="3" t="s">
        <v>1496</v>
      </c>
      <c r="V160" s="1">
        <v>5</v>
      </c>
      <c r="Z160" s="1" t="s">
        <v>1531</v>
      </c>
      <c r="AF160" s="1">
        <v>71170</v>
      </c>
      <c r="AG160" s="1">
        <v>15295</v>
      </c>
      <c r="AH160" s="1">
        <v>15295</v>
      </c>
      <c r="AI160" s="1">
        <v>5.9602014849999998</v>
      </c>
      <c r="AK160" s="1">
        <v>1263</v>
      </c>
      <c r="AL160" s="1">
        <v>182</v>
      </c>
      <c r="AM160" s="1">
        <v>6.9395604395604398</v>
      </c>
      <c r="AN160" s="1">
        <v>100</v>
      </c>
      <c r="AO160" s="1" t="s">
        <v>306</v>
      </c>
      <c r="AP160" s="1">
        <v>9.8127384185790998</v>
      </c>
      <c r="AQ160" s="1">
        <v>0</v>
      </c>
      <c r="AR160" s="1">
        <v>4</v>
      </c>
      <c r="AT160" s="1">
        <v>23</v>
      </c>
      <c r="AU160" s="1">
        <v>2</v>
      </c>
      <c r="AV160" s="1">
        <v>0</v>
      </c>
      <c r="AW160" s="1">
        <v>1.21</v>
      </c>
      <c r="AX160" s="1">
        <v>35</v>
      </c>
      <c r="AY160" s="1">
        <v>12</v>
      </c>
      <c r="AZ160" s="1">
        <v>0</v>
      </c>
      <c r="BA160" s="1">
        <v>4</v>
      </c>
      <c r="BB160" s="1">
        <v>4</v>
      </c>
      <c r="BC160" s="1">
        <v>0</v>
      </c>
      <c r="BH160" s="1" t="s">
        <v>1537</v>
      </c>
      <c r="BI160" s="1">
        <v>6.0000000000000001E-3</v>
      </c>
      <c r="BJ160" s="1" t="s">
        <v>551</v>
      </c>
      <c r="BN160" s="1" t="s">
        <v>403</v>
      </c>
      <c r="BO160" s="1" t="s">
        <v>404</v>
      </c>
      <c r="BP160" s="3" t="s">
        <v>1532</v>
      </c>
      <c r="BQ160" s="3" t="s">
        <v>1533</v>
      </c>
      <c r="BR160" s="1" t="s">
        <v>73</v>
      </c>
      <c r="BS160" s="3" t="s">
        <v>405</v>
      </c>
      <c r="BT160" s="1" t="s">
        <v>1538</v>
      </c>
      <c r="BU160" s="1" t="s">
        <v>1531</v>
      </c>
      <c r="BV160" s="1" t="s">
        <v>76</v>
      </c>
      <c r="BW160" s="3" t="s">
        <v>1532</v>
      </c>
      <c r="BY160" s="1" t="s">
        <v>1531</v>
      </c>
      <c r="CL160" s="1" t="s">
        <v>1531</v>
      </c>
      <c r="CM160" s="1" t="s">
        <v>1072</v>
      </c>
    </row>
    <row r="161" spans="1:91">
      <c r="A161" s="1" t="s">
        <v>1539</v>
      </c>
      <c r="B161" s="1" t="s">
        <v>395</v>
      </c>
      <c r="C161" s="1">
        <v>200</v>
      </c>
      <c r="D161" s="1" t="s">
        <v>303</v>
      </c>
      <c r="E161" s="1" t="s">
        <v>80</v>
      </c>
      <c r="G161" s="3" t="s">
        <v>1540</v>
      </c>
      <c r="H161" s="1">
        <v>27</v>
      </c>
      <c r="I161" s="1">
        <v>233</v>
      </c>
      <c r="J161" s="3" t="s">
        <v>1541</v>
      </c>
      <c r="K161" s="1">
        <v>65</v>
      </c>
      <c r="L161" s="1">
        <v>368</v>
      </c>
      <c r="M161" s="3" t="s">
        <v>1542</v>
      </c>
      <c r="N161" s="1">
        <v>21</v>
      </c>
      <c r="O161" s="1" t="s">
        <v>1543</v>
      </c>
      <c r="P161" s="1">
        <v>43</v>
      </c>
      <c r="R161" s="1">
        <v>0</v>
      </c>
      <c r="S161" s="3" t="s">
        <v>1544</v>
      </c>
      <c r="T161" s="1">
        <v>35</v>
      </c>
      <c r="U161" s="3" t="s">
        <v>1496</v>
      </c>
      <c r="V161" s="1">
        <v>5</v>
      </c>
      <c r="Z161" s="1" t="s">
        <v>1539</v>
      </c>
      <c r="AF161" s="1">
        <v>64302</v>
      </c>
      <c r="AG161" s="1">
        <v>15238</v>
      </c>
      <c r="AH161" s="1">
        <v>15238</v>
      </c>
      <c r="AI161" s="1">
        <v>5.9379895539999996</v>
      </c>
      <c r="AK161" s="1">
        <v>1304</v>
      </c>
      <c r="AL161" s="1">
        <v>159</v>
      </c>
      <c r="AM161" s="1">
        <v>8.2012578616352201</v>
      </c>
      <c r="AN161" s="1">
        <v>100</v>
      </c>
      <c r="AO161" s="1" t="s">
        <v>306</v>
      </c>
      <c r="AP161" s="1">
        <v>10.8479824066162</v>
      </c>
      <c r="AQ161" s="1">
        <v>0</v>
      </c>
      <c r="AR161" s="1">
        <v>4</v>
      </c>
      <c r="AT161" s="1">
        <v>23</v>
      </c>
      <c r="AU161" s="1">
        <v>2</v>
      </c>
      <c r="AV161" s="1">
        <v>0</v>
      </c>
      <c r="AW161" s="1">
        <v>1.21</v>
      </c>
      <c r="AX161" s="1">
        <v>35</v>
      </c>
      <c r="AY161" s="1">
        <v>12</v>
      </c>
      <c r="AZ161" s="1">
        <v>0</v>
      </c>
      <c r="BA161" s="1">
        <v>3</v>
      </c>
      <c r="BB161" s="1">
        <v>3</v>
      </c>
      <c r="BC161" s="1">
        <v>0</v>
      </c>
      <c r="BH161" s="1" t="s">
        <v>1545</v>
      </c>
      <c r="BI161" s="1">
        <v>6.0000000000000001E-3</v>
      </c>
      <c r="BJ161" s="1" t="s">
        <v>551</v>
      </c>
      <c r="BN161" s="1" t="s">
        <v>403</v>
      </c>
      <c r="BO161" s="1" t="s">
        <v>404</v>
      </c>
      <c r="BP161" s="3" t="s">
        <v>1540</v>
      </c>
      <c r="BQ161" s="3" t="s">
        <v>1541</v>
      </c>
      <c r="BR161" s="1" t="s">
        <v>73</v>
      </c>
      <c r="BS161" s="3" t="s">
        <v>405</v>
      </c>
      <c r="BT161" s="1" t="s">
        <v>1546</v>
      </c>
      <c r="BU161" s="1" t="s">
        <v>1539</v>
      </c>
      <c r="BV161" s="1" t="s">
        <v>76</v>
      </c>
      <c r="BW161" s="3" t="s">
        <v>1540</v>
      </c>
      <c r="BY161" s="1" t="s">
        <v>1539</v>
      </c>
      <c r="CL161" s="1" t="s">
        <v>1539</v>
      </c>
      <c r="CM161" s="1" t="s">
        <v>1318</v>
      </c>
    </row>
    <row r="162" spans="1:91">
      <c r="A162" s="1" t="s">
        <v>1547</v>
      </c>
      <c r="B162" s="1" t="s">
        <v>395</v>
      </c>
      <c r="C162" s="1">
        <v>200</v>
      </c>
      <c r="D162" s="1" t="s">
        <v>303</v>
      </c>
      <c r="E162" s="1" t="s">
        <v>80</v>
      </c>
      <c r="G162" s="3" t="s">
        <v>1548</v>
      </c>
      <c r="H162" s="1">
        <v>18</v>
      </c>
      <c r="I162" s="1">
        <v>142</v>
      </c>
      <c r="J162" s="3" t="s">
        <v>1549</v>
      </c>
      <c r="K162" s="1">
        <v>56</v>
      </c>
      <c r="L162" s="1">
        <v>304</v>
      </c>
      <c r="N162" s="1">
        <v>0</v>
      </c>
      <c r="O162" s="1" t="s">
        <v>1550</v>
      </c>
      <c r="P162" s="1">
        <v>45</v>
      </c>
      <c r="R162" s="1">
        <v>0</v>
      </c>
      <c r="S162" s="3" t="s">
        <v>1551</v>
      </c>
      <c r="T162" s="1">
        <v>51</v>
      </c>
      <c r="U162" s="3" t="s">
        <v>1496</v>
      </c>
      <c r="V162" s="1">
        <v>5</v>
      </c>
      <c r="Z162" s="1" t="s">
        <v>1547</v>
      </c>
      <c r="AF162" s="1">
        <v>65639</v>
      </c>
      <c r="AG162" s="1">
        <v>16587</v>
      </c>
      <c r="AH162" s="1">
        <v>16587</v>
      </c>
      <c r="AI162" s="1">
        <v>6.4636719210000004</v>
      </c>
      <c r="AK162" s="1">
        <v>1610</v>
      </c>
      <c r="AL162" s="1">
        <v>204</v>
      </c>
      <c r="AM162" s="1">
        <v>7.8921568627451002</v>
      </c>
      <c r="AN162" s="1">
        <v>100</v>
      </c>
      <c r="AO162" s="1" t="s">
        <v>306</v>
      </c>
      <c r="AP162" s="1">
        <v>15.0085563659668</v>
      </c>
      <c r="AQ162" s="1">
        <v>0</v>
      </c>
      <c r="AR162" s="1">
        <v>4</v>
      </c>
      <c r="AT162" s="1">
        <v>23</v>
      </c>
      <c r="AU162" s="1">
        <v>2</v>
      </c>
      <c r="AV162" s="1">
        <v>0</v>
      </c>
      <c r="AW162" s="1">
        <v>1.21</v>
      </c>
      <c r="AX162" s="1">
        <v>35</v>
      </c>
      <c r="AY162" s="1">
        <v>12</v>
      </c>
      <c r="AZ162" s="1">
        <v>0</v>
      </c>
      <c r="BA162" s="1">
        <v>3</v>
      </c>
      <c r="BB162" s="1">
        <v>3</v>
      </c>
      <c r="BC162" s="1">
        <v>0</v>
      </c>
      <c r="BH162" s="1" t="s">
        <v>1552</v>
      </c>
      <c r="BI162" s="1">
        <v>7.0000000000000001E-3</v>
      </c>
      <c r="BJ162" s="1" t="s">
        <v>551</v>
      </c>
      <c r="BN162" s="1" t="s">
        <v>403</v>
      </c>
      <c r="BO162" s="1" t="s">
        <v>404</v>
      </c>
      <c r="BP162" s="3" t="s">
        <v>1548</v>
      </c>
      <c r="BQ162" s="3" t="s">
        <v>1549</v>
      </c>
      <c r="BR162" s="1" t="s">
        <v>73</v>
      </c>
      <c r="BS162" s="3" t="s">
        <v>405</v>
      </c>
      <c r="BT162" s="1" t="s">
        <v>1553</v>
      </c>
      <c r="BU162" s="1" t="s">
        <v>1547</v>
      </c>
      <c r="BV162" s="1" t="s">
        <v>76</v>
      </c>
      <c r="BW162" s="3" t="s">
        <v>1548</v>
      </c>
      <c r="BY162" s="1" t="s">
        <v>1547</v>
      </c>
      <c r="CL162" s="1" t="s">
        <v>1547</v>
      </c>
      <c r="CM162" s="1" t="s">
        <v>1144</v>
      </c>
    </row>
    <row r="163" spans="1:91">
      <c r="A163" s="1" t="s">
        <v>1554</v>
      </c>
      <c r="B163" s="1" t="s">
        <v>395</v>
      </c>
      <c r="C163" s="1">
        <v>200</v>
      </c>
      <c r="D163" s="1" t="s">
        <v>303</v>
      </c>
      <c r="E163" s="1" t="s">
        <v>80</v>
      </c>
      <c r="G163" s="3" t="s">
        <v>1555</v>
      </c>
      <c r="H163" s="1">
        <v>16</v>
      </c>
      <c r="I163" s="1">
        <v>249</v>
      </c>
      <c r="J163" s="3" t="s">
        <v>1556</v>
      </c>
      <c r="K163" s="1">
        <v>54</v>
      </c>
      <c r="L163" s="1">
        <v>558</v>
      </c>
      <c r="N163" s="1">
        <v>0</v>
      </c>
      <c r="O163" s="1" t="s">
        <v>1557</v>
      </c>
      <c r="P163" s="1">
        <v>29</v>
      </c>
      <c r="R163" s="1">
        <v>0</v>
      </c>
      <c r="S163" s="3" t="s">
        <v>1558</v>
      </c>
      <c r="T163" s="1">
        <v>75</v>
      </c>
      <c r="U163" s="3" t="s">
        <v>1496</v>
      </c>
      <c r="V163" s="1">
        <v>5</v>
      </c>
      <c r="Z163" s="1" t="s">
        <v>1554</v>
      </c>
      <c r="AF163" s="1">
        <v>72001</v>
      </c>
      <c r="AG163" s="1">
        <v>17577</v>
      </c>
      <c r="AH163" s="1">
        <v>17577</v>
      </c>
      <c r="AI163" s="1">
        <v>6.8494580909999998</v>
      </c>
      <c r="AK163" s="1">
        <v>1699</v>
      </c>
      <c r="AL163" s="1">
        <v>270</v>
      </c>
      <c r="AM163" s="1">
        <v>6.2925925925925901</v>
      </c>
      <c r="AN163" s="1">
        <v>100</v>
      </c>
      <c r="AO163" s="1" t="s">
        <v>306</v>
      </c>
      <c r="AP163" s="1">
        <v>13.8950748443604</v>
      </c>
      <c r="AQ163" s="1">
        <v>0</v>
      </c>
      <c r="AR163" s="1">
        <v>4</v>
      </c>
      <c r="AT163" s="1">
        <v>24</v>
      </c>
      <c r="AU163" s="1">
        <v>2</v>
      </c>
      <c r="AV163" s="1">
        <v>0</v>
      </c>
      <c r="AW163" s="1">
        <v>1.21</v>
      </c>
      <c r="AX163" s="1">
        <v>36</v>
      </c>
      <c r="AY163" s="1">
        <v>12</v>
      </c>
      <c r="AZ163" s="1">
        <v>0</v>
      </c>
      <c r="BA163" s="1">
        <v>16</v>
      </c>
      <c r="BB163" s="1">
        <v>16</v>
      </c>
      <c r="BC163" s="1">
        <v>0</v>
      </c>
      <c r="BH163" s="1" t="s">
        <v>1559</v>
      </c>
      <c r="BI163" s="1">
        <v>7.0000000000000001E-3</v>
      </c>
      <c r="BJ163" s="1" t="s">
        <v>551</v>
      </c>
      <c r="BN163" s="1" t="s">
        <v>403</v>
      </c>
      <c r="BO163" s="1" t="s">
        <v>404</v>
      </c>
      <c r="BP163" s="3" t="s">
        <v>1555</v>
      </c>
      <c r="BQ163" s="3" t="s">
        <v>1556</v>
      </c>
      <c r="BR163" s="1" t="s">
        <v>73</v>
      </c>
      <c r="BS163" s="3" t="s">
        <v>405</v>
      </c>
      <c r="BT163" s="1" t="s">
        <v>1560</v>
      </c>
      <c r="BU163" s="1" t="s">
        <v>1554</v>
      </c>
      <c r="BV163" s="1" t="s">
        <v>76</v>
      </c>
      <c r="BW163" s="3" t="s">
        <v>1555</v>
      </c>
      <c r="BY163" s="1" t="s">
        <v>1554</v>
      </c>
      <c r="CL163" s="1" t="s">
        <v>1554</v>
      </c>
      <c r="CM163" s="1" t="s">
        <v>966</v>
      </c>
    </row>
    <row r="164" spans="1:91">
      <c r="A164" s="1" t="s">
        <v>1561</v>
      </c>
      <c r="B164" s="1" t="s">
        <v>395</v>
      </c>
      <c r="C164" s="1">
        <v>200</v>
      </c>
      <c r="D164" s="1" t="s">
        <v>303</v>
      </c>
      <c r="E164" s="1" t="s">
        <v>80</v>
      </c>
      <c r="G164" s="3" t="s">
        <v>1562</v>
      </c>
      <c r="H164" s="1">
        <v>18</v>
      </c>
      <c r="I164" s="1">
        <v>135</v>
      </c>
      <c r="J164" s="3" t="s">
        <v>1563</v>
      </c>
      <c r="K164" s="1">
        <v>56</v>
      </c>
      <c r="L164" s="1">
        <v>299</v>
      </c>
      <c r="N164" s="1">
        <v>0</v>
      </c>
      <c r="O164" s="1" t="s">
        <v>1564</v>
      </c>
      <c r="P164" s="1">
        <v>23</v>
      </c>
      <c r="R164" s="1">
        <v>0</v>
      </c>
      <c r="S164" s="3" t="s">
        <v>1565</v>
      </c>
      <c r="T164" s="1">
        <v>107</v>
      </c>
      <c r="U164" s="3" t="s">
        <v>1496</v>
      </c>
      <c r="V164" s="1">
        <v>5</v>
      </c>
      <c r="Z164" s="1" t="s">
        <v>1561</v>
      </c>
      <c r="AF164" s="1">
        <v>63882</v>
      </c>
      <c r="AG164" s="1">
        <v>14784</v>
      </c>
      <c r="AH164" s="1">
        <v>14784</v>
      </c>
      <c r="AI164" s="1">
        <v>5.7610734719999996</v>
      </c>
      <c r="AK164" s="1">
        <v>1119</v>
      </c>
      <c r="AL164" s="1">
        <v>196</v>
      </c>
      <c r="AM164" s="1">
        <v>5.7091836734693899</v>
      </c>
      <c r="AN164" s="1">
        <v>100</v>
      </c>
      <c r="AO164" s="1" t="s">
        <v>306</v>
      </c>
      <c r="AP164" s="1">
        <v>10.1151685714722</v>
      </c>
      <c r="AQ164" s="1">
        <v>0</v>
      </c>
      <c r="AR164" s="1">
        <v>4</v>
      </c>
      <c r="AT164" s="1">
        <v>31</v>
      </c>
      <c r="AU164" s="1">
        <v>2</v>
      </c>
      <c r="AV164" s="1">
        <v>0</v>
      </c>
      <c r="AW164" s="1">
        <v>1.21</v>
      </c>
      <c r="AX164" s="1">
        <v>43</v>
      </c>
      <c r="AY164" s="1">
        <v>12</v>
      </c>
      <c r="AZ164" s="1">
        <v>0</v>
      </c>
      <c r="BA164" s="1">
        <v>11</v>
      </c>
      <c r="BB164" s="1">
        <v>11</v>
      </c>
      <c r="BC164" s="1">
        <v>0</v>
      </c>
      <c r="BH164" s="1" t="s">
        <v>1566</v>
      </c>
      <c r="BI164" s="1">
        <v>7.0000000000000001E-3</v>
      </c>
      <c r="BJ164" s="1" t="s">
        <v>551</v>
      </c>
      <c r="BN164" s="1" t="s">
        <v>403</v>
      </c>
      <c r="BO164" s="1" t="s">
        <v>404</v>
      </c>
      <c r="BP164" s="3" t="s">
        <v>1562</v>
      </c>
      <c r="BQ164" s="3" t="s">
        <v>1563</v>
      </c>
      <c r="BR164" s="1" t="s">
        <v>73</v>
      </c>
      <c r="BS164" s="3" t="s">
        <v>405</v>
      </c>
      <c r="BT164" s="1" t="s">
        <v>1567</v>
      </c>
      <c r="BU164" s="1" t="s">
        <v>1561</v>
      </c>
      <c r="BV164" s="1" t="s">
        <v>76</v>
      </c>
      <c r="BW164" s="3" t="s">
        <v>1562</v>
      </c>
      <c r="BY164" s="1" t="s">
        <v>1561</v>
      </c>
      <c r="CL164" s="1" t="s">
        <v>1561</v>
      </c>
      <c r="CM164" s="1" t="s">
        <v>543</v>
      </c>
    </row>
    <row r="165" spans="1:91">
      <c r="A165" s="1" t="s">
        <v>1568</v>
      </c>
      <c r="B165" s="1" t="s">
        <v>395</v>
      </c>
      <c r="C165" s="1">
        <v>200</v>
      </c>
      <c r="D165" s="1" t="s">
        <v>303</v>
      </c>
      <c r="E165" s="1" t="s">
        <v>80</v>
      </c>
      <c r="G165" s="3" t="s">
        <v>1569</v>
      </c>
      <c r="H165" s="1">
        <v>34</v>
      </c>
      <c r="I165" s="1">
        <v>266</v>
      </c>
      <c r="J165" s="3" t="s">
        <v>1570</v>
      </c>
      <c r="K165" s="1">
        <v>72</v>
      </c>
      <c r="L165" s="1">
        <v>387</v>
      </c>
      <c r="N165" s="1">
        <v>0</v>
      </c>
      <c r="O165" s="1" t="s">
        <v>1571</v>
      </c>
      <c r="P165" s="1">
        <v>26</v>
      </c>
      <c r="R165" s="1">
        <v>0</v>
      </c>
      <c r="S165" s="3" t="s">
        <v>1572</v>
      </c>
      <c r="T165" s="1">
        <v>106</v>
      </c>
      <c r="U165" s="3" t="s">
        <v>1573</v>
      </c>
      <c r="V165" s="1">
        <v>17</v>
      </c>
      <c r="Z165" s="1" t="s">
        <v>1568</v>
      </c>
      <c r="AF165" s="1">
        <v>68423</v>
      </c>
      <c r="AG165" s="1">
        <v>14991</v>
      </c>
      <c r="AH165" s="1">
        <v>14991</v>
      </c>
      <c r="AI165" s="1">
        <v>5.8417378529999997</v>
      </c>
      <c r="AK165" s="1">
        <v>389</v>
      </c>
      <c r="AL165" s="1">
        <v>98</v>
      </c>
      <c r="AM165" s="1">
        <v>3.9693877551020398</v>
      </c>
      <c r="AN165" s="1">
        <v>100</v>
      </c>
      <c r="AO165" s="1" t="s">
        <v>306</v>
      </c>
      <c r="AP165" s="1">
        <v>2.9323062896728498</v>
      </c>
      <c r="AQ165" s="1">
        <v>0</v>
      </c>
      <c r="AR165" s="1">
        <v>4</v>
      </c>
      <c r="AT165" s="1">
        <v>14</v>
      </c>
      <c r="AU165" s="1">
        <v>2</v>
      </c>
      <c r="AV165" s="1">
        <v>0</v>
      </c>
      <c r="AW165" s="1">
        <v>1.21</v>
      </c>
      <c r="AX165" s="1">
        <v>26</v>
      </c>
      <c r="AY165" s="1">
        <v>12</v>
      </c>
      <c r="AZ165" s="1">
        <v>0</v>
      </c>
      <c r="BA165" s="1">
        <v>2</v>
      </c>
      <c r="BB165" s="1">
        <v>2</v>
      </c>
      <c r="BC165" s="1">
        <v>0</v>
      </c>
      <c r="BH165" s="1" t="s">
        <v>1574</v>
      </c>
      <c r="BI165" s="1">
        <v>0.01</v>
      </c>
      <c r="BJ165" s="1" t="s">
        <v>551</v>
      </c>
      <c r="BN165" s="1" t="s">
        <v>403</v>
      </c>
      <c r="BO165" s="1" t="s">
        <v>404</v>
      </c>
      <c r="BP165" s="3" t="s">
        <v>1569</v>
      </c>
      <c r="BQ165" s="3" t="s">
        <v>1570</v>
      </c>
      <c r="BR165" s="1" t="s">
        <v>73</v>
      </c>
      <c r="BS165" s="3" t="s">
        <v>405</v>
      </c>
      <c r="BT165" s="1" t="s">
        <v>1575</v>
      </c>
      <c r="BU165" s="1" t="s">
        <v>1568</v>
      </c>
      <c r="BV165" s="1" t="s">
        <v>76</v>
      </c>
      <c r="BW165" s="3" t="s">
        <v>1569</v>
      </c>
      <c r="BY165" s="1" t="s">
        <v>1568</v>
      </c>
      <c r="CL165" s="1" t="s">
        <v>1568</v>
      </c>
      <c r="CM165" s="1" t="s">
        <v>418</v>
      </c>
    </row>
    <row r="166" spans="1:91">
      <c r="A166" s="1" t="s">
        <v>1576</v>
      </c>
      <c r="B166" s="1" t="s">
        <v>395</v>
      </c>
      <c r="C166" s="1">
        <v>200</v>
      </c>
      <c r="D166" s="1" t="s">
        <v>303</v>
      </c>
      <c r="E166" s="1" t="s">
        <v>80</v>
      </c>
      <c r="G166" s="3" t="s">
        <v>1577</v>
      </c>
      <c r="H166" s="1">
        <v>30</v>
      </c>
      <c r="I166" s="1">
        <v>221</v>
      </c>
      <c r="J166" s="3" t="s">
        <v>1578</v>
      </c>
      <c r="K166" s="1">
        <v>68</v>
      </c>
      <c r="L166" s="1">
        <v>356</v>
      </c>
      <c r="N166" s="1">
        <v>0</v>
      </c>
      <c r="O166" s="1" t="s">
        <v>1571</v>
      </c>
      <c r="P166" s="1">
        <v>26</v>
      </c>
      <c r="R166" s="1">
        <v>0</v>
      </c>
      <c r="S166" s="3" t="s">
        <v>1579</v>
      </c>
      <c r="T166" s="1">
        <v>106</v>
      </c>
      <c r="U166" s="3" t="s">
        <v>1580</v>
      </c>
      <c r="V166" s="1">
        <v>23</v>
      </c>
      <c r="Z166" s="1" t="s">
        <v>1576</v>
      </c>
      <c r="AF166" s="1">
        <v>63409</v>
      </c>
      <c r="AG166" s="1">
        <v>14404</v>
      </c>
      <c r="AH166" s="1">
        <v>14404</v>
      </c>
      <c r="AI166" s="1">
        <v>5.6129939320000002</v>
      </c>
      <c r="AK166" s="1">
        <v>276</v>
      </c>
      <c r="AL166" s="1">
        <v>78</v>
      </c>
      <c r="AM166" s="1">
        <v>3.5384615384615401</v>
      </c>
      <c r="AN166" s="1">
        <v>100</v>
      </c>
      <c r="AO166" s="1" t="s">
        <v>306</v>
      </c>
      <c r="AP166" s="1">
        <v>2.4219741821289098</v>
      </c>
      <c r="AQ166" s="1">
        <v>0</v>
      </c>
      <c r="AR166" s="1">
        <v>4</v>
      </c>
      <c r="AT166" s="1">
        <v>13</v>
      </c>
      <c r="AU166" s="1">
        <v>2</v>
      </c>
      <c r="AV166" s="1">
        <v>0</v>
      </c>
      <c r="AW166" s="1">
        <v>1.21</v>
      </c>
      <c r="AX166" s="1">
        <v>25</v>
      </c>
      <c r="AY166" s="1">
        <v>12</v>
      </c>
      <c r="AZ166" s="1">
        <v>0</v>
      </c>
      <c r="BA166" s="1">
        <v>2</v>
      </c>
      <c r="BB166" s="1">
        <v>2</v>
      </c>
      <c r="BC166" s="1">
        <v>0</v>
      </c>
      <c r="BH166" s="1" t="s">
        <v>1581</v>
      </c>
      <c r="BI166" s="1">
        <v>8.0000000000000002E-3</v>
      </c>
      <c r="BJ166" s="1" t="s">
        <v>551</v>
      </c>
      <c r="BN166" s="1" t="s">
        <v>403</v>
      </c>
      <c r="BO166" s="1" t="s">
        <v>404</v>
      </c>
      <c r="BP166" s="3" t="s">
        <v>1577</v>
      </c>
      <c r="BQ166" s="3" t="s">
        <v>1578</v>
      </c>
      <c r="BR166" s="1" t="s">
        <v>73</v>
      </c>
      <c r="BS166" s="3" t="s">
        <v>405</v>
      </c>
      <c r="BT166" s="1" t="s">
        <v>1582</v>
      </c>
      <c r="BU166" s="1" t="s">
        <v>1576</v>
      </c>
      <c r="BV166" s="1" t="s">
        <v>76</v>
      </c>
      <c r="BW166" s="3" t="s">
        <v>1577</v>
      </c>
      <c r="BY166" s="1" t="s">
        <v>1576</v>
      </c>
      <c r="CL166" s="1" t="s">
        <v>1576</v>
      </c>
      <c r="CM166" s="1" t="s">
        <v>864</v>
      </c>
    </row>
  </sheetData>
  <sortState xmlns:xlrd2="http://schemas.microsoft.com/office/spreadsheetml/2017/richdata2" ref="A2:CM166">
    <sortCondition ref="A2:A166"/>
  </sortState>
  <phoneticPr fontId="9" type="noConversion"/>
  <conditionalFormatting sqref="A1:A405">
    <cfRule type="containsText" dxfId="0" priority="2" operator="containsText" text="_pos">
      <formula>NOT(ISERROR(SEARCH("_pos",A1)))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6"/>
  <sheetViews>
    <sheetView zoomScaleNormal="100" workbookViewId="0">
      <selection activeCell="G175" sqref="G175"/>
    </sheetView>
  </sheetViews>
  <sheetFormatPr defaultColWidth="9" defaultRowHeight="16.5"/>
  <cols>
    <col min="1" max="16384" width="9" style="1"/>
  </cols>
  <sheetData>
    <row r="1" spans="1:19">
      <c r="A1" s="1" t="s">
        <v>30</v>
      </c>
      <c r="B1" s="1" t="s">
        <v>1583</v>
      </c>
      <c r="C1" s="1" t="s">
        <v>1584</v>
      </c>
      <c r="D1" s="1" t="s">
        <v>1585</v>
      </c>
      <c r="E1" s="1" t="s">
        <v>1586</v>
      </c>
      <c r="F1" s="1" t="s">
        <v>1587</v>
      </c>
      <c r="G1" s="1" t="s">
        <v>1588</v>
      </c>
      <c r="H1" s="1" t="s">
        <v>1589</v>
      </c>
      <c r="I1" s="1" t="s">
        <v>1590</v>
      </c>
      <c r="J1" s="1" t="s">
        <v>58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1591</v>
      </c>
      <c r="P1" s="1" t="s">
        <v>1592</v>
      </c>
      <c r="Q1" s="1" t="s">
        <v>1593</v>
      </c>
      <c r="R1" s="1" t="s">
        <v>33</v>
      </c>
      <c r="S1" s="1" t="s">
        <v>239</v>
      </c>
    </row>
    <row r="2" spans="1:19">
      <c r="A2" s="1" t="s">
        <v>394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H2" s="1">
        <v>3</v>
      </c>
      <c r="I2" s="1">
        <v>2</v>
      </c>
      <c r="J2" s="1" t="s">
        <v>408</v>
      </c>
      <c r="K2" s="1" t="s">
        <v>1594</v>
      </c>
      <c r="R2" s="1" t="s">
        <v>80</v>
      </c>
    </row>
    <row r="3" spans="1:19">
      <c r="A3" s="1" t="s">
        <v>410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H3" s="1">
        <v>3</v>
      </c>
      <c r="I3" s="1">
        <v>2</v>
      </c>
      <c r="J3" s="1" t="s">
        <v>408</v>
      </c>
      <c r="K3" s="1" t="s">
        <v>1594</v>
      </c>
      <c r="R3" s="1" t="s">
        <v>80</v>
      </c>
    </row>
    <row r="4" spans="1:19">
      <c r="A4" s="1" t="s">
        <v>419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3</v>
      </c>
      <c r="I4" s="1">
        <v>2</v>
      </c>
      <c r="J4" s="1" t="s">
        <v>408</v>
      </c>
      <c r="K4" s="1" t="s">
        <v>1594</v>
      </c>
      <c r="R4" s="1" t="s">
        <v>80</v>
      </c>
    </row>
    <row r="5" spans="1:19">
      <c r="A5" s="1" t="s">
        <v>428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H5" s="1">
        <v>3</v>
      </c>
      <c r="I5" s="1">
        <v>2</v>
      </c>
      <c r="J5" s="1" t="s">
        <v>408</v>
      </c>
      <c r="K5" s="1" t="s">
        <v>1594</v>
      </c>
      <c r="R5" s="1" t="s">
        <v>80</v>
      </c>
    </row>
    <row r="6" spans="1:19">
      <c r="A6" s="1" t="s">
        <v>437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H6" s="1">
        <v>3</v>
      </c>
      <c r="I6" s="1">
        <v>2</v>
      </c>
      <c r="J6" s="1" t="s">
        <v>408</v>
      </c>
      <c r="K6" s="1" t="s">
        <v>1594</v>
      </c>
      <c r="R6" s="1" t="s">
        <v>80</v>
      </c>
    </row>
    <row r="7" spans="1:19">
      <c r="A7" s="1" t="s">
        <v>446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H7" s="1">
        <v>3</v>
      </c>
      <c r="I7" s="1">
        <v>2</v>
      </c>
      <c r="J7" s="1" t="s">
        <v>408</v>
      </c>
      <c r="K7" s="1" t="s">
        <v>1594</v>
      </c>
      <c r="R7" s="1" t="s">
        <v>80</v>
      </c>
    </row>
    <row r="8" spans="1:19">
      <c r="A8" s="1" t="s">
        <v>455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1">
        <v>2</v>
      </c>
      <c r="I8" s="1">
        <v>2</v>
      </c>
      <c r="J8" s="1" t="s">
        <v>408</v>
      </c>
      <c r="K8" s="1" t="s">
        <v>1594</v>
      </c>
      <c r="R8" s="1" t="s">
        <v>80</v>
      </c>
    </row>
    <row r="9" spans="1:19">
      <c r="A9" s="1" t="s">
        <v>464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H9" s="1">
        <v>3</v>
      </c>
      <c r="I9" s="1">
        <v>2</v>
      </c>
      <c r="J9" s="1" t="s">
        <v>408</v>
      </c>
      <c r="K9" s="1" t="s">
        <v>1594</v>
      </c>
      <c r="R9" s="1" t="s">
        <v>80</v>
      </c>
    </row>
    <row r="10" spans="1:19">
      <c r="A10" s="1" t="s">
        <v>472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H10" s="1">
        <v>3</v>
      </c>
      <c r="I10" s="1">
        <v>2</v>
      </c>
      <c r="J10" s="1" t="s">
        <v>408</v>
      </c>
      <c r="K10" s="1" t="s">
        <v>1594</v>
      </c>
      <c r="R10" s="1" t="s">
        <v>80</v>
      </c>
    </row>
    <row r="11" spans="1:19">
      <c r="A11" s="1" t="s">
        <v>481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3</v>
      </c>
      <c r="I11" s="1">
        <v>2</v>
      </c>
      <c r="J11" s="1" t="s">
        <v>408</v>
      </c>
      <c r="K11" s="1" t="s">
        <v>1594</v>
      </c>
      <c r="R11" s="1" t="s">
        <v>80</v>
      </c>
    </row>
    <row r="12" spans="1:19">
      <c r="A12" s="1" t="s">
        <v>488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H12" s="1">
        <v>3</v>
      </c>
      <c r="I12" s="1">
        <v>2</v>
      </c>
      <c r="J12" s="1" t="s">
        <v>408</v>
      </c>
      <c r="K12" s="1" t="s">
        <v>1594</v>
      </c>
      <c r="R12" s="1" t="s">
        <v>80</v>
      </c>
    </row>
    <row r="13" spans="1:19">
      <c r="A13" s="1" t="s">
        <v>497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H13" s="1">
        <v>3</v>
      </c>
      <c r="I13" s="1">
        <v>2</v>
      </c>
      <c r="J13" s="1" t="s">
        <v>408</v>
      </c>
      <c r="K13" s="1" t="s">
        <v>1594</v>
      </c>
      <c r="R13" s="1" t="s">
        <v>80</v>
      </c>
    </row>
    <row r="14" spans="1:19">
      <c r="A14" s="1" t="s">
        <v>502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H14" s="1">
        <v>3</v>
      </c>
      <c r="I14" s="1">
        <v>2</v>
      </c>
      <c r="J14" s="1" t="s">
        <v>408</v>
      </c>
      <c r="K14" s="1" t="s">
        <v>1594</v>
      </c>
      <c r="R14" s="1" t="s">
        <v>80</v>
      </c>
    </row>
    <row r="15" spans="1:19">
      <c r="A15" s="1" t="s">
        <v>511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H15" s="1">
        <v>3</v>
      </c>
      <c r="I15" s="1">
        <v>2</v>
      </c>
      <c r="J15" s="1" t="s">
        <v>408</v>
      </c>
      <c r="K15" s="1" t="s">
        <v>1594</v>
      </c>
      <c r="R15" s="1" t="s">
        <v>80</v>
      </c>
    </row>
    <row r="16" spans="1:19">
      <c r="A16" s="1" t="s">
        <v>517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H16" s="1">
        <v>3</v>
      </c>
      <c r="I16" s="1">
        <v>2</v>
      </c>
      <c r="J16" s="1" t="s">
        <v>408</v>
      </c>
      <c r="K16" s="1" t="s">
        <v>1594</v>
      </c>
      <c r="R16" s="1" t="s">
        <v>80</v>
      </c>
    </row>
    <row r="17" spans="1:19">
      <c r="A17" s="1" t="s">
        <v>523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H17" s="1">
        <v>3</v>
      </c>
      <c r="I17" s="1">
        <v>2</v>
      </c>
      <c r="J17" s="1" t="s">
        <v>408</v>
      </c>
      <c r="K17" s="1" t="s">
        <v>1594</v>
      </c>
      <c r="R17" s="1" t="s">
        <v>80</v>
      </c>
    </row>
    <row r="18" spans="1:19">
      <c r="A18" s="1" t="s">
        <v>529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H18" s="1">
        <v>3</v>
      </c>
      <c r="I18" s="1">
        <v>2</v>
      </c>
      <c r="J18" s="1" t="s">
        <v>408</v>
      </c>
      <c r="K18" s="1" t="s">
        <v>1594</v>
      </c>
      <c r="R18" s="1" t="s">
        <v>80</v>
      </c>
    </row>
    <row r="19" spans="1:19">
      <c r="A19" s="1" t="s">
        <v>538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H19" s="1">
        <v>5</v>
      </c>
      <c r="I19" s="1">
        <v>2</v>
      </c>
      <c r="J19" s="1" t="s">
        <v>408</v>
      </c>
      <c r="K19" s="1" t="s">
        <v>1594</v>
      </c>
      <c r="R19" s="1" t="s">
        <v>80</v>
      </c>
    </row>
    <row r="20" spans="1:19">
      <c r="A20" s="1" t="s">
        <v>544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H20" s="1">
        <v>0</v>
      </c>
      <c r="I20" s="1">
        <v>0</v>
      </c>
      <c r="R20" s="1" t="s">
        <v>80</v>
      </c>
    </row>
    <row r="21" spans="1:19">
      <c r="A21" s="1" t="s">
        <v>547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H21" s="1">
        <v>5</v>
      </c>
      <c r="I21" s="1">
        <v>2</v>
      </c>
      <c r="J21" s="1" t="s">
        <v>408</v>
      </c>
      <c r="K21" s="1" t="s">
        <v>1594</v>
      </c>
      <c r="R21" s="1" t="s">
        <v>80</v>
      </c>
    </row>
    <row r="22" spans="1:19">
      <c r="A22" s="1" t="s">
        <v>553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H22" s="1">
        <v>4</v>
      </c>
      <c r="I22" s="1">
        <v>2</v>
      </c>
      <c r="J22" s="1" t="s">
        <v>408</v>
      </c>
      <c r="K22" s="1" t="s">
        <v>1594</v>
      </c>
      <c r="R22" s="1" t="s">
        <v>80</v>
      </c>
    </row>
    <row r="23" spans="1:19">
      <c r="A23" s="1" t="s">
        <v>560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H23" s="1">
        <v>4</v>
      </c>
      <c r="I23" s="1">
        <v>2</v>
      </c>
      <c r="J23" s="1" t="s">
        <v>408</v>
      </c>
      <c r="K23" s="1" t="s">
        <v>1594</v>
      </c>
      <c r="R23" s="1" t="s">
        <v>80</v>
      </c>
    </row>
    <row r="24" spans="1:19">
      <c r="A24" s="1" t="s">
        <v>569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H24" s="1">
        <v>3</v>
      </c>
      <c r="I24" s="1">
        <v>2</v>
      </c>
      <c r="J24" s="1" t="s">
        <v>408</v>
      </c>
      <c r="K24" s="1" t="s">
        <v>1594</v>
      </c>
      <c r="R24" s="1" t="s">
        <v>80</v>
      </c>
    </row>
    <row r="25" spans="1:19">
      <c r="A25" s="1" t="s">
        <v>578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H25" s="1">
        <v>3</v>
      </c>
      <c r="I25" s="1">
        <v>2</v>
      </c>
      <c r="J25" s="1" t="s">
        <v>408</v>
      </c>
      <c r="K25" s="1" t="s">
        <v>1594</v>
      </c>
      <c r="R25" s="1" t="s">
        <v>66</v>
      </c>
      <c r="S25" s="1" t="s">
        <v>579</v>
      </c>
    </row>
    <row r="26" spans="1:19">
      <c r="A26" s="1" t="s">
        <v>583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H26" s="1">
        <v>3</v>
      </c>
      <c r="I26" s="1">
        <v>2</v>
      </c>
      <c r="J26" s="1" t="s">
        <v>408</v>
      </c>
      <c r="K26" s="1" t="s">
        <v>1594</v>
      </c>
      <c r="R26" s="1" t="s">
        <v>66</v>
      </c>
      <c r="S26" s="1" t="s">
        <v>579</v>
      </c>
    </row>
    <row r="27" spans="1:19">
      <c r="A27" s="1" t="s">
        <v>587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H27" s="1">
        <v>3</v>
      </c>
      <c r="I27" s="1">
        <v>2</v>
      </c>
      <c r="J27" s="1" t="s">
        <v>408</v>
      </c>
      <c r="K27" s="1" t="s">
        <v>1594</v>
      </c>
      <c r="R27" s="1" t="s">
        <v>80</v>
      </c>
    </row>
    <row r="28" spans="1:19">
      <c r="A28" s="1" t="s">
        <v>596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H28" s="1">
        <v>2</v>
      </c>
      <c r="I28" s="1">
        <v>2</v>
      </c>
      <c r="J28" s="1" t="s">
        <v>408</v>
      </c>
      <c r="K28" s="1" t="s">
        <v>1594</v>
      </c>
      <c r="R28" s="1" t="s">
        <v>80</v>
      </c>
    </row>
    <row r="29" spans="1:19">
      <c r="A29" s="1" t="s">
        <v>605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H29" s="1">
        <v>2</v>
      </c>
      <c r="I29" s="1">
        <v>2</v>
      </c>
      <c r="J29" s="1" t="s">
        <v>408</v>
      </c>
      <c r="K29" s="1" t="s">
        <v>1594</v>
      </c>
      <c r="R29" s="1" t="s">
        <v>80</v>
      </c>
    </row>
    <row r="30" spans="1:19">
      <c r="A30" s="1" t="s">
        <v>609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H30" s="1">
        <v>2</v>
      </c>
      <c r="I30" s="1">
        <v>2</v>
      </c>
      <c r="J30" s="1" t="s">
        <v>408</v>
      </c>
      <c r="K30" s="1" t="s">
        <v>1594</v>
      </c>
      <c r="R30" s="1" t="s">
        <v>80</v>
      </c>
    </row>
    <row r="31" spans="1:19">
      <c r="A31" s="1" t="s">
        <v>617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H31" s="1">
        <v>2</v>
      </c>
      <c r="I31" s="1">
        <v>2</v>
      </c>
      <c r="J31" s="1" t="s">
        <v>408</v>
      </c>
      <c r="K31" s="1" t="s">
        <v>1594</v>
      </c>
      <c r="R31" s="1" t="s">
        <v>80</v>
      </c>
    </row>
    <row r="32" spans="1:19">
      <c r="A32" s="1" t="s">
        <v>622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H32" s="1">
        <v>2</v>
      </c>
      <c r="I32" s="1">
        <v>2</v>
      </c>
      <c r="J32" s="1" t="s">
        <v>408</v>
      </c>
      <c r="K32" s="1" t="s">
        <v>1594</v>
      </c>
      <c r="R32" s="1" t="s">
        <v>80</v>
      </c>
    </row>
    <row r="33" spans="1:19">
      <c r="A33" s="1" t="s">
        <v>630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H33" s="1">
        <v>2</v>
      </c>
      <c r="I33" s="1">
        <v>2</v>
      </c>
      <c r="J33" s="1" t="s">
        <v>408</v>
      </c>
      <c r="K33" s="1" t="s">
        <v>1594</v>
      </c>
      <c r="R33" s="1" t="s">
        <v>66</v>
      </c>
      <c r="S33" s="1" t="s">
        <v>579</v>
      </c>
    </row>
    <row r="34" spans="1:19">
      <c r="A34" s="1" t="s">
        <v>635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H34" s="1">
        <v>3</v>
      </c>
      <c r="I34" s="1">
        <v>2</v>
      </c>
      <c r="J34" s="1" t="s">
        <v>408</v>
      </c>
      <c r="K34" s="1" t="s">
        <v>1594</v>
      </c>
      <c r="R34" s="1" t="s">
        <v>80</v>
      </c>
    </row>
    <row r="35" spans="1:19">
      <c r="A35" s="1" t="s">
        <v>642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H35" s="1">
        <v>3</v>
      </c>
      <c r="I35" s="1">
        <v>2</v>
      </c>
      <c r="J35" s="1" t="s">
        <v>408</v>
      </c>
      <c r="K35" s="1" t="s">
        <v>1594</v>
      </c>
      <c r="R35" s="1" t="s">
        <v>80</v>
      </c>
    </row>
    <row r="36" spans="1:19">
      <c r="A36" s="1" t="s">
        <v>649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H36" s="1">
        <v>3</v>
      </c>
      <c r="I36" s="1">
        <v>2</v>
      </c>
      <c r="J36" s="1" t="s">
        <v>408</v>
      </c>
      <c r="K36" s="1" t="s">
        <v>1594</v>
      </c>
      <c r="R36" s="1" t="s">
        <v>80</v>
      </c>
    </row>
    <row r="37" spans="1:19">
      <c r="A37" s="1" t="s">
        <v>657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H37" s="1">
        <v>3</v>
      </c>
      <c r="I37" s="1">
        <v>2</v>
      </c>
      <c r="J37" s="1" t="s">
        <v>408</v>
      </c>
      <c r="K37" s="1" t="s">
        <v>1594</v>
      </c>
      <c r="R37" s="1" t="s">
        <v>80</v>
      </c>
    </row>
    <row r="38" spans="1:19">
      <c r="A38" s="1" t="s">
        <v>664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H38" s="1">
        <v>3</v>
      </c>
      <c r="I38" s="1">
        <v>2</v>
      </c>
      <c r="J38" s="1" t="s">
        <v>408</v>
      </c>
      <c r="K38" s="1" t="s">
        <v>1594</v>
      </c>
      <c r="R38" s="1" t="s">
        <v>80</v>
      </c>
    </row>
    <row r="39" spans="1:19">
      <c r="A39" s="1" t="s">
        <v>672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H39" s="1">
        <v>4</v>
      </c>
      <c r="I39" s="1">
        <v>4</v>
      </c>
      <c r="J39" s="1" t="s">
        <v>1595</v>
      </c>
      <c r="K39" s="1" t="s">
        <v>78</v>
      </c>
      <c r="L39" s="1" t="s">
        <v>231</v>
      </c>
      <c r="M39" s="1" t="s">
        <v>230</v>
      </c>
      <c r="R39" s="1" t="s">
        <v>80</v>
      </c>
    </row>
    <row r="40" spans="1:19">
      <c r="A40" s="1" t="s">
        <v>682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H40" s="1">
        <v>0</v>
      </c>
      <c r="I40" s="1">
        <v>0</v>
      </c>
      <c r="R40" s="1" t="s">
        <v>80</v>
      </c>
    </row>
    <row r="41" spans="1:19">
      <c r="A41" s="1" t="s">
        <v>686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H41" s="1">
        <v>4</v>
      </c>
      <c r="I41" s="1">
        <v>2</v>
      </c>
      <c r="J41" s="1" t="s">
        <v>408</v>
      </c>
      <c r="K41" s="1" t="s">
        <v>1594</v>
      </c>
      <c r="R41" s="1" t="s">
        <v>80</v>
      </c>
    </row>
    <row r="42" spans="1:19">
      <c r="A42" s="1" t="s">
        <v>693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H42" s="1">
        <v>4</v>
      </c>
      <c r="I42" s="1">
        <v>2</v>
      </c>
      <c r="J42" s="1" t="s">
        <v>408</v>
      </c>
      <c r="K42" s="1" t="s">
        <v>1594</v>
      </c>
      <c r="R42" s="1" t="s">
        <v>80</v>
      </c>
    </row>
    <row r="43" spans="1:19">
      <c r="A43" s="1" t="s">
        <v>701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H43" s="1">
        <v>0</v>
      </c>
      <c r="I43" s="1">
        <v>0</v>
      </c>
      <c r="R43" s="1" t="s">
        <v>80</v>
      </c>
    </row>
    <row r="44" spans="1:19">
      <c r="A44" s="1" t="s">
        <v>710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H44" s="1">
        <v>4</v>
      </c>
      <c r="I44" s="1">
        <v>2</v>
      </c>
      <c r="J44" s="1" t="s">
        <v>408</v>
      </c>
      <c r="K44" s="1" t="s">
        <v>1594</v>
      </c>
      <c r="R44" s="1" t="s">
        <v>80</v>
      </c>
    </row>
    <row r="45" spans="1:19">
      <c r="A45" s="1" t="s">
        <v>717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H45" s="1">
        <v>0</v>
      </c>
      <c r="I45" s="1">
        <v>0</v>
      </c>
      <c r="R45" s="1" t="s">
        <v>80</v>
      </c>
    </row>
    <row r="46" spans="1:19">
      <c r="A46" s="1" t="s">
        <v>721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H46" s="1">
        <v>0</v>
      </c>
      <c r="I46" s="1">
        <v>0</v>
      </c>
      <c r="R46" s="1" t="s">
        <v>80</v>
      </c>
    </row>
    <row r="47" spans="1:19">
      <c r="A47" s="1" t="s">
        <v>728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H47" s="1">
        <v>0</v>
      </c>
      <c r="I47" s="1">
        <v>0</v>
      </c>
      <c r="R47" s="1" t="s">
        <v>80</v>
      </c>
    </row>
    <row r="48" spans="1:19">
      <c r="A48" s="1" t="s">
        <v>735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H48" s="1">
        <v>0</v>
      </c>
      <c r="I48" s="1">
        <v>0</v>
      </c>
      <c r="R48" s="1" t="s">
        <v>80</v>
      </c>
    </row>
    <row r="49" spans="1:18">
      <c r="A49" s="1" t="s">
        <v>742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H49" s="1">
        <v>6</v>
      </c>
      <c r="I49" s="1">
        <v>5</v>
      </c>
      <c r="J49" s="1" t="s">
        <v>408</v>
      </c>
      <c r="K49" s="1" t="s">
        <v>1594</v>
      </c>
      <c r="L49" s="1" t="s">
        <v>1596</v>
      </c>
      <c r="M49" s="1" t="s">
        <v>752</v>
      </c>
      <c r="N49" s="1" t="s">
        <v>1597</v>
      </c>
      <c r="R49" s="1" t="s">
        <v>80</v>
      </c>
    </row>
    <row r="50" spans="1:18">
      <c r="A50" s="1" t="s">
        <v>753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H50" s="1">
        <v>11</v>
      </c>
      <c r="I50" s="1">
        <v>8</v>
      </c>
      <c r="J50" s="1" t="s">
        <v>408</v>
      </c>
      <c r="K50" s="1" t="s">
        <v>762</v>
      </c>
      <c r="L50" s="1" t="s">
        <v>1598</v>
      </c>
      <c r="M50" s="1" t="s">
        <v>1599</v>
      </c>
      <c r="N50" s="1" t="s">
        <v>1594</v>
      </c>
      <c r="O50" s="1" t="s">
        <v>1596</v>
      </c>
      <c r="P50" s="1" t="s">
        <v>752</v>
      </c>
      <c r="Q50" s="1" t="s">
        <v>1597</v>
      </c>
      <c r="R50" s="1" t="s">
        <v>80</v>
      </c>
    </row>
    <row r="51" spans="1:18">
      <c r="A51" s="1" t="s">
        <v>763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H51" s="1">
        <v>6</v>
      </c>
      <c r="I51" s="1">
        <v>5</v>
      </c>
      <c r="J51" s="1" t="s">
        <v>408</v>
      </c>
      <c r="K51" s="1" t="s">
        <v>1594</v>
      </c>
      <c r="L51" s="1" t="s">
        <v>1596</v>
      </c>
      <c r="M51" s="1" t="s">
        <v>752</v>
      </c>
      <c r="N51" s="1" t="s">
        <v>1597</v>
      </c>
      <c r="R51" s="1" t="s">
        <v>80</v>
      </c>
    </row>
    <row r="52" spans="1:18">
      <c r="A52" s="1" t="s">
        <v>771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H52" s="1">
        <v>6</v>
      </c>
      <c r="I52" s="1">
        <v>5</v>
      </c>
      <c r="J52" s="1" t="s">
        <v>408</v>
      </c>
      <c r="K52" s="1" t="s">
        <v>1594</v>
      </c>
      <c r="L52" s="1" t="s">
        <v>1596</v>
      </c>
      <c r="M52" s="1" t="s">
        <v>752</v>
      </c>
      <c r="N52" s="1" t="s">
        <v>1597</v>
      </c>
      <c r="R52" s="1" t="s">
        <v>80</v>
      </c>
    </row>
    <row r="53" spans="1:18">
      <c r="A53" s="1" t="s">
        <v>778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H53" s="1">
        <v>6</v>
      </c>
      <c r="I53" s="1">
        <v>5</v>
      </c>
      <c r="J53" s="1" t="s">
        <v>408</v>
      </c>
      <c r="K53" s="1" t="s">
        <v>1594</v>
      </c>
      <c r="L53" s="1" t="s">
        <v>1596</v>
      </c>
      <c r="M53" s="1" t="s">
        <v>752</v>
      </c>
      <c r="N53" s="1" t="s">
        <v>1597</v>
      </c>
      <c r="R53" s="1" t="s">
        <v>80</v>
      </c>
    </row>
    <row r="54" spans="1:18">
      <c r="A54" s="1" t="s">
        <v>788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H54" s="1">
        <v>6</v>
      </c>
      <c r="I54" s="1">
        <v>5</v>
      </c>
      <c r="J54" s="1" t="s">
        <v>408</v>
      </c>
      <c r="K54" s="1" t="s">
        <v>1594</v>
      </c>
      <c r="L54" s="1" t="s">
        <v>1596</v>
      </c>
      <c r="M54" s="1" t="s">
        <v>752</v>
      </c>
      <c r="N54" s="1" t="s">
        <v>1597</v>
      </c>
      <c r="R54" s="1" t="s">
        <v>80</v>
      </c>
    </row>
    <row r="55" spans="1:18">
      <c r="A55" s="1" t="s">
        <v>798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H55" s="1">
        <v>6</v>
      </c>
      <c r="I55" s="1">
        <v>5</v>
      </c>
      <c r="J55" s="1" t="s">
        <v>408</v>
      </c>
      <c r="K55" s="1" t="s">
        <v>1594</v>
      </c>
      <c r="L55" s="1" t="s">
        <v>1596</v>
      </c>
      <c r="M55" s="1" t="s">
        <v>752</v>
      </c>
      <c r="N55" s="1" t="s">
        <v>1597</v>
      </c>
      <c r="R55" s="1" t="s">
        <v>80</v>
      </c>
    </row>
    <row r="56" spans="1:18">
      <c r="A56" s="1" t="s">
        <v>807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H56" s="1">
        <v>6</v>
      </c>
      <c r="I56" s="1">
        <v>5</v>
      </c>
      <c r="J56" s="1" t="s">
        <v>408</v>
      </c>
      <c r="K56" s="1" t="s">
        <v>1594</v>
      </c>
      <c r="L56" s="1" t="s">
        <v>1596</v>
      </c>
      <c r="M56" s="1" t="s">
        <v>752</v>
      </c>
      <c r="N56" s="1" t="s">
        <v>1597</v>
      </c>
      <c r="R56" s="1" t="s">
        <v>80</v>
      </c>
    </row>
    <row r="57" spans="1:18">
      <c r="A57" s="1" t="s">
        <v>816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H57" s="1">
        <v>6</v>
      </c>
      <c r="I57" s="1">
        <v>5</v>
      </c>
      <c r="J57" s="1" t="s">
        <v>408</v>
      </c>
      <c r="K57" s="1" t="s">
        <v>1594</v>
      </c>
      <c r="L57" s="1" t="s">
        <v>1596</v>
      </c>
      <c r="M57" s="1" t="s">
        <v>752</v>
      </c>
      <c r="N57" s="1" t="s">
        <v>1597</v>
      </c>
      <c r="R57" s="1" t="s">
        <v>80</v>
      </c>
    </row>
    <row r="58" spans="1:18">
      <c r="A58" s="1" t="s">
        <v>822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H58" s="1">
        <v>6</v>
      </c>
      <c r="I58" s="1">
        <v>5</v>
      </c>
      <c r="J58" s="1" t="s">
        <v>408</v>
      </c>
      <c r="K58" s="1" t="s">
        <v>1594</v>
      </c>
      <c r="L58" s="1" t="s">
        <v>1596</v>
      </c>
      <c r="M58" s="1" t="s">
        <v>752</v>
      </c>
      <c r="N58" s="1" t="s">
        <v>1597</v>
      </c>
      <c r="R58" s="1" t="s">
        <v>80</v>
      </c>
    </row>
    <row r="59" spans="1:18">
      <c r="A59" s="1" t="s">
        <v>831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H59" s="1">
        <v>6</v>
      </c>
      <c r="I59" s="1">
        <v>5</v>
      </c>
      <c r="J59" s="1" t="s">
        <v>408</v>
      </c>
      <c r="K59" s="1" t="s">
        <v>1594</v>
      </c>
      <c r="L59" s="1" t="s">
        <v>1596</v>
      </c>
      <c r="M59" s="1" t="s">
        <v>752</v>
      </c>
      <c r="N59" s="1" t="s">
        <v>1597</v>
      </c>
      <c r="R59" s="1" t="s">
        <v>80</v>
      </c>
    </row>
    <row r="60" spans="1:18">
      <c r="A60" s="1" t="s">
        <v>840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H60" s="1">
        <v>6</v>
      </c>
      <c r="I60" s="1">
        <v>5</v>
      </c>
      <c r="J60" s="1" t="s">
        <v>408</v>
      </c>
      <c r="K60" s="1" t="s">
        <v>1594</v>
      </c>
      <c r="L60" s="1" t="s">
        <v>1596</v>
      </c>
      <c r="M60" s="1" t="s">
        <v>752</v>
      </c>
      <c r="N60" s="1" t="s">
        <v>1597</v>
      </c>
      <c r="R60" s="1" t="s">
        <v>80</v>
      </c>
    </row>
    <row r="61" spans="1:18">
      <c r="A61" s="1" t="s">
        <v>848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H61" s="1">
        <v>6</v>
      </c>
      <c r="I61" s="1">
        <v>5</v>
      </c>
      <c r="J61" s="1" t="s">
        <v>408</v>
      </c>
      <c r="K61" s="1" t="s">
        <v>1594</v>
      </c>
      <c r="L61" s="1" t="s">
        <v>1596</v>
      </c>
      <c r="M61" s="1" t="s">
        <v>752</v>
      </c>
      <c r="N61" s="1" t="s">
        <v>1597</v>
      </c>
      <c r="R61" s="1" t="s">
        <v>80</v>
      </c>
    </row>
    <row r="62" spans="1:18">
      <c r="A62" s="1" t="s">
        <v>857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H62" s="1">
        <v>6</v>
      </c>
      <c r="I62" s="1">
        <v>5</v>
      </c>
      <c r="J62" s="1" t="s">
        <v>408</v>
      </c>
      <c r="K62" s="1" t="s">
        <v>1594</v>
      </c>
      <c r="L62" s="1" t="s">
        <v>1596</v>
      </c>
      <c r="M62" s="1" t="s">
        <v>752</v>
      </c>
      <c r="N62" s="1" t="s">
        <v>1597</v>
      </c>
      <c r="R62" s="1" t="s">
        <v>80</v>
      </c>
    </row>
    <row r="63" spans="1:18">
      <c r="A63" s="1" t="s">
        <v>865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H63" s="1">
        <v>6</v>
      </c>
      <c r="I63" s="1">
        <v>5</v>
      </c>
      <c r="J63" s="1" t="s">
        <v>408</v>
      </c>
      <c r="K63" s="1" t="s">
        <v>1594</v>
      </c>
      <c r="L63" s="1" t="s">
        <v>1596</v>
      </c>
      <c r="M63" s="1" t="s">
        <v>752</v>
      </c>
      <c r="N63" s="1" t="s">
        <v>1597</v>
      </c>
      <c r="R63" s="1" t="s">
        <v>80</v>
      </c>
    </row>
    <row r="64" spans="1:18">
      <c r="A64" s="1" t="s">
        <v>873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H64" s="1">
        <v>6</v>
      </c>
      <c r="I64" s="1">
        <v>5</v>
      </c>
      <c r="J64" s="1" t="s">
        <v>408</v>
      </c>
      <c r="K64" s="1" t="s">
        <v>1594</v>
      </c>
      <c r="L64" s="1" t="s">
        <v>1596</v>
      </c>
      <c r="M64" s="1" t="s">
        <v>752</v>
      </c>
      <c r="N64" s="1" t="s">
        <v>1597</v>
      </c>
      <c r="R64" s="1" t="s">
        <v>80</v>
      </c>
    </row>
    <row r="65" spans="1:18">
      <c r="A65" s="1" t="s">
        <v>881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H65" s="1">
        <v>6</v>
      </c>
      <c r="I65" s="1">
        <v>5</v>
      </c>
      <c r="J65" s="1" t="s">
        <v>408</v>
      </c>
      <c r="K65" s="1" t="s">
        <v>1594</v>
      </c>
      <c r="L65" s="1" t="s">
        <v>1596</v>
      </c>
      <c r="M65" s="1" t="s">
        <v>752</v>
      </c>
      <c r="N65" s="1" t="s">
        <v>1597</v>
      </c>
      <c r="R65" s="1" t="s">
        <v>80</v>
      </c>
    </row>
    <row r="66" spans="1:18">
      <c r="A66" s="1" t="s">
        <v>889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H66" s="1">
        <v>6</v>
      </c>
      <c r="I66" s="1">
        <v>5</v>
      </c>
      <c r="J66" s="1" t="s">
        <v>408</v>
      </c>
      <c r="K66" s="1" t="s">
        <v>1594</v>
      </c>
      <c r="L66" s="1" t="s">
        <v>1596</v>
      </c>
      <c r="M66" s="1" t="s">
        <v>752</v>
      </c>
      <c r="N66" s="1" t="s">
        <v>1597</v>
      </c>
      <c r="R66" s="1" t="s">
        <v>80</v>
      </c>
    </row>
    <row r="67" spans="1:18">
      <c r="A67" s="1" t="s">
        <v>897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H67" s="1">
        <v>6</v>
      </c>
      <c r="I67" s="1">
        <v>5</v>
      </c>
      <c r="J67" s="1" t="s">
        <v>408</v>
      </c>
      <c r="K67" s="1" t="s">
        <v>1594</v>
      </c>
      <c r="L67" s="1" t="s">
        <v>1596</v>
      </c>
      <c r="M67" s="1" t="s">
        <v>752</v>
      </c>
      <c r="N67" s="1" t="s">
        <v>1597</v>
      </c>
      <c r="R67" s="1" t="s">
        <v>80</v>
      </c>
    </row>
    <row r="68" spans="1:18">
      <c r="A68" s="1" t="s">
        <v>904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H68" s="1">
        <v>6</v>
      </c>
      <c r="I68" s="1">
        <v>5</v>
      </c>
      <c r="J68" s="1" t="s">
        <v>408</v>
      </c>
      <c r="K68" s="1" t="s">
        <v>1594</v>
      </c>
      <c r="L68" s="1" t="s">
        <v>1596</v>
      </c>
      <c r="M68" s="1" t="s">
        <v>752</v>
      </c>
      <c r="N68" s="1" t="s">
        <v>1597</v>
      </c>
      <c r="R68" s="1" t="s">
        <v>80</v>
      </c>
    </row>
    <row r="69" spans="1:18">
      <c r="A69" s="1" t="s">
        <v>911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H69" s="1">
        <v>6</v>
      </c>
      <c r="I69" s="1">
        <v>5</v>
      </c>
      <c r="J69" s="1" t="s">
        <v>408</v>
      </c>
      <c r="K69" s="1" t="s">
        <v>1594</v>
      </c>
      <c r="L69" s="1" t="s">
        <v>1596</v>
      </c>
      <c r="M69" s="1" t="s">
        <v>752</v>
      </c>
      <c r="N69" s="1" t="s">
        <v>1597</v>
      </c>
      <c r="R69" s="1" t="s">
        <v>80</v>
      </c>
    </row>
    <row r="70" spans="1:18">
      <c r="A70" s="1" t="s">
        <v>918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H70" s="1">
        <v>6</v>
      </c>
      <c r="I70" s="1">
        <v>5</v>
      </c>
      <c r="J70" s="1" t="s">
        <v>408</v>
      </c>
      <c r="K70" s="1" t="s">
        <v>1594</v>
      </c>
      <c r="L70" s="1" t="s">
        <v>1596</v>
      </c>
      <c r="M70" s="1" t="s">
        <v>752</v>
      </c>
      <c r="N70" s="1" t="s">
        <v>1597</v>
      </c>
      <c r="R70" s="1" t="s">
        <v>80</v>
      </c>
    </row>
    <row r="71" spans="1:18">
      <c r="A71" s="1" t="s">
        <v>929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H71" s="1">
        <v>6</v>
      </c>
      <c r="I71" s="1">
        <v>5</v>
      </c>
      <c r="J71" s="1" t="s">
        <v>408</v>
      </c>
      <c r="K71" s="1" t="s">
        <v>1594</v>
      </c>
      <c r="L71" s="1" t="s">
        <v>1596</v>
      </c>
      <c r="M71" s="1" t="s">
        <v>752</v>
      </c>
      <c r="N71" s="1" t="s">
        <v>1597</v>
      </c>
      <c r="R71" s="1" t="s">
        <v>80</v>
      </c>
    </row>
    <row r="72" spans="1:18">
      <c r="A72" s="1" t="s">
        <v>936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H72" s="1">
        <v>6</v>
      </c>
      <c r="I72" s="1">
        <v>5</v>
      </c>
      <c r="J72" s="1" t="s">
        <v>408</v>
      </c>
      <c r="K72" s="1" t="s">
        <v>1594</v>
      </c>
      <c r="L72" s="1" t="s">
        <v>1596</v>
      </c>
      <c r="M72" s="1" t="s">
        <v>752</v>
      </c>
      <c r="N72" s="1" t="s">
        <v>1597</v>
      </c>
      <c r="R72" s="1" t="s">
        <v>80</v>
      </c>
    </row>
    <row r="73" spans="1:18">
      <c r="A73" s="1" t="s">
        <v>945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H73" s="1">
        <v>6</v>
      </c>
      <c r="I73" s="1">
        <v>5</v>
      </c>
      <c r="J73" s="1" t="s">
        <v>408</v>
      </c>
      <c r="K73" s="1" t="s">
        <v>1594</v>
      </c>
      <c r="L73" s="1" t="s">
        <v>1596</v>
      </c>
      <c r="M73" s="1" t="s">
        <v>752</v>
      </c>
      <c r="N73" s="1" t="s">
        <v>1597</v>
      </c>
      <c r="R73" s="1" t="s">
        <v>80</v>
      </c>
    </row>
    <row r="74" spans="1:18">
      <c r="A74" s="1" t="s">
        <v>952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H74" s="1">
        <v>6</v>
      </c>
      <c r="I74" s="1">
        <v>5</v>
      </c>
      <c r="J74" s="1" t="s">
        <v>408</v>
      </c>
      <c r="K74" s="1" t="s">
        <v>1594</v>
      </c>
      <c r="L74" s="1" t="s">
        <v>1596</v>
      </c>
      <c r="M74" s="1" t="s">
        <v>752</v>
      </c>
      <c r="N74" s="1" t="s">
        <v>1597</v>
      </c>
      <c r="R74" s="1" t="s">
        <v>80</v>
      </c>
    </row>
    <row r="75" spans="1:18">
      <c r="A75" s="1" t="s">
        <v>959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H75" s="1">
        <v>10</v>
      </c>
      <c r="I75" s="1">
        <v>8</v>
      </c>
      <c r="J75" s="1" t="s">
        <v>408</v>
      </c>
      <c r="K75" s="1" t="s">
        <v>762</v>
      </c>
      <c r="L75" s="1" t="s">
        <v>1598</v>
      </c>
      <c r="M75" s="1" t="s">
        <v>1599</v>
      </c>
      <c r="N75" s="1" t="s">
        <v>1594</v>
      </c>
      <c r="O75" s="1" t="s">
        <v>1596</v>
      </c>
      <c r="P75" s="1" t="s">
        <v>752</v>
      </c>
      <c r="Q75" s="1" t="s">
        <v>1597</v>
      </c>
      <c r="R75" s="1" t="s">
        <v>80</v>
      </c>
    </row>
    <row r="76" spans="1:18">
      <c r="A76" s="1" t="s">
        <v>967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H76" s="1">
        <v>6</v>
      </c>
      <c r="I76" s="1">
        <v>5</v>
      </c>
      <c r="J76" s="1" t="s">
        <v>408</v>
      </c>
      <c r="K76" s="1" t="s">
        <v>1594</v>
      </c>
      <c r="L76" s="1" t="s">
        <v>1596</v>
      </c>
      <c r="M76" s="1" t="s">
        <v>752</v>
      </c>
      <c r="N76" s="1" t="s">
        <v>1597</v>
      </c>
      <c r="R76" s="1" t="s">
        <v>80</v>
      </c>
    </row>
    <row r="77" spans="1:18">
      <c r="A77" s="1" t="s">
        <v>975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H77" s="1">
        <v>6</v>
      </c>
      <c r="I77" s="1">
        <v>5</v>
      </c>
      <c r="J77" s="1" t="s">
        <v>408</v>
      </c>
      <c r="K77" s="1" t="s">
        <v>1594</v>
      </c>
      <c r="L77" s="1" t="s">
        <v>1596</v>
      </c>
      <c r="M77" s="1" t="s">
        <v>752</v>
      </c>
      <c r="N77" s="1" t="s">
        <v>1597</v>
      </c>
      <c r="R77" s="1" t="s">
        <v>80</v>
      </c>
    </row>
    <row r="78" spans="1:18">
      <c r="A78" s="1" t="s">
        <v>984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H78" s="1">
        <v>6</v>
      </c>
      <c r="I78" s="1">
        <v>5</v>
      </c>
      <c r="J78" s="1" t="s">
        <v>408</v>
      </c>
      <c r="K78" s="1" t="s">
        <v>1594</v>
      </c>
      <c r="L78" s="1" t="s">
        <v>1596</v>
      </c>
      <c r="M78" s="1" t="s">
        <v>752</v>
      </c>
      <c r="N78" s="1" t="s">
        <v>1597</v>
      </c>
      <c r="R78" s="1" t="s">
        <v>80</v>
      </c>
    </row>
    <row r="79" spans="1:18">
      <c r="A79" s="1" t="s">
        <v>991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H79" s="1">
        <v>6</v>
      </c>
      <c r="I79" s="1">
        <v>5</v>
      </c>
      <c r="J79" s="1" t="s">
        <v>408</v>
      </c>
      <c r="K79" s="1" t="s">
        <v>1594</v>
      </c>
      <c r="L79" s="1" t="s">
        <v>1596</v>
      </c>
      <c r="M79" s="1" t="s">
        <v>752</v>
      </c>
      <c r="N79" s="1" t="s">
        <v>1597</v>
      </c>
      <c r="R79" s="1" t="s">
        <v>80</v>
      </c>
    </row>
    <row r="80" spans="1:18">
      <c r="A80" s="1" t="s">
        <v>999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H80" s="1">
        <v>6</v>
      </c>
      <c r="I80" s="1">
        <v>5</v>
      </c>
      <c r="J80" s="1" t="s">
        <v>408</v>
      </c>
      <c r="K80" s="1" t="s">
        <v>1594</v>
      </c>
      <c r="L80" s="1" t="s">
        <v>1596</v>
      </c>
      <c r="M80" s="1" t="s">
        <v>752</v>
      </c>
      <c r="N80" s="1" t="s">
        <v>1597</v>
      </c>
      <c r="R80" s="1" t="s">
        <v>80</v>
      </c>
    </row>
    <row r="81" spans="1:18">
      <c r="A81" s="1" t="s">
        <v>1007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H81" s="1">
        <v>6</v>
      </c>
      <c r="I81" s="1">
        <v>5</v>
      </c>
      <c r="J81" s="1" t="s">
        <v>408</v>
      </c>
      <c r="K81" s="1" t="s">
        <v>1594</v>
      </c>
      <c r="L81" s="1" t="s">
        <v>1596</v>
      </c>
      <c r="M81" s="1" t="s">
        <v>752</v>
      </c>
      <c r="N81" s="1" t="s">
        <v>1597</v>
      </c>
      <c r="R81" s="1" t="s">
        <v>80</v>
      </c>
    </row>
    <row r="82" spans="1:18">
      <c r="A82" s="1" t="s">
        <v>1014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H82" s="1">
        <v>5</v>
      </c>
      <c r="I82" s="1">
        <v>2</v>
      </c>
      <c r="J82" s="1" t="s">
        <v>408</v>
      </c>
      <c r="K82" s="1" t="s">
        <v>1594</v>
      </c>
      <c r="R82" s="1" t="s">
        <v>80</v>
      </c>
    </row>
    <row r="83" spans="1:18">
      <c r="A83" s="1" t="s">
        <v>1019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H83" s="1">
        <v>5</v>
      </c>
      <c r="I83" s="1">
        <v>2</v>
      </c>
      <c r="J83" s="1" t="s">
        <v>408</v>
      </c>
      <c r="K83" s="1" t="s">
        <v>1594</v>
      </c>
      <c r="R83" s="1" t="s">
        <v>80</v>
      </c>
    </row>
    <row r="84" spans="1:18">
      <c r="A84" s="1" t="s">
        <v>1024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H84" s="1">
        <v>5</v>
      </c>
      <c r="I84" s="1">
        <v>2</v>
      </c>
      <c r="J84" s="1" t="s">
        <v>408</v>
      </c>
      <c r="K84" s="1" t="s">
        <v>1594</v>
      </c>
      <c r="R84" s="1" t="s">
        <v>80</v>
      </c>
    </row>
    <row r="85" spans="1:18">
      <c r="A85" s="1" t="s">
        <v>1030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H85" s="1">
        <v>4</v>
      </c>
      <c r="I85" s="1">
        <v>2</v>
      </c>
      <c r="J85" s="1" t="s">
        <v>408</v>
      </c>
      <c r="K85" s="1" t="s">
        <v>1594</v>
      </c>
      <c r="R85" s="1" t="s">
        <v>80</v>
      </c>
    </row>
    <row r="86" spans="1:18">
      <c r="A86" s="1" t="s">
        <v>1036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H86" s="1">
        <v>5</v>
      </c>
      <c r="I86" s="1">
        <v>2</v>
      </c>
      <c r="J86" s="1" t="s">
        <v>408</v>
      </c>
      <c r="K86" s="1" t="s">
        <v>1594</v>
      </c>
      <c r="R86" s="1" t="s">
        <v>80</v>
      </c>
    </row>
    <row r="87" spans="1:18">
      <c r="A87" s="1" t="s">
        <v>1041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H87" s="1">
        <v>5</v>
      </c>
      <c r="I87" s="1">
        <v>2</v>
      </c>
      <c r="J87" s="1" t="s">
        <v>408</v>
      </c>
      <c r="K87" s="1" t="s">
        <v>1594</v>
      </c>
      <c r="R87" s="1" t="s">
        <v>80</v>
      </c>
    </row>
    <row r="88" spans="1:18">
      <c r="A88" s="1" t="s">
        <v>1046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H88" s="1">
        <v>3</v>
      </c>
      <c r="I88" s="1">
        <v>2</v>
      </c>
      <c r="J88" s="1" t="s">
        <v>408</v>
      </c>
      <c r="K88" s="1" t="s">
        <v>1594</v>
      </c>
      <c r="R88" s="1" t="s">
        <v>80</v>
      </c>
    </row>
    <row r="89" spans="1:18">
      <c r="A89" s="1" t="s">
        <v>1052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H89" s="1">
        <v>3</v>
      </c>
      <c r="I89" s="1">
        <v>2</v>
      </c>
      <c r="J89" s="1" t="s">
        <v>408</v>
      </c>
      <c r="K89" s="1" t="s">
        <v>1594</v>
      </c>
      <c r="R89" s="1" t="s">
        <v>80</v>
      </c>
    </row>
    <row r="90" spans="1:18">
      <c r="A90" s="1" t="s">
        <v>1058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H90" s="1">
        <v>6</v>
      </c>
      <c r="I90" s="1">
        <v>5</v>
      </c>
      <c r="J90" s="1" t="s">
        <v>408</v>
      </c>
      <c r="K90" s="1" t="s">
        <v>1594</v>
      </c>
      <c r="L90" s="1" t="s">
        <v>1596</v>
      </c>
      <c r="M90" s="1" t="s">
        <v>752</v>
      </c>
      <c r="N90" s="1" t="s">
        <v>1597</v>
      </c>
      <c r="R90" s="1" t="s">
        <v>80</v>
      </c>
    </row>
    <row r="91" spans="1:18">
      <c r="A91" s="1" t="s">
        <v>1065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H91" s="1">
        <v>10</v>
      </c>
      <c r="I91" s="1">
        <v>8</v>
      </c>
      <c r="J91" s="1" t="s">
        <v>408</v>
      </c>
      <c r="K91" s="1" t="s">
        <v>762</v>
      </c>
      <c r="L91" s="1" t="s">
        <v>1598</v>
      </c>
      <c r="M91" s="1" t="s">
        <v>1599</v>
      </c>
      <c r="N91" s="1" t="s">
        <v>1594</v>
      </c>
      <c r="O91" s="1" t="s">
        <v>1596</v>
      </c>
      <c r="P91" s="1" t="s">
        <v>752</v>
      </c>
      <c r="Q91" s="1" t="s">
        <v>1597</v>
      </c>
      <c r="R91" s="1" t="s">
        <v>80</v>
      </c>
    </row>
    <row r="92" spans="1:18">
      <c r="A92" s="1" t="s">
        <v>1073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H92" s="1">
        <v>6</v>
      </c>
      <c r="I92" s="1">
        <v>5</v>
      </c>
      <c r="J92" s="1" t="s">
        <v>408</v>
      </c>
      <c r="K92" s="1" t="s">
        <v>1594</v>
      </c>
      <c r="L92" s="1" t="s">
        <v>1596</v>
      </c>
      <c r="M92" s="1" t="s">
        <v>752</v>
      </c>
      <c r="N92" s="1" t="s">
        <v>1597</v>
      </c>
      <c r="R92" s="1" t="s">
        <v>80</v>
      </c>
    </row>
    <row r="93" spans="1:18">
      <c r="A93" s="1" t="s">
        <v>1081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H93" s="1">
        <v>6</v>
      </c>
      <c r="I93" s="1">
        <v>5</v>
      </c>
      <c r="J93" s="1" t="s">
        <v>408</v>
      </c>
      <c r="K93" s="1" t="s">
        <v>1594</v>
      </c>
      <c r="L93" s="1" t="s">
        <v>1596</v>
      </c>
      <c r="M93" s="1" t="s">
        <v>752</v>
      </c>
      <c r="N93" s="1" t="s">
        <v>1597</v>
      </c>
      <c r="R93" s="1" t="s">
        <v>80</v>
      </c>
    </row>
    <row r="94" spans="1:18">
      <c r="A94" s="1" t="s">
        <v>1089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H94" s="1">
        <v>11</v>
      </c>
      <c r="I94" s="1">
        <v>8</v>
      </c>
      <c r="J94" s="1" t="s">
        <v>408</v>
      </c>
      <c r="K94" s="1" t="s">
        <v>762</v>
      </c>
      <c r="L94" s="1" t="s">
        <v>1598</v>
      </c>
      <c r="M94" s="1" t="s">
        <v>1599</v>
      </c>
      <c r="N94" s="1" t="s">
        <v>1594</v>
      </c>
      <c r="O94" s="1" t="s">
        <v>1596</v>
      </c>
      <c r="P94" s="1" t="s">
        <v>752</v>
      </c>
      <c r="Q94" s="1" t="s">
        <v>1597</v>
      </c>
      <c r="R94" s="1" t="s">
        <v>80</v>
      </c>
    </row>
    <row r="95" spans="1:18">
      <c r="A95" s="1" t="s">
        <v>1096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H95" s="1">
        <v>6</v>
      </c>
      <c r="I95" s="1">
        <v>5</v>
      </c>
      <c r="J95" s="1" t="s">
        <v>408</v>
      </c>
      <c r="K95" s="1" t="s">
        <v>1594</v>
      </c>
      <c r="L95" s="1" t="s">
        <v>1596</v>
      </c>
      <c r="M95" s="1" t="s">
        <v>752</v>
      </c>
      <c r="N95" s="1" t="s">
        <v>1597</v>
      </c>
      <c r="R95" s="1" t="s">
        <v>80</v>
      </c>
    </row>
    <row r="96" spans="1:18">
      <c r="A96" s="1" t="s">
        <v>1103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H96" s="1">
        <v>6</v>
      </c>
      <c r="I96" s="1">
        <v>5</v>
      </c>
      <c r="J96" s="1" t="s">
        <v>408</v>
      </c>
      <c r="K96" s="1" t="s">
        <v>1594</v>
      </c>
      <c r="L96" s="1" t="s">
        <v>1596</v>
      </c>
      <c r="M96" s="1" t="s">
        <v>752</v>
      </c>
      <c r="N96" s="1" t="s">
        <v>1597</v>
      </c>
      <c r="R96" s="1" t="s">
        <v>80</v>
      </c>
    </row>
    <row r="97" spans="1:18">
      <c r="A97" s="1" t="s">
        <v>1112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H97" s="1">
        <v>6</v>
      </c>
      <c r="I97" s="1">
        <v>5</v>
      </c>
      <c r="J97" s="1" t="s">
        <v>408</v>
      </c>
      <c r="K97" s="1" t="s">
        <v>1594</v>
      </c>
      <c r="L97" s="1" t="s">
        <v>1596</v>
      </c>
      <c r="M97" s="1" t="s">
        <v>752</v>
      </c>
      <c r="N97" s="1" t="s">
        <v>1597</v>
      </c>
      <c r="R97" s="1" t="s">
        <v>80</v>
      </c>
    </row>
    <row r="98" spans="1:18">
      <c r="A98" s="1" t="s">
        <v>1119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H98" s="1">
        <v>6</v>
      </c>
      <c r="I98" s="1">
        <v>5</v>
      </c>
      <c r="J98" s="1" t="s">
        <v>408</v>
      </c>
      <c r="K98" s="1" t="s">
        <v>1594</v>
      </c>
      <c r="L98" s="1" t="s">
        <v>1596</v>
      </c>
      <c r="M98" s="1" t="s">
        <v>752</v>
      </c>
      <c r="N98" s="1" t="s">
        <v>1597</v>
      </c>
      <c r="R98" s="1" t="s">
        <v>80</v>
      </c>
    </row>
    <row r="99" spans="1:18">
      <c r="A99" s="1" t="s">
        <v>1127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H99" s="1">
        <v>6</v>
      </c>
      <c r="I99" s="1">
        <v>5</v>
      </c>
      <c r="J99" s="1" t="s">
        <v>408</v>
      </c>
      <c r="K99" s="1" t="s">
        <v>1594</v>
      </c>
      <c r="L99" s="1" t="s">
        <v>1596</v>
      </c>
      <c r="M99" s="1" t="s">
        <v>752</v>
      </c>
      <c r="N99" s="1" t="s">
        <v>1597</v>
      </c>
      <c r="R99" s="1" t="s">
        <v>80</v>
      </c>
    </row>
    <row r="100" spans="1:18">
      <c r="A100" s="1" t="s">
        <v>1136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H100" s="1">
        <v>6</v>
      </c>
      <c r="I100" s="1">
        <v>5</v>
      </c>
      <c r="J100" s="1" t="s">
        <v>408</v>
      </c>
      <c r="K100" s="1" t="s">
        <v>1594</v>
      </c>
      <c r="L100" s="1" t="s">
        <v>1596</v>
      </c>
      <c r="M100" s="1" t="s">
        <v>752</v>
      </c>
      <c r="N100" s="1" t="s">
        <v>1597</v>
      </c>
      <c r="R100" s="1" t="s">
        <v>80</v>
      </c>
    </row>
    <row r="101" spans="1:18">
      <c r="A101" s="1" t="s">
        <v>1145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H101" s="1">
        <v>6</v>
      </c>
      <c r="I101" s="1">
        <v>5</v>
      </c>
      <c r="J101" s="1" t="s">
        <v>408</v>
      </c>
      <c r="K101" s="1" t="s">
        <v>1594</v>
      </c>
      <c r="L101" s="1" t="s">
        <v>1596</v>
      </c>
      <c r="M101" s="1" t="s">
        <v>752</v>
      </c>
      <c r="N101" s="1" t="s">
        <v>1597</v>
      </c>
      <c r="R101" s="1" t="s">
        <v>80</v>
      </c>
    </row>
    <row r="102" spans="1:18">
      <c r="A102" s="1" t="s">
        <v>1153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H102" s="1">
        <v>6</v>
      </c>
      <c r="I102" s="1">
        <v>5</v>
      </c>
      <c r="J102" s="1" t="s">
        <v>408</v>
      </c>
      <c r="K102" s="1" t="s">
        <v>1594</v>
      </c>
      <c r="L102" s="1" t="s">
        <v>1596</v>
      </c>
      <c r="M102" s="1" t="s">
        <v>752</v>
      </c>
      <c r="N102" s="1" t="s">
        <v>1597</v>
      </c>
      <c r="R102" s="1" t="s">
        <v>80</v>
      </c>
    </row>
    <row r="103" spans="1:18">
      <c r="A103" s="1" t="s">
        <v>1160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H103" s="1">
        <v>6</v>
      </c>
      <c r="I103" s="1">
        <v>5</v>
      </c>
      <c r="J103" s="1" t="s">
        <v>408</v>
      </c>
      <c r="K103" s="1" t="s">
        <v>1594</v>
      </c>
      <c r="L103" s="1" t="s">
        <v>1596</v>
      </c>
      <c r="M103" s="1" t="s">
        <v>752</v>
      </c>
      <c r="N103" s="1" t="s">
        <v>1597</v>
      </c>
      <c r="R103" s="1" t="s">
        <v>80</v>
      </c>
    </row>
    <row r="104" spans="1:18">
      <c r="A104" s="1" t="s">
        <v>1167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H104" s="1">
        <v>5</v>
      </c>
      <c r="I104" s="1">
        <v>2</v>
      </c>
      <c r="J104" s="1" t="s">
        <v>408</v>
      </c>
      <c r="K104" s="1" t="s">
        <v>1594</v>
      </c>
      <c r="R104" s="1" t="s">
        <v>80</v>
      </c>
    </row>
    <row r="105" spans="1:18">
      <c r="A105" s="1" t="s">
        <v>1174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H105" s="1">
        <v>5</v>
      </c>
      <c r="I105" s="1">
        <v>2</v>
      </c>
      <c r="J105" s="1" t="s">
        <v>408</v>
      </c>
      <c r="K105" s="1" t="s">
        <v>1594</v>
      </c>
      <c r="R105" s="1" t="s">
        <v>80</v>
      </c>
    </row>
    <row r="106" spans="1:18">
      <c r="A106" s="1" t="s">
        <v>1181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H106" s="1">
        <v>5</v>
      </c>
      <c r="I106" s="1">
        <v>2</v>
      </c>
      <c r="J106" s="1" t="s">
        <v>408</v>
      </c>
      <c r="K106" s="1" t="s">
        <v>1594</v>
      </c>
      <c r="R106" s="1" t="s">
        <v>80</v>
      </c>
    </row>
    <row r="107" spans="1:18">
      <c r="A107" s="1" t="s">
        <v>1187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H107" s="1">
        <v>0</v>
      </c>
      <c r="I107" s="1">
        <v>0</v>
      </c>
      <c r="R107" s="1" t="s">
        <v>80</v>
      </c>
    </row>
    <row r="108" spans="1:18">
      <c r="A108" s="1" t="s">
        <v>1192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H108" s="1">
        <v>5</v>
      </c>
      <c r="I108" s="1">
        <v>2</v>
      </c>
      <c r="J108" s="1" t="s">
        <v>408</v>
      </c>
      <c r="K108" s="1" t="s">
        <v>1594</v>
      </c>
      <c r="R108" s="1" t="s">
        <v>80</v>
      </c>
    </row>
    <row r="109" spans="1:18">
      <c r="A109" s="1" t="s">
        <v>1198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H109" s="1">
        <v>4</v>
      </c>
      <c r="I109" s="1">
        <v>2</v>
      </c>
      <c r="J109" s="1" t="s">
        <v>408</v>
      </c>
      <c r="K109" s="1" t="s">
        <v>1594</v>
      </c>
      <c r="R109" s="1" t="s">
        <v>80</v>
      </c>
    </row>
    <row r="110" spans="1:18">
      <c r="A110" s="1" t="s">
        <v>1202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H110" s="1">
        <v>5</v>
      </c>
      <c r="I110" s="1">
        <v>2</v>
      </c>
      <c r="J110" s="1" t="s">
        <v>408</v>
      </c>
      <c r="K110" s="1" t="s">
        <v>1594</v>
      </c>
      <c r="R110" s="1" t="s">
        <v>80</v>
      </c>
    </row>
    <row r="111" spans="1:18">
      <c r="A111" s="1" t="s">
        <v>1208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H111" s="1">
        <v>5</v>
      </c>
      <c r="I111" s="1">
        <v>2</v>
      </c>
      <c r="J111" s="1" t="s">
        <v>408</v>
      </c>
      <c r="K111" s="1" t="s">
        <v>1594</v>
      </c>
      <c r="R111" s="1" t="s">
        <v>80</v>
      </c>
    </row>
    <row r="112" spans="1:18">
      <c r="A112" s="1" t="s">
        <v>1214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H112" s="1">
        <v>5</v>
      </c>
      <c r="I112" s="1">
        <v>2</v>
      </c>
      <c r="J112" s="1" t="s">
        <v>408</v>
      </c>
      <c r="K112" s="1" t="s">
        <v>1594</v>
      </c>
      <c r="R112" s="1" t="s">
        <v>80</v>
      </c>
    </row>
    <row r="113" spans="1:18">
      <c r="A113" s="1" t="s">
        <v>1220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H113" s="1">
        <v>5</v>
      </c>
      <c r="I113" s="1">
        <v>2</v>
      </c>
      <c r="J113" s="1" t="s">
        <v>408</v>
      </c>
      <c r="K113" s="1" t="s">
        <v>1594</v>
      </c>
      <c r="R113" s="1" t="s">
        <v>80</v>
      </c>
    </row>
    <row r="114" spans="1:18">
      <c r="A114" s="1" t="s">
        <v>1227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H114" s="1">
        <v>5</v>
      </c>
      <c r="I114" s="1">
        <v>2</v>
      </c>
      <c r="J114" s="1" t="s">
        <v>408</v>
      </c>
      <c r="K114" s="1" t="s">
        <v>1594</v>
      </c>
      <c r="R114" s="1" t="s">
        <v>80</v>
      </c>
    </row>
    <row r="115" spans="1:18">
      <c r="A115" s="1" t="s">
        <v>1233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H115" s="1">
        <v>5</v>
      </c>
      <c r="I115" s="1">
        <v>2</v>
      </c>
      <c r="J115" s="1" t="s">
        <v>408</v>
      </c>
      <c r="K115" s="1" t="s">
        <v>1594</v>
      </c>
      <c r="R115" s="1" t="s">
        <v>80</v>
      </c>
    </row>
    <row r="116" spans="1:18">
      <c r="A116" s="1" t="s">
        <v>1240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H116" s="1">
        <v>5</v>
      </c>
      <c r="I116" s="1">
        <v>2</v>
      </c>
      <c r="J116" s="1" t="s">
        <v>408</v>
      </c>
      <c r="K116" s="1" t="s">
        <v>1594</v>
      </c>
      <c r="R116" s="1" t="s">
        <v>80</v>
      </c>
    </row>
    <row r="117" spans="1:18">
      <c r="A117" s="1" t="s">
        <v>1245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H117" s="1">
        <v>5</v>
      </c>
      <c r="I117" s="1">
        <v>2</v>
      </c>
      <c r="J117" s="1" t="s">
        <v>408</v>
      </c>
      <c r="K117" s="1" t="s">
        <v>1594</v>
      </c>
      <c r="R117" s="1" t="s">
        <v>80</v>
      </c>
    </row>
    <row r="118" spans="1:18">
      <c r="A118" s="1" t="s">
        <v>1251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H118" s="1">
        <v>5</v>
      </c>
      <c r="I118" s="1">
        <v>2</v>
      </c>
      <c r="J118" s="1" t="s">
        <v>408</v>
      </c>
      <c r="K118" s="1" t="s">
        <v>1594</v>
      </c>
      <c r="R118" s="1" t="s">
        <v>80</v>
      </c>
    </row>
    <row r="119" spans="1:18">
      <c r="A119" s="1" t="s">
        <v>1257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H119" s="1">
        <v>4</v>
      </c>
      <c r="I119" s="1">
        <v>2</v>
      </c>
      <c r="J119" s="1" t="s">
        <v>408</v>
      </c>
      <c r="K119" s="1" t="s">
        <v>1594</v>
      </c>
      <c r="R119" s="1" t="s">
        <v>80</v>
      </c>
    </row>
    <row r="120" spans="1:18">
      <c r="A120" s="1" t="s">
        <v>1262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H120" s="1">
        <v>5</v>
      </c>
      <c r="I120" s="1">
        <v>2</v>
      </c>
      <c r="J120" s="1" t="s">
        <v>408</v>
      </c>
      <c r="K120" s="1" t="s">
        <v>1594</v>
      </c>
      <c r="R120" s="1" t="s">
        <v>80</v>
      </c>
    </row>
    <row r="121" spans="1:18">
      <c r="A121" s="1" t="s">
        <v>1268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H121" s="1">
        <v>5</v>
      </c>
      <c r="I121" s="1">
        <v>2</v>
      </c>
      <c r="J121" s="1" t="s">
        <v>408</v>
      </c>
      <c r="K121" s="1" t="s">
        <v>1594</v>
      </c>
      <c r="R121" s="1" t="s">
        <v>80</v>
      </c>
    </row>
    <row r="122" spans="1:18">
      <c r="A122" s="1" t="s">
        <v>1273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H122" s="1">
        <v>5</v>
      </c>
      <c r="I122" s="1">
        <v>2</v>
      </c>
      <c r="J122" s="1" t="s">
        <v>408</v>
      </c>
      <c r="K122" s="1" t="s">
        <v>1594</v>
      </c>
      <c r="R122" s="1" t="s">
        <v>80</v>
      </c>
    </row>
    <row r="123" spans="1:18">
      <c r="A123" s="1" t="s">
        <v>1278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H123" s="1">
        <v>5</v>
      </c>
      <c r="I123" s="1">
        <v>2</v>
      </c>
      <c r="J123" s="1" t="s">
        <v>408</v>
      </c>
      <c r="K123" s="1" t="s">
        <v>1594</v>
      </c>
      <c r="R123" s="1" t="s">
        <v>80</v>
      </c>
    </row>
    <row r="124" spans="1:18">
      <c r="A124" s="1" t="s">
        <v>1284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H124" s="1">
        <v>5</v>
      </c>
      <c r="I124" s="1">
        <v>2</v>
      </c>
      <c r="J124" s="1" t="s">
        <v>408</v>
      </c>
      <c r="K124" s="1" t="s">
        <v>1594</v>
      </c>
      <c r="R124" s="1" t="s">
        <v>80</v>
      </c>
    </row>
    <row r="125" spans="1:18">
      <c r="A125" s="1" t="s">
        <v>1290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H125" s="1">
        <v>5</v>
      </c>
      <c r="I125" s="1">
        <v>2</v>
      </c>
      <c r="J125" s="1" t="s">
        <v>408</v>
      </c>
      <c r="K125" s="1" t="s">
        <v>1594</v>
      </c>
      <c r="R125" s="1" t="s">
        <v>80</v>
      </c>
    </row>
    <row r="126" spans="1:18">
      <c r="A126" s="1" t="s">
        <v>1295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H126" s="1">
        <v>5</v>
      </c>
      <c r="I126" s="1">
        <v>2</v>
      </c>
      <c r="J126" s="1" t="s">
        <v>408</v>
      </c>
      <c r="K126" s="1" t="s">
        <v>1594</v>
      </c>
      <c r="R126" s="1" t="s">
        <v>80</v>
      </c>
    </row>
    <row r="127" spans="1:18">
      <c r="A127" s="1" t="s">
        <v>1300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H127" s="1">
        <v>5</v>
      </c>
      <c r="I127" s="1">
        <v>2</v>
      </c>
      <c r="J127" s="1" t="s">
        <v>408</v>
      </c>
      <c r="K127" s="1" t="s">
        <v>1594</v>
      </c>
      <c r="R127" s="1" t="s">
        <v>80</v>
      </c>
    </row>
    <row r="128" spans="1:18">
      <c r="A128" s="1" t="s">
        <v>1305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H128" s="1">
        <v>5</v>
      </c>
      <c r="I128" s="1">
        <v>2</v>
      </c>
      <c r="J128" s="1" t="s">
        <v>408</v>
      </c>
      <c r="K128" s="1" t="s">
        <v>1594</v>
      </c>
      <c r="R128" s="1" t="s">
        <v>80</v>
      </c>
    </row>
    <row r="129" spans="1:18">
      <c r="A129" s="1" t="s">
        <v>1310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H129" s="1">
        <v>4</v>
      </c>
      <c r="I129" s="1">
        <v>2</v>
      </c>
      <c r="J129" s="1" t="s">
        <v>408</v>
      </c>
      <c r="K129" s="1" t="s">
        <v>1594</v>
      </c>
      <c r="R129" s="1" t="s">
        <v>80</v>
      </c>
    </row>
    <row r="130" spans="1:18">
      <c r="A130" s="1" t="s">
        <v>1315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H130" s="1">
        <v>5</v>
      </c>
      <c r="I130" s="1">
        <v>2</v>
      </c>
      <c r="J130" s="1" t="s">
        <v>408</v>
      </c>
      <c r="K130" s="1" t="s">
        <v>1594</v>
      </c>
      <c r="R130" s="1" t="s">
        <v>80</v>
      </c>
    </row>
    <row r="131" spans="1:18">
      <c r="A131" s="1" t="s">
        <v>1319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H131" s="1">
        <v>5</v>
      </c>
      <c r="I131" s="1">
        <v>2</v>
      </c>
      <c r="J131" s="1" t="s">
        <v>408</v>
      </c>
      <c r="K131" s="1" t="s">
        <v>1594</v>
      </c>
      <c r="R131" s="1" t="s">
        <v>80</v>
      </c>
    </row>
    <row r="132" spans="1:18">
      <c r="A132" s="1" t="s">
        <v>1324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H132" s="1">
        <v>5</v>
      </c>
      <c r="I132" s="1">
        <v>2</v>
      </c>
      <c r="J132" s="1" t="s">
        <v>408</v>
      </c>
      <c r="K132" s="1" t="s">
        <v>1594</v>
      </c>
      <c r="R132" s="1" t="s">
        <v>80</v>
      </c>
    </row>
    <row r="133" spans="1:18">
      <c r="A133" s="1" t="s">
        <v>1329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H133" s="1">
        <v>3</v>
      </c>
      <c r="I133" s="1">
        <v>2</v>
      </c>
      <c r="J133" s="1" t="s">
        <v>408</v>
      </c>
      <c r="K133" s="1" t="s">
        <v>1594</v>
      </c>
      <c r="R133" s="1" t="s">
        <v>80</v>
      </c>
    </row>
    <row r="134" spans="1:18">
      <c r="A134" s="1" t="s">
        <v>1335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H134" s="1">
        <v>6</v>
      </c>
      <c r="I134" s="1">
        <v>5</v>
      </c>
      <c r="J134" s="1" t="s">
        <v>408</v>
      </c>
      <c r="K134" s="1" t="s">
        <v>1594</v>
      </c>
      <c r="L134" s="1" t="s">
        <v>1596</v>
      </c>
      <c r="M134" s="1" t="s">
        <v>752</v>
      </c>
      <c r="N134" s="1" t="s">
        <v>1597</v>
      </c>
      <c r="R134" s="1" t="s">
        <v>80</v>
      </c>
    </row>
    <row r="135" spans="1:18">
      <c r="A135" s="1" t="s">
        <v>1341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H135" s="1">
        <v>6</v>
      </c>
      <c r="I135" s="1">
        <v>5</v>
      </c>
      <c r="J135" s="1" t="s">
        <v>408</v>
      </c>
      <c r="K135" s="1" t="s">
        <v>1594</v>
      </c>
      <c r="L135" s="1" t="s">
        <v>1596</v>
      </c>
      <c r="M135" s="1" t="s">
        <v>752</v>
      </c>
      <c r="N135" s="1" t="s">
        <v>1597</v>
      </c>
      <c r="R135" s="1" t="s">
        <v>80</v>
      </c>
    </row>
    <row r="136" spans="1:18">
      <c r="A136" s="1" t="s">
        <v>1349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H136" s="1">
        <v>6</v>
      </c>
      <c r="I136" s="1">
        <v>5</v>
      </c>
      <c r="J136" s="1" t="s">
        <v>408</v>
      </c>
      <c r="K136" s="1" t="s">
        <v>1594</v>
      </c>
      <c r="L136" s="1" t="s">
        <v>1596</v>
      </c>
      <c r="M136" s="1" t="s">
        <v>752</v>
      </c>
      <c r="N136" s="1" t="s">
        <v>1597</v>
      </c>
      <c r="R136" s="1" t="s">
        <v>80</v>
      </c>
    </row>
    <row r="137" spans="1:18">
      <c r="A137" s="1" t="s">
        <v>1355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H137" s="1">
        <v>6</v>
      </c>
      <c r="I137" s="1">
        <v>5</v>
      </c>
      <c r="J137" s="1" t="s">
        <v>408</v>
      </c>
      <c r="K137" s="1" t="s">
        <v>1594</v>
      </c>
      <c r="L137" s="1" t="s">
        <v>1596</v>
      </c>
      <c r="M137" s="1" t="s">
        <v>752</v>
      </c>
      <c r="N137" s="1" t="s">
        <v>1597</v>
      </c>
      <c r="R137" s="1" t="s">
        <v>80</v>
      </c>
    </row>
    <row r="138" spans="1:18">
      <c r="A138" s="1" t="s">
        <v>1362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H138" s="1">
        <v>6</v>
      </c>
      <c r="I138" s="1">
        <v>5</v>
      </c>
      <c r="J138" s="1" t="s">
        <v>408</v>
      </c>
      <c r="K138" s="1" t="s">
        <v>1594</v>
      </c>
      <c r="L138" s="1" t="s">
        <v>1596</v>
      </c>
      <c r="M138" s="1" t="s">
        <v>752</v>
      </c>
      <c r="N138" s="1" t="s">
        <v>1597</v>
      </c>
      <c r="R138" s="1" t="s">
        <v>80</v>
      </c>
    </row>
    <row r="139" spans="1:18">
      <c r="A139" s="1" t="s">
        <v>1368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H139" s="1">
        <v>6</v>
      </c>
      <c r="I139" s="1">
        <v>5</v>
      </c>
      <c r="J139" s="1" t="s">
        <v>408</v>
      </c>
      <c r="K139" s="1" t="s">
        <v>1594</v>
      </c>
      <c r="L139" s="1" t="s">
        <v>1596</v>
      </c>
      <c r="M139" s="1" t="s">
        <v>752</v>
      </c>
      <c r="N139" s="1" t="s">
        <v>1597</v>
      </c>
      <c r="R139" s="1" t="s">
        <v>80</v>
      </c>
    </row>
    <row r="140" spans="1:18">
      <c r="A140" s="1" t="s">
        <v>1375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H140" s="1">
        <v>6</v>
      </c>
      <c r="I140" s="1">
        <v>5</v>
      </c>
      <c r="J140" s="1" t="s">
        <v>408</v>
      </c>
      <c r="K140" s="1" t="s">
        <v>1594</v>
      </c>
      <c r="L140" s="1" t="s">
        <v>1596</v>
      </c>
      <c r="M140" s="1" t="s">
        <v>752</v>
      </c>
      <c r="N140" s="1" t="s">
        <v>1597</v>
      </c>
      <c r="R140" s="1" t="s">
        <v>80</v>
      </c>
    </row>
    <row r="141" spans="1:18">
      <c r="A141" s="1" t="s">
        <v>1383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H141" s="1">
        <v>6</v>
      </c>
      <c r="I141" s="1">
        <v>5</v>
      </c>
      <c r="J141" s="1" t="s">
        <v>408</v>
      </c>
      <c r="K141" s="1" t="s">
        <v>1594</v>
      </c>
      <c r="L141" s="1" t="s">
        <v>1596</v>
      </c>
      <c r="M141" s="1" t="s">
        <v>752</v>
      </c>
      <c r="N141" s="1" t="s">
        <v>1597</v>
      </c>
      <c r="R141" s="1" t="s">
        <v>80</v>
      </c>
    </row>
    <row r="142" spans="1:18">
      <c r="A142" s="1" t="s">
        <v>1391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H142" s="1">
        <v>6</v>
      </c>
      <c r="I142" s="1">
        <v>5</v>
      </c>
      <c r="J142" s="1" t="s">
        <v>408</v>
      </c>
      <c r="K142" s="1" t="s">
        <v>1594</v>
      </c>
      <c r="L142" s="1" t="s">
        <v>1596</v>
      </c>
      <c r="M142" s="1" t="s">
        <v>752</v>
      </c>
      <c r="N142" s="1" t="s">
        <v>1597</v>
      </c>
      <c r="R142" s="1" t="s">
        <v>80</v>
      </c>
    </row>
    <row r="143" spans="1:18">
      <c r="A143" s="1" t="s">
        <v>1398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H143" s="1">
        <v>6</v>
      </c>
      <c r="I143" s="1">
        <v>5</v>
      </c>
      <c r="J143" s="1" t="s">
        <v>408</v>
      </c>
      <c r="K143" s="1" t="s">
        <v>1594</v>
      </c>
      <c r="L143" s="1" t="s">
        <v>1596</v>
      </c>
      <c r="M143" s="1" t="s">
        <v>752</v>
      </c>
      <c r="N143" s="1" t="s">
        <v>1597</v>
      </c>
      <c r="R143" s="1" t="s">
        <v>80</v>
      </c>
    </row>
    <row r="144" spans="1:18">
      <c r="A144" s="1" t="s">
        <v>1406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H144" s="1">
        <v>6</v>
      </c>
      <c r="I144" s="1">
        <v>5</v>
      </c>
      <c r="J144" s="1" t="s">
        <v>408</v>
      </c>
      <c r="K144" s="1" t="s">
        <v>1594</v>
      </c>
      <c r="L144" s="1" t="s">
        <v>1596</v>
      </c>
      <c r="M144" s="1" t="s">
        <v>752</v>
      </c>
      <c r="N144" s="1" t="s">
        <v>1597</v>
      </c>
      <c r="R144" s="1" t="s">
        <v>80</v>
      </c>
    </row>
    <row r="145" spans="1:18">
      <c r="A145" s="1" t="s">
        <v>1414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H145" s="1">
        <v>6</v>
      </c>
      <c r="I145" s="1">
        <v>5</v>
      </c>
      <c r="J145" s="1" t="s">
        <v>408</v>
      </c>
      <c r="K145" s="1" t="s">
        <v>1594</v>
      </c>
      <c r="L145" s="1" t="s">
        <v>1596</v>
      </c>
      <c r="M145" s="1" t="s">
        <v>752</v>
      </c>
      <c r="N145" s="1" t="s">
        <v>1597</v>
      </c>
      <c r="R145" s="1" t="s">
        <v>80</v>
      </c>
    </row>
    <row r="146" spans="1:18">
      <c r="A146" s="1" t="s">
        <v>1421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H146" s="1">
        <v>6</v>
      </c>
      <c r="I146" s="1">
        <v>5</v>
      </c>
      <c r="J146" s="1" t="s">
        <v>408</v>
      </c>
      <c r="K146" s="1" t="s">
        <v>1594</v>
      </c>
      <c r="L146" s="1" t="s">
        <v>1596</v>
      </c>
      <c r="M146" s="1" t="s">
        <v>752</v>
      </c>
      <c r="N146" s="1" t="s">
        <v>1597</v>
      </c>
      <c r="R146" s="1" t="s">
        <v>80</v>
      </c>
    </row>
    <row r="147" spans="1:18">
      <c r="A147" s="1" t="s">
        <v>1429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H147" s="1">
        <v>6</v>
      </c>
      <c r="I147" s="1">
        <v>5</v>
      </c>
      <c r="J147" s="1" t="s">
        <v>408</v>
      </c>
      <c r="K147" s="1" t="s">
        <v>1594</v>
      </c>
      <c r="L147" s="1" t="s">
        <v>1596</v>
      </c>
      <c r="M147" s="1" t="s">
        <v>752</v>
      </c>
      <c r="N147" s="1" t="s">
        <v>1597</v>
      </c>
      <c r="R147" s="1" t="s">
        <v>80</v>
      </c>
    </row>
    <row r="148" spans="1:18">
      <c r="A148" s="1" t="s">
        <v>1437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H148" s="1">
        <v>6</v>
      </c>
      <c r="I148" s="1">
        <v>5</v>
      </c>
      <c r="J148" s="1" t="s">
        <v>408</v>
      </c>
      <c r="K148" s="1" t="s">
        <v>1594</v>
      </c>
      <c r="L148" s="1" t="s">
        <v>1596</v>
      </c>
      <c r="M148" s="1" t="s">
        <v>752</v>
      </c>
      <c r="N148" s="1" t="s">
        <v>1597</v>
      </c>
      <c r="R148" s="1" t="s">
        <v>80</v>
      </c>
    </row>
    <row r="149" spans="1:18">
      <c r="A149" s="1" t="s">
        <v>1445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H149" s="1">
        <v>6</v>
      </c>
      <c r="I149" s="1">
        <v>5</v>
      </c>
      <c r="J149" s="1" t="s">
        <v>408</v>
      </c>
      <c r="K149" s="1" t="s">
        <v>1594</v>
      </c>
      <c r="L149" s="1" t="s">
        <v>1596</v>
      </c>
      <c r="M149" s="1" t="s">
        <v>752</v>
      </c>
      <c r="N149" s="1" t="s">
        <v>1597</v>
      </c>
      <c r="R149" s="1" t="s">
        <v>80</v>
      </c>
    </row>
    <row r="150" spans="1:18">
      <c r="A150" s="1" t="s">
        <v>1452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H150" s="1">
        <v>11</v>
      </c>
      <c r="I150" s="1">
        <v>8</v>
      </c>
      <c r="J150" s="1" t="s">
        <v>408</v>
      </c>
      <c r="K150" s="1" t="s">
        <v>762</v>
      </c>
      <c r="L150" s="1" t="s">
        <v>1598</v>
      </c>
      <c r="M150" s="1" t="s">
        <v>1599</v>
      </c>
      <c r="N150" s="1" t="s">
        <v>1594</v>
      </c>
      <c r="O150" s="1" t="s">
        <v>1596</v>
      </c>
      <c r="P150" s="1" t="s">
        <v>752</v>
      </c>
      <c r="Q150" s="1" t="s">
        <v>1597</v>
      </c>
      <c r="R150" s="1" t="s">
        <v>80</v>
      </c>
    </row>
    <row r="151" spans="1:18">
      <c r="A151" s="1" t="s">
        <v>1459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H151" s="1">
        <v>3</v>
      </c>
      <c r="I151" s="1">
        <v>2</v>
      </c>
      <c r="J151" s="1" t="s">
        <v>408</v>
      </c>
      <c r="K151" s="1" t="s">
        <v>1594</v>
      </c>
      <c r="R151" s="1" t="s">
        <v>80</v>
      </c>
    </row>
    <row r="152" spans="1:18">
      <c r="A152" s="1" t="s">
        <v>1465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H152" s="1">
        <v>3</v>
      </c>
      <c r="I152" s="1">
        <v>2</v>
      </c>
      <c r="J152" s="1" t="s">
        <v>408</v>
      </c>
      <c r="K152" s="1" t="s">
        <v>1594</v>
      </c>
      <c r="R152" s="1" t="s">
        <v>80</v>
      </c>
    </row>
    <row r="153" spans="1:18">
      <c r="A153" s="1" t="s">
        <v>1471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H153" s="1">
        <v>3</v>
      </c>
      <c r="I153" s="1">
        <v>2</v>
      </c>
      <c r="J153" s="1" t="s">
        <v>408</v>
      </c>
      <c r="K153" s="1" t="s">
        <v>1594</v>
      </c>
      <c r="R153" s="1" t="s">
        <v>80</v>
      </c>
    </row>
    <row r="154" spans="1:18">
      <c r="A154" s="1" t="s">
        <v>1480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H154" s="1">
        <v>3</v>
      </c>
      <c r="I154" s="1">
        <v>2</v>
      </c>
      <c r="J154" s="1" t="s">
        <v>408</v>
      </c>
      <c r="K154" s="1" t="s">
        <v>1594</v>
      </c>
      <c r="R154" s="1" t="s">
        <v>80</v>
      </c>
    </row>
    <row r="155" spans="1:18">
      <c r="A155" s="1" t="s">
        <v>1490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H155" s="1">
        <v>0</v>
      </c>
      <c r="I155" s="1">
        <v>0</v>
      </c>
      <c r="R155" s="1" t="s">
        <v>80</v>
      </c>
    </row>
    <row r="156" spans="1:18">
      <c r="A156" s="1" t="s">
        <v>1499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H156" s="1">
        <v>0</v>
      </c>
      <c r="I156" s="1">
        <v>0</v>
      </c>
      <c r="R156" s="1" t="s">
        <v>80</v>
      </c>
    </row>
    <row r="157" spans="1:18">
      <c r="A157" s="1" t="s">
        <v>1507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H157" s="1">
        <v>0</v>
      </c>
      <c r="I157" s="1">
        <v>0</v>
      </c>
      <c r="R157" s="1" t="s">
        <v>80</v>
      </c>
    </row>
    <row r="158" spans="1:18">
      <c r="A158" s="1" t="s">
        <v>1515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H158" s="1">
        <v>0</v>
      </c>
      <c r="I158" s="1">
        <v>0</v>
      </c>
      <c r="R158" s="1" t="s">
        <v>80</v>
      </c>
    </row>
    <row r="159" spans="1:18">
      <c r="A159" s="1" t="s">
        <v>1523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H159" s="1">
        <v>0</v>
      </c>
      <c r="I159" s="1">
        <v>0</v>
      </c>
      <c r="R159" s="1" t="s">
        <v>80</v>
      </c>
    </row>
    <row r="160" spans="1:18">
      <c r="A160" s="1" t="s">
        <v>1531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H160" s="1">
        <v>0</v>
      </c>
      <c r="I160" s="1">
        <v>0</v>
      </c>
      <c r="R160" s="1" t="s">
        <v>80</v>
      </c>
    </row>
    <row r="161" spans="1:18">
      <c r="A161" s="1" t="s">
        <v>1539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H161" s="1">
        <v>0</v>
      </c>
      <c r="I161" s="1">
        <v>0</v>
      </c>
      <c r="R161" s="1" t="s">
        <v>80</v>
      </c>
    </row>
    <row r="162" spans="1:18">
      <c r="A162" s="1" t="s">
        <v>1547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H162" s="1">
        <v>0</v>
      </c>
      <c r="I162" s="1">
        <v>0</v>
      </c>
      <c r="R162" s="1" t="s">
        <v>80</v>
      </c>
    </row>
    <row r="163" spans="1:18">
      <c r="A163" s="1" t="s">
        <v>1554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H163" s="1">
        <v>0</v>
      </c>
      <c r="I163" s="1">
        <v>0</v>
      </c>
      <c r="R163" s="1" t="s">
        <v>80</v>
      </c>
    </row>
    <row r="164" spans="1:18">
      <c r="A164" s="1" t="s">
        <v>1561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H164" s="1">
        <v>0</v>
      </c>
      <c r="I164" s="1">
        <v>0</v>
      </c>
      <c r="R164" s="1" t="s">
        <v>80</v>
      </c>
    </row>
    <row r="165" spans="1:18">
      <c r="A165" s="1" t="s">
        <v>1568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H165" s="1">
        <v>0</v>
      </c>
      <c r="I165" s="1">
        <v>0</v>
      </c>
      <c r="R165" s="1" t="s">
        <v>80</v>
      </c>
    </row>
    <row r="166" spans="1:18">
      <c r="A166" s="1" t="s">
        <v>1576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H166" s="1">
        <v>0</v>
      </c>
      <c r="I166" s="1">
        <v>0</v>
      </c>
      <c r="R166" s="1" t="s">
        <v>80</v>
      </c>
    </row>
  </sheetData>
  <sortState xmlns:xlrd2="http://schemas.microsoft.com/office/spreadsheetml/2017/richdata2" ref="A2:S166">
    <sortCondition ref="A2:A166"/>
  </sortState>
  <phoneticPr fontId="9" type="noConversion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126e4a-d75b-4b61-81a8-0abcf11522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9E871DCD203F4EB8A75EAA9E6A0FFB" ma:contentTypeVersion="10" ma:contentTypeDescription="Create a new document." ma:contentTypeScope="" ma:versionID="2017eb92d4cf72f8aa64dd2d5e3ab853">
  <xsd:schema xmlns:xsd="http://www.w3.org/2001/XMLSchema" xmlns:xs="http://www.w3.org/2001/XMLSchema" xmlns:p="http://schemas.microsoft.com/office/2006/metadata/properties" xmlns:ns3="b6126e4a-d75b-4b61-81a8-0abcf11522e0" targetNamespace="http://schemas.microsoft.com/office/2006/metadata/properties" ma:root="true" ma:fieldsID="5bef06820b9a97a6d73b1a69f4c44241" ns3:_="">
    <xsd:import namespace="b6126e4a-d75b-4b61-81a8-0abcf11522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26e4a-d75b-4b61-81a8-0abcf11522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9A7D56-6E60-492C-911D-68805116BAB2}"/>
</file>

<file path=customXml/itemProps2.xml><?xml version="1.0" encoding="utf-8"?>
<ds:datastoreItem xmlns:ds="http://schemas.openxmlformats.org/officeDocument/2006/customXml" ds:itemID="{85B0C334-FBEF-4AE8-BA48-B9A858549D29}"/>
</file>

<file path=customXml/itemProps3.xml><?xml version="1.0" encoding="utf-8"?>
<ds:datastoreItem xmlns:ds="http://schemas.openxmlformats.org/officeDocument/2006/customXml" ds:itemID="{BBAAE145-F5AA-4299-981B-52C58EEA4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Soocheol You</dc:creator>
  <cp:keywords/>
  <dc:description/>
  <cp:lastModifiedBy>Seoyoon Do</cp:lastModifiedBy>
  <cp:revision>0</cp:revision>
  <dcterms:created xsi:type="dcterms:W3CDTF">2025-07-07T00:58:36Z</dcterms:created>
  <dcterms:modified xsi:type="dcterms:W3CDTF">2026-04-27T07:50:30Z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0x010100B09E871DCD203F4EB8A75EAA9E6A0FFB</vt:lpwstr>
  </property>
</Properties>
</file>